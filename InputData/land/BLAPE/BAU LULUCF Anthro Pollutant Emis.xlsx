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2"/>
  <workbookPr defaultThemeVersion="124226"/>
  <mc:AlternateContent xmlns:mc="http://schemas.openxmlformats.org/markup-compatibility/2006">
    <mc:Choice Requires="x15">
      <x15ac:absPath xmlns:x15ac="http://schemas.microsoft.com/office/spreadsheetml/2010/11/ac" url="/Users/lawrenceiu/Desktop/eps-us-3.4.7 working_D1505_T1604_woking/eps-us-3.4.7 HK working/InputData/land/BLAPE/"/>
    </mc:Choice>
  </mc:AlternateContent>
  <xr:revisionPtr revIDLastSave="0" documentId="13_ncr:1_{4953E772-96C1-0B44-A547-3A3E1A464C6E}" xr6:coauthVersionLast="47" xr6:coauthVersionMax="47" xr10:uidLastSave="{00000000-0000-0000-0000-000000000000}"/>
  <bookViews>
    <workbookView xWindow="34460" yWindow="500" windowWidth="37800" windowHeight="21100" activeTab="3" xr2:uid="{00000000-000D-0000-FFFF-FFFF00000000}"/>
  </bookViews>
  <sheets>
    <sheet name="About" sheetId="1" r:id="rId1"/>
    <sheet name="Calcs" sheetId="2" r:id="rId2"/>
    <sheet name="EPA Table 6-1" sheetId="5" r:id="rId3"/>
    <sheet name="BLAPE"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2" i="3" l="1"/>
  <c r="B11" i="3"/>
  <c r="C2" i="3"/>
  <c r="B2" i="3"/>
  <c r="D2" i="3"/>
  <c r="E2" i="3"/>
  <c r="F2" i="3"/>
  <c r="G2" i="3"/>
  <c r="H2" i="3"/>
  <c r="I2" i="3"/>
  <c r="J2" i="3"/>
  <c r="K2" i="3"/>
  <c r="L2" i="3"/>
  <c r="M2" i="3"/>
  <c r="N2" i="3"/>
  <c r="O2" i="3"/>
  <c r="P2" i="3"/>
  <c r="Q2" i="3"/>
  <c r="R2" i="3"/>
  <c r="S2" i="3"/>
  <c r="T2" i="3"/>
  <c r="U2" i="3"/>
  <c r="V2" i="3"/>
  <c r="W2" i="3"/>
  <c r="X2" i="3"/>
  <c r="Y2" i="3"/>
  <c r="Z2" i="3"/>
  <c r="AA2" i="3"/>
  <c r="AB2" i="3"/>
  <c r="AC2" i="3"/>
  <c r="AD2" i="3"/>
  <c r="AE2" i="3"/>
  <c r="AF2" i="3"/>
  <c r="D11" i="3"/>
  <c r="E11" i="3"/>
  <c r="F11" i="3"/>
  <c r="G11" i="3"/>
  <c r="H11" i="3"/>
  <c r="I11" i="3"/>
  <c r="J11" i="3"/>
  <c r="K11" i="3"/>
  <c r="L11" i="3"/>
  <c r="M11" i="3"/>
  <c r="N11" i="3"/>
  <c r="O11" i="3"/>
  <c r="P11" i="3"/>
  <c r="Q11" i="3"/>
  <c r="R11" i="3"/>
  <c r="S11" i="3"/>
  <c r="T11" i="3"/>
  <c r="U11" i="3"/>
  <c r="V11" i="3"/>
  <c r="W11" i="3"/>
  <c r="X11" i="3"/>
  <c r="Y11" i="3"/>
  <c r="Z11" i="3"/>
  <c r="AA11" i="3"/>
  <c r="AB11" i="3"/>
  <c r="AC11" i="3"/>
  <c r="AD11" i="3"/>
  <c r="AE11" i="3"/>
  <c r="AF11" i="3"/>
  <c r="D12" i="3"/>
  <c r="E12" i="3"/>
  <c r="F12" i="3"/>
  <c r="G12" i="3"/>
  <c r="H12" i="3"/>
  <c r="I12" i="3"/>
  <c r="J12" i="3"/>
  <c r="K12" i="3"/>
  <c r="L12" i="3"/>
  <c r="M12" i="3"/>
  <c r="N12" i="3"/>
  <c r="O12" i="3"/>
  <c r="P12" i="3"/>
  <c r="Q12" i="3"/>
  <c r="R12" i="3"/>
  <c r="S12" i="3"/>
  <c r="T12" i="3"/>
  <c r="U12" i="3"/>
  <c r="V12" i="3"/>
  <c r="W12" i="3"/>
  <c r="X12" i="3"/>
  <c r="Y12" i="3"/>
  <c r="Z12" i="3"/>
  <c r="AA12" i="3"/>
  <c r="AB12" i="3"/>
  <c r="AC12" i="3"/>
  <c r="AD12" i="3"/>
  <c r="AE12" i="3"/>
  <c r="AF12" i="3"/>
  <c r="C11" i="3"/>
  <c r="C12" i="3"/>
  <c r="B13" i="2"/>
  <c r="C13" i="2"/>
  <c r="D13" i="2"/>
  <c r="E13" i="2"/>
  <c r="F13" i="2"/>
  <c r="G13" i="2"/>
  <c r="H13" i="2"/>
  <c r="I13" i="2"/>
  <c r="J13" i="2"/>
  <c r="K13" i="2"/>
  <c r="L13" i="2"/>
  <c r="M13" i="2"/>
  <c r="N13" i="2"/>
  <c r="O13" i="2"/>
  <c r="P13" i="2"/>
  <c r="Q13" i="2"/>
  <c r="R13" i="2"/>
  <c r="S13" i="2"/>
  <c r="T13" i="2"/>
  <c r="U13" i="2"/>
  <c r="V13" i="2"/>
  <c r="W13" i="2"/>
  <c r="X13" i="2"/>
  <c r="Y13" i="2"/>
  <c r="Z13" i="2"/>
  <c r="AA13" i="2"/>
  <c r="AB13" i="2"/>
  <c r="AC13" i="2"/>
  <c r="AD13" i="2"/>
  <c r="AE13" i="2"/>
  <c r="B14" i="2"/>
  <c r="C14" i="2"/>
  <c r="D14" i="2"/>
  <c r="E14" i="2"/>
  <c r="F14" i="2"/>
  <c r="G14" i="2"/>
  <c r="H14" i="2"/>
  <c r="I14" i="2"/>
  <c r="J14" i="2"/>
  <c r="K14" i="2"/>
  <c r="L14" i="2"/>
  <c r="M14" i="2"/>
  <c r="N14" i="2"/>
  <c r="O14" i="2"/>
  <c r="P14" i="2"/>
  <c r="Q14" i="2"/>
  <c r="R14" i="2"/>
  <c r="S14" i="2"/>
  <c r="T14" i="2"/>
  <c r="U14" i="2"/>
  <c r="V14" i="2"/>
  <c r="W14" i="2"/>
  <c r="X14" i="2"/>
  <c r="Y14" i="2"/>
  <c r="Z14" i="2"/>
  <c r="AA14" i="2"/>
  <c r="AB14" i="2"/>
  <c r="AC14" i="2"/>
  <c r="AD14" i="2"/>
  <c r="AE14" i="2"/>
  <c r="B15" i="2"/>
  <c r="C15" i="2"/>
  <c r="D15" i="2"/>
  <c r="E15" i="2"/>
  <c r="F15" i="2"/>
  <c r="G15" i="2"/>
  <c r="H15" i="2"/>
  <c r="I15" i="2"/>
  <c r="J15" i="2"/>
  <c r="K15" i="2"/>
  <c r="L15" i="2"/>
  <c r="M15" i="2"/>
  <c r="N15" i="2"/>
  <c r="O15" i="2"/>
  <c r="P15" i="2"/>
  <c r="Q15" i="2"/>
  <c r="R15" i="2"/>
  <c r="S15" i="2"/>
  <c r="T15" i="2"/>
  <c r="U15" i="2"/>
  <c r="V15" i="2"/>
  <c r="W15" i="2"/>
  <c r="X15" i="2"/>
  <c r="Y15" i="2"/>
  <c r="Z15" i="2"/>
  <c r="AA15" i="2"/>
  <c r="AB15" i="2"/>
  <c r="AC15" i="2"/>
  <c r="AD15" i="2"/>
  <c r="AE15" i="2"/>
  <c r="AF15" i="2"/>
  <c r="AF14" i="2"/>
  <c r="AF13" i="2"/>
</calcChain>
</file>

<file path=xl/sharedStrings.xml><?xml version="1.0" encoding="utf-8"?>
<sst xmlns="http://schemas.openxmlformats.org/spreadsheetml/2006/main" count="131" uniqueCount="92">
  <si>
    <t>Source:</t>
  </si>
  <si>
    <t>Excerpt from Table 3:</t>
  </si>
  <si>
    <t>Emissions (Tg CO2e)</t>
  </si>
  <si>
    <t>We assume that all of the sequestered CO2e in the Land Use and Forestry sector is in the form of</t>
  </si>
  <si>
    <t>CO2, not other GHGs.</t>
  </si>
  <si>
    <t>Year</t>
  </si>
  <si>
    <t>Notes</t>
  </si>
  <si>
    <t>BLAPE BAU LULUCF Anthropogenic Pollutant Emissions</t>
  </si>
  <si>
    <t>F gases (g CO2e)</t>
  </si>
  <si>
    <t>CO2 (g)</t>
  </si>
  <si>
    <t>VOCs (g)</t>
  </si>
  <si>
    <t>CO (g)</t>
  </si>
  <si>
    <t>NOx (g)</t>
  </si>
  <si>
    <t>PM10 (g)</t>
  </si>
  <si>
    <t>PM25 (g)</t>
  </si>
  <si>
    <t>SOx (g)</t>
  </si>
  <si>
    <t>BC (g)</t>
  </si>
  <si>
    <t>OC (g)</t>
  </si>
  <si>
    <t>CH4 (g)</t>
  </si>
  <si>
    <t>N2O (g)</t>
  </si>
  <si>
    <t>CO2</t>
  </si>
  <si>
    <t>CH4</t>
  </si>
  <si>
    <t>N2O</t>
  </si>
  <si>
    <t>EPS</t>
  </si>
  <si>
    <t>Start Year Forecast</t>
  </si>
  <si>
    <t>US EPA</t>
  </si>
  <si>
    <t>https://www.epa.gov/sites/production/files/2021-02/documents/us-ghg-inventory-2021-main-text.pdf</t>
  </si>
  <si>
    <t>Draft Inventory of US Greenhouse Gas Emissions Emissions and Sinks</t>
  </si>
  <si>
    <t>Table 6-1, page 6-3 (467)</t>
  </si>
  <si>
    <t>Table 6-1:  Emissions and Removals (Net Flux) from Land Use, Land-Use Change, and Forestry (MMT CO2 Eq.)</t>
  </si>
  <si>
    <t>Land-Use Category</t>
  </si>
  <si>
    <t>Forest Land Remaining Forest Land</t>
  </si>
  <si>
    <t>Changes in Forest Carbon Stocksa</t>
  </si>
  <si>
    <t>Non-CO2 Emissions from Forest Firesb</t>
  </si>
  <si>
    <t>N2O Emissions from Forest Soilsc</t>
  </si>
  <si>
    <t>Non-CO2 Emissions from Drained Organic Soilsd</t>
  </si>
  <si>
    <t>Land Converted to Forest Land</t>
  </si>
  <si>
    <t>Changes in Forest Carbon Stockse</t>
  </si>
  <si>
    <t>Cropland Remaining Cropland</t>
  </si>
  <si>
    <t>Changes in Mineral and Organic Soil Carbon Stocks</t>
  </si>
  <si>
    <t>Land Converted to Cropland</t>
  </si>
  <si>
    <t>Changes in all Ecosystem Carbon Stocksf</t>
  </si>
  <si>
    <t>Grassland Remaining Grassland</t>
  </si>
  <si>
    <t>Non-CO2 Emissions from Grassland Firesg</t>
  </si>
  <si>
    <t>Land Converted to Grassland</t>
  </si>
  <si>
    <t>Wetlands Remaining Wetlands</t>
  </si>
  <si>
    <t>Changes in Organic Soil Carbon Stocks in Peatlands</t>
  </si>
  <si>
    <t>Non-CO2 Emissions from Peatlands Remaining Peatlands</t>
  </si>
  <si>
    <t xml:space="preserve">+ </t>
  </si>
  <si>
    <t>Changes in Biomass, DOM, and Soil Carbon Stocks in Coastal Wetlands</t>
  </si>
  <si>
    <t>CH4 Emissions from Coastal Wetlands Remaining Coastal Wetlands</t>
  </si>
  <si>
    <t>N2O Emissions from Coastal Wetlands Remaining Coastal Wetlands</t>
  </si>
  <si>
    <t>CH4 Emissions from Flooded Land Remaining Flooded Land</t>
  </si>
  <si>
    <t>Land Converted to Wetlands</t>
  </si>
  <si>
    <t>Changes in Biomass, DOM, and Soil Carbon Stocks in Land Converted to Coastal Wetlands</t>
  </si>
  <si>
    <t>(+)</t>
  </si>
  <si>
    <t>CH4 Emissions from Land Converted to Coastal Wetlands</t>
  </si>
  <si>
    <t>Changes in Land Converted to Flooded Land</t>
  </si>
  <si>
    <t>CH4 Emissions from Land Converted to Flooded Land</t>
  </si>
  <si>
    <t>Settlements Remaining Settlements</t>
  </si>
  <si>
    <t>Changes in Organic Soil Carbon Stocks</t>
  </si>
  <si>
    <t>Changes in Settlement Tree Carbon Stocks</t>
  </si>
  <si>
    <t>N2O Emissions from Settlement Soilsh</t>
  </si>
  <si>
    <t>Changes in Yard Trimming and Food Scrap Carbon Stocks in Landfills</t>
  </si>
  <si>
    <t>Land Converted to Settlements</t>
  </si>
  <si>
    <t>LULUCF Emissionsi</t>
  </si>
  <si>
    <t>LULUCF Carbon Stock Changej</t>
  </si>
  <si>
    <t>LULUCF Sector Net Totalk</t>
  </si>
  <si>
    <t>+ Absolute value does not exceed 0.05 MMT CO2 Eq.</t>
  </si>
  <si>
    <t>a Includes the net changes to carbon stocks stored in all forest ecosystem pools (estimates include C stock changes from drained organic soils from both Forest Land Remaining Forest Land and Land Converted to Forest Land) and harvested wood products.</t>
  </si>
  <si>
    <t>b Estimates include CH4 and N2O emissions from fires on both Forest Land Remaining Forest Land and Land Converted to Forest Land.</t>
  </si>
  <si>
    <t>c Estimates include N2O emissions from N fertilizer additions on both Forest Land Remaining Forest Land and Land Converted to Forest Land.</t>
  </si>
  <si>
    <t>d Estimates include CH4 and N2O emissions from drained organic soils on both Forest Land Remaining Forest Land and Land Converted to Forest Land. Carbon stock changes from drained organic soils are included with the Forest Land Remaining Forest Land forest ecosystem pools.</t>
  </si>
  <si>
    <t>e Includes the net changes to carbon stocks stored in all forest ecosystem pools.</t>
  </si>
  <si>
    <t>f Includes changes in mineral and organic soil carbon stocks for all land use conversions to cropland, grassland, and settlements. Also includes aboveground/belowground biomass, dead wood, and litter carbon stock changes for conversion of forest land to cropland, grassland, and settlements.</t>
  </si>
  <si>
    <t>g Estimates include CH4 and N2O emissions from fires on both Grassland Remaining Grassland and Land Converted to Grassland.</t>
  </si>
  <si>
    <t>h Estimates include N2O emissions from N fertilizer additions on both Settlements Remaining Settlements and Land Converted to Settlements because it is not possible to separate the activity data at this time.</t>
  </si>
  <si>
    <t xml:space="preserve">i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 </t>
  </si>
  <si>
    <t>j LULUCF Carbon Stock Change includes any C stock gains and losses from all land use and land use conversion categories.</t>
  </si>
  <si>
    <t>k The LULUCF Sector Net Total is the net sum of all LULUCF CH4 and N2O emissions to the atmosphere plus net carbon stock changes in units of MMT CO2 Eq.</t>
  </si>
  <si>
    <t>Notes: Totals may not sum due to independent rounding. Parentheses indicate net sequestration.</t>
  </si>
  <si>
    <t>Land Use and Forestry (CO2)</t>
  </si>
  <si>
    <t>Land Use and Forestry (CH4)</t>
  </si>
  <si>
    <t>Land Use and Forestry (N2O)</t>
  </si>
  <si>
    <t>We project the 1990-2020 trend forward to 2050.</t>
  </si>
  <si>
    <t>CH4 GWP</t>
  </si>
  <si>
    <t>N2O GWP</t>
  </si>
  <si>
    <t>Hong Kong data</t>
    <phoneticPr fontId="3" type="noConversion"/>
  </si>
  <si>
    <t>The People’s Republic of China Third Biennial Update Report on Climate Change</t>
    <phoneticPr fontId="3" type="noConversion"/>
  </si>
  <si>
    <t>P.41</t>
    <phoneticPr fontId="3" type="noConversion"/>
  </si>
  <si>
    <t xml:space="preserve"> https://unfccc.int/sites/default/files/resource/China_BUR3_English.pdf</t>
    <phoneticPr fontId="3" type="noConversion"/>
  </si>
  <si>
    <t>follow the us trend</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</si>
</sst>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新細明體"/>
      <family val="2"/>
      <scheme val="minor"/>
    </font>
    <font>
      <b/>
      <sz val="11"/>
      <color theme="1"/>
      <name val="新細明體"/>
      <family val="2"/>
      <scheme val="minor"/>
    </font>
    <font>
      <u/>
      <sz val="11"/>
      <color theme="10"/>
      <name val="新細明體"/>
      <family val="2"/>
      <scheme val="minor"/>
    </font>
    <font>
      <sz val="9"/>
      <name val="新細明體"/>
      <family val="3"/>
      <charset val="136"/>
      <scheme val="minor"/>
    </font>
  </fonts>
  <fills count="5">
    <fill>
      <patternFill patternType="none"/>
    </fill>
    <fill>
      <patternFill patternType="gray125"/>
    </fill>
    <fill>
      <patternFill patternType="solid">
        <fgColor rgb="FFFFC000"/>
        <bgColor indexed="64"/>
      </patternFill>
    </fill>
    <fill>
      <patternFill patternType="solid">
        <fgColor theme="0" tint="-0.249977111117893"/>
        <bgColor indexed="64"/>
      </patternFill>
    </fill>
    <fill>
      <patternFill patternType="solid">
        <fgColor theme="9"/>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0" borderId="0" xfId="0" applyFont="1"/>
    <xf numFmtId="0" fontId="2" fillId="0" borderId="0" xfId="1"/>
    <xf numFmtId="11" fontId="0" fillId="0" borderId="0" xfId="0" applyNumberFormat="1"/>
    <xf numFmtId="0" fontId="0" fillId="0" borderId="0" xfId="0" applyAlignment="1">
      <alignment horizontal="left"/>
    </xf>
    <xf numFmtId="1" fontId="0" fillId="0" borderId="0" xfId="0" applyNumberFormat="1"/>
    <xf numFmtId="0" fontId="0" fillId="2" borderId="0" xfId="0" applyFill="1"/>
    <xf numFmtId="0" fontId="1" fillId="2" borderId="0" xfId="0" applyFont="1" applyFill="1"/>
    <xf numFmtId="0" fontId="1" fillId="3" borderId="0" xfId="0" applyFont="1" applyFill="1"/>
    <xf numFmtId="0" fontId="0" fillId="4" borderId="0" xfId="0" applyFill="1"/>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lotArea>
      <c:layout/>
      <c:lineChart>
        <c:grouping val="standard"/>
        <c:varyColors val="0"/>
        <c:ser>
          <c:idx val="0"/>
          <c:order val="0"/>
          <c:spPr>
            <a:ln w="28575" cap="rnd">
              <a:solidFill>
                <a:schemeClr val="accent1"/>
              </a:solidFill>
              <a:round/>
            </a:ln>
            <a:effectLst/>
          </c:spPr>
          <c:marker>
            <c:symbol val="none"/>
          </c:marker>
          <c:cat>
            <c:numRef>
              <c:f>Calcs!$B$12:$AF$12</c:f>
              <c:numCache>
                <c:formatCode>General</c:formatCode>
                <c:ptCount val="3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numCache>
            </c:numRef>
          </c:cat>
          <c:val>
            <c:numRef>
              <c:f>Calcs!$B$13:$AF$13</c:f>
              <c:numCache>
                <c:formatCode>General</c:formatCode>
                <c:ptCount val="31"/>
                <c:pt idx="0">
                  <c:v>-892</c:v>
                </c:pt>
                <c:pt idx="1">
                  <c:v>-900.6</c:v>
                </c:pt>
                <c:pt idx="2">
                  <c:v>-891.2</c:v>
                </c:pt>
                <c:pt idx="3">
                  <c:v>-873</c:v>
                </c:pt>
                <c:pt idx="4">
                  <c:v>-889.6</c:v>
                </c:pt>
                <c:pt idx="5">
                  <c:v>-860.3</c:v>
                </c:pt>
                <c:pt idx="6">
                  <c:v>-883.3</c:v>
                </c:pt>
                <c:pt idx="7">
                  <c:v>-861.5</c:v>
                </c:pt>
                <c:pt idx="8">
                  <c:v>-863.9</c:v>
                </c:pt>
                <c:pt idx="9">
                  <c:v>-860.6</c:v>
                </c:pt>
                <c:pt idx="10">
                  <c:v>-862.6</c:v>
                </c:pt>
                <c:pt idx="11">
                  <c:v>-860.4</c:v>
                </c:pt>
                <c:pt idx="12">
                  <c:v>-831.2</c:v>
                </c:pt>
                <c:pt idx="13">
                  <c:v>-857.3</c:v>
                </c:pt>
                <c:pt idx="14">
                  <c:v>-775.8</c:v>
                </c:pt>
                <c:pt idx="15">
                  <c:v>-831.1</c:v>
                </c:pt>
                <c:pt idx="16">
                  <c:v>-855.1</c:v>
                </c:pt>
                <c:pt idx="17">
                  <c:v>-818.7</c:v>
                </c:pt>
                <c:pt idx="18">
                  <c:v>-802.5</c:v>
                </c:pt>
                <c:pt idx="19">
                  <c:v>-772.5</c:v>
                </c:pt>
                <c:pt idx="20">
                  <c:v>-791.4</c:v>
                </c:pt>
                <c:pt idx="21">
                  <c:v>-836.3</c:v>
                </c:pt>
                <c:pt idx="22">
                  <c:v>-837.7</c:v>
                </c:pt>
                <c:pt idx="23">
                  <c:v>-804.5</c:v>
                </c:pt>
                <c:pt idx="24">
                  <c:v>-814.4</c:v>
                </c:pt>
                <c:pt idx="25">
                  <c:v>-748.9</c:v>
                </c:pt>
                <c:pt idx="26">
                  <c:v>-862</c:v>
                </c:pt>
                <c:pt idx="27">
                  <c:v>-826.7</c:v>
                </c:pt>
                <c:pt idx="28">
                  <c:v>-809</c:v>
                </c:pt>
                <c:pt idx="29">
                  <c:v>-760.8</c:v>
                </c:pt>
                <c:pt idx="30">
                  <c:v>-812.2</c:v>
                </c:pt>
              </c:numCache>
            </c:numRef>
          </c:val>
          <c:smooth val="0"/>
          <c:extLst>
            <c:ext xmlns:c16="http://schemas.microsoft.com/office/drawing/2014/chart" uri="{C3380CC4-5D6E-409C-BE32-E72D297353CC}">
              <c16:uniqueId val="{00000000-F5DD-4DDF-A09B-A5BA8DF60D82}"/>
            </c:ext>
          </c:extLst>
        </c:ser>
        <c:dLbls>
          <c:showLegendKey val="0"/>
          <c:showVal val="0"/>
          <c:showCatName val="0"/>
          <c:showSerName val="0"/>
          <c:showPercent val="0"/>
          <c:showBubbleSize val="0"/>
        </c:dLbls>
        <c:smooth val="0"/>
        <c:axId val="1293140784"/>
        <c:axId val="1293143696"/>
      </c:lineChart>
      <c:catAx>
        <c:axId val="129314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1293143696"/>
        <c:crosses val="autoZero"/>
        <c:auto val="1"/>
        <c:lblAlgn val="ctr"/>
        <c:lblOffset val="100"/>
        <c:noMultiLvlLbl val="0"/>
      </c:catAx>
      <c:valAx>
        <c:axId val="1293143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1293140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571500</xdr:colOff>
      <xdr:row>16</xdr:row>
      <xdr:rowOff>122237</xdr:rowOff>
    </xdr:from>
    <xdr:to>
      <xdr:col>10</xdr:col>
      <xdr:colOff>266700</xdr:colOff>
      <xdr:row>31</xdr:row>
      <xdr:rowOff>144462</xdr:rowOff>
    </xdr:to>
    <xdr:graphicFrame macro="">
      <xdr:nvGraphicFramePr>
        <xdr:cNvPr id="2" name="Chart 1">
          <a:extLst>
            <a:ext uri="{FF2B5EF4-FFF2-40B4-BE49-F238E27FC236}">
              <a16:creationId xmlns:a16="http://schemas.microsoft.com/office/drawing/2014/main" id="{662FEF50-F895-E7BD-A9D6-22599D8D2F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sites/production/files/2021-02/documents/us-ghg-inventory-2021-main-text.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workbookViewId="0">
      <selection activeCell="B21" sqref="B21"/>
    </sheetView>
  </sheetViews>
  <sheetFormatPr baseColWidth="10" defaultColWidth="8.796875" defaultRowHeight="14"/>
  <cols>
    <col min="1" max="1" width="9.3984375" customWidth="1"/>
    <col min="2" max="2" width="51.59765625" customWidth="1"/>
  </cols>
  <sheetData>
    <row r="1" spans="1:2">
      <c r="A1" s="1" t="s">
        <v>7</v>
      </c>
    </row>
    <row r="3" spans="1:2">
      <c r="A3" s="1" t="s">
        <v>0</v>
      </c>
      <c r="B3" t="s">
        <v>25</v>
      </c>
    </row>
    <row r="4" spans="1:2">
      <c r="B4" s="4">
        <v>2021</v>
      </c>
    </row>
    <row r="5" spans="1:2">
      <c r="B5" t="s">
        <v>27</v>
      </c>
    </row>
    <row r="6" spans="1:2">
      <c r="B6" s="2" t="s">
        <v>26</v>
      </c>
    </row>
    <row r="7" spans="1:2">
      <c r="B7" t="s">
        <v>28</v>
      </c>
    </row>
    <row r="9" spans="1:2">
      <c r="A9" t="s">
        <v>85</v>
      </c>
      <c r="B9">
        <v>28</v>
      </c>
    </row>
    <row r="10" spans="1:2">
      <c r="A10" t="s">
        <v>86</v>
      </c>
      <c r="B10">
        <v>265</v>
      </c>
    </row>
    <row r="12" spans="1:2">
      <c r="A12" s="1" t="s">
        <v>6</v>
      </c>
    </row>
    <row r="13" spans="1:2">
      <c r="A13" t="s">
        <v>84</v>
      </c>
    </row>
    <row r="15" spans="1:2">
      <c r="A15" s="8" t="s">
        <v>87</v>
      </c>
    </row>
    <row r="16" spans="1:2">
      <c r="A16" t="s">
        <v>88</v>
      </c>
    </row>
    <row r="17" spans="1:2">
      <c r="A17">
        <v>2023</v>
      </c>
    </row>
    <row r="18" spans="1:2">
      <c r="A18" t="s">
        <v>89</v>
      </c>
    </row>
    <row r="19" spans="1:2">
      <c r="A19" t="s">
        <v>90</v>
      </c>
    </row>
    <row r="21" spans="1:2">
      <c r="B21" t="s">
        <v>91</v>
      </c>
    </row>
  </sheetData>
  <phoneticPr fontId="3" type="noConversion"/>
  <hyperlinks>
    <hyperlink ref="B6" r:id="rId1" xr:uid="{5EA10306-2425-1141-9082-54A5E7FE494D}"/>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5"/>
  <sheetViews>
    <sheetView workbookViewId="0">
      <selection activeCell="AG13" sqref="AG13"/>
    </sheetView>
  </sheetViews>
  <sheetFormatPr baseColWidth="10" defaultColWidth="8.796875" defaultRowHeight="14"/>
  <cols>
    <col min="1" max="1" width="63.3984375" customWidth="1"/>
  </cols>
  <sheetData>
    <row r="1" spans="1:34">
      <c r="A1" s="1" t="s">
        <v>1</v>
      </c>
    </row>
    <row r="2" spans="1:34">
      <c r="A2" s="1" t="s">
        <v>2</v>
      </c>
    </row>
    <row r="3" spans="1:34">
      <c r="B3" s="9">
        <v>2018</v>
      </c>
      <c r="C3" s="9">
        <v>2019</v>
      </c>
      <c r="D3" s="9">
        <v>2020</v>
      </c>
      <c r="E3" s="9">
        <v>2021</v>
      </c>
      <c r="F3" s="9">
        <v>2022</v>
      </c>
      <c r="G3" s="9">
        <v>2023</v>
      </c>
      <c r="H3" s="9">
        <v>2024</v>
      </c>
      <c r="I3" s="9">
        <v>2025</v>
      </c>
      <c r="J3" s="9">
        <v>2026</v>
      </c>
      <c r="K3" s="9">
        <v>2027</v>
      </c>
      <c r="L3" s="9">
        <v>2028</v>
      </c>
      <c r="M3" s="9">
        <v>2029</v>
      </c>
      <c r="N3" s="9">
        <v>2030</v>
      </c>
      <c r="O3" s="9">
        <v>2031</v>
      </c>
      <c r="P3" s="9">
        <v>2032</v>
      </c>
      <c r="Q3" s="9">
        <v>2033</v>
      </c>
      <c r="R3" s="9">
        <v>2034</v>
      </c>
      <c r="S3" s="9">
        <v>2035</v>
      </c>
      <c r="T3" s="9">
        <v>2036</v>
      </c>
      <c r="U3" s="9">
        <v>2037</v>
      </c>
      <c r="V3" s="9">
        <v>2038</v>
      </c>
      <c r="W3" s="9">
        <v>2039</v>
      </c>
      <c r="X3" s="9">
        <v>2040</v>
      </c>
      <c r="Y3" s="9">
        <v>2041</v>
      </c>
      <c r="Z3" s="9">
        <v>2042</v>
      </c>
      <c r="AA3" s="9">
        <v>2043</v>
      </c>
      <c r="AB3" s="9">
        <v>2044</v>
      </c>
      <c r="AC3" s="9">
        <v>2045</v>
      </c>
      <c r="AD3" s="9">
        <v>2046</v>
      </c>
      <c r="AE3" s="9">
        <v>2047</v>
      </c>
      <c r="AF3" s="9">
        <v>2048</v>
      </c>
      <c r="AG3" s="9">
        <v>2049</v>
      </c>
      <c r="AH3" s="9">
        <v>2050</v>
      </c>
    </row>
    <row r="4" spans="1:34">
      <c r="A4" t="s">
        <v>81</v>
      </c>
      <c r="B4" s="6">
        <v>-0.4632</v>
      </c>
      <c r="C4" s="6">
        <v>-0.4632</v>
      </c>
      <c r="D4" s="6">
        <v>-0.4632</v>
      </c>
      <c r="E4" s="6">
        <v>-0.4632</v>
      </c>
      <c r="F4" s="6">
        <v>-0.4632</v>
      </c>
      <c r="G4" s="6">
        <v>-0.4632</v>
      </c>
      <c r="H4" s="6">
        <v>-0.4632</v>
      </c>
      <c r="I4" s="6">
        <v>-0.4632</v>
      </c>
      <c r="J4" s="6">
        <v>-0.4632</v>
      </c>
      <c r="K4" s="6">
        <v>-0.4632</v>
      </c>
      <c r="L4" s="6">
        <v>-0.4632</v>
      </c>
      <c r="M4" s="6">
        <v>-0.4632</v>
      </c>
      <c r="N4" s="6">
        <v>-0.4632</v>
      </c>
      <c r="O4" s="6">
        <v>-0.4632</v>
      </c>
      <c r="P4" s="6">
        <v>-0.4632</v>
      </c>
      <c r="Q4" s="6">
        <v>-0.4632</v>
      </c>
      <c r="R4" s="6">
        <v>-0.4632</v>
      </c>
      <c r="S4" s="6">
        <v>-0.4632</v>
      </c>
      <c r="T4" s="6">
        <v>-0.4632</v>
      </c>
      <c r="U4" s="6">
        <v>-0.4632</v>
      </c>
      <c r="V4" s="6">
        <v>-0.4632</v>
      </c>
      <c r="W4" s="6">
        <v>-0.4632</v>
      </c>
      <c r="X4" s="6">
        <v>-0.4632</v>
      </c>
      <c r="Y4" s="6">
        <v>-0.4632</v>
      </c>
      <c r="Z4" s="6">
        <v>-0.4632</v>
      </c>
      <c r="AA4" s="6">
        <v>-0.4632</v>
      </c>
      <c r="AB4" s="6">
        <v>-0.4632</v>
      </c>
      <c r="AC4" s="6">
        <v>-0.4632</v>
      </c>
      <c r="AD4" s="6">
        <v>-0.4632</v>
      </c>
      <c r="AE4" s="6">
        <v>-0.4632</v>
      </c>
      <c r="AF4" s="6">
        <v>-0.4632</v>
      </c>
      <c r="AG4" s="6">
        <v>-0.4632</v>
      </c>
      <c r="AH4" s="6">
        <v>-0.4632</v>
      </c>
    </row>
    <row r="5" spans="1:34">
      <c r="A5" t="s">
        <v>82</v>
      </c>
      <c r="B5" s="6">
        <v>0</v>
      </c>
      <c r="C5" s="6">
        <v>0</v>
      </c>
      <c r="D5" s="6">
        <v>0</v>
      </c>
      <c r="E5" s="6">
        <v>0</v>
      </c>
      <c r="F5" s="6">
        <v>0</v>
      </c>
      <c r="G5" s="6">
        <v>0</v>
      </c>
      <c r="H5" s="6">
        <v>0</v>
      </c>
      <c r="I5" s="6">
        <v>0</v>
      </c>
      <c r="J5" s="6">
        <v>0</v>
      </c>
      <c r="K5" s="6">
        <v>0</v>
      </c>
      <c r="L5" s="6">
        <v>0</v>
      </c>
      <c r="M5" s="6">
        <v>0</v>
      </c>
      <c r="N5" s="6">
        <v>0</v>
      </c>
      <c r="O5" s="6">
        <v>0</v>
      </c>
      <c r="P5" s="6">
        <v>0</v>
      </c>
      <c r="Q5" s="6">
        <v>0</v>
      </c>
      <c r="R5" s="6">
        <v>0</v>
      </c>
      <c r="S5" s="6">
        <v>0</v>
      </c>
      <c r="T5" s="6">
        <v>0</v>
      </c>
      <c r="U5" s="6">
        <v>0</v>
      </c>
      <c r="V5" s="6">
        <v>0</v>
      </c>
      <c r="W5" s="6">
        <v>0</v>
      </c>
      <c r="X5" s="6">
        <v>0</v>
      </c>
      <c r="Y5" s="6">
        <v>0</v>
      </c>
      <c r="Z5" s="6">
        <v>0</v>
      </c>
      <c r="AA5" s="6">
        <v>0</v>
      </c>
      <c r="AB5" s="6">
        <v>0</v>
      </c>
      <c r="AC5" s="6">
        <v>0</v>
      </c>
      <c r="AD5" s="6">
        <v>0</v>
      </c>
      <c r="AE5" s="6">
        <v>0</v>
      </c>
      <c r="AF5" s="6">
        <v>0</v>
      </c>
      <c r="AG5" s="6">
        <v>0</v>
      </c>
      <c r="AH5" s="6">
        <v>0</v>
      </c>
    </row>
    <row r="6" spans="1:34">
      <c r="A6" t="s">
        <v>83</v>
      </c>
      <c r="B6" s="6">
        <v>0</v>
      </c>
      <c r="C6" s="6">
        <v>0</v>
      </c>
      <c r="D6" s="6">
        <v>0</v>
      </c>
      <c r="E6" s="6">
        <v>0</v>
      </c>
      <c r="F6" s="6">
        <v>0</v>
      </c>
      <c r="G6" s="6">
        <v>0</v>
      </c>
      <c r="H6" s="6">
        <v>0</v>
      </c>
      <c r="I6" s="6">
        <v>0</v>
      </c>
      <c r="J6" s="6">
        <v>0</v>
      </c>
      <c r="K6" s="6">
        <v>0</v>
      </c>
      <c r="L6" s="6">
        <v>0</v>
      </c>
      <c r="M6" s="6">
        <v>0</v>
      </c>
      <c r="N6" s="6">
        <v>0</v>
      </c>
      <c r="O6" s="6">
        <v>0</v>
      </c>
      <c r="P6" s="6">
        <v>0</v>
      </c>
      <c r="Q6" s="6">
        <v>0</v>
      </c>
      <c r="R6" s="6">
        <v>0</v>
      </c>
      <c r="S6" s="6">
        <v>0</v>
      </c>
      <c r="T6" s="6">
        <v>0</v>
      </c>
      <c r="U6" s="6">
        <v>0</v>
      </c>
      <c r="V6" s="6">
        <v>0</v>
      </c>
      <c r="W6" s="6">
        <v>0</v>
      </c>
      <c r="X6" s="6">
        <v>0</v>
      </c>
      <c r="Y6" s="6">
        <v>0</v>
      </c>
      <c r="Z6" s="6">
        <v>0</v>
      </c>
      <c r="AA6" s="6">
        <v>0</v>
      </c>
      <c r="AB6" s="6">
        <v>0</v>
      </c>
      <c r="AC6" s="6">
        <v>0</v>
      </c>
      <c r="AD6" s="6">
        <v>0</v>
      </c>
      <c r="AE6" s="6">
        <v>0</v>
      </c>
      <c r="AF6" s="6">
        <v>0</v>
      </c>
      <c r="AG6" s="6">
        <v>0</v>
      </c>
      <c r="AH6" s="6">
        <v>0</v>
      </c>
    </row>
    <row r="7" spans="1:34">
      <c r="C7" s="5"/>
      <c r="D7" s="5"/>
      <c r="E7" s="5"/>
      <c r="F7" s="5"/>
    </row>
    <row r="9" spans="1:34">
      <c r="A9" t="s">
        <v>3</v>
      </c>
    </row>
    <row r="10" spans="1:34">
      <c r="A10" t="s">
        <v>4</v>
      </c>
    </row>
    <row r="11" spans="1:34">
      <c r="AF11" s="7" t="s">
        <v>24</v>
      </c>
    </row>
    <row r="12" spans="1:34">
      <c r="A12" t="s">
        <v>23</v>
      </c>
      <c r="B12">
        <v>1990</v>
      </c>
      <c r="C12">
        <v>1991</v>
      </c>
      <c r="D12">
        <v>1992</v>
      </c>
      <c r="E12">
        <v>1993</v>
      </c>
      <c r="F12">
        <v>1994</v>
      </c>
      <c r="G12">
        <v>1995</v>
      </c>
      <c r="H12">
        <v>1996</v>
      </c>
      <c r="I12">
        <v>1997</v>
      </c>
      <c r="J12">
        <v>1998</v>
      </c>
      <c r="K12">
        <v>1999</v>
      </c>
      <c r="L12">
        <v>2000</v>
      </c>
      <c r="M12">
        <v>2001</v>
      </c>
      <c r="N12">
        <v>2002</v>
      </c>
      <c r="O12">
        <v>2003</v>
      </c>
      <c r="P12">
        <v>2004</v>
      </c>
      <c r="Q12">
        <v>2005</v>
      </c>
      <c r="R12">
        <v>2006</v>
      </c>
      <c r="S12">
        <v>2007</v>
      </c>
      <c r="T12">
        <v>2008</v>
      </c>
      <c r="U12">
        <v>2009</v>
      </c>
      <c r="V12">
        <v>2010</v>
      </c>
      <c r="W12">
        <v>2011</v>
      </c>
      <c r="X12">
        <v>2012</v>
      </c>
      <c r="Y12">
        <v>2013</v>
      </c>
      <c r="Z12">
        <v>2014</v>
      </c>
      <c r="AA12">
        <v>2015</v>
      </c>
      <c r="AB12">
        <v>2016</v>
      </c>
      <c r="AC12">
        <v>2017</v>
      </c>
      <c r="AD12">
        <v>2018</v>
      </c>
      <c r="AE12">
        <v>2019</v>
      </c>
      <c r="AF12" s="6">
        <v>2020</v>
      </c>
    </row>
    <row r="13" spans="1:34">
      <c r="A13" t="s">
        <v>20</v>
      </c>
      <c r="B13">
        <f>'EPA Table 6-1'!B42</f>
        <v>-892</v>
      </c>
      <c r="C13">
        <f>'EPA Table 6-1'!C42</f>
        <v>-900.6</v>
      </c>
      <c r="D13">
        <f>'EPA Table 6-1'!D42</f>
        <v>-891.2</v>
      </c>
      <c r="E13">
        <f>'EPA Table 6-1'!E42</f>
        <v>-873</v>
      </c>
      <c r="F13">
        <f>'EPA Table 6-1'!F42</f>
        <v>-889.6</v>
      </c>
      <c r="G13">
        <f>'EPA Table 6-1'!G42</f>
        <v>-860.3</v>
      </c>
      <c r="H13">
        <f>'EPA Table 6-1'!H42</f>
        <v>-883.3</v>
      </c>
      <c r="I13">
        <f>'EPA Table 6-1'!I42</f>
        <v>-861.5</v>
      </c>
      <c r="J13">
        <f>'EPA Table 6-1'!J42</f>
        <v>-863.9</v>
      </c>
      <c r="K13">
        <f>'EPA Table 6-1'!K42</f>
        <v>-860.6</v>
      </c>
      <c r="L13">
        <f>'EPA Table 6-1'!L42</f>
        <v>-862.6</v>
      </c>
      <c r="M13">
        <f>'EPA Table 6-1'!M42</f>
        <v>-860.4</v>
      </c>
      <c r="N13">
        <f>'EPA Table 6-1'!N42</f>
        <v>-831.2</v>
      </c>
      <c r="O13">
        <f>'EPA Table 6-1'!O42</f>
        <v>-857.3</v>
      </c>
      <c r="P13">
        <f>'EPA Table 6-1'!P42</f>
        <v>-775.8</v>
      </c>
      <c r="Q13">
        <f>'EPA Table 6-1'!Q42</f>
        <v>-831.1</v>
      </c>
      <c r="R13">
        <f>'EPA Table 6-1'!R42</f>
        <v>-855.1</v>
      </c>
      <c r="S13">
        <f>'EPA Table 6-1'!S42</f>
        <v>-818.7</v>
      </c>
      <c r="T13">
        <f>'EPA Table 6-1'!T42</f>
        <v>-802.5</v>
      </c>
      <c r="U13">
        <f>'EPA Table 6-1'!U42</f>
        <v>-772.5</v>
      </c>
      <c r="V13">
        <f>'EPA Table 6-1'!V42</f>
        <v>-791.4</v>
      </c>
      <c r="W13">
        <f>'EPA Table 6-1'!W42</f>
        <v>-836.3</v>
      </c>
      <c r="X13">
        <f>'EPA Table 6-1'!X42</f>
        <v>-837.7</v>
      </c>
      <c r="Y13">
        <f>'EPA Table 6-1'!Y42</f>
        <v>-804.5</v>
      </c>
      <c r="Z13">
        <f>'EPA Table 6-1'!Z42</f>
        <v>-814.4</v>
      </c>
      <c r="AA13">
        <f>'EPA Table 6-1'!AA42</f>
        <v>-748.9</v>
      </c>
      <c r="AB13">
        <f>'EPA Table 6-1'!AB42</f>
        <v>-862</v>
      </c>
      <c r="AC13">
        <f>'EPA Table 6-1'!AC42</f>
        <v>-826.7</v>
      </c>
      <c r="AD13">
        <f>'EPA Table 6-1'!AD42</f>
        <v>-809</v>
      </c>
      <c r="AE13">
        <f>'EPA Table 6-1'!AE42</f>
        <v>-760.8</v>
      </c>
      <c r="AF13">
        <f>'EPA Table 6-1'!AF42</f>
        <v>-812.2</v>
      </c>
    </row>
    <row r="14" spans="1:34">
      <c r="A14" t="s">
        <v>21</v>
      </c>
      <c r="B14">
        <f>'EPA Table 6-1'!B40</f>
        <v>27.2</v>
      </c>
      <c r="C14">
        <f>'EPA Table 6-1'!C40</f>
        <v>26.5</v>
      </c>
      <c r="D14">
        <f>'EPA Table 6-1'!D40</f>
        <v>25.4</v>
      </c>
      <c r="E14">
        <f>'EPA Table 6-1'!E40</f>
        <v>25.3</v>
      </c>
      <c r="F14">
        <f>'EPA Table 6-1'!F40</f>
        <v>26.8</v>
      </c>
      <c r="G14">
        <f>'EPA Table 6-1'!G40</f>
        <v>25</v>
      </c>
      <c r="H14">
        <f>'EPA Table 6-1'!H40</f>
        <v>26.2</v>
      </c>
      <c r="I14">
        <f>'EPA Table 6-1'!I40</f>
        <v>24.7</v>
      </c>
      <c r="J14">
        <f>'EPA Table 6-1'!J40</f>
        <v>25.1</v>
      </c>
      <c r="K14">
        <f>'EPA Table 6-1'!K40</f>
        <v>27</v>
      </c>
      <c r="L14">
        <f>'EPA Table 6-1'!L40</f>
        <v>29.4</v>
      </c>
      <c r="M14">
        <f>'EPA Table 6-1'!M40</f>
        <v>26.2</v>
      </c>
      <c r="N14">
        <f>'EPA Table 6-1'!N40</f>
        <v>31.2</v>
      </c>
      <c r="O14">
        <f>'EPA Table 6-1'!O40</f>
        <v>28.9</v>
      </c>
      <c r="P14">
        <f>'EPA Table 6-1'!P40</f>
        <v>33.200000000000003</v>
      </c>
      <c r="Q14">
        <f>'EPA Table 6-1'!Q40</f>
        <v>30.9</v>
      </c>
      <c r="R14">
        <f>'EPA Table 6-1'!R40</f>
        <v>29</v>
      </c>
      <c r="S14">
        <f>'EPA Table 6-1'!S40</f>
        <v>31.6</v>
      </c>
      <c r="T14">
        <f>'EPA Table 6-1'!T40</f>
        <v>28</v>
      </c>
      <c r="U14">
        <f>'EPA Table 6-1'!U40</f>
        <v>29.1</v>
      </c>
      <c r="V14">
        <f>'EPA Table 6-1'!V40</f>
        <v>25.4</v>
      </c>
      <c r="W14">
        <f>'EPA Table 6-1'!W40</f>
        <v>27.9</v>
      </c>
      <c r="X14">
        <f>'EPA Table 6-1'!X40</f>
        <v>29.3</v>
      </c>
      <c r="Y14">
        <f>'EPA Table 6-1'!Y40</f>
        <v>29.3</v>
      </c>
      <c r="Z14">
        <f>'EPA Table 6-1'!Z40</f>
        <v>26.9</v>
      </c>
      <c r="AA14">
        <f>'EPA Table 6-1'!AA40</f>
        <v>36</v>
      </c>
      <c r="AB14">
        <f>'EPA Table 6-1'!AB40</f>
        <v>28.3</v>
      </c>
      <c r="AC14">
        <f>'EPA Table 6-1'!AC40</f>
        <v>34</v>
      </c>
      <c r="AD14">
        <f>'EPA Table 6-1'!AD40</f>
        <v>30.7</v>
      </c>
      <c r="AE14">
        <f>'EPA Table 6-1'!AE40</f>
        <v>25.5</v>
      </c>
      <c r="AF14">
        <f>'EPA Table 6-1'!AF40</f>
        <v>38.1</v>
      </c>
    </row>
    <row r="15" spans="1:34">
      <c r="A15" t="s">
        <v>22</v>
      </c>
      <c r="B15">
        <f>'EPA Table 6-1'!B41</f>
        <v>4.2</v>
      </c>
      <c r="C15">
        <f>'EPA Table 6-1'!C41</f>
        <v>4.2</v>
      </c>
      <c r="D15">
        <f>'EPA Table 6-1'!D41</f>
        <v>3.4</v>
      </c>
      <c r="E15">
        <f>'EPA Table 6-1'!E41</f>
        <v>3.5</v>
      </c>
      <c r="F15">
        <f>'EPA Table 6-1'!F41</f>
        <v>5.2</v>
      </c>
      <c r="G15">
        <f>'EPA Table 6-1'!G41</f>
        <v>3.5</v>
      </c>
      <c r="H15">
        <f>'EPA Table 6-1'!H41</f>
        <v>5</v>
      </c>
      <c r="I15">
        <f>'EPA Table 6-1'!I41</f>
        <v>3.4</v>
      </c>
      <c r="J15">
        <f>'EPA Table 6-1'!J41</f>
        <v>3.5</v>
      </c>
      <c r="K15">
        <f>'EPA Table 6-1'!K41</f>
        <v>5.5</v>
      </c>
      <c r="L15">
        <f>'EPA Table 6-1'!L41</f>
        <v>8</v>
      </c>
      <c r="M15">
        <f>'EPA Table 6-1'!M41</f>
        <v>5.3</v>
      </c>
      <c r="N15">
        <f>'EPA Table 6-1'!N41</f>
        <v>9.5</v>
      </c>
      <c r="O15">
        <f>'EPA Table 6-1'!O41</f>
        <v>7.6</v>
      </c>
      <c r="P15">
        <f>'EPA Table 6-1'!P41</f>
        <v>13.2</v>
      </c>
      <c r="Q15">
        <f>'EPA Table 6-1'!Q41</f>
        <v>10.5</v>
      </c>
      <c r="R15">
        <f>'EPA Table 6-1'!R41</f>
        <v>8.8000000000000007</v>
      </c>
      <c r="S15">
        <f>'EPA Table 6-1'!S41</f>
        <v>10.8</v>
      </c>
      <c r="T15">
        <f>'EPA Table 6-1'!T41</f>
        <v>8</v>
      </c>
      <c r="U15">
        <f>'EPA Table 6-1'!U41</f>
        <v>8.9</v>
      </c>
      <c r="V15">
        <f>'EPA Table 6-1'!V41</f>
        <v>5</v>
      </c>
      <c r="W15">
        <f>'EPA Table 6-1'!W41</f>
        <v>7.7</v>
      </c>
      <c r="X15">
        <f>'EPA Table 6-1'!X41</f>
        <v>8.5</v>
      </c>
      <c r="Y15">
        <f>'EPA Table 6-1'!Y41</f>
        <v>7.8</v>
      </c>
      <c r="Z15">
        <f>'EPA Table 6-1'!Z41</f>
        <v>6.1</v>
      </c>
      <c r="AA15">
        <f>'EPA Table 6-1'!AA41</f>
        <v>12.9</v>
      </c>
      <c r="AB15">
        <f>'EPA Table 6-1'!AB41</f>
        <v>7.1</v>
      </c>
      <c r="AC15">
        <f>'EPA Table 6-1'!AC41</f>
        <v>11.5</v>
      </c>
      <c r="AD15">
        <f>'EPA Table 6-1'!AD41</f>
        <v>9.1</v>
      </c>
      <c r="AE15">
        <f>'EPA Table 6-1'!AE41</f>
        <v>4.8</v>
      </c>
      <c r="AF15">
        <f>'EPA Table 6-1'!AF41</f>
        <v>15.2</v>
      </c>
    </row>
  </sheetData>
  <phoneticPr fontId="3"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56"/>
  <sheetViews>
    <sheetView workbookViewId="0">
      <selection activeCell="W3" sqref="W3:AF43"/>
    </sheetView>
  </sheetViews>
  <sheetFormatPr baseColWidth="10" defaultColWidth="8.796875" defaultRowHeight="14"/>
  <cols>
    <col min="1" max="19" width="42.3984375" customWidth="1"/>
    <col min="20" max="23" width="9.59765625" customWidth="1"/>
  </cols>
  <sheetData>
    <row r="1" spans="1:32">
      <c r="A1" t="s">
        <v>29</v>
      </c>
    </row>
    <row r="3" spans="1:32">
      <c r="A3" t="s">
        <v>30</v>
      </c>
      <c r="B3">
        <v>1990</v>
      </c>
      <c r="C3">
        <v>1991</v>
      </c>
      <c r="D3">
        <v>1992</v>
      </c>
      <c r="E3">
        <v>1993</v>
      </c>
      <c r="F3">
        <v>1994</v>
      </c>
      <c r="G3">
        <v>1995</v>
      </c>
      <c r="H3">
        <v>1996</v>
      </c>
      <c r="I3">
        <v>1997</v>
      </c>
      <c r="J3">
        <v>1998</v>
      </c>
      <c r="K3">
        <v>1999</v>
      </c>
      <c r="L3">
        <v>2000</v>
      </c>
      <c r="M3">
        <v>2001</v>
      </c>
      <c r="N3">
        <v>2002</v>
      </c>
      <c r="O3">
        <v>2003</v>
      </c>
      <c r="P3">
        <v>2004</v>
      </c>
      <c r="Q3">
        <v>2005</v>
      </c>
      <c r="R3">
        <v>2006</v>
      </c>
      <c r="S3">
        <v>2007</v>
      </c>
      <c r="T3">
        <v>2008</v>
      </c>
      <c r="U3">
        <v>2009</v>
      </c>
      <c r="V3">
        <v>2010</v>
      </c>
      <c r="W3">
        <v>2011</v>
      </c>
      <c r="X3">
        <v>2012</v>
      </c>
      <c r="Y3">
        <v>2013</v>
      </c>
      <c r="Z3">
        <v>2014</v>
      </c>
      <c r="AA3">
        <v>2015</v>
      </c>
      <c r="AB3">
        <v>2016</v>
      </c>
      <c r="AC3">
        <v>2017</v>
      </c>
      <c r="AD3">
        <v>2018</v>
      </c>
      <c r="AE3">
        <v>2019</v>
      </c>
      <c r="AF3">
        <v>2020</v>
      </c>
    </row>
    <row r="4" spans="1:32">
      <c r="A4" t="s">
        <v>31</v>
      </c>
      <c r="B4">
        <v>-769.7</v>
      </c>
      <c r="C4">
        <v>-774.3</v>
      </c>
      <c r="D4">
        <v>-776.4</v>
      </c>
      <c r="E4">
        <v>-773.5</v>
      </c>
      <c r="F4">
        <v>-763.9</v>
      </c>
      <c r="G4">
        <v>-757.1</v>
      </c>
      <c r="H4">
        <v>-757.8</v>
      </c>
      <c r="I4">
        <v>-753.7</v>
      </c>
      <c r="J4">
        <v>-748.1</v>
      </c>
      <c r="K4">
        <v>-732.9</v>
      </c>
      <c r="L4">
        <v>-706.8</v>
      </c>
      <c r="M4">
        <v>-715</v>
      </c>
      <c r="N4">
        <v>-668.9</v>
      </c>
      <c r="O4">
        <v>-705</v>
      </c>
      <c r="P4">
        <v>-615.79999999999995</v>
      </c>
      <c r="Q4">
        <v>-674</v>
      </c>
      <c r="R4">
        <v>-699.3</v>
      </c>
      <c r="S4">
        <v>-668.3</v>
      </c>
      <c r="T4">
        <v>-658.8</v>
      </c>
      <c r="U4">
        <v>-635.5</v>
      </c>
      <c r="V4">
        <v>-672</v>
      </c>
      <c r="W4">
        <v>-683.1</v>
      </c>
      <c r="X4">
        <v>-674.2</v>
      </c>
      <c r="Y4">
        <v>-666.9</v>
      </c>
      <c r="Z4">
        <v>-692.8</v>
      </c>
      <c r="AA4">
        <v>-606.6</v>
      </c>
      <c r="AB4">
        <v>-717.3</v>
      </c>
      <c r="AC4">
        <v>-670.1</v>
      </c>
      <c r="AD4">
        <v>-664.6</v>
      </c>
      <c r="AE4">
        <v>-631.79999999999995</v>
      </c>
      <c r="AF4">
        <v>-642.20000000000005</v>
      </c>
    </row>
    <row r="5" spans="1:32">
      <c r="A5" t="s">
        <v>32</v>
      </c>
      <c r="B5">
        <v>-774</v>
      </c>
      <c r="C5">
        <v>-778</v>
      </c>
      <c r="D5">
        <v>-777.8</v>
      </c>
      <c r="E5">
        <v>-774.9</v>
      </c>
      <c r="F5">
        <v>-768.3</v>
      </c>
      <c r="G5">
        <v>-758.2</v>
      </c>
      <c r="H5">
        <v>-760.9</v>
      </c>
      <c r="I5">
        <v>-754.6</v>
      </c>
      <c r="J5">
        <v>-749.8</v>
      </c>
      <c r="K5">
        <v>-737.9</v>
      </c>
      <c r="L5">
        <v>-716.2</v>
      </c>
      <c r="M5">
        <v>-719.2</v>
      </c>
      <c r="N5">
        <v>-682.6</v>
      </c>
      <c r="O5">
        <v>-714.4</v>
      </c>
      <c r="P5">
        <v>-634.5</v>
      </c>
      <c r="Q5">
        <v>-687.3</v>
      </c>
      <c r="R5">
        <v>-708.1</v>
      </c>
      <c r="S5">
        <v>-682.2</v>
      </c>
      <c r="T5">
        <v>-667</v>
      </c>
      <c r="U5">
        <v>-645.5</v>
      </c>
      <c r="V5">
        <v>-675.7</v>
      </c>
      <c r="W5">
        <v>-690.5</v>
      </c>
      <c r="X5">
        <v>-684.5</v>
      </c>
      <c r="Y5">
        <v>-677.2</v>
      </c>
      <c r="Z5">
        <v>-698.6</v>
      </c>
      <c r="AA5">
        <v>-628.4</v>
      </c>
      <c r="AB5">
        <v>-725.6</v>
      </c>
      <c r="AC5">
        <v>-688.3</v>
      </c>
      <c r="AD5">
        <v>-677.1</v>
      </c>
      <c r="AE5">
        <v>-634.79999999999995</v>
      </c>
      <c r="AF5">
        <v>-668.1</v>
      </c>
    </row>
    <row r="6" spans="1:32">
      <c r="A6" t="s">
        <v>33</v>
      </c>
      <c r="B6">
        <v>4.0999999999999996</v>
      </c>
      <c r="C6">
        <v>3.5</v>
      </c>
      <c r="D6">
        <v>1.2</v>
      </c>
      <c r="E6">
        <v>1.1000000000000001</v>
      </c>
      <c r="F6">
        <v>4.2</v>
      </c>
      <c r="G6">
        <v>0.8</v>
      </c>
      <c r="H6">
        <v>2.6</v>
      </c>
      <c r="I6">
        <v>0.4</v>
      </c>
      <c r="J6">
        <v>1.2</v>
      </c>
      <c r="K6">
        <v>4.4000000000000004</v>
      </c>
      <c r="L6">
        <v>8.8000000000000007</v>
      </c>
      <c r="M6">
        <v>3.6</v>
      </c>
      <c r="N6">
        <v>13.1</v>
      </c>
      <c r="O6">
        <v>8.8000000000000007</v>
      </c>
      <c r="P6">
        <v>18.2</v>
      </c>
      <c r="Q6">
        <v>12.8</v>
      </c>
      <c r="R6">
        <v>8.3000000000000007</v>
      </c>
      <c r="S6">
        <v>13.3</v>
      </c>
      <c r="T6">
        <v>7.6</v>
      </c>
      <c r="U6">
        <v>9.5</v>
      </c>
      <c r="V6">
        <v>3.2</v>
      </c>
      <c r="W6">
        <v>6.9</v>
      </c>
      <c r="X6">
        <v>9.8000000000000007</v>
      </c>
      <c r="Y6">
        <v>9.8000000000000007</v>
      </c>
      <c r="Z6">
        <v>5.3</v>
      </c>
      <c r="AA6">
        <v>21.3</v>
      </c>
      <c r="AB6">
        <v>7.8</v>
      </c>
      <c r="AC6">
        <v>17.7</v>
      </c>
      <c r="AD6">
        <v>11.9</v>
      </c>
      <c r="AE6">
        <v>2.5</v>
      </c>
      <c r="AF6">
        <v>25.3</v>
      </c>
    </row>
    <row r="7" spans="1:32">
      <c r="A7" t="s">
        <v>34</v>
      </c>
      <c r="B7">
        <v>0.1</v>
      </c>
      <c r="C7">
        <v>0.1</v>
      </c>
      <c r="D7">
        <v>0.1</v>
      </c>
      <c r="E7">
        <v>0.2</v>
      </c>
      <c r="F7">
        <v>0.2</v>
      </c>
      <c r="G7">
        <v>0.3</v>
      </c>
      <c r="H7">
        <v>0.4</v>
      </c>
      <c r="I7">
        <v>0.4</v>
      </c>
      <c r="J7">
        <v>0.4</v>
      </c>
      <c r="K7">
        <v>0.6</v>
      </c>
      <c r="L7">
        <v>0.5</v>
      </c>
      <c r="M7">
        <v>0.5</v>
      </c>
      <c r="N7">
        <v>0.6</v>
      </c>
      <c r="O7">
        <v>0.5</v>
      </c>
      <c r="P7">
        <v>0.5</v>
      </c>
      <c r="Q7">
        <v>0.5</v>
      </c>
      <c r="R7">
        <v>0.5</v>
      </c>
      <c r="S7">
        <v>0.5</v>
      </c>
      <c r="T7">
        <v>0.5</v>
      </c>
      <c r="U7">
        <v>0.5</v>
      </c>
      <c r="V7">
        <v>0.5</v>
      </c>
      <c r="W7">
        <v>0.5</v>
      </c>
      <c r="X7">
        <v>0.5</v>
      </c>
      <c r="Y7">
        <v>0.5</v>
      </c>
      <c r="Z7">
        <v>0.5</v>
      </c>
      <c r="AA7">
        <v>0.5</v>
      </c>
      <c r="AB7">
        <v>0.5</v>
      </c>
      <c r="AC7">
        <v>0.5</v>
      </c>
      <c r="AD7">
        <v>0.5</v>
      </c>
      <c r="AE7">
        <v>0.5</v>
      </c>
      <c r="AF7">
        <v>0.5</v>
      </c>
    </row>
    <row r="8" spans="1:32">
      <c r="A8" t="s">
        <v>35</v>
      </c>
      <c r="B8">
        <v>0.1</v>
      </c>
      <c r="C8">
        <v>0.1</v>
      </c>
      <c r="D8">
        <v>0.1</v>
      </c>
      <c r="E8">
        <v>0.1</v>
      </c>
      <c r="F8">
        <v>0.1</v>
      </c>
      <c r="G8">
        <v>0.1</v>
      </c>
      <c r="H8">
        <v>0.1</v>
      </c>
      <c r="I8">
        <v>0.1</v>
      </c>
      <c r="J8">
        <v>0.1</v>
      </c>
      <c r="K8">
        <v>0.1</v>
      </c>
      <c r="L8">
        <v>0.1</v>
      </c>
      <c r="M8">
        <v>0.1</v>
      </c>
      <c r="N8">
        <v>0.1</v>
      </c>
      <c r="O8">
        <v>0.1</v>
      </c>
      <c r="P8">
        <v>0.1</v>
      </c>
      <c r="Q8">
        <v>0.1</v>
      </c>
      <c r="R8">
        <v>0.1</v>
      </c>
      <c r="S8">
        <v>0.1</v>
      </c>
      <c r="T8">
        <v>0.1</v>
      </c>
      <c r="U8">
        <v>0.1</v>
      </c>
      <c r="V8">
        <v>0.1</v>
      </c>
      <c r="W8">
        <v>0.1</v>
      </c>
      <c r="X8">
        <v>0.1</v>
      </c>
      <c r="Y8">
        <v>0.1</v>
      </c>
      <c r="Z8">
        <v>0.1</v>
      </c>
      <c r="AA8">
        <v>0.1</v>
      </c>
      <c r="AB8">
        <v>0.1</v>
      </c>
      <c r="AC8">
        <v>0.1</v>
      </c>
      <c r="AD8">
        <v>0.1</v>
      </c>
      <c r="AE8">
        <v>0.1</v>
      </c>
      <c r="AF8">
        <v>0.1</v>
      </c>
    </row>
    <row r="9" spans="1:32">
      <c r="A9" t="s">
        <v>36</v>
      </c>
      <c r="B9">
        <v>-98.6</v>
      </c>
      <c r="C9">
        <v>-98.6</v>
      </c>
      <c r="D9">
        <v>-98.6</v>
      </c>
      <c r="E9">
        <v>-98.6</v>
      </c>
      <c r="F9">
        <v>-98.7</v>
      </c>
      <c r="G9">
        <v>-98.7</v>
      </c>
      <c r="H9">
        <v>-98.7</v>
      </c>
      <c r="I9">
        <v>-98.7</v>
      </c>
      <c r="J9">
        <v>-98.8</v>
      </c>
      <c r="K9">
        <v>-98.8</v>
      </c>
      <c r="L9">
        <v>-98.8</v>
      </c>
      <c r="M9">
        <v>-98.9</v>
      </c>
      <c r="N9">
        <v>-98.9</v>
      </c>
      <c r="O9">
        <v>-99</v>
      </c>
      <c r="P9">
        <v>-99</v>
      </c>
      <c r="Q9">
        <v>-99.1</v>
      </c>
      <c r="R9">
        <v>-99.1</v>
      </c>
      <c r="S9">
        <v>-99.1</v>
      </c>
      <c r="T9">
        <v>-99.2</v>
      </c>
      <c r="U9">
        <v>-99.2</v>
      </c>
      <c r="V9">
        <v>-99.2</v>
      </c>
      <c r="W9">
        <v>-99.3</v>
      </c>
      <c r="X9">
        <v>-99.3</v>
      </c>
      <c r="Y9">
        <v>-99.3</v>
      </c>
      <c r="Z9">
        <v>-99.3</v>
      </c>
      <c r="AA9">
        <v>-99.4</v>
      </c>
      <c r="AB9">
        <v>-99.5</v>
      </c>
      <c r="AC9">
        <v>-99.5</v>
      </c>
      <c r="AD9">
        <v>-99.5</v>
      </c>
      <c r="AE9">
        <v>-99.5</v>
      </c>
      <c r="AF9">
        <v>-99.5</v>
      </c>
    </row>
    <row r="10" spans="1:32">
      <c r="A10" t="s">
        <v>37</v>
      </c>
      <c r="B10">
        <v>-98.6</v>
      </c>
      <c r="C10">
        <v>-98.6</v>
      </c>
      <c r="D10">
        <v>-98.6</v>
      </c>
      <c r="E10">
        <v>-98.6</v>
      </c>
      <c r="F10">
        <v>-98.7</v>
      </c>
      <c r="G10">
        <v>-98.7</v>
      </c>
      <c r="H10">
        <v>-98.7</v>
      </c>
      <c r="I10">
        <v>-98.7</v>
      </c>
      <c r="J10">
        <v>-98.8</v>
      </c>
      <c r="K10">
        <v>-98.8</v>
      </c>
      <c r="L10">
        <v>-98.8</v>
      </c>
      <c r="M10">
        <v>-98.9</v>
      </c>
      <c r="N10">
        <v>-98.9</v>
      </c>
      <c r="O10">
        <v>-99</v>
      </c>
      <c r="P10">
        <v>-99</v>
      </c>
      <c r="Q10">
        <v>-99.1</v>
      </c>
      <c r="R10">
        <v>-99.1</v>
      </c>
      <c r="S10">
        <v>-99.1</v>
      </c>
      <c r="T10">
        <v>-99.2</v>
      </c>
      <c r="U10">
        <v>-99.2</v>
      </c>
      <c r="V10">
        <v>-99.2</v>
      </c>
      <c r="W10">
        <v>-99.3</v>
      </c>
      <c r="X10">
        <v>-99.3</v>
      </c>
      <c r="Y10">
        <v>-99.3</v>
      </c>
      <c r="Z10">
        <v>-99.3</v>
      </c>
      <c r="AA10">
        <v>-99.4</v>
      </c>
      <c r="AB10">
        <v>-99.5</v>
      </c>
      <c r="AC10">
        <v>-99.5</v>
      </c>
      <c r="AD10">
        <v>-99.5</v>
      </c>
      <c r="AE10">
        <v>-99.5</v>
      </c>
      <c r="AF10">
        <v>-99.5</v>
      </c>
    </row>
    <row r="11" spans="1:32">
      <c r="A11" t="s">
        <v>38</v>
      </c>
      <c r="B11">
        <v>-23.2</v>
      </c>
      <c r="C11">
        <v>-29</v>
      </c>
      <c r="D11">
        <v>-25.5</v>
      </c>
      <c r="E11">
        <v>-11.6</v>
      </c>
      <c r="F11">
        <v>-19.3</v>
      </c>
      <c r="G11">
        <v>-12.1</v>
      </c>
      <c r="H11">
        <v>-27.5</v>
      </c>
      <c r="I11">
        <v>-19.100000000000001</v>
      </c>
      <c r="J11">
        <v>-9.9</v>
      </c>
      <c r="K11">
        <v>-18</v>
      </c>
      <c r="L11">
        <v>-23.7</v>
      </c>
      <c r="M11">
        <v>-27.2</v>
      </c>
      <c r="N11">
        <v>-32</v>
      </c>
      <c r="O11">
        <v>-24.1</v>
      </c>
      <c r="P11">
        <v>-26.2</v>
      </c>
      <c r="Q11">
        <v>-29</v>
      </c>
      <c r="R11">
        <v>-25.2</v>
      </c>
      <c r="S11">
        <v>-29.2</v>
      </c>
      <c r="T11">
        <v>-23</v>
      </c>
      <c r="U11">
        <v>-14</v>
      </c>
      <c r="V11">
        <v>-18.600000000000001</v>
      </c>
      <c r="W11">
        <v>-31.8</v>
      </c>
      <c r="X11">
        <v>-26.4</v>
      </c>
      <c r="Y11">
        <v>-15.3</v>
      </c>
      <c r="Z11">
        <v>-12.2</v>
      </c>
      <c r="AA11">
        <v>-12.8</v>
      </c>
      <c r="AB11">
        <v>-22.7</v>
      </c>
      <c r="AC11">
        <v>-22.3</v>
      </c>
      <c r="AD11">
        <v>-16.600000000000001</v>
      </c>
      <c r="AE11">
        <v>-14.5</v>
      </c>
      <c r="AF11">
        <v>-23.3</v>
      </c>
    </row>
    <row r="12" spans="1:32">
      <c r="A12" t="s">
        <v>39</v>
      </c>
      <c r="B12">
        <v>-23.2</v>
      </c>
      <c r="C12">
        <v>-29</v>
      </c>
      <c r="D12">
        <v>-25.5</v>
      </c>
      <c r="E12">
        <v>-11.6</v>
      </c>
      <c r="F12">
        <v>-19.3</v>
      </c>
      <c r="G12">
        <v>-12.1</v>
      </c>
      <c r="H12">
        <v>-27.5</v>
      </c>
      <c r="I12">
        <v>-19.100000000000001</v>
      </c>
      <c r="J12">
        <v>-9.9</v>
      </c>
      <c r="K12">
        <v>-18</v>
      </c>
      <c r="L12">
        <v>-23.7</v>
      </c>
      <c r="M12">
        <v>-27.2</v>
      </c>
      <c r="N12">
        <v>-32</v>
      </c>
      <c r="O12">
        <v>-24.1</v>
      </c>
      <c r="P12">
        <v>-26.2</v>
      </c>
      <c r="Q12">
        <v>-29</v>
      </c>
      <c r="R12">
        <v>-25.2</v>
      </c>
      <c r="S12">
        <v>-29.2</v>
      </c>
      <c r="T12">
        <v>-23</v>
      </c>
      <c r="U12">
        <v>-14</v>
      </c>
      <c r="V12">
        <v>-18.600000000000001</v>
      </c>
      <c r="W12">
        <v>-31.8</v>
      </c>
      <c r="X12">
        <v>-26.4</v>
      </c>
      <c r="Y12">
        <v>-15.3</v>
      </c>
      <c r="Z12">
        <v>-12.2</v>
      </c>
      <c r="AA12">
        <v>-12.8</v>
      </c>
      <c r="AB12">
        <v>-22.7</v>
      </c>
      <c r="AC12">
        <v>-22.3</v>
      </c>
      <c r="AD12">
        <v>-16.600000000000001</v>
      </c>
      <c r="AE12">
        <v>-14.5</v>
      </c>
      <c r="AF12">
        <v>-23.3</v>
      </c>
    </row>
    <row r="13" spans="1:32">
      <c r="A13" t="s">
        <v>40</v>
      </c>
      <c r="B13">
        <v>51.8</v>
      </c>
      <c r="C13">
        <v>52.6</v>
      </c>
      <c r="D13">
        <v>53.2</v>
      </c>
      <c r="E13">
        <v>52.5</v>
      </c>
      <c r="F13">
        <v>52.8</v>
      </c>
      <c r="G13">
        <v>57.1</v>
      </c>
      <c r="H13">
        <v>56.1</v>
      </c>
      <c r="I13">
        <v>59.2</v>
      </c>
      <c r="J13">
        <v>55.9</v>
      </c>
      <c r="K13">
        <v>56.1</v>
      </c>
      <c r="L13">
        <v>55.3</v>
      </c>
      <c r="M13">
        <v>55.8</v>
      </c>
      <c r="N13">
        <v>53.4</v>
      </c>
      <c r="O13">
        <v>53.2</v>
      </c>
      <c r="P13">
        <v>52</v>
      </c>
      <c r="Q13">
        <v>52</v>
      </c>
      <c r="R13">
        <v>50.9</v>
      </c>
      <c r="S13">
        <v>51.1</v>
      </c>
      <c r="T13">
        <v>53.3</v>
      </c>
      <c r="U13">
        <v>53.5</v>
      </c>
      <c r="V13">
        <v>54.9</v>
      </c>
      <c r="W13">
        <v>52</v>
      </c>
      <c r="X13">
        <v>53.2</v>
      </c>
      <c r="Y13">
        <v>54.1</v>
      </c>
      <c r="Z13">
        <v>55.2</v>
      </c>
      <c r="AA13">
        <v>55.8</v>
      </c>
      <c r="AB13">
        <v>54.1</v>
      </c>
      <c r="AC13">
        <v>54.3</v>
      </c>
      <c r="AD13">
        <v>54</v>
      </c>
      <c r="AE13">
        <v>53.9</v>
      </c>
      <c r="AF13">
        <v>54.4</v>
      </c>
    </row>
    <row r="14" spans="1:32">
      <c r="A14" t="s">
        <v>41</v>
      </c>
      <c r="B14">
        <v>51.8</v>
      </c>
      <c r="C14">
        <v>52.6</v>
      </c>
      <c r="D14">
        <v>53.2</v>
      </c>
      <c r="E14">
        <v>52.5</v>
      </c>
      <c r="F14">
        <v>52.8</v>
      </c>
      <c r="G14">
        <v>57.1</v>
      </c>
      <c r="H14">
        <v>56.1</v>
      </c>
      <c r="I14">
        <v>59.2</v>
      </c>
      <c r="J14">
        <v>55.9</v>
      </c>
      <c r="K14">
        <v>56.1</v>
      </c>
      <c r="L14">
        <v>55.3</v>
      </c>
      <c r="M14">
        <v>55.8</v>
      </c>
      <c r="N14">
        <v>53.4</v>
      </c>
      <c r="O14">
        <v>53.2</v>
      </c>
      <c r="P14">
        <v>52</v>
      </c>
      <c r="Q14">
        <v>52</v>
      </c>
      <c r="R14">
        <v>50.9</v>
      </c>
      <c r="S14">
        <v>51.1</v>
      </c>
      <c r="T14">
        <v>53.3</v>
      </c>
      <c r="U14">
        <v>53.5</v>
      </c>
      <c r="V14">
        <v>54.9</v>
      </c>
      <c r="W14">
        <v>52</v>
      </c>
      <c r="X14">
        <v>53.2</v>
      </c>
      <c r="Y14">
        <v>54.1</v>
      </c>
      <c r="Z14">
        <v>55.2</v>
      </c>
      <c r="AA14">
        <v>55.8</v>
      </c>
      <c r="AB14">
        <v>54.1</v>
      </c>
      <c r="AC14">
        <v>54.3</v>
      </c>
      <c r="AD14">
        <v>54</v>
      </c>
      <c r="AE14">
        <v>53.9</v>
      </c>
      <c r="AF14">
        <v>54.4</v>
      </c>
    </row>
    <row r="15" spans="1:32">
      <c r="A15" t="s">
        <v>42</v>
      </c>
      <c r="B15">
        <v>7.1</v>
      </c>
      <c r="C15">
        <v>7.1</v>
      </c>
      <c r="D15">
        <v>8.8000000000000007</v>
      </c>
      <c r="E15">
        <v>11.4</v>
      </c>
      <c r="F15">
        <v>-1.3</v>
      </c>
      <c r="G15">
        <v>6.6</v>
      </c>
      <c r="H15">
        <v>6.2</v>
      </c>
      <c r="I15">
        <v>9.3000000000000007</v>
      </c>
      <c r="J15">
        <v>3.3</v>
      </c>
      <c r="K15">
        <v>8.1</v>
      </c>
      <c r="L15">
        <v>-4.5999999999999996</v>
      </c>
      <c r="M15">
        <v>6</v>
      </c>
      <c r="N15">
        <v>4.5</v>
      </c>
      <c r="O15">
        <v>2.6</v>
      </c>
      <c r="P15">
        <v>8</v>
      </c>
      <c r="Q15">
        <v>9.4</v>
      </c>
      <c r="R15">
        <v>-2.4</v>
      </c>
      <c r="S15">
        <v>11.2</v>
      </c>
      <c r="T15">
        <v>3.5</v>
      </c>
      <c r="U15">
        <v>4.9000000000000004</v>
      </c>
      <c r="V15">
        <v>18.899999999999999</v>
      </c>
      <c r="W15">
        <v>17.399999999999999</v>
      </c>
      <c r="X15">
        <v>2.8</v>
      </c>
      <c r="Y15">
        <v>14.7</v>
      </c>
      <c r="Z15">
        <v>18.899999999999999</v>
      </c>
      <c r="AA15">
        <v>12.6</v>
      </c>
      <c r="AB15">
        <v>8.6</v>
      </c>
      <c r="AC15">
        <v>9.9</v>
      </c>
      <c r="AD15">
        <v>10.3</v>
      </c>
      <c r="AE15">
        <v>13.1</v>
      </c>
      <c r="AF15">
        <v>5.0999999999999996</v>
      </c>
    </row>
    <row r="16" spans="1:32">
      <c r="A16" t="s">
        <v>39</v>
      </c>
      <c r="B16">
        <v>6.9</v>
      </c>
      <c r="C16">
        <v>6.9</v>
      </c>
      <c r="D16">
        <v>8.5</v>
      </c>
      <c r="E16">
        <v>11.2</v>
      </c>
      <c r="F16">
        <v>-1.9</v>
      </c>
      <c r="G16">
        <v>6.2</v>
      </c>
      <c r="H16">
        <v>5.2</v>
      </c>
      <c r="I16">
        <v>9.1999999999999993</v>
      </c>
      <c r="J16">
        <v>3</v>
      </c>
      <c r="K16">
        <v>7.2</v>
      </c>
      <c r="L16">
        <v>-5.5</v>
      </c>
      <c r="M16">
        <v>5.6</v>
      </c>
      <c r="N16">
        <v>4.0999999999999996</v>
      </c>
      <c r="O16">
        <v>2.2000000000000002</v>
      </c>
      <c r="P16">
        <v>7.9</v>
      </c>
      <c r="Q16">
        <v>8.6999999999999993</v>
      </c>
      <c r="R16">
        <v>-4.0999999999999996</v>
      </c>
      <c r="S16">
        <v>10.1</v>
      </c>
      <c r="T16">
        <v>3</v>
      </c>
      <c r="U16">
        <v>4.0999999999999996</v>
      </c>
      <c r="V16">
        <v>18.5</v>
      </c>
      <c r="W16">
        <v>15.8</v>
      </c>
      <c r="X16">
        <v>1.6</v>
      </c>
      <c r="Y16">
        <v>14.3</v>
      </c>
      <c r="Z16">
        <v>18.100000000000001</v>
      </c>
      <c r="AA16">
        <v>12</v>
      </c>
      <c r="AB16">
        <v>8</v>
      </c>
      <c r="AC16">
        <v>9.3000000000000007</v>
      </c>
      <c r="AD16">
        <v>9.6999999999999993</v>
      </c>
      <c r="AE16">
        <v>12.4</v>
      </c>
      <c r="AF16">
        <v>4.5</v>
      </c>
    </row>
    <row r="17" spans="1:32">
      <c r="A17" t="s">
        <v>43</v>
      </c>
      <c r="B17">
        <v>0.2</v>
      </c>
      <c r="C17">
        <v>0.2</v>
      </c>
      <c r="D17">
        <v>0.3</v>
      </c>
      <c r="E17">
        <v>0.2</v>
      </c>
      <c r="F17">
        <v>0.6</v>
      </c>
      <c r="G17">
        <v>0.3</v>
      </c>
      <c r="H17">
        <v>1</v>
      </c>
      <c r="I17">
        <v>0.2</v>
      </c>
      <c r="J17">
        <v>0.3</v>
      </c>
      <c r="K17">
        <v>0.9</v>
      </c>
      <c r="L17">
        <v>0.9</v>
      </c>
      <c r="M17">
        <v>0.5</v>
      </c>
      <c r="N17">
        <v>0.4</v>
      </c>
      <c r="O17">
        <v>0.4</v>
      </c>
      <c r="P17">
        <v>0.2</v>
      </c>
      <c r="Q17">
        <v>0.7</v>
      </c>
      <c r="R17">
        <v>1.7</v>
      </c>
      <c r="S17">
        <v>1.1000000000000001</v>
      </c>
      <c r="T17">
        <v>0.5</v>
      </c>
      <c r="U17">
        <v>0.8</v>
      </c>
      <c r="V17">
        <v>0.4</v>
      </c>
      <c r="W17">
        <v>1.7</v>
      </c>
      <c r="X17">
        <v>1.2</v>
      </c>
      <c r="Y17">
        <v>0.4</v>
      </c>
      <c r="Z17">
        <v>0.8</v>
      </c>
      <c r="AA17">
        <v>0.7</v>
      </c>
      <c r="AB17">
        <v>0.6</v>
      </c>
      <c r="AC17">
        <v>0.6</v>
      </c>
      <c r="AD17">
        <v>0.6</v>
      </c>
      <c r="AE17">
        <v>0.6</v>
      </c>
      <c r="AF17">
        <v>0.6</v>
      </c>
    </row>
    <row r="18" spans="1:32">
      <c r="A18" t="s">
        <v>44</v>
      </c>
      <c r="B18">
        <v>-3.1</v>
      </c>
      <c r="C18">
        <v>-3</v>
      </c>
      <c r="D18">
        <v>-2.6</v>
      </c>
      <c r="E18">
        <v>-5.7</v>
      </c>
      <c r="F18">
        <v>-11.3</v>
      </c>
      <c r="G18">
        <v>-13.9</v>
      </c>
      <c r="H18">
        <v>-17.600000000000001</v>
      </c>
      <c r="I18">
        <v>-19.3</v>
      </c>
      <c r="J18">
        <v>-25.7</v>
      </c>
      <c r="K18">
        <v>-29.9</v>
      </c>
      <c r="L18">
        <v>-35.200000000000003</v>
      </c>
      <c r="M18">
        <v>-38.299999999999997</v>
      </c>
      <c r="N18">
        <v>-38.6</v>
      </c>
      <c r="O18">
        <v>-38</v>
      </c>
      <c r="P18">
        <v>-37.5</v>
      </c>
      <c r="Q18">
        <v>-37</v>
      </c>
      <c r="R18">
        <v>-38</v>
      </c>
      <c r="S18">
        <v>-37.1</v>
      </c>
      <c r="T18">
        <v>-34</v>
      </c>
      <c r="U18">
        <v>-33.799999999999997</v>
      </c>
      <c r="V18">
        <v>-32.6</v>
      </c>
      <c r="W18">
        <v>-32.1</v>
      </c>
      <c r="X18">
        <v>-31.2</v>
      </c>
      <c r="Y18">
        <v>-27.8</v>
      </c>
      <c r="Z18">
        <v>-22.4</v>
      </c>
      <c r="AA18">
        <v>-20.8</v>
      </c>
      <c r="AB18">
        <v>-22.6</v>
      </c>
      <c r="AC18">
        <v>-22.7</v>
      </c>
      <c r="AD18">
        <v>-22.4</v>
      </c>
      <c r="AE18">
        <v>-21.5</v>
      </c>
      <c r="AF18">
        <v>-24.1</v>
      </c>
    </row>
    <row r="19" spans="1:32">
      <c r="A19" t="s">
        <v>41</v>
      </c>
      <c r="B19">
        <v>-3.1</v>
      </c>
      <c r="C19">
        <v>-3</v>
      </c>
      <c r="D19">
        <v>-2.6</v>
      </c>
      <c r="E19">
        <v>-5.7</v>
      </c>
      <c r="F19">
        <v>-11.3</v>
      </c>
      <c r="G19">
        <v>-13.9</v>
      </c>
      <c r="H19">
        <v>-17.600000000000001</v>
      </c>
      <c r="I19">
        <v>-19.3</v>
      </c>
      <c r="J19">
        <v>-25.7</v>
      </c>
      <c r="K19">
        <v>-29.9</v>
      </c>
      <c r="L19">
        <v>-35.200000000000003</v>
      </c>
      <c r="M19">
        <v>-38.299999999999997</v>
      </c>
      <c r="N19">
        <v>-38.6</v>
      </c>
      <c r="O19">
        <v>-38</v>
      </c>
      <c r="P19">
        <v>-37.5</v>
      </c>
      <c r="Q19">
        <v>-37</v>
      </c>
      <c r="R19">
        <v>-38</v>
      </c>
      <c r="S19">
        <v>-37.1</v>
      </c>
      <c r="T19">
        <v>-34</v>
      </c>
      <c r="U19">
        <v>-33.799999999999997</v>
      </c>
      <c r="V19">
        <v>-32.6</v>
      </c>
      <c r="W19">
        <v>-32.1</v>
      </c>
      <c r="X19">
        <v>-31.2</v>
      </c>
      <c r="Y19">
        <v>-27.8</v>
      </c>
      <c r="Z19">
        <v>-22.4</v>
      </c>
      <c r="AA19">
        <v>-20.8</v>
      </c>
      <c r="AB19">
        <v>-22.6</v>
      </c>
      <c r="AC19">
        <v>-22.7</v>
      </c>
      <c r="AD19">
        <v>-22.4</v>
      </c>
      <c r="AE19">
        <v>-21.5</v>
      </c>
      <c r="AF19">
        <v>-24.1</v>
      </c>
    </row>
    <row r="20" spans="1:32">
      <c r="A20" t="s">
        <v>45</v>
      </c>
      <c r="B20">
        <v>14.7</v>
      </c>
      <c r="C20">
        <v>14.8</v>
      </c>
      <c r="D20">
        <v>14.9</v>
      </c>
      <c r="E20">
        <v>15.1</v>
      </c>
      <c r="F20">
        <v>15.2</v>
      </c>
      <c r="G20">
        <v>15.4</v>
      </c>
      <c r="H20">
        <v>15.3</v>
      </c>
      <c r="I20">
        <v>15.5</v>
      </c>
      <c r="J20">
        <v>15.8</v>
      </c>
      <c r="K20">
        <v>16</v>
      </c>
      <c r="L20">
        <v>16.100000000000001</v>
      </c>
      <c r="M20">
        <v>17</v>
      </c>
      <c r="N20">
        <v>17.100000000000001</v>
      </c>
      <c r="O20">
        <v>17.100000000000001</v>
      </c>
      <c r="P20">
        <v>17.3</v>
      </c>
      <c r="Q20">
        <v>17.2</v>
      </c>
      <c r="R20">
        <v>25.9</v>
      </c>
      <c r="S20">
        <v>26.3</v>
      </c>
      <c r="T20">
        <v>26.3</v>
      </c>
      <c r="U20">
        <v>26.3</v>
      </c>
      <c r="V20">
        <v>26.4</v>
      </c>
      <c r="W20">
        <v>16.2</v>
      </c>
      <c r="X20">
        <v>15.9</v>
      </c>
      <c r="Y20">
        <v>15.9</v>
      </c>
      <c r="Z20">
        <v>15.9</v>
      </c>
      <c r="AA20">
        <v>15.9</v>
      </c>
      <c r="AB20">
        <v>15.8</v>
      </c>
      <c r="AC20">
        <v>15.9</v>
      </c>
      <c r="AD20">
        <v>15.9</v>
      </c>
      <c r="AE20">
        <v>15.9</v>
      </c>
      <c r="AF20">
        <v>15.8</v>
      </c>
    </row>
    <row r="21" spans="1:32">
      <c r="A21" t="s">
        <v>46</v>
      </c>
      <c r="B21">
        <v>1.1000000000000001</v>
      </c>
      <c r="C21">
        <v>1</v>
      </c>
      <c r="D21">
        <v>0.9</v>
      </c>
      <c r="E21">
        <v>1</v>
      </c>
      <c r="F21">
        <v>0.9</v>
      </c>
      <c r="G21">
        <v>1.1000000000000001</v>
      </c>
      <c r="H21">
        <v>0.9</v>
      </c>
      <c r="I21">
        <v>1.1000000000000001</v>
      </c>
      <c r="J21">
        <v>1.1000000000000001</v>
      </c>
      <c r="K21">
        <v>1.2</v>
      </c>
      <c r="L21">
        <v>1.3</v>
      </c>
      <c r="M21">
        <v>1.2</v>
      </c>
      <c r="N21">
        <v>1</v>
      </c>
      <c r="O21">
        <v>1</v>
      </c>
      <c r="P21">
        <v>1.2</v>
      </c>
      <c r="Q21">
        <v>1.1000000000000001</v>
      </c>
      <c r="R21">
        <v>0.9</v>
      </c>
      <c r="S21">
        <v>1</v>
      </c>
      <c r="T21">
        <v>1</v>
      </c>
      <c r="U21">
        <v>1</v>
      </c>
      <c r="V21">
        <v>1</v>
      </c>
      <c r="W21">
        <v>0.9</v>
      </c>
      <c r="X21">
        <v>0.8</v>
      </c>
      <c r="Y21">
        <v>0.8</v>
      </c>
      <c r="Z21">
        <v>0.8</v>
      </c>
      <c r="AA21">
        <v>0.8</v>
      </c>
      <c r="AB21">
        <v>0.7</v>
      </c>
      <c r="AC21">
        <v>0.8</v>
      </c>
      <c r="AD21">
        <v>0.8</v>
      </c>
      <c r="AE21">
        <v>0.8</v>
      </c>
      <c r="AF21">
        <v>0.7</v>
      </c>
    </row>
    <row r="22" spans="1:32">
      <c r="A22" t="s">
        <v>47</v>
      </c>
      <c r="B22" t="s">
        <v>48</v>
      </c>
      <c r="C22" t="s">
        <v>48</v>
      </c>
      <c r="D22" t="s">
        <v>48</v>
      </c>
      <c r="E22" t="s">
        <v>48</v>
      </c>
      <c r="F22" t="s">
        <v>48</v>
      </c>
      <c r="G22" t="s">
        <v>48</v>
      </c>
      <c r="H22" t="s">
        <v>48</v>
      </c>
      <c r="I22" t="s">
        <v>48</v>
      </c>
      <c r="J22" t="s">
        <v>48</v>
      </c>
      <c r="K22" t="s">
        <v>48</v>
      </c>
      <c r="L22" t="s">
        <v>48</v>
      </c>
      <c r="M22" t="s">
        <v>48</v>
      </c>
      <c r="N22" t="s">
        <v>48</v>
      </c>
      <c r="O22" t="s">
        <v>48</v>
      </c>
      <c r="P22" t="s">
        <v>48</v>
      </c>
      <c r="Q22" t="s">
        <v>48</v>
      </c>
      <c r="R22" t="s">
        <v>48</v>
      </c>
      <c r="S22" t="s">
        <v>48</v>
      </c>
      <c r="T22" t="s">
        <v>48</v>
      </c>
      <c r="U22" t="s">
        <v>48</v>
      </c>
      <c r="V22" t="s">
        <v>48</v>
      </c>
      <c r="W22" t="s">
        <v>48</v>
      </c>
      <c r="X22" t="s">
        <v>48</v>
      </c>
      <c r="Y22" t="s">
        <v>48</v>
      </c>
      <c r="Z22" t="s">
        <v>48</v>
      </c>
      <c r="AA22" t="s">
        <v>48</v>
      </c>
      <c r="AB22" t="s">
        <v>48</v>
      </c>
      <c r="AC22" t="s">
        <v>48</v>
      </c>
      <c r="AD22" t="s">
        <v>48</v>
      </c>
      <c r="AE22" t="s">
        <v>48</v>
      </c>
      <c r="AF22" t="s">
        <v>48</v>
      </c>
    </row>
    <row r="23" spans="1:32">
      <c r="A23" t="s">
        <v>49</v>
      </c>
      <c r="B23">
        <v>-8.5</v>
      </c>
      <c r="C23">
        <v>-8.5</v>
      </c>
      <c r="D23">
        <v>-8.5</v>
      </c>
      <c r="E23">
        <v>-8.5</v>
      </c>
      <c r="F23">
        <v>-8.5</v>
      </c>
      <c r="G23">
        <v>-8.5</v>
      </c>
      <c r="H23">
        <v>-8.5</v>
      </c>
      <c r="I23">
        <v>-8.5</v>
      </c>
      <c r="J23">
        <v>-8.5</v>
      </c>
      <c r="K23">
        <v>-8.5</v>
      </c>
      <c r="L23">
        <v>-8.5</v>
      </c>
      <c r="M23">
        <v>-7.7</v>
      </c>
      <c r="N23">
        <v>-7.7</v>
      </c>
      <c r="O23">
        <v>-7.7</v>
      </c>
      <c r="P23">
        <v>-7.7</v>
      </c>
      <c r="Q23">
        <v>-7.6</v>
      </c>
      <c r="R23">
        <v>1.3</v>
      </c>
      <c r="S23">
        <v>1.5</v>
      </c>
      <c r="T23">
        <v>1.5</v>
      </c>
      <c r="U23">
        <v>1.5</v>
      </c>
      <c r="V23">
        <v>1.5</v>
      </c>
      <c r="W23">
        <v>-8.5</v>
      </c>
      <c r="X23">
        <v>-8.8000000000000007</v>
      </c>
      <c r="Y23">
        <v>-8.8000000000000007</v>
      </c>
      <c r="Z23">
        <v>-8.8000000000000007</v>
      </c>
      <c r="AA23">
        <v>-8.8000000000000007</v>
      </c>
      <c r="AB23">
        <v>-8.8000000000000007</v>
      </c>
      <c r="AC23">
        <v>-8.8000000000000007</v>
      </c>
      <c r="AD23">
        <v>-8.8000000000000007</v>
      </c>
      <c r="AE23">
        <v>-8.8000000000000007</v>
      </c>
      <c r="AF23">
        <v>-8.8000000000000007</v>
      </c>
    </row>
    <row r="24" spans="1:32">
      <c r="A24" t="s">
        <v>50</v>
      </c>
      <c r="B24">
        <v>3.7</v>
      </c>
      <c r="C24">
        <v>3.7</v>
      </c>
      <c r="D24">
        <v>3.7</v>
      </c>
      <c r="E24">
        <v>3.8</v>
      </c>
      <c r="F24">
        <v>3.8</v>
      </c>
      <c r="G24">
        <v>3.8</v>
      </c>
      <c r="H24">
        <v>3.8</v>
      </c>
      <c r="I24">
        <v>3.8</v>
      </c>
      <c r="J24">
        <v>3.8</v>
      </c>
      <c r="K24">
        <v>3.8</v>
      </c>
      <c r="L24">
        <v>3.8</v>
      </c>
      <c r="M24">
        <v>3.8</v>
      </c>
      <c r="N24">
        <v>3.8</v>
      </c>
      <c r="O24">
        <v>3.8</v>
      </c>
      <c r="P24">
        <v>3.8</v>
      </c>
      <c r="Q24">
        <v>3.8</v>
      </c>
      <c r="R24">
        <v>3.8</v>
      </c>
      <c r="S24">
        <v>3.8</v>
      </c>
      <c r="T24">
        <v>3.8</v>
      </c>
      <c r="U24">
        <v>3.8</v>
      </c>
      <c r="V24">
        <v>3.8</v>
      </c>
      <c r="W24">
        <v>3.8</v>
      </c>
      <c r="X24">
        <v>3.8</v>
      </c>
      <c r="Y24">
        <v>3.8</v>
      </c>
      <c r="Z24">
        <v>3.8</v>
      </c>
      <c r="AA24">
        <v>3.8</v>
      </c>
      <c r="AB24">
        <v>3.8</v>
      </c>
      <c r="AC24">
        <v>3.8</v>
      </c>
      <c r="AD24">
        <v>3.8</v>
      </c>
      <c r="AE24">
        <v>3.8</v>
      </c>
      <c r="AF24">
        <v>3.8</v>
      </c>
    </row>
    <row r="25" spans="1:32">
      <c r="A25" t="s">
        <v>51</v>
      </c>
      <c r="B25">
        <v>0.1</v>
      </c>
      <c r="C25">
        <v>0.1</v>
      </c>
      <c r="D25">
        <v>0.2</v>
      </c>
      <c r="E25">
        <v>0.1</v>
      </c>
      <c r="F25">
        <v>0.1</v>
      </c>
      <c r="G25">
        <v>0.2</v>
      </c>
      <c r="H25">
        <v>0.2</v>
      </c>
      <c r="I25">
        <v>0.2</v>
      </c>
      <c r="J25">
        <v>0.2</v>
      </c>
      <c r="K25">
        <v>0.2</v>
      </c>
      <c r="L25">
        <v>0.2</v>
      </c>
      <c r="M25">
        <v>0.2</v>
      </c>
      <c r="N25">
        <v>0.2</v>
      </c>
      <c r="O25">
        <v>0.2</v>
      </c>
      <c r="P25">
        <v>0.2</v>
      </c>
      <c r="Q25">
        <v>0.2</v>
      </c>
      <c r="R25">
        <v>0.2</v>
      </c>
      <c r="S25">
        <v>0.2</v>
      </c>
      <c r="T25">
        <v>0.2</v>
      </c>
      <c r="U25">
        <v>0.2</v>
      </c>
      <c r="V25">
        <v>0.2</v>
      </c>
      <c r="W25">
        <v>0.1</v>
      </c>
      <c r="X25">
        <v>0.1</v>
      </c>
      <c r="Y25">
        <v>0.1</v>
      </c>
      <c r="Z25">
        <v>0.1</v>
      </c>
      <c r="AA25">
        <v>0.1</v>
      </c>
      <c r="AB25">
        <v>0.1</v>
      </c>
      <c r="AC25">
        <v>0.1</v>
      </c>
      <c r="AD25">
        <v>0.2</v>
      </c>
      <c r="AE25">
        <v>0.2</v>
      </c>
      <c r="AF25">
        <v>0.2</v>
      </c>
    </row>
    <row r="26" spans="1:32">
      <c r="A26" t="s">
        <v>52</v>
      </c>
      <c r="B26">
        <v>18.2</v>
      </c>
      <c r="C26">
        <v>18.399999999999999</v>
      </c>
      <c r="D26">
        <v>18.5</v>
      </c>
      <c r="E26">
        <v>18.600000000000001</v>
      </c>
      <c r="F26">
        <v>18.8</v>
      </c>
      <c r="G26">
        <v>18.899999999999999</v>
      </c>
      <c r="H26">
        <v>18.899999999999999</v>
      </c>
      <c r="I26">
        <v>19</v>
      </c>
      <c r="J26">
        <v>19.2</v>
      </c>
      <c r="K26">
        <v>19.3</v>
      </c>
      <c r="L26">
        <v>19.3</v>
      </c>
      <c r="M26">
        <v>19.5</v>
      </c>
      <c r="N26">
        <v>19.7</v>
      </c>
      <c r="O26">
        <v>19.7</v>
      </c>
      <c r="P26">
        <v>19.8</v>
      </c>
      <c r="Q26">
        <v>19.8</v>
      </c>
      <c r="R26">
        <v>19.8</v>
      </c>
      <c r="S26">
        <v>19.8</v>
      </c>
      <c r="T26">
        <v>19.899999999999999</v>
      </c>
      <c r="U26">
        <v>19.899999999999999</v>
      </c>
      <c r="V26">
        <v>19.899999999999999</v>
      </c>
      <c r="W26">
        <v>19.899999999999999</v>
      </c>
      <c r="X26">
        <v>19.899999999999999</v>
      </c>
      <c r="Y26">
        <v>19.899999999999999</v>
      </c>
      <c r="Z26">
        <v>19.899999999999999</v>
      </c>
      <c r="AA26">
        <v>19.899999999999999</v>
      </c>
      <c r="AB26">
        <v>19.899999999999999</v>
      </c>
      <c r="AC26">
        <v>19.899999999999999</v>
      </c>
      <c r="AD26">
        <v>19.899999999999999</v>
      </c>
      <c r="AE26">
        <v>19.899999999999999</v>
      </c>
      <c r="AF26">
        <v>19.899999999999999</v>
      </c>
    </row>
    <row r="27" spans="1:32">
      <c r="A27" t="s">
        <v>53</v>
      </c>
      <c r="B27">
        <v>7.2</v>
      </c>
      <c r="C27">
        <v>6.5</v>
      </c>
      <c r="D27">
        <v>6.1</v>
      </c>
      <c r="E27">
        <v>5.7</v>
      </c>
      <c r="F27">
        <v>5</v>
      </c>
      <c r="G27">
        <v>4.7</v>
      </c>
      <c r="H27">
        <v>4.5999999999999996</v>
      </c>
      <c r="I27">
        <v>4.3</v>
      </c>
      <c r="J27">
        <v>3.6</v>
      </c>
      <c r="K27">
        <v>3.4</v>
      </c>
      <c r="L27">
        <v>3.3</v>
      </c>
      <c r="M27">
        <v>2.4</v>
      </c>
      <c r="N27">
        <v>1.6</v>
      </c>
      <c r="O27">
        <v>1.6</v>
      </c>
      <c r="P27">
        <v>1.3</v>
      </c>
      <c r="Q27">
        <v>1.3</v>
      </c>
      <c r="R27">
        <v>1.2</v>
      </c>
      <c r="S27">
        <v>1.2</v>
      </c>
      <c r="T27">
        <v>1</v>
      </c>
      <c r="U27">
        <v>0.9</v>
      </c>
      <c r="V27">
        <v>0.9</v>
      </c>
      <c r="W27">
        <v>0.4</v>
      </c>
      <c r="X27">
        <v>0.3</v>
      </c>
      <c r="Y27">
        <v>0.3</v>
      </c>
      <c r="Z27">
        <v>0.3</v>
      </c>
      <c r="AA27">
        <v>0.6</v>
      </c>
      <c r="AB27">
        <v>0.6</v>
      </c>
      <c r="AC27">
        <v>0.6</v>
      </c>
      <c r="AD27">
        <v>0.6</v>
      </c>
      <c r="AE27">
        <v>0.6</v>
      </c>
      <c r="AF27">
        <v>0.6</v>
      </c>
    </row>
    <row r="28" spans="1:32">
      <c r="A28" t="s">
        <v>54</v>
      </c>
      <c r="B28">
        <v>0.5</v>
      </c>
      <c r="C28">
        <v>0.5</v>
      </c>
      <c r="D28">
        <v>0.5</v>
      </c>
      <c r="E28">
        <v>0.5</v>
      </c>
      <c r="F28">
        <v>0.5</v>
      </c>
      <c r="G28">
        <v>0.5</v>
      </c>
      <c r="H28">
        <v>0.5</v>
      </c>
      <c r="I28">
        <v>0.5</v>
      </c>
      <c r="J28">
        <v>0.5</v>
      </c>
      <c r="K28">
        <v>0.5</v>
      </c>
      <c r="L28">
        <v>0.5</v>
      </c>
      <c r="M28">
        <v>0.5</v>
      </c>
      <c r="N28">
        <v>0.5</v>
      </c>
      <c r="O28">
        <v>0.5</v>
      </c>
      <c r="P28">
        <v>0.5</v>
      </c>
      <c r="Q28">
        <v>0.5</v>
      </c>
      <c r="R28">
        <v>0.5</v>
      </c>
      <c r="S28">
        <v>0.5</v>
      </c>
      <c r="T28">
        <v>0.5</v>
      </c>
      <c r="U28">
        <v>0.5</v>
      </c>
      <c r="V28">
        <v>0.5</v>
      </c>
      <c r="W28">
        <v>-0.1</v>
      </c>
      <c r="X28">
        <v>-0.1</v>
      </c>
      <c r="Y28">
        <v>-0.1</v>
      </c>
      <c r="Z28">
        <v>-0.1</v>
      </c>
      <c r="AA28">
        <v>-0.1</v>
      </c>
      <c r="AB28" t="s">
        <v>55</v>
      </c>
      <c r="AC28" t="s">
        <v>55</v>
      </c>
      <c r="AD28" t="s">
        <v>55</v>
      </c>
      <c r="AE28" t="s">
        <v>55</v>
      </c>
      <c r="AF28" t="s">
        <v>55</v>
      </c>
    </row>
    <row r="29" spans="1:32">
      <c r="A29" t="s">
        <v>56</v>
      </c>
      <c r="B29">
        <v>0.2</v>
      </c>
      <c r="C29">
        <v>0.2</v>
      </c>
      <c r="D29">
        <v>0.2</v>
      </c>
      <c r="E29">
        <v>0.2</v>
      </c>
      <c r="F29">
        <v>0.2</v>
      </c>
      <c r="G29">
        <v>0.2</v>
      </c>
      <c r="H29">
        <v>0.2</v>
      </c>
      <c r="I29">
        <v>0.2</v>
      </c>
      <c r="J29">
        <v>0.2</v>
      </c>
      <c r="K29">
        <v>0.2</v>
      </c>
      <c r="L29">
        <v>0.2</v>
      </c>
      <c r="M29">
        <v>0.2</v>
      </c>
      <c r="N29">
        <v>0.2</v>
      </c>
      <c r="O29">
        <v>0.2</v>
      </c>
      <c r="P29">
        <v>0.2</v>
      </c>
      <c r="Q29">
        <v>0.2</v>
      </c>
      <c r="R29">
        <v>0.2</v>
      </c>
      <c r="S29">
        <v>0.2</v>
      </c>
      <c r="T29">
        <v>0.2</v>
      </c>
      <c r="U29">
        <v>0.3</v>
      </c>
      <c r="V29">
        <v>0.3</v>
      </c>
      <c r="W29">
        <v>0.2</v>
      </c>
      <c r="X29">
        <v>0.2</v>
      </c>
      <c r="Y29">
        <v>0.2</v>
      </c>
      <c r="Z29">
        <v>0.2</v>
      </c>
      <c r="AA29">
        <v>0.2</v>
      </c>
      <c r="AB29">
        <v>0.2</v>
      </c>
      <c r="AC29">
        <v>0.2</v>
      </c>
      <c r="AD29">
        <v>0.2</v>
      </c>
      <c r="AE29">
        <v>0.2</v>
      </c>
      <c r="AF29">
        <v>0.2</v>
      </c>
    </row>
    <row r="30" spans="1:32">
      <c r="A30" t="s">
        <v>57</v>
      </c>
      <c r="B30">
        <v>3.9</v>
      </c>
      <c r="C30">
        <v>3.5</v>
      </c>
      <c r="D30">
        <v>3.2</v>
      </c>
      <c r="E30">
        <v>3</v>
      </c>
      <c r="F30">
        <v>2.6</v>
      </c>
      <c r="G30">
        <v>2.4</v>
      </c>
      <c r="H30">
        <v>2.2999999999999998</v>
      </c>
      <c r="I30">
        <v>2.2000000000000002</v>
      </c>
      <c r="J30">
        <v>1.7</v>
      </c>
      <c r="K30">
        <v>1.6</v>
      </c>
      <c r="L30">
        <v>1.6</v>
      </c>
      <c r="M30">
        <v>1</v>
      </c>
      <c r="N30">
        <v>0.5</v>
      </c>
      <c r="O30">
        <v>0.5</v>
      </c>
      <c r="P30">
        <v>0.3</v>
      </c>
      <c r="Q30">
        <v>0.3</v>
      </c>
      <c r="R30">
        <v>0.3</v>
      </c>
      <c r="S30">
        <v>0.3</v>
      </c>
      <c r="T30">
        <v>0.2</v>
      </c>
      <c r="U30">
        <v>0.1</v>
      </c>
      <c r="V30">
        <v>0.1</v>
      </c>
      <c r="W30">
        <v>0.1</v>
      </c>
      <c r="X30">
        <v>0.1</v>
      </c>
      <c r="Y30">
        <v>0.1</v>
      </c>
      <c r="Z30">
        <v>0.1</v>
      </c>
      <c r="AA30">
        <v>0.3</v>
      </c>
      <c r="AB30">
        <v>0.3</v>
      </c>
      <c r="AC30">
        <v>0.3</v>
      </c>
      <c r="AD30">
        <v>0.3</v>
      </c>
      <c r="AE30">
        <v>0.3</v>
      </c>
      <c r="AF30">
        <v>0.3</v>
      </c>
    </row>
    <row r="31" spans="1:32">
      <c r="A31" t="s">
        <v>58</v>
      </c>
      <c r="B31">
        <v>2.6</v>
      </c>
      <c r="C31">
        <v>2.2999999999999998</v>
      </c>
      <c r="D31">
        <v>2.1</v>
      </c>
      <c r="E31">
        <v>2</v>
      </c>
      <c r="F31">
        <v>1.7</v>
      </c>
      <c r="G31">
        <v>1.6</v>
      </c>
      <c r="H31">
        <v>1.5</v>
      </c>
      <c r="I31">
        <v>1.4</v>
      </c>
      <c r="J31">
        <v>1.1000000000000001</v>
      </c>
      <c r="K31">
        <v>1</v>
      </c>
      <c r="L31">
        <v>1</v>
      </c>
      <c r="M31">
        <v>0.6</v>
      </c>
      <c r="N31">
        <v>0.4</v>
      </c>
      <c r="O31">
        <v>0.3</v>
      </c>
      <c r="P31">
        <v>0.2</v>
      </c>
      <c r="Q31">
        <v>0.2</v>
      </c>
      <c r="R31">
        <v>0.2</v>
      </c>
      <c r="S31">
        <v>0.2</v>
      </c>
      <c r="T31">
        <v>0.1</v>
      </c>
      <c r="U31">
        <v>0.1</v>
      </c>
      <c r="V31">
        <v>0.1</v>
      </c>
      <c r="W31">
        <v>0.1</v>
      </c>
      <c r="X31">
        <v>0.1</v>
      </c>
      <c r="Y31">
        <v>0.1</v>
      </c>
      <c r="Z31">
        <v>0.1</v>
      </c>
      <c r="AA31">
        <v>0.2</v>
      </c>
      <c r="AB31">
        <v>0.2</v>
      </c>
      <c r="AC31">
        <v>0.2</v>
      </c>
      <c r="AD31">
        <v>0.2</v>
      </c>
      <c r="AE31">
        <v>0.2</v>
      </c>
      <c r="AF31">
        <v>0.2</v>
      </c>
    </row>
    <row r="32" spans="1:32">
      <c r="A32" t="s">
        <v>59</v>
      </c>
      <c r="B32">
        <v>-107.6</v>
      </c>
      <c r="C32">
        <v>-108.2</v>
      </c>
      <c r="D32">
        <v>-106.1</v>
      </c>
      <c r="E32">
        <v>-105.1</v>
      </c>
      <c r="F32">
        <v>-103.5</v>
      </c>
      <c r="G32">
        <v>-103.2</v>
      </c>
      <c r="H32">
        <v>-104.1</v>
      </c>
      <c r="I32">
        <v>-104.5</v>
      </c>
      <c r="J32">
        <v>-106.7</v>
      </c>
      <c r="K32">
        <v>-109.1</v>
      </c>
      <c r="L32">
        <v>-110</v>
      </c>
      <c r="M32">
        <v>-111.3</v>
      </c>
      <c r="N32">
        <v>-110.7</v>
      </c>
      <c r="O32">
        <v>-111.5</v>
      </c>
      <c r="P32">
        <v>-112.2</v>
      </c>
      <c r="Q32">
        <v>-113.5</v>
      </c>
      <c r="R32">
        <v>-114</v>
      </c>
      <c r="S32">
        <v>-115.2</v>
      </c>
      <c r="T32">
        <v>-118.2</v>
      </c>
      <c r="U32">
        <v>-120.1</v>
      </c>
      <c r="V32">
        <v>-121.6</v>
      </c>
      <c r="W32">
        <v>-121.9</v>
      </c>
      <c r="X32">
        <v>-121.9</v>
      </c>
      <c r="Y32">
        <v>-123.2</v>
      </c>
      <c r="Z32">
        <v>-124.3</v>
      </c>
      <c r="AA32">
        <v>-123.7</v>
      </c>
      <c r="AB32">
        <v>-121.5</v>
      </c>
      <c r="AC32">
        <v>-125.3</v>
      </c>
      <c r="AD32">
        <v>-124.9</v>
      </c>
      <c r="AE32">
        <v>-124.5</v>
      </c>
      <c r="AF32">
        <v>-123.7</v>
      </c>
    </row>
    <row r="33" spans="1:32">
      <c r="A33" t="s">
        <v>60</v>
      </c>
      <c r="B33">
        <v>11.3</v>
      </c>
      <c r="C33">
        <v>11.3</v>
      </c>
      <c r="D33">
        <v>11.3</v>
      </c>
      <c r="E33">
        <v>11.2</v>
      </c>
      <c r="F33">
        <v>11.2</v>
      </c>
      <c r="G33">
        <v>11.2</v>
      </c>
      <c r="H33">
        <v>11.2</v>
      </c>
      <c r="I33">
        <v>11.2</v>
      </c>
      <c r="J33">
        <v>11.2</v>
      </c>
      <c r="K33">
        <v>11.2</v>
      </c>
      <c r="L33">
        <v>11.2</v>
      </c>
      <c r="M33">
        <v>11.2</v>
      </c>
      <c r="N33">
        <v>11.2</v>
      </c>
      <c r="O33">
        <v>11.6</v>
      </c>
      <c r="P33">
        <v>11.9</v>
      </c>
      <c r="Q33">
        <v>12.2</v>
      </c>
      <c r="R33">
        <v>12.4</v>
      </c>
      <c r="S33">
        <v>12.7</v>
      </c>
      <c r="T33">
        <v>13.1</v>
      </c>
      <c r="U33">
        <v>13.4</v>
      </c>
      <c r="V33">
        <v>13.7</v>
      </c>
      <c r="W33">
        <v>14</v>
      </c>
      <c r="X33">
        <v>14.3</v>
      </c>
      <c r="Y33">
        <v>14.7</v>
      </c>
      <c r="Z33">
        <v>15.1</v>
      </c>
      <c r="AA33">
        <v>15.7</v>
      </c>
      <c r="AB33">
        <v>16</v>
      </c>
      <c r="AC33">
        <v>16</v>
      </c>
      <c r="AD33">
        <v>15.9</v>
      </c>
      <c r="AE33">
        <v>15.9</v>
      </c>
      <c r="AF33">
        <v>15.9</v>
      </c>
    </row>
    <row r="34" spans="1:32">
      <c r="A34" t="s">
        <v>61</v>
      </c>
      <c r="B34">
        <v>-96.4</v>
      </c>
      <c r="C34">
        <v>-97.6</v>
      </c>
      <c r="D34">
        <v>-98.6</v>
      </c>
      <c r="E34">
        <v>-100.2</v>
      </c>
      <c r="F34">
        <v>-101.7</v>
      </c>
      <c r="G34">
        <v>-103.3</v>
      </c>
      <c r="H34">
        <v>-104.8</v>
      </c>
      <c r="I34">
        <v>-106.4</v>
      </c>
      <c r="J34">
        <v>-107.7</v>
      </c>
      <c r="K34">
        <v>-109</v>
      </c>
      <c r="L34">
        <v>-110.4</v>
      </c>
      <c r="M34">
        <v>-111.4</v>
      </c>
      <c r="N34">
        <v>-112.3</v>
      </c>
      <c r="O34">
        <v>-114.1</v>
      </c>
      <c r="P34">
        <v>-115.8</v>
      </c>
      <c r="Q34">
        <v>-117.4</v>
      </c>
      <c r="R34">
        <v>-118.9</v>
      </c>
      <c r="S34">
        <v>-120.4</v>
      </c>
      <c r="T34">
        <v>-121.9</v>
      </c>
      <c r="U34">
        <v>-123.3</v>
      </c>
      <c r="V34">
        <v>-124.6</v>
      </c>
      <c r="W34">
        <v>-126</v>
      </c>
      <c r="X34">
        <v>-126.7</v>
      </c>
      <c r="Y34">
        <v>-128</v>
      </c>
      <c r="Z34">
        <v>-129.4</v>
      </c>
      <c r="AA34">
        <v>-130.4</v>
      </c>
      <c r="AB34">
        <v>-129.80000000000001</v>
      </c>
      <c r="AC34">
        <v>-129.80000000000001</v>
      </c>
      <c r="AD34">
        <v>-129.80000000000001</v>
      </c>
      <c r="AE34">
        <v>-129.80000000000001</v>
      </c>
      <c r="AF34">
        <v>-129.80000000000001</v>
      </c>
    </row>
    <row r="35" spans="1:32">
      <c r="A35" t="s">
        <v>62</v>
      </c>
      <c r="B35">
        <v>2</v>
      </c>
      <c r="C35">
        <v>2</v>
      </c>
      <c r="D35">
        <v>2.2999999999999998</v>
      </c>
      <c r="E35">
        <v>2.5</v>
      </c>
      <c r="F35">
        <v>2.4</v>
      </c>
      <c r="G35">
        <v>2.4</v>
      </c>
      <c r="H35">
        <v>2.5</v>
      </c>
      <c r="I35">
        <v>2.4</v>
      </c>
      <c r="J35">
        <v>2</v>
      </c>
      <c r="K35">
        <v>2.1</v>
      </c>
      <c r="L35">
        <v>2.6</v>
      </c>
      <c r="M35">
        <v>2.5</v>
      </c>
      <c r="N35">
        <v>2.2000000000000002</v>
      </c>
      <c r="O35">
        <v>2.4</v>
      </c>
      <c r="P35">
        <v>3.1</v>
      </c>
      <c r="Q35">
        <v>3.1</v>
      </c>
      <c r="R35">
        <v>3.2</v>
      </c>
      <c r="S35">
        <v>3.2</v>
      </c>
      <c r="T35">
        <v>3.2</v>
      </c>
      <c r="U35">
        <v>3</v>
      </c>
      <c r="V35">
        <v>2.1</v>
      </c>
      <c r="W35">
        <v>2.4</v>
      </c>
      <c r="X35">
        <v>2.1</v>
      </c>
      <c r="Y35">
        <v>2.2000000000000002</v>
      </c>
      <c r="Z35">
        <v>2.2000000000000002</v>
      </c>
      <c r="AA35">
        <v>2.2000000000000002</v>
      </c>
      <c r="AB35">
        <v>2.2000000000000002</v>
      </c>
      <c r="AC35">
        <v>2.2999999999999998</v>
      </c>
      <c r="AD35">
        <v>2.4</v>
      </c>
      <c r="AE35">
        <v>2.4</v>
      </c>
      <c r="AF35">
        <v>2.5</v>
      </c>
    </row>
    <row r="36" spans="1:32">
      <c r="A36" t="s">
        <v>63</v>
      </c>
      <c r="B36">
        <v>-24.5</v>
      </c>
      <c r="C36">
        <v>-24</v>
      </c>
      <c r="D36">
        <v>-21</v>
      </c>
      <c r="E36">
        <v>-18.600000000000001</v>
      </c>
      <c r="F36">
        <v>-15.5</v>
      </c>
      <c r="G36">
        <v>-13.5</v>
      </c>
      <c r="H36">
        <v>-13</v>
      </c>
      <c r="I36">
        <v>-11.8</v>
      </c>
      <c r="J36">
        <v>-12.2</v>
      </c>
      <c r="K36">
        <v>-13.4</v>
      </c>
      <c r="L36">
        <v>-13.4</v>
      </c>
      <c r="M36">
        <v>-13.6</v>
      </c>
      <c r="N36">
        <v>-11.8</v>
      </c>
      <c r="O36">
        <v>-11.3</v>
      </c>
      <c r="P36">
        <v>-11.4</v>
      </c>
      <c r="Q36">
        <v>-11.4</v>
      </c>
      <c r="R36">
        <v>-10.7</v>
      </c>
      <c r="S36">
        <v>-10.7</v>
      </c>
      <c r="T36">
        <v>-12.6</v>
      </c>
      <c r="U36">
        <v>-13.3</v>
      </c>
      <c r="V36">
        <v>-12.7</v>
      </c>
      <c r="W36">
        <v>-12.3</v>
      </c>
      <c r="X36">
        <v>-11.7</v>
      </c>
      <c r="Y36">
        <v>-12.1</v>
      </c>
      <c r="Z36">
        <v>-12.3</v>
      </c>
      <c r="AA36">
        <v>-11.1</v>
      </c>
      <c r="AB36">
        <v>-10</v>
      </c>
      <c r="AC36">
        <v>-13.8</v>
      </c>
      <c r="AD36">
        <v>-13.4</v>
      </c>
      <c r="AE36">
        <v>-13.1</v>
      </c>
      <c r="AF36">
        <v>-12.2</v>
      </c>
    </row>
    <row r="37" spans="1:32">
      <c r="A37" t="s">
        <v>64</v>
      </c>
      <c r="B37">
        <v>60.8</v>
      </c>
      <c r="C37">
        <v>62.3</v>
      </c>
      <c r="D37">
        <v>63.9</v>
      </c>
      <c r="E37">
        <v>65.7</v>
      </c>
      <c r="F37">
        <v>67.5</v>
      </c>
      <c r="G37">
        <v>69.5</v>
      </c>
      <c r="H37">
        <v>71.400000000000006</v>
      </c>
      <c r="I37">
        <v>73.599999999999994</v>
      </c>
      <c r="J37">
        <v>75.400000000000006</v>
      </c>
      <c r="K37">
        <v>77.099999999999994</v>
      </c>
      <c r="L37">
        <v>79.099999999999994</v>
      </c>
      <c r="M37">
        <v>80.7</v>
      </c>
      <c r="N37">
        <v>81.8</v>
      </c>
      <c r="O37">
        <v>82.3</v>
      </c>
      <c r="P37">
        <v>82.5</v>
      </c>
      <c r="Q37">
        <v>82.8</v>
      </c>
      <c r="R37">
        <v>82.9</v>
      </c>
      <c r="S37">
        <v>82.8</v>
      </c>
      <c r="T37">
        <v>82.6</v>
      </c>
      <c r="U37">
        <v>82.3</v>
      </c>
      <c r="V37">
        <v>81.900000000000006</v>
      </c>
      <c r="W37">
        <v>81.400000000000006</v>
      </c>
      <c r="X37">
        <v>80.900000000000006</v>
      </c>
      <c r="Y37">
        <v>80.2</v>
      </c>
      <c r="Z37">
        <v>79.400000000000006</v>
      </c>
      <c r="AA37">
        <v>78.3</v>
      </c>
      <c r="AB37">
        <v>77.8</v>
      </c>
      <c r="AC37">
        <v>77.900000000000006</v>
      </c>
      <c r="AD37">
        <v>78</v>
      </c>
      <c r="AE37">
        <v>77.900000000000006</v>
      </c>
      <c r="AF37">
        <v>77.900000000000006</v>
      </c>
    </row>
    <row r="38" spans="1:32">
      <c r="A38" t="s">
        <v>41</v>
      </c>
      <c r="B38">
        <v>60.8</v>
      </c>
      <c r="C38">
        <v>62.3</v>
      </c>
      <c r="D38">
        <v>63.9</v>
      </c>
      <c r="E38">
        <v>65.7</v>
      </c>
      <c r="F38">
        <v>67.5</v>
      </c>
      <c r="G38">
        <v>69.5</v>
      </c>
      <c r="H38">
        <v>71.400000000000006</v>
      </c>
      <c r="I38">
        <v>73.599999999999994</v>
      </c>
      <c r="J38">
        <v>75.400000000000006</v>
      </c>
      <c r="K38">
        <v>77.099999999999994</v>
      </c>
      <c r="L38">
        <v>79.099999999999994</v>
      </c>
      <c r="M38">
        <v>80.7</v>
      </c>
      <c r="N38">
        <v>81.8</v>
      </c>
      <c r="O38">
        <v>82.3</v>
      </c>
      <c r="P38">
        <v>82.5</v>
      </c>
      <c r="Q38">
        <v>82.8</v>
      </c>
      <c r="R38">
        <v>82.9</v>
      </c>
      <c r="S38">
        <v>82.8</v>
      </c>
      <c r="T38">
        <v>82.6</v>
      </c>
      <c r="U38">
        <v>82.3</v>
      </c>
      <c r="V38">
        <v>81.900000000000006</v>
      </c>
      <c r="W38">
        <v>81.400000000000006</v>
      </c>
      <c r="X38">
        <v>80.900000000000006</v>
      </c>
      <c r="Y38">
        <v>80.2</v>
      </c>
      <c r="Z38">
        <v>79.400000000000006</v>
      </c>
      <c r="AA38">
        <v>78.3</v>
      </c>
      <c r="AB38">
        <v>77.8</v>
      </c>
      <c r="AC38">
        <v>77.900000000000006</v>
      </c>
      <c r="AD38">
        <v>78</v>
      </c>
      <c r="AE38">
        <v>77.900000000000006</v>
      </c>
      <c r="AF38">
        <v>77.900000000000006</v>
      </c>
    </row>
    <row r="39" spans="1:32">
      <c r="A39" t="s">
        <v>65</v>
      </c>
      <c r="B39">
        <v>31.4</v>
      </c>
      <c r="C39">
        <v>30.7</v>
      </c>
      <c r="D39">
        <v>28.8</v>
      </c>
      <c r="E39">
        <v>28.8</v>
      </c>
      <c r="F39">
        <v>32.1</v>
      </c>
      <c r="G39">
        <v>28.5</v>
      </c>
      <c r="H39">
        <v>31.2</v>
      </c>
      <c r="I39">
        <v>28.1</v>
      </c>
      <c r="J39">
        <v>28.6</v>
      </c>
      <c r="K39">
        <v>32.5</v>
      </c>
      <c r="L39">
        <v>37.4</v>
      </c>
      <c r="M39">
        <v>31.6</v>
      </c>
      <c r="N39">
        <v>40.700000000000003</v>
      </c>
      <c r="O39">
        <v>36.5</v>
      </c>
      <c r="P39">
        <v>46.3</v>
      </c>
      <c r="Q39">
        <v>41.3</v>
      </c>
      <c r="R39">
        <v>37.9</v>
      </c>
      <c r="S39">
        <v>42.4</v>
      </c>
      <c r="T39">
        <v>36</v>
      </c>
      <c r="U39">
        <v>38</v>
      </c>
      <c r="V39">
        <v>30.4</v>
      </c>
      <c r="W39">
        <v>35.6</v>
      </c>
      <c r="X39">
        <v>37.799999999999997</v>
      </c>
      <c r="Y39">
        <v>37.1</v>
      </c>
      <c r="Z39">
        <v>33</v>
      </c>
      <c r="AA39">
        <v>48.9</v>
      </c>
      <c r="AB39">
        <v>35.4</v>
      </c>
      <c r="AC39">
        <v>45.5</v>
      </c>
      <c r="AD39">
        <v>39.799999999999997</v>
      </c>
      <c r="AE39">
        <v>30.3</v>
      </c>
      <c r="AF39">
        <v>53.2</v>
      </c>
    </row>
    <row r="40" spans="1:32">
      <c r="A40" t="s">
        <v>21</v>
      </c>
      <c r="B40">
        <v>27.2</v>
      </c>
      <c r="C40">
        <v>26.5</v>
      </c>
      <c r="D40">
        <v>25.4</v>
      </c>
      <c r="E40">
        <v>25.3</v>
      </c>
      <c r="F40">
        <v>26.8</v>
      </c>
      <c r="G40">
        <v>25</v>
      </c>
      <c r="H40">
        <v>26.2</v>
      </c>
      <c r="I40">
        <v>24.7</v>
      </c>
      <c r="J40">
        <v>25.1</v>
      </c>
      <c r="K40">
        <v>27</v>
      </c>
      <c r="L40">
        <v>29.4</v>
      </c>
      <c r="M40">
        <v>26.2</v>
      </c>
      <c r="N40">
        <v>31.2</v>
      </c>
      <c r="O40">
        <v>28.9</v>
      </c>
      <c r="P40">
        <v>33.200000000000003</v>
      </c>
      <c r="Q40">
        <v>30.9</v>
      </c>
      <c r="R40">
        <v>29</v>
      </c>
      <c r="S40">
        <v>31.6</v>
      </c>
      <c r="T40">
        <v>28</v>
      </c>
      <c r="U40">
        <v>29.1</v>
      </c>
      <c r="V40">
        <v>25.4</v>
      </c>
      <c r="W40">
        <v>27.9</v>
      </c>
      <c r="X40">
        <v>29.3</v>
      </c>
      <c r="Y40">
        <v>29.3</v>
      </c>
      <c r="Z40">
        <v>26.9</v>
      </c>
      <c r="AA40">
        <v>36</v>
      </c>
      <c r="AB40">
        <v>28.3</v>
      </c>
      <c r="AC40">
        <v>34</v>
      </c>
      <c r="AD40">
        <v>30.7</v>
      </c>
      <c r="AE40">
        <v>25.5</v>
      </c>
      <c r="AF40">
        <v>38.1</v>
      </c>
    </row>
    <row r="41" spans="1:32">
      <c r="A41" t="s">
        <v>22</v>
      </c>
      <c r="B41">
        <v>4.2</v>
      </c>
      <c r="C41">
        <v>4.2</v>
      </c>
      <c r="D41">
        <v>3.4</v>
      </c>
      <c r="E41">
        <v>3.5</v>
      </c>
      <c r="F41">
        <v>5.2</v>
      </c>
      <c r="G41">
        <v>3.5</v>
      </c>
      <c r="H41">
        <v>5</v>
      </c>
      <c r="I41">
        <v>3.4</v>
      </c>
      <c r="J41">
        <v>3.5</v>
      </c>
      <c r="K41">
        <v>5.5</v>
      </c>
      <c r="L41">
        <v>8</v>
      </c>
      <c r="M41">
        <v>5.3</v>
      </c>
      <c r="N41">
        <v>9.5</v>
      </c>
      <c r="O41">
        <v>7.6</v>
      </c>
      <c r="P41">
        <v>13.2</v>
      </c>
      <c r="Q41">
        <v>10.5</v>
      </c>
      <c r="R41">
        <v>8.8000000000000007</v>
      </c>
      <c r="S41">
        <v>10.8</v>
      </c>
      <c r="T41">
        <v>8</v>
      </c>
      <c r="U41">
        <v>8.9</v>
      </c>
      <c r="V41">
        <v>5</v>
      </c>
      <c r="W41">
        <v>7.7</v>
      </c>
      <c r="X41">
        <v>8.5</v>
      </c>
      <c r="Y41">
        <v>7.8</v>
      </c>
      <c r="Z41">
        <v>6.1</v>
      </c>
      <c r="AA41">
        <v>12.9</v>
      </c>
      <c r="AB41">
        <v>7.1</v>
      </c>
      <c r="AC41">
        <v>11.5</v>
      </c>
      <c r="AD41">
        <v>9.1</v>
      </c>
      <c r="AE41">
        <v>4.8</v>
      </c>
      <c r="AF41">
        <v>15.2</v>
      </c>
    </row>
    <row r="42" spans="1:32">
      <c r="A42" t="s">
        <v>66</v>
      </c>
      <c r="B42">
        <v>-892</v>
      </c>
      <c r="C42">
        <v>-900.6</v>
      </c>
      <c r="D42">
        <v>-891.2</v>
      </c>
      <c r="E42">
        <v>-873</v>
      </c>
      <c r="F42">
        <v>-889.6</v>
      </c>
      <c r="G42">
        <v>-860.3</v>
      </c>
      <c r="H42">
        <v>-883.3</v>
      </c>
      <c r="I42">
        <v>-861.5</v>
      </c>
      <c r="J42">
        <v>-863.9</v>
      </c>
      <c r="K42">
        <v>-860.6</v>
      </c>
      <c r="L42">
        <v>-862.6</v>
      </c>
      <c r="M42">
        <v>-860.4</v>
      </c>
      <c r="N42">
        <v>-831.2</v>
      </c>
      <c r="O42">
        <v>-857.3</v>
      </c>
      <c r="P42">
        <v>-775.8</v>
      </c>
      <c r="Q42">
        <v>-831.1</v>
      </c>
      <c r="R42">
        <v>-855.1</v>
      </c>
      <c r="S42">
        <v>-818.7</v>
      </c>
      <c r="T42">
        <v>-802.5</v>
      </c>
      <c r="U42">
        <v>-772.5</v>
      </c>
      <c r="V42">
        <v>-791.4</v>
      </c>
      <c r="W42">
        <v>-836.3</v>
      </c>
      <c r="X42">
        <v>-837.7</v>
      </c>
      <c r="Y42">
        <v>-804.5</v>
      </c>
      <c r="Z42">
        <v>-814.4</v>
      </c>
      <c r="AA42">
        <v>-748.9</v>
      </c>
      <c r="AB42">
        <v>-862</v>
      </c>
      <c r="AC42">
        <v>-826.7</v>
      </c>
      <c r="AD42">
        <v>-809</v>
      </c>
      <c r="AE42">
        <v>-760.8</v>
      </c>
      <c r="AF42">
        <v>-812.2</v>
      </c>
    </row>
    <row r="43" spans="1:32">
      <c r="A43" t="s">
        <v>67</v>
      </c>
      <c r="B43">
        <v>-860.6</v>
      </c>
      <c r="C43">
        <v>-869.9</v>
      </c>
      <c r="D43">
        <v>-862.4</v>
      </c>
      <c r="E43">
        <v>-844.2</v>
      </c>
      <c r="F43">
        <v>-857.5</v>
      </c>
      <c r="G43">
        <v>-831.8</v>
      </c>
      <c r="H43">
        <v>-852.1</v>
      </c>
      <c r="I43">
        <v>-833.4</v>
      </c>
      <c r="J43">
        <v>-835.3</v>
      </c>
      <c r="K43">
        <v>-828</v>
      </c>
      <c r="L43">
        <v>-825.2</v>
      </c>
      <c r="M43">
        <v>-828.8</v>
      </c>
      <c r="N43">
        <v>-790.5</v>
      </c>
      <c r="O43">
        <v>-820.8</v>
      </c>
      <c r="P43">
        <v>-729.5</v>
      </c>
      <c r="Q43">
        <v>-789.8</v>
      </c>
      <c r="R43">
        <v>-817.2</v>
      </c>
      <c r="S43">
        <v>-776.4</v>
      </c>
      <c r="T43">
        <v>-766.5</v>
      </c>
      <c r="U43">
        <v>-734.5</v>
      </c>
      <c r="V43">
        <v>-761</v>
      </c>
      <c r="W43">
        <v>-800.7</v>
      </c>
      <c r="X43">
        <v>-799.9</v>
      </c>
      <c r="Y43">
        <v>-767.4</v>
      </c>
      <c r="Z43">
        <v>-781.4</v>
      </c>
      <c r="AA43">
        <v>-700.1</v>
      </c>
      <c r="AB43">
        <v>-826.6</v>
      </c>
      <c r="AC43">
        <v>-781.2</v>
      </c>
      <c r="AD43">
        <v>-769.3</v>
      </c>
      <c r="AE43">
        <v>-730.5</v>
      </c>
      <c r="AF43">
        <v>-758.9</v>
      </c>
    </row>
    <row r="44" spans="1:32">
      <c r="A44" t="s">
        <v>68</v>
      </c>
    </row>
    <row r="45" spans="1:32">
      <c r="A45" t="s">
        <v>69</v>
      </c>
    </row>
    <row r="46" spans="1:32">
      <c r="A46" t="s">
        <v>70</v>
      </c>
    </row>
    <row r="47" spans="1:32">
      <c r="A47" t="s">
        <v>71</v>
      </c>
    </row>
    <row r="48" spans="1:32">
      <c r="A48" t="s">
        <v>72</v>
      </c>
    </row>
    <row r="49" spans="1:1">
      <c r="A49" t="s">
        <v>73</v>
      </c>
    </row>
    <row r="50" spans="1:1">
      <c r="A50" t="s">
        <v>74</v>
      </c>
    </row>
    <row r="51" spans="1:1">
      <c r="A51" t="s">
        <v>75</v>
      </c>
    </row>
    <row r="52" spans="1:1">
      <c r="A52" t="s">
        <v>76</v>
      </c>
    </row>
    <row r="53" spans="1:1">
      <c r="A53" t="s">
        <v>77</v>
      </c>
    </row>
    <row r="54" spans="1:1">
      <c r="A54" t="s">
        <v>78</v>
      </c>
    </row>
    <row r="55" spans="1:1">
      <c r="A55" t="s">
        <v>79</v>
      </c>
    </row>
    <row r="56" spans="1:1">
      <c r="A56" t="s">
        <v>80</v>
      </c>
    </row>
  </sheetData>
  <phoneticPr fontId="3"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sheetPr>
  <dimension ref="A1:AF13"/>
  <sheetViews>
    <sheetView tabSelected="1" workbookViewId="0">
      <selection activeCell="B2" sqref="B2:AF2"/>
    </sheetView>
  </sheetViews>
  <sheetFormatPr baseColWidth="10" defaultColWidth="8.796875" defaultRowHeight="14"/>
  <cols>
    <col min="1" max="1" width="16.59765625" customWidth="1"/>
    <col min="2" max="17" width="11.3984375" bestFit="1" customWidth="1"/>
    <col min="18" max="21" width="11" bestFit="1" customWidth="1"/>
  </cols>
  <sheetData>
    <row r="1" spans="1:32">
      <c r="A1" t="s">
        <v>5</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c r="A2" t="s">
        <v>9</v>
      </c>
      <c r="B2" s="3">
        <f>Calcs!B4*10^12</f>
        <v>-463200000000</v>
      </c>
      <c r="C2" s="3">
        <f>Calcs!C4*10^12</f>
        <v>-463200000000</v>
      </c>
      <c r="D2" s="3">
        <f>Calcs!D4*10^12</f>
        <v>-463200000000</v>
      </c>
      <c r="E2" s="3">
        <f>Calcs!E4*10^12</f>
        <v>-463200000000</v>
      </c>
      <c r="F2" s="3">
        <f>Calcs!F4*10^12</f>
        <v>-463200000000</v>
      </c>
      <c r="G2" s="3">
        <f>Calcs!G4*10^12</f>
        <v>-463200000000</v>
      </c>
      <c r="H2" s="3">
        <f>Calcs!H4*10^12</f>
        <v>-463200000000</v>
      </c>
      <c r="I2" s="3">
        <f>Calcs!I4*10^12</f>
        <v>-463200000000</v>
      </c>
      <c r="J2" s="3">
        <f>Calcs!J4*10^12</f>
        <v>-463200000000</v>
      </c>
      <c r="K2" s="3">
        <f>Calcs!K4*10^12</f>
        <v>-463200000000</v>
      </c>
      <c r="L2" s="3">
        <f>Calcs!L4*10^12</f>
        <v>-463200000000</v>
      </c>
      <c r="M2" s="3">
        <f>Calcs!M4*10^12</f>
        <v>-463200000000</v>
      </c>
      <c r="N2" s="3">
        <f>Calcs!N4*10^12</f>
        <v>-463200000000</v>
      </c>
      <c r="O2" s="3">
        <f>Calcs!O4*10^12</f>
        <v>-463200000000</v>
      </c>
      <c r="P2" s="3">
        <f>Calcs!P4*10^12</f>
        <v>-463200000000</v>
      </c>
      <c r="Q2" s="3">
        <f>Calcs!Q4*10^12</f>
        <v>-463200000000</v>
      </c>
      <c r="R2" s="3">
        <f>Calcs!R4*10^12</f>
        <v>-463200000000</v>
      </c>
      <c r="S2" s="3">
        <f>Calcs!S4*10^12</f>
        <v>-463200000000</v>
      </c>
      <c r="T2" s="3">
        <f>Calcs!T4*10^12</f>
        <v>-463200000000</v>
      </c>
      <c r="U2" s="3">
        <f>Calcs!U4*10^12</f>
        <v>-463200000000</v>
      </c>
      <c r="V2" s="3">
        <f>Calcs!V4*10^12</f>
        <v>-463200000000</v>
      </c>
      <c r="W2" s="3">
        <f>Calcs!W4*10^12</f>
        <v>-463200000000</v>
      </c>
      <c r="X2" s="3">
        <f>Calcs!X4*10^12</f>
        <v>-463200000000</v>
      </c>
      <c r="Y2" s="3">
        <f>Calcs!Y4*10^12</f>
        <v>-463200000000</v>
      </c>
      <c r="Z2" s="3">
        <f>Calcs!Z4*10^12</f>
        <v>-463200000000</v>
      </c>
      <c r="AA2" s="3">
        <f>Calcs!AA4*10^12</f>
        <v>-463200000000</v>
      </c>
      <c r="AB2" s="3">
        <f>Calcs!AB4*10^12</f>
        <v>-463200000000</v>
      </c>
      <c r="AC2" s="3">
        <f>Calcs!AC4*10^12</f>
        <v>-463200000000</v>
      </c>
      <c r="AD2" s="3">
        <f>Calcs!AD4*10^12</f>
        <v>-463200000000</v>
      </c>
      <c r="AE2" s="3">
        <f>Calcs!AE4*10^12</f>
        <v>-463200000000</v>
      </c>
      <c r="AF2" s="3">
        <f>Calcs!AF4*10^12</f>
        <v>-463200000000</v>
      </c>
    </row>
    <row r="3" spans="1:32">
      <c r="A3" t="s">
        <v>10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c r="A4" t="s">
        <v>11</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c r="A5" t="s">
        <v>12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c r="A6" t="s">
        <v>13</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c r="A7" t="s">
        <v>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c r="A8" t="s">
        <v>15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32">
      <c r="A9" t="s">
        <v>16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row>
    <row r="11" spans="1:32">
      <c r="A11" t="s">
        <v>18</v>
      </c>
      <c r="B11" s="3">
        <f>Calcs!B5*10^12/About!$B$9</f>
        <v>0</v>
      </c>
      <c r="C11" s="3">
        <f>Calcs!C5*10^12/About!$B$9</f>
        <v>0</v>
      </c>
      <c r="D11" s="3">
        <f>Calcs!D5*10^12/About!$B$9</f>
        <v>0</v>
      </c>
      <c r="E11" s="3">
        <f>Calcs!E5*10^12/About!$B$9</f>
        <v>0</v>
      </c>
      <c r="F11" s="3">
        <f>Calcs!F5*10^12/About!$B$9</f>
        <v>0</v>
      </c>
      <c r="G11" s="3">
        <f>Calcs!G5*10^12/About!$B$9</f>
        <v>0</v>
      </c>
      <c r="H11" s="3">
        <f>Calcs!H5*10^12/About!$B$9</f>
        <v>0</v>
      </c>
      <c r="I11" s="3">
        <f>Calcs!I5*10^12/About!$B$9</f>
        <v>0</v>
      </c>
      <c r="J11" s="3">
        <f>Calcs!J5*10^12/About!$B$9</f>
        <v>0</v>
      </c>
      <c r="K11" s="3">
        <f>Calcs!K5*10^12/About!$B$9</f>
        <v>0</v>
      </c>
      <c r="L11" s="3">
        <f>Calcs!L5*10^12/About!$B$9</f>
        <v>0</v>
      </c>
      <c r="M11" s="3">
        <f>Calcs!M5*10^12/About!$B$9</f>
        <v>0</v>
      </c>
      <c r="N11" s="3">
        <f>Calcs!N5*10^12/About!$B$9</f>
        <v>0</v>
      </c>
      <c r="O11" s="3">
        <f>Calcs!O5*10^12/About!$B$9</f>
        <v>0</v>
      </c>
      <c r="P11" s="3">
        <f>Calcs!P5*10^12/About!$B$9</f>
        <v>0</v>
      </c>
      <c r="Q11" s="3">
        <f>Calcs!Q5*10^12/About!$B$9</f>
        <v>0</v>
      </c>
      <c r="R11" s="3">
        <f>Calcs!R5*10^12/About!$B$9</f>
        <v>0</v>
      </c>
      <c r="S11" s="3">
        <f>Calcs!S5*10^12/About!$B$9</f>
        <v>0</v>
      </c>
      <c r="T11" s="3">
        <f>Calcs!T5*10^12/About!$B$9</f>
        <v>0</v>
      </c>
      <c r="U11" s="3">
        <f>Calcs!U5*10^12/About!$B$9</f>
        <v>0</v>
      </c>
      <c r="V11" s="3">
        <f>Calcs!V5*10^12/About!$B$9</f>
        <v>0</v>
      </c>
      <c r="W11" s="3">
        <f>Calcs!W5*10^12/About!$B$9</f>
        <v>0</v>
      </c>
      <c r="X11" s="3">
        <f>Calcs!X5*10^12/About!$B$9</f>
        <v>0</v>
      </c>
      <c r="Y11" s="3">
        <f>Calcs!Y5*10^12/About!$B$9</f>
        <v>0</v>
      </c>
      <c r="Z11" s="3">
        <f>Calcs!Z5*10^12/About!$B$9</f>
        <v>0</v>
      </c>
      <c r="AA11" s="3">
        <f>Calcs!AA5*10^12/About!$B$9</f>
        <v>0</v>
      </c>
      <c r="AB11" s="3">
        <f>Calcs!AB5*10^12/About!$B$9</f>
        <v>0</v>
      </c>
      <c r="AC11" s="3">
        <f>Calcs!AC5*10^12/About!$B$9</f>
        <v>0</v>
      </c>
      <c r="AD11" s="3">
        <f>Calcs!AD5*10^12/About!$B$9</f>
        <v>0</v>
      </c>
      <c r="AE11" s="3">
        <f>Calcs!AE5*10^12/About!$B$9</f>
        <v>0</v>
      </c>
      <c r="AF11" s="3">
        <f>Calcs!AF5*10^12/About!$B$9</f>
        <v>0</v>
      </c>
    </row>
    <row r="12" spans="1:32">
      <c r="A12" t="s">
        <v>19</v>
      </c>
      <c r="B12" s="3">
        <f>Calcs!B6*10^12/About!$B$10</f>
        <v>0</v>
      </c>
      <c r="C12" s="3">
        <f>Calcs!C6*10^12/About!$B$10</f>
        <v>0</v>
      </c>
      <c r="D12" s="3">
        <f>Calcs!D6*10^12/About!$B$10</f>
        <v>0</v>
      </c>
      <c r="E12" s="3">
        <f>Calcs!E6*10^12/About!$B$10</f>
        <v>0</v>
      </c>
      <c r="F12" s="3">
        <f>Calcs!F6*10^12/About!$B$10</f>
        <v>0</v>
      </c>
      <c r="G12" s="3">
        <f>Calcs!G6*10^12/About!$B$10</f>
        <v>0</v>
      </c>
      <c r="H12" s="3">
        <f>Calcs!H6*10^12/About!$B$10</f>
        <v>0</v>
      </c>
      <c r="I12" s="3">
        <f>Calcs!I6*10^12/About!$B$10</f>
        <v>0</v>
      </c>
      <c r="J12" s="3">
        <f>Calcs!J6*10^12/About!$B$10</f>
        <v>0</v>
      </c>
      <c r="K12" s="3">
        <f>Calcs!K6*10^12/About!$B$10</f>
        <v>0</v>
      </c>
      <c r="L12" s="3">
        <f>Calcs!L6*10^12/About!$B$10</f>
        <v>0</v>
      </c>
      <c r="M12" s="3">
        <f>Calcs!M6*10^12/About!$B$10</f>
        <v>0</v>
      </c>
      <c r="N12" s="3">
        <f>Calcs!N6*10^12/About!$B$10</f>
        <v>0</v>
      </c>
      <c r="O12" s="3">
        <f>Calcs!O6*10^12/About!$B$10</f>
        <v>0</v>
      </c>
      <c r="P12" s="3">
        <f>Calcs!P6*10^12/About!$B$10</f>
        <v>0</v>
      </c>
      <c r="Q12" s="3">
        <f>Calcs!Q6*10^12/About!$B$10</f>
        <v>0</v>
      </c>
      <c r="R12" s="3">
        <f>Calcs!R6*10^12/About!$B$10</f>
        <v>0</v>
      </c>
      <c r="S12" s="3">
        <f>Calcs!S6*10^12/About!$B$10</f>
        <v>0</v>
      </c>
      <c r="T12" s="3">
        <f>Calcs!T6*10^12/About!$B$10</f>
        <v>0</v>
      </c>
      <c r="U12" s="3">
        <f>Calcs!U6*10^12/About!$B$10</f>
        <v>0</v>
      </c>
      <c r="V12" s="3">
        <f>Calcs!V6*10^12/About!$B$10</f>
        <v>0</v>
      </c>
      <c r="W12" s="3">
        <f>Calcs!W6*10^12/About!$B$10</f>
        <v>0</v>
      </c>
      <c r="X12" s="3">
        <f>Calcs!X6*10^12/About!$B$10</f>
        <v>0</v>
      </c>
      <c r="Y12" s="3">
        <f>Calcs!Y6*10^12/About!$B$10</f>
        <v>0</v>
      </c>
      <c r="Z12" s="3">
        <f>Calcs!Z6*10^12/About!$B$10</f>
        <v>0</v>
      </c>
      <c r="AA12" s="3">
        <f>Calcs!AA6*10^12/About!$B$10</f>
        <v>0</v>
      </c>
      <c r="AB12" s="3">
        <f>Calcs!AB6*10^12/About!$B$10</f>
        <v>0</v>
      </c>
      <c r="AC12" s="3">
        <f>Calcs!AC6*10^12/About!$B$10</f>
        <v>0</v>
      </c>
      <c r="AD12" s="3">
        <f>Calcs!AD6*10^12/About!$B$10</f>
        <v>0</v>
      </c>
      <c r="AE12" s="3">
        <f>Calcs!AE6*10^12/About!$B$10</f>
        <v>0</v>
      </c>
      <c r="AF12" s="3">
        <f>Calcs!AF6*10^12/About!$B$10</f>
        <v>0</v>
      </c>
    </row>
    <row r="13" spans="1:32">
      <c r="A13" t="s">
        <v>8</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row>
  </sheetData>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EA9BEB-3F3C-4EC3-965D-E2FCA37A0F61}">
  <ds:schemaRefs>
    <ds:schemaRef ds:uri="http://schemas.microsoft.com/sharepoint/v3/contenttype/forms"/>
  </ds:schemaRefs>
</ds:datastoreItem>
</file>

<file path=customXml/itemProps2.xml><?xml version="1.0" encoding="utf-8"?>
<ds:datastoreItem xmlns:ds="http://schemas.openxmlformats.org/officeDocument/2006/customXml" ds:itemID="{6BA74F2D-83B9-4032-BF65-9BD04F1E75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176f07-3112-4ee9-93fd-ae2cb5f3e433"/>
    <ds:schemaRef ds:uri="6b15a3a4-8173-42d6-9deb-398ec38eca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About</vt:lpstr>
      <vt:lpstr>Calcs</vt:lpstr>
      <vt:lpstr>EPA Table 6-1</vt:lpstr>
      <vt:lpstr>BLAPE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Lawrence Iu</cp:lastModifiedBy>
  <dcterms:created xsi:type="dcterms:W3CDTF">2015-08-06T00:31:42Z</dcterms:created>
  <dcterms:modified xsi:type="dcterms:W3CDTF">2024-06-03T12:44:49Z</dcterms:modified>
</cp:coreProperties>
</file>