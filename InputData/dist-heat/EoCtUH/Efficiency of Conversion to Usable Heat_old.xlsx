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dist-heat\EoCtUH\"/>
    </mc:Choice>
  </mc:AlternateContent>
  <bookViews>
    <workbookView xWindow="480" yWindow="45" windowWidth="23955" windowHeight="11310"/>
  </bookViews>
  <sheets>
    <sheet name="About" sheetId="1" r:id="rId1"/>
    <sheet name="Data" sheetId="2" r:id="rId2"/>
    <sheet name="EoCtUH" sheetId="3" r:id="rId3"/>
  </sheets>
  <calcPr calcId="162913"/>
</workbook>
</file>

<file path=xl/calcChain.xml><?xml version="1.0" encoding="utf-8"?>
<calcChain xmlns="http://schemas.openxmlformats.org/spreadsheetml/2006/main">
  <c r="A6" i="2" l="1"/>
  <c r="B2" i="3" s="1"/>
</calcChain>
</file>

<file path=xl/sharedStrings.xml><?xml version="1.0" encoding="utf-8"?>
<sst xmlns="http://schemas.openxmlformats.org/spreadsheetml/2006/main" count="21" uniqueCount="21">
  <si>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</si>
  <si>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</si>
  <si>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</si>
  <si>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</si>
  <si>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Note:</t>
  </si>
  <si>
    <t>Efficiencies are provided for CHP systems (and include usable heat and electricity).</t>
  </si>
  <si>
    <t>We use these as a stand-in for the efficiencies of district heating systems</t>
  </si>
  <si>
    <t>(about half of which are CHP systems), because we do not</t>
  </si>
  <si>
    <t>have data specifically on efficiencies of district heating systems.</t>
  </si>
  <si>
    <t>We don't have the efficiency of the total installed base, so we use</t>
  </si>
  <si>
    <t>average the efficiencies of the available years' newly installed systems.</t>
  </si>
  <si>
    <t>Page 37, Table 2, Sub-table 4</t>
  </si>
  <si>
    <t>CHP overall efficiency (ratio)</t>
  </si>
  <si>
    <t>While this might be above-average (since many district heating systems</t>
  </si>
  <si>
    <t>are very old), these systems do not have a "lifetime" and thus must</t>
  </si>
  <si>
    <t>receive periodic upgrades and replacement parts, so some of them may</t>
  </si>
  <si>
    <t>have efficiencies comparable to newer systems.</t>
  </si>
  <si>
    <t>Average of the years above</t>
  </si>
  <si>
    <t>EoCtUH Efficiency of Conversion to Usable Heat</t>
  </si>
  <si>
    <t>District heat</t>
  </si>
  <si>
    <t>Efficiency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</si>
</sst>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0" fillId="0" borderId="0" xfId="0" applyFill="1" applyBorder="1"/>
    <xf numFmtId="164" fontId="0" fillId="0" borderId="0" xfId="0" applyNumberFormat="1"/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2" max="2" width="47.42578125" customWidth="1"/>
  </cols>
  <sheetData>
    <row r="1" spans="1:2" x14ac:dyDescent="0.25">
      <c r="A1" s="1" t="s">
        <v>18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2014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s="4" t="s">
        <v>11</v>
      </c>
    </row>
    <row r="9" spans="1:2" x14ac:dyDescent="0.25">
      <c r="A9" s="1" t="s">
        <v>4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  <row r="13" spans="1:2" x14ac:dyDescent="0.25">
      <c r="A13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1" t="s">
        <v>12</v>
      </c>
    </row>
    <row r="2" spans="1:7" x14ac:dyDescent="0.25">
      <c r="A2" s="1">
        <v>2000</v>
      </c>
      <c r="B2" s="1">
        <v>2006</v>
      </c>
      <c r="C2" s="1">
        <v>2008</v>
      </c>
      <c r="D2" s="1">
        <v>2009</v>
      </c>
      <c r="E2" s="1">
        <v>2010</v>
      </c>
      <c r="F2" s="1">
        <v>2011</v>
      </c>
      <c r="G2" s="1">
        <v>2012</v>
      </c>
    </row>
    <row r="3" spans="1:7" x14ac:dyDescent="0.25">
      <c r="A3">
        <v>0.65</v>
      </c>
      <c r="B3">
        <v>0.7</v>
      </c>
      <c r="C3">
        <v>0.73</v>
      </c>
      <c r="D3">
        <v>0.71</v>
      </c>
      <c r="E3">
        <v>0.68</v>
      </c>
      <c r="F3">
        <v>0.71</v>
      </c>
      <c r="G3">
        <v>0.73</v>
      </c>
    </row>
    <row r="5" spans="1:7" x14ac:dyDescent="0.25">
      <c r="A5" t="s">
        <v>17</v>
      </c>
    </row>
    <row r="6" spans="1:7" x14ac:dyDescent="0.25">
      <c r="A6" s="5">
        <f>AVERAGE(A3:G3)</f>
        <v>0.7014285714285714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16.7109375" customWidth="1"/>
    <col min="2" max="2" width="15.140625" customWidth="1"/>
  </cols>
  <sheetData>
    <row r="1" spans="1:2" ht="45" x14ac:dyDescent="0.25">
      <c r="B1" s="6" t="s">
        <v>20</v>
      </c>
    </row>
    <row r="2" spans="1:2" x14ac:dyDescent="0.25">
      <c r="A2" t="s">
        <v>19</v>
      </c>
      <c r="B2" s="5">
        <f>Data!A6</f>
        <v>0.7014285714285714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39D7D019-5C2A-4271-A1B7-40108B3BDF9B}"/>
</file>

<file path=customXml/itemProps2.xml><?xml version="1.0" encoding="utf-8"?>
<ds:datastoreItem xmlns:ds="http://schemas.openxmlformats.org/officeDocument/2006/customXml" ds:itemID="{51BF49D9-2C81-49D8-B5AC-494AE5B21204}"/>
</file>

<file path=customXml/itemProps3.xml><?xml version="1.0" encoding="utf-8"?>
<ds:datastoreItem xmlns:ds="http://schemas.openxmlformats.org/officeDocument/2006/customXml" ds:itemID="{1ABCF131-48C0-4407-BBDA-DAB6B64D5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EoCtUH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2015-06-17T00:51:33Z</dcterms:created>
  <dcterms:modified xsi:type="dcterms:W3CDTF">2019-08-20T17:52:08Z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