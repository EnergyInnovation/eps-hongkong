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EoDfIP\"/>
    </mc:Choice>
  </mc:AlternateContent>
  <xr:revisionPtr revIDLastSave="0" documentId="13_ncr:1_{22524823-0D3A-4448-8DBE-2DA7964E966A}" xr6:coauthVersionLast="46" xr6:coauthVersionMax="46" xr10:uidLastSave="{00000000-0000-0000-0000-000000000000}"/>
  <bookViews>
    <workbookView xWindow="3810" yWindow="135" windowWidth="23805" windowHeight="15630" xr2:uid="{00000000-000D-0000-FFFF-FFFF00000000}"/>
  </bookViews>
  <sheets>
    <sheet name="About" sheetId="1" r:id="rId1"/>
    <sheet name="Table B6" sheetId="12" r:id="rId2"/>
    <sheet name="Table A1" sheetId="16" r:id="rId3"/>
    <sheet name="EoDfIP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15" l="1" a="1"/>
  <c r="B2" i="15" s="1"/>
  <c r="B3" i="15" a="1"/>
  <c r="B3" i="15" s="1"/>
  <c r="B4" i="15" a="1"/>
  <c r="B4" i="15" s="1"/>
  <c r="B5" i="15" a="1"/>
  <c r="B5" i="15" s="1"/>
  <c r="B6" i="15" a="1"/>
  <c r="B6" i="15" s="1"/>
  <c r="B7" i="15" a="1"/>
  <c r="B7" i="15" s="1"/>
  <c r="B8" i="15" a="1"/>
  <c r="B8" i="15" s="1"/>
  <c r="B9" i="15" a="1"/>
  <c r="B9" i="15" s="1"/>
  <c r="B10" i="15" a="1"/>
  <c r="B10" i="15" s="1"/>
  <c r="B11" i="15" a="1"/>
  <c r="B11" i="15" s="1"/>
  <c r="B12" i="15" a="1"/>
  <c r="B12" i="15" s="1"/>
  <c r="B14" i="15" a="1"/>
  <c r="B14" i="15" s="1"/>
  <c r="B13" i="15" s="1"/>
  <c r="B15" i="15" a="1"/>
  <c r="B15" i="15" s="1"/>
  <c r="B16" i="15" a="1"/>
  <c r="B16" i="15" s="1"/>
  <c r="B17" i="15" a="1"/>
  <c r="B17" i="15" s="1"/>
  <c r="B18" i="15" a="1"/>
  <c r="B18" i="15" s="1"/>
  <c r="B19" i="15" s="1"/>
  <c r="B20" i="15" a="1"/>
  <c r="B20" i="15" s="1"/>
  <c r="B21" i="15" a="1"/>
  <c r="B21" i="15" s="1"/>
  <c r="B22" i="15" a="1"/>
  <c r="B22" i="15" s="1"/>
  <c r="B23" i="15" a="1"/>
  <c r="B23" i="15" s="1"/>
  <c r="B24" i="15" a="1"/>
  <c r="B24" i="15" s="1"/>
  <c r="B25" i="15" a="1"/>
  <c r="B25" i="15" s="1"/>
  <c r="B26" i="15" a="1"/>
  <c r="B26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<sst xmlns="http://schemas.openxmlformats.org/spreadsheetml/2006/main" count="195" uniqueCount="104">
  <si>
    <t>Resources for the Future</t>
  </si>
  <si>
    <t>Impact of Carbon Price Policies on U.S. Industry</t>
  </si>
  <si>
    <t>Sector</t>
  </si>
  <si>
    <t>Oil mining</t>
  </si>
  <si>
    <t>Gas mining</t>
  </si>
  <si>
    <t>Coal mining</t>
  </si>
  <si>
    <t>Gas utilities</t>
  </si>
  <si>
    <t>Farms</t>
  </si>
  <si>
    <t>Forestry, fishing, etc.</t>
  </si>
  <si>
    <t>Other mining activities</t>
  </si>
  <si>
    <t>Electric utilities (including government enterprises)</t>
  </si>
  <si>
    <t>Construction</t>
  </si>
  <si>
    <t>Food</t>
  </si>
  <si>
    <t>Textile</t>
  </si>
  <si>
    <t>Apparel</t>
  </si>
  <si>
    <t>Wood and furniture</t>
  </si>
  <si>
    <t>Pulp mills</t>
  </si>
  <si>
    <t>Paper mills</t>
  </si>
  <si>
    <t>Paperboard mills</t>
  </si>
  <si>
    <t>Other papers</t>
  </si>
  <si>
    <t>Refining–LPG</t>
  </si>
  <si>
    <t>Refining–other</t>
  </si>
  <si>
    <t>Petrochemical mfg</t>
  </si>
  <si>
    <t>Other basic inorganic chemical mfg.</t>
  </si>
  <si>
    <t>Other basic organic chemical mfg.</t>
  </si>
  <si>
    <t>Plastics material and resin mfg.</t>
  </si>
  <si>
    <t>Artificial and synthetic fibers, filaments</t>
  </si>
  <si>
    <t>Fertilizer manufacturing</t>
  </si>
  <si>
    <t>Other chemical and plastics</t>
  </si>
  <si>
    <t>Other container manufacturing</t>
  </si>
  <si>
    <t>Cement manufacturing</t>
  </si>
  <si>
    <t>Lime and gypsum product mfg.</t>
  </si>
  <si>
    <t>Mineral wool manufacturing</t>
  </si>
  <si>
    <t>Other nonmetallic mineral</t>
  </si>
  <si>
    <t>Iron and steel mills, ferroalloy mfg.</t>
  </si>
  <si>
    <t>Alumina refining, primary aluminum</t>
  </si>
  <si>
    <t>Ferrous metal foundries</t>
  </si>
  <si>
    <t>Nonferrous metal foundries</t>
  </si>
  <si>
    <t>Other primary metals</t>
  </si>
  <si>
    <t>Fabricated metals</t>
  </si>
  <si>
    <t>Machinery</t>
  </si>
  <si>
    <t>Computer and electrical equipment</t>
  </si>
  <si>
    <t>Motor vehicles</t>
  </si>
  <si>
    <t>Other transportation equipment</t>
  </si>
  <si>
    <t>Miscellaneous manufacturing</t>
  </si>
  <si>
    <t>Trade</t>
  </si>
  <si>
    <t>Air transportation</t>
  </si>
  <si>
    <t>Truck transportaton</t>
  </si>
  <si>
    <t>Other transportation</t>
  </si>
  <si>
    <t>Information</t>
  </si>
  <si>
    <t>Finance and insurance</t>
  </si>
  <si>
    <t>Real estate and rental</t>
  </si>
  <si>
    <t>Business services</t>
  </si>
  <si>
    <t>Other services</t>
  </si>
  <si>
    <t>Government excluding electricity</t>
  </si>
  <si>
    <t>Notes</t>
  </si>
  <si>
    <t>Sources:</t>
  </si>
  <si>
    <t>Table B6. Demand Elasticity for Output</t>
  </si>
  <si>
    <t>Demand elasticity for output</t>
  </si>
  <si>
    <t>Elasticities</t>
  </si>
  <si>
    <t>EoDfIP Elasticities of Demand for Industrial Products</t>
  </si>
  <si>
    <t>https://media.rff.org/documents/RFF-DP-08-37.pdf</t>
  </si>
  <si>
    <t>Unit: dimensionless (elasticity)</t>
  </si>
  <si>
    <t>Elasticity</t>
  </si>
  <si>
    <t>Matching EPS Industry Category</t>
  </si>
  <si>
    <t>Petrochemical mfg.</t>
  </si>
  <si>
    <t>Glass container manufacturing</t>
  </si>
  <si>
    <t>Truck transportation</t>
  </si>
  <si>
    <t>Industry output</t>
  </si>
  <si>
    <t>Commodity output</t>
  </si>
  <si>
    <t>Commodity domestic consumption</t>
  </si>
  <si>
    <t>Tables A1 and B6</t>
  </si>
  <si>
    <t>Table A1. Value of Industry and Commodity Output from IO Tables, 2002 (million $)</t>
  </si>
  <si>
    <t>To produce weighted average elastiticies (when one EPS industry category includes multiple</t>
  </si>
  <si>
    <t>categories from RFF's document), we weight by output from the same RFF document.</t>
  </si>
  <si>
    <t>Even though these output values are old (2002 data), they are the best ones to use, because they</t>
  </si>
  <si>
    <t>have the same category breakdown as the RFF's elasticities.  This avoids another mapping step and</t>
  </si>
  <si>
    <t>guarantees output quantities to be non-overlapping, which is more important than recency</t>
  </si>
  <si>
    <t>for these particular data.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</si>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</sst>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8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2" fillId="0" borderId="0" xfId="2" applyFont="1"/>
    <xf numFmtId="0" fontId="5" fillId="0" borderId="0" xfId="2"/>
    <xf numFmtId="0" fontId="2" fillId="2" borderId="0" xfId="2" applyFont="1" applyFill="1" applyAlignment="1">
      <alignment wrapText="1"/>
    </xf>
    <xf numFmtId="0" fontId="4" fillId="0" borderId="0" xfId="2" applyFont="1"/>
    <xf numFmtId="0" fontId="7" fillId="0" borderId="0" xfId="1" applyFont="1"/>
    <xf numFmtId="0" fontId="6" fillId="0" borderId="0" xfId="0" applyFont="1"/>
    <xf numFmtId="164" fontId="0" fillId="0" borderId="0" xfId="0" applyNumberFormat="1"/>
    <xf numFmtId="0" fontId="5" fillId="0" borderId="0" xfId="2" applyAlignment="1">
      <alignment horizontal="center"/>
    </xf>
    <xf numFmtId="0" fontId="2" fillId="2" borderId="0" xfId="2" applyFont="1" applyFill="1" applyAlignment="1">
      <alignment horizontal="center" wrapText="1"/>
    </xf>
    <xf numFmtId="0" fontId="2" fillId="3" borderId="0" xfId="2" applyFont="1" applyFill="1" applyAlignment="1">
      <alignment horizontal="left" wrapText="1"/>
    </xf>
    <xf numFmtId="3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 wrapText="1"/>
    </xf>
    <xf numFmtId="164" fontId="0" fillId="3" borderId="0" xfId="0" applyNumberFormat="1" applyFill="1"/>
  </cellXfs>
  <cellStyles count="5">
    <cellStyle name="Hyperlink" xfId="1" builtinId="8"/>
    <cellStyle name="Normal" xfId="0" builtinId="0"/>
    <cellStyle name="Normal 2" xfId="2" xr:uid="{00000000-0005-0000-0000-000002000000}"/>
    <cellStyle name="Normal 2 2" xfId="4" xr:uid="{7F43638D-0DDD-4B3E-A149-86EFB7478AD6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RowHeight="15" x14ac:dyDescent="0.25"/>
  <cols>
    <col min="1" max="1" width="11.5703125" customWidth="1"/>
    <col min="2" max="2" width="78.7109375" customWidth="1"/>
  </cols>
  <sheetData>
    <row r="1" spans="1:2" x14ac:dyDescent="0.25">
      <c r="A1" s="1" t="s">
        <v>60</v>
      </c>
    </row>
    <row r="3" spans="1:2" ht="15.75" x14ac:dyDescent="0.25">
      <c r="A3" s="2" t="s">
        <v>56</v>
      </c>
      <c r="B3" s="4" t="s">
        <v>59</v>
      </c>
    </row>
    <row r="4" spans="1:2" x14ac:dyDescent="0.25">
      <c r="B4" t="s">
        <v>0</v>
      </c>
    </row>
    <row r="5" spans="1:2" x14ac:dyDescent="0.25">
      <c r="B5" s="3">
        <v>2008</v>
      </c>
    </row>
    <row r="6" spans="1:2" x14ac:dyDescent="0.25">
      <c r="B6" t="s">
        <v>1</v>
      </c>
    </row>
    <row r="7" spans="1:2" x14ac:dyDescent="0.25">
      <c r="B7" s="9" t="s">
        <v>61</v>
      </c>
    </row>
    <row r="8" spans="1:2" x14ac:dyDescent="0.25">
      <c r="B8" t="s">
        <v>71</v>
      </c>
    </row>
    <row r="10" spans="1:2" x14ac:dyDescent="0.25">
      <c r="A10" s="1" t="s">
        <v>55</v>
      </c>
    </row>
    <row r="11" spans="1:2" s="8" customFormat="1" x14ac:dyDescent="0.25">
      <c r="A11" s="8" t="s">
        <v>73</v>
      </c>
    </row>
    <row r="12" spans="1:2" x14ac:dyDescent="0.25">
      <c r="A12" t="s">
        <v>74</v>
      </c>
    </row>
    <row r="13" spans="1:2" x14ac:dyDescent="0.25">
      <c r="A13" t="s">
        <v>75</v>
      </c>
    </row>
    <row r="14" spans="1:2" x14ac:dyDescent="0.25">
      <c r="A14" t="s">
        <v>76</v>
      </c>
    </row>
    <row r="15" spans="1:2" x14ac:dyDescent="0.25">
      <c r="A15" t="s">
        <v>77</v>
      </c>
    </row>
    <row r="16" spans="1:2" x14ac:dyDescent="0.25">
      <c r="A16" t="s">
        <v>78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4"/>
  <sheetViews>
    <sheetView workbookViewId="0">
      <pane ySplit="2" topLeftCell="A3" activePane="bottomLeft" state="frozen"/>
      <selection pane="bottomLeft"/>
    </sheetView>
  </sheetViews>
  <sheetFormatPr defaultColWidth="12.5703125" defaultRowHeight="15.75" x14ac:dyDescent="0.25"/>
  <cols>
    <col min="1" max="1" width="49.85546875" style="6" customWidth="1"/>
    <col min="2" max="2" width="20.7109375" style="12" customWidth="1"/>
    <col min="3" max="3" width="35.85546875" style="12" customWidth="1"/>
    <col min="4" max="16384" width="12.5703125" style="6"/>
  </cols>
  <sheetData>
    <row r="1" spans="1:3" x14ac:dyDescent="0.25">
      <c r="A1" s="5" t="s">
        <v>57</v>
      </c>
    </row>
    <row r="2" spans="1:3" ht="31.5" x14ac:dyDescent="0.25">
      <c r="A2" s="7" t="s">
        <v>2</v>
      </c>
      <c r="B2" s="13" t="s">
        <v>58</v>
      </c>
      <c r="C2" s="14" t="s">
        <v>64</v>
      </c>
    </row>
    <row r="3" spans="1:3" x14ac:dyDescent="0.25">
      <c r="A3" s="6" t="s">
        <v>7</v>
      </c>
      <c r="B3" s="12">
        <v>-0.81200000000000006</v>
      </c>
      <c r="C3" t="s">
        <v>79</v>
      </c>
    </row>
    <row r="4" spans="1:3" x14ac:dyDescent="0.25">
      <c r="A4" s="6" t="s">
        <v>8</v>
      </c>
      <c r="B4" s="12">
        <v>-0.81200000000000006</v>
      </c>
      <c r="C4" t="s">
        <v>79</v>
      </c>
    </row>
    <row r="5" spans="1:3" x14ac:dyDescent="0.25">
      <c r="A5" s="6" t="s">
        <v>3</v>
      </c>
      <c r="B5" s="12">
        <v>-0.29599999999999999</v>
      </c>
      <c r="C5" t="s">
        <v>81</v>
      </c>
    </row>
    <row r="6" spans="1:3" x14ac:dyDescent="0.25">
      <c r="A6" s="6" t="s">
        <v>4</v>
      </c>
      <c r="B6" s="12">
        <v>-0.29599999999999999</v>
      </c>
      <c r="C6" t="s">
        <v>81</v>
      </c>
    </row>
    <row r="7" spans="1:3" x14ac:dyDescent="0.25">
      <c r="A7" s="6" t="s">
        <v>5</v>
      </c>
      <c r="B7" s="12">
        <v>-0.106</v>
      </c>
      <c r="C7" t="s">
        <v>80</v>
      </c>
    </row>
    <row r="8" spans="1:3" x14ac:dyDescent="0.25">
      <c r="A8" s="6" t="s">
        <v>9</v>
      </c>
      <c r="B8" s="12">
        <v>-0.63300000000000001</v>
      </c>
      <c r="C8" t="s">
        <v>82</v>
      </c>
    </row>
    <row r="9" spans="1:3" x14ac:dyDescent="0.25">
      <c r="A9" s="6" t="s">
        <v>10</v>
      </c>
      <c r="B9" s="12">
        <v>-0.16</v>
      </c>
    </row>
    <row r="10" spans="1:3" x14ac:dyDescent="0.25">
      <c r="A10" s="6" t="s">
        <v>6</v>
      </c>
      <c r="B10" s="12">
        <v>-0.56599999999999995</v>
      </c>
      <c r="C10" t="s">
        <v>101</v>
      </c>
    </row>
    <row r="11" spans="1:3" x14ac:dyDescent="0.25">
      <c r="A11" s="6" t="s">
        <v>11</v>
      </c>
      <c r="B11" s="12">
        <v>-0.77400000000000002</v>
      </c>
      <c r="C11" t="s">
        <v>103</v>
      </c>
    </row>
    <row r="12" spans="1:3" x14ac:dyDescent="0.25">
      <c r="A12" s="6" t="s">
        <v>12</v>
      </c>
      <c r="B12" s="12">
        <v>-0.63800000000000001</v>
      </c>
      <c r="C12" t="s">
        <v>83</v>
      </c>
    </row>
    <row r="13" spans="1:3" x14ac:dyDescent="0.25">
      <c r="A13" s="6" t="s">
        <v>13</v>
      </c>
      <c r="B13" s="12">
        <v>-1.139</v>
      </c>
      <c r="C13" t="s">
        <v>84</v>
      </c>
    </row>
    <row r="14" spans="1:3" x14ac:dyDescent="0.25">
      <c r="A14" s="6" t="s">
        <v>14</v>
      </c>
      <c r="B14" s="12">
        <v>-2.4180000000000001</v>
      </c>
      <c r="C14" t="s">
        <v>84</v>
      </c>
    </row>
    <row r="15" spans="1:3" x14ac:dyDescent="0.25">
      <c r="A15" s="6" t="s">
        <v>15</v>
      </c>
      <c r="B15" s="12">
        <v>-0.69799999999999995</v>
      </c>
      <c r="C15" t="s">
        <v>85</v>
      </c>
    </row>
    <row r="16" spans="1:3" x14ac:dyDescent="0.25">
      <c r="A16" s="6" t="s">
        <v>16</v>
      </c>
      <c r="B16" s="12">
        <v>-0.69799999999999995</v>
      </c>
      <c r="C16" t="s">
        <v>86</v>
      </c>
    </row>
    <row r="17" spans="1:3" x14ac:dyDescent="0.25">
      <c r="A17" s="6" t="s">
        <v>17</v>
      </c>
      <c r="B17" s="12">
        <v>-0.69799999999999995</v>
      </c>
      <c r="C17" t="s">
        <v>86</v>
      </c>
    </row>
    <row r="18" spans="1:3" x14ac:dyDescent="0.25">
      <c r="A18" s="6" t="s">
        <v>18</v>
      </c>
      <c r="B18" s="12">
        <v>-0.69799999999999995</v>
      </c>
      <c r="C18" t="s">
        <v>86</v>
      </c>
    </row>
    <row r="19" spans="1:3" x14ac:dyDescent="0.25">
      <c r="A19" s="6" t="s">
        <v>19</v>
      </c>
      <c r="B19" s="12">
        <v>-0.69799999999999995</v>
      </c>
      <c r="C19" t="s">
        <v>86</v>
      </c>
    </row>
    <row r="20" spans="1:3" x14ac:dyDescent="0.25">
      <c r="A20" s="6" t="s">
        <v>20</v>
      </c>
      <c r="B20" s="12">
        <v>-7.0999999999999994E-2</v>
      </c>
      <c r="C20" t="s">
        <v>87</v>
      </c>
    </row>
    <row r="21" spans="1:3" x14ac:dyDescent="0.25">
      <c r="A21" s="6" t="s">
        <v>21</v>
      </c>
      <c r="B21" s="12">
        <v>-7.0999999999999994E-2</v>
      </c>
      <c r="C21" t="s">
        <v>87</v>
      </c>
    </row>
    <row r="22" spans="1:3" x14ac:dyDescent="0.25">
      <c r="A22" s="6" t="s">
        <v>22</v>
      </c>
      <c r="B22" s="12">
        <v>-0.98699999999999999</v>
      </c>
      <c r="C22" t="s">
        <v>88</v>
      </c>
    </row>
    <row r="23" spans="1:3" x14ac:dyDescent="0.25">
      <c r="A23" s="6" t="s">
        <v>23</v>
      </c>
      <c r="B23" s="12">
        <v>-0.98699999999999999</v>
      </c>
      <c r="C23" t="s">
        <v>88</v>
      </c>
    </row>
    <row r="24" spans="1:3" x14ac:dyDescent="0.25">
      <c r="A24" s="6" t="s">
        <v>24</v>
      </c>
      <c r="B24" s="12">
        <v>-0.98699999999999999</v>
      </c>
      <c r="C24" t="s">
        <v>88</v>
      </c>
    </row>
    <row r="25" spans="1:3" x14ac:dyDescent="0.25">
      <c r="A25" s="6" t="s">
        <v>25</v>
      </c>
      <c r="B25" s="12">
        <v>-0.98699999999999999</v>
      </c>
      <c r="C25" t="s">
        <v>88</v>
      </c>
    </row>
    <row r="26" spans="1:3" x14ac:dyDescent="0.25">
      <c r="A26" s="6" t="s">
        <v>26</v>
      </c>
      <c r="B26" s="12">
        <v>-0.98699999999999999</v>
      </c>
      <c r="C26" t="s">
        <v>88</v>
      </c>
    </row>
    <row r="27" spans="1:3" x14ac:dyDescent="0.25">
      <c r="A27" s="6" t="s">
        <v>27</v>
      </c>
      <c r="B27" s="12">
        <v>-0.98699999999999999</v>
      </c>
      <c r="C27" t="s">
        <v>88</v>
      </c>
    </row>
    <row r="28" spans="1:3" x14ac:dyDescent="0.25">
      <c r="A28" s="6" t="s">
        <v>28</v>
      </c>
      <c r="B28" s="12">
        <v>-0.98699999999999999</v>
      </c>
      <c r="C28" t="s">
        <v>89</v>
      </c>
    </row>
    <row r="29" spans="1:3" x14ac:dyDescent="0.25">
      <c r="A29" s="6" t="s">
        <v>29</v>
      </c>
      <c r="B29" s="12">
        <v>-0.82699999999999996</v>
      </c>
      <c r="C29" t="s">
        <v>89</v>
      </c>
    </row>
    <row r="30" spans="1:3" x14ac:dyDescent="0.25">
      <c r="A30" s="6" t="s">
        <v>30</v>
      </c>
      <c r="B30" s="12">
        <v>-0.82699999999999996</v>
      </c>
      <c r="C30" t="s">
        <v>91</v>
      </c>
    </row>
    <row r="31" spans="1:3" x14ac:dyDescent="0.25">
      <c r="A31" s="6" t="s">
        <v>31</v>
      </c>
      <c r="B31" s="12">
        <v>-0.82699999999999996</v>
      </c>
      <c r="C31" t="s">
        <v>91</v>
      </c>
    </row>
    <row r="32" spans="1:3" x14ac:dyDescent="0.25">
      <c r="A32" s="6" t="s">
        <v>32</v>
      </c>
      <c r="B32" s="12">
        <v>-0.82699999999999996</v>
      </c>
      <c r="C32" t="s">
        <v>91</v>
      </c>
    </row>
    <row r="33" spans="1:3" x14ac:dyDescent="0.25">
      <c r="A33" s="6" t="s">
        <v>33</v>
      </c>
      <c r="B33" s="12">
        <v>-0.82699999999999996</v>
      </c>
      <c r="C33" t="s">
        <v>91</v>
      </c>
    </row>
    <row r="34" spans="1:3" x14ac:dyDescent="0.25">
      <c r="A34" s="6" t="s">
        <v>34</v>
      </c>
      <c r="B34" s="12">
        <v>-0.95299999999999996</v>
      </c>
      <c r="C34" t="s">
        <v>92</v>
      </c>
    </row>
    <row r="35" spans="1:3" x14ac:dyDescent="0.25">
      <c r="A35" s="6" t="s">
        <v>35</v>
      </c>
      <c r="B35" s="12">
        <v>-0.95299999999999996</v>
      </c>
      <c r="C35" t="s">
        <v>93</v>
      </c>
    </row>
    <row r="36" spans="1:3" x14ac:dyDescent="0.25">
      <c r="A36" s="6" t="s">
        <v>36</v>
      </c>
      <c r="B36" s="12">
        <v>-0.95299999999999996</v>
      </c>
      <c r="C36" t="s">
        <v>92</v>
      </c>
    </row>
    <row r="37" spans="1:3" x14ac:dyDescent="0.25">
      <c r="A37" s="6" t="s">
        <v>37</v>
      </c>
      <c r="B37" s="12">
        <v>-0.95299999999999996</v>
      </c>
      <c r="C37" t="s">
        <v>93</v>
      </c>
    </row>
    <row r="38" spans="1:3" x14ac:dyDescent="0.25">
      <c r="A38" s="6" t="s">
        <v>38</v>
      </c>
      <c r="B38" s="12">
        <v>-0.95299999999999996</v>
      </c>
      <c r="C38" t="s">
        <v>93</v>
      </c>
    </row>
    <row r="39" spans="1:3" x14ac:dyDescent="0.25">
      <c r="A39" s="6" t="s">
        <v>39</v>
      </c>
      <c r="B39" s="12">
        <v>-0.505</v>
      </c>
      <c r="C39" t="s">
        <v>94</v>
      </c>
    </row>
    <row r="40" spans="1:3" x14ac:dyDescent="0.25">
      <c r="A40" s="6" t="s">
        <v>40</v>
      </c>
      <c r="B40" s="12">
        <v>-1.6619999999999999</v>
      </c>
      <c r="C40" t="s">
        <v>97</v>
      </c>
    </row>
    <row r="41" spans="1:3" x14ac:dyDescent="0.25">
      <c r="A41" s="6" t="s">
        <v>41</v>
      </c>
      <c r="B41" s="12">
        <v>-2.5960000000000001</v>
      </c>
      <c r="C41" t="s">
        <v>95</v>
      </c>
    </row>
    <row r="42" spans="1:3" x14ac:dyDescent="0.25">
      <c r="A42" s="6" t="s">
        <v>42</v>
      </c>
      <c r="B42" s="12">
        <v>-2.4849999999999999</v>
      </c>
      <c r="C42" t="s">
        <v>98</v>
      </c>
    </row>
    <row r="43" spans="1:3" x14ac:dyDescent="0.25">
      <c r="A43" s="6" t="s">
        <v>43</v>
      </c>
      <c r="B43" s="12">
        <v>-2.4849999999999999</v>
      </c>
      <c r="C43" t="s">
        <v>99</v>
      </c>
    </row>
    <row r="44" spans="1:3" x14ac:dyDescent="0.25">
      <c r="A44" s="6" t="s">
        <v>44</v>
      </c>
      <c r="B44" s="12">
        <v>-1.6619999999999999</v>
      </c>
      <c r="C44" t="s">
        <v>100</v>
      </c>
    </row>
    <row r="45" spans="1:3" x14ac:dyDescent="0.25">
      <c r="A45" s="6" t="s">
        <v>45</v>
      </c>
      <c r="B45" s="12">
        <v>-0.745</v>
      </c>
    </row>
    <row r="46" spans="1:3" x14ac:dyDescent="0.25">
      <c r="A46" s="6" t="s">
        <v>46</v>
      </c>
      <c r="B46" s="12">
        <v>-0.83299999999999996</v>
      </c>
    </row>
    <row r="47" spans="1:3" x14ac:dyDescent="0.25">
      <c r="A47" s="6" t="s">
        <v>47</v>
      </c>
      <c r="B47" s="12">
        <v>-0.83299999999999996</v>
      </c>
    </row>
    <row r="48" spans="1:3" x14ac:dyDescent="0.25">
      <c r="A48" s="6" t="s">
        <v>48</v>
      </c>
      <c r="B48" s="12">
        <v>-0.83299999999999996</v>
      </c>
    </row>
    <row r="49" spans="1:2" x14ac:dyDescent="0.25">
      <c r="A49" s="6" t="s">
        <v>49</v>
      </c>
      <c r="B49" s="12">
        <v>-0.745</v>
      </c>
    </row>
    <row r="50" spans="1:2" x14ac:dyDescent="0.25">
      <c r="A50" s="6" t="s">
        <v>50</v>
      </c>
      <c r="B50" s="12">
        <v>-0.745</v>
      </c>
    </row>
    <row r="51" spans="1:2" x14ac:dyDescent="0.25">
      <c r="A51" s="6" t="s">
        <v>51</v>
      </c>
      <c r="B51" s="12">
        <v>-0.745</v>
      </c>
    </row>
    <row r="52" spans="1:2" x14ac:dyDescent="0.25">
      <c r="A52" s="6" t="s">
        <v>52</v>
      </c>
      <c r="B52" s="12">
        <v>-0.745</v>
      </c>
    </row>
    <row r="53" spans="1:2" x14ac:dyDescent="0.25">
      <c r="A53" s="6" t="s">
        <v>53</v>
      </c>
      <c r="B53" s="12">
        <v>-0.745</v>
      </c>
    </row>
    <row r="54" spans="1:2" x14ac:dyDescent="0.25">
      <c r="A54" s="6" t="s">
        <v>54</v>
      </c>
      <c r="B54" s="12">
        <v>-0.745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629E-3519-40AD-AC41-C9D8B52341AE}">
  <dimension ref="A1:D54"/>
  <sheetViews>
    <sheetView workbookViewId="0"/>
  </sheetViews>
  <sheetFormatPr defaultRowHeight="15" x14ac:dyDescent="0.25"/>
  <cols>
    <col min="1" max="1" width="59.42578125" customWidth="1"/>
    <col min="2" max="4" width="20.28515625" customWidth="1"/>
  </cols>
  <sheetData>
    <row r="1" spans="1:4" ht="15.75" x14ac:dyDescent="0.25">
      <c r="A1" s="5" t="s">
        <v>72</v>
      </c>
    </row>
    <row r="2" spans="1:4" ht="30" x14ac:dyDescent="0.25">
      <c r="A2" s="16" t="s">
        <v>2</v>
      </c>
      <c r="B2" s="17" t="s">
        <v>68</v>
      </c>
      <c r="C2" s="17" t="s">
        <v>69</v>
      </c>
      <c r="D2" s="17" t="s">
        <v>70</v>
      </c>
    </row>
    <row r="3" spans="1:4" x14ac:dyDescent="0.25">
      <c r="A3" t="s">
        <v>7</v>
      </c>
      <c r="B3" s="15">
        <v>177337</v>
      </c>
      <c r="C3" s="15">
        <v>171482</v>
      </c>
      <c r="D3" s="15">
        <v>168532</v>
      </c>
    </row>
    <row r="4" spans="1:4" x14ac:dyDescent="0.25">
      <c r="A4" t="s">
        <v>8</v>
      </c>
      <c r="B4" s="15">
        <v>34382</v>
      </c>
      <c r="C4" s="15">
        <v>41502</v>
      </c>
      <c r="D4" s="15">
        <v>48460</v>
      </c>
    </row>
    <row r="5" spans="1:4" x14ac:dyDescent="0.25">
      <c r="A5" t="s">
        <v>3</v>
      </c>
      <c r="B5" s="15">
        <v>61093</v>
      </c>
      <c r="C5" s="15">
        <v>51295</v>
      </c>
      <c r="D5" s="15">
        <v>126146</v>
      </c>
    </row>
    <row r="6" spans="1:4" x14ac:dyDescent="0.25">
      <c r="A6" t="s">
        <v>4</v>
      </c>
      <c r="B6" s="15">
        <v>41144</v>
      </c>
      <c r="C6" s="15">
        <v>35996</v>
      </c>
      <c r="D6" s="15">
        <v>52569</v>
      </c>
    </row>
    <row r="7" spans="1:4" x14ac:dyDescent="0.25">
      <c r="A7" t="s">
        <v>5</v>
      </c>
      <c r="B7" s="15">
        <v>19269</v>
      </c>
      <c r="C7" s="15">
        <v>19172</v>
      </c>
      <c r="D7" s="15">
        <v>18881</v>
      </c>
    </row>
    <row r="8" spans="1:4" x14ac:dyDescent="0.25">
      <c r="A8" t="s">
        <v>9</v>
      </c>
      <c r="B8" s="15">
        <v>57139</v>
      </c>
      <c r="C8" s="15">
        <v>57729</v>
      </c>
      <c r="D8" s="15">
        <v>56813</v>
      </c>
    </row>
    <row r="9" spans="1:4" x14ac:dyDescent="0.25">
      <c r="A9" t="s">
        <v>10</v>
      </c>
      <c r="B9" s="15">
        <v>259603</v>
      </c>
      <c r="C9" s="15">
        <v>250078</v>
      </c>
      <c r="D9" s="15">
        <v>250852</v>
      </c>
    </row>
    <row r="10" spans="1:4" x14ac:dyDescent="0.25">
      <c r="A10" t="s">
        <v>6</v>
      </c>
      <c r="B10" s="15">
        <v>82614</v>
      </c>
      <c r="C10" s="15">
        <v>92965</v>
      </c>
      <c r="D10" s="15">
        <v>92926</v>
      </c>
    </row>
    <row r="11" spans="1:4" x14ac:dyDescent="0.25">
      <c r="A11" t="s">
        <v>11</v>
      </c>
      <c r="B11" s="15">
        <v>966919</v>
      </c>
      <c r="C11" s="15">
        <v>1031693</v>
      </c>
      <c r="D11" s="15">
        <v>1031627</v>
      </c>
    </row>
    <row r="12" spans="1:4" x14ac:dyDescent="0.25">
      <c r="A12" t="s">
        <v>12</v>
      </c>
      <c r="B12" s="15">
        <v>470396</v>
      </c>
      <c r="C12" s="15">
        <v>474835</v>
      </c>
      <c r="D12" s="15">
        <v>486680</v>
      </c>
    </row>
    <row r="13" spans="1:4" x14ac:dyDescent="0.25">
      <c r="A13" t="s">
        <v>13</v>
      </c>
      <c r="B13" s="15">
        <v>59670</v>
      </c>
      <c r="C13" s="15">
        <v>53357</v>
      </c>
      <c r="D13" s="15">
        <v>62447</v>
      </c>
    </row>
    <row r="14" spans="1:4" x14ac:dyDescent="0.25">
      <c r="A14" t="s">
        <v>14</v>
      </c>
      <c r="B14" s="15">
        <v>44078</v>
      </c>
      <c r="C14" s="15">
        <v>41737</v>
      </c>
      <c r="D14" s="15">
        <v>133149</v>
      </c>
    </row>
    <row r="15" spans="1:4" x14ac:dyDescent="0.25">
      <c r="A15" t="s">
        <v>15</v>
      </c>
      <c r="B15" s="15">
        <v>136132</v>
      </c>
      <c r="C15" s="15">
        <v>133874</v>
      </c>
      <c r="D15" s="15">
        <v>164005</v>
      </c>
    </row>
    <row r="16" spans="1:4" x14ac:dyDescent="0.25">
      <c r="A16" t="s">
        <v>16</v>
      </c>
      <c r="B16" s="15">
        <v>3443</v>
      </c>
      <c r="C16" s="15">
        <v>5197</v>
      </c>
      <c r="D16" s="15">
        <v>5177</v>
      </c>
    </row>
    <row r="17" spans="1:4" x14ac:dyDescent="0.25">
      <c r="A17" t="s">
        <v>17</v>
      </c>
      <c r="B17" s="15">
        <v>45319</v>
      </c>
      <c r="C17" s="15">
        <v>45945</v>
      </c>
      <c r="D17" s="15">
        <v>52514</v>
      </c>
    </row>
    <row r="18" spans="1:4" x14ac:dyDescent="0.25">
      <c r="A18" t="s">
        <v>18</v>
      </c>
      <c r="B18" s="15">
        <v>21095</v>
      </c>
      <c r="C18" s="15">
        <v>19847</v>
      </c>
      <c r="D18" s="15">
        <v>19882</v>
      </c>
    </row>
    <row r="19" spans="1:4" x14ac:dyDescent="0.25">
      <c r="A19" t="s">
        <v>19</v>
      </c>
      <c r="B19" s="15">
        <v>173273</v>
      </c>
      <c r="C19" s="15">
        <v>145200</v>
      </c>
      <c r="D19" s="15">
        <v>145197</v>
      </c>
    </row>
    <row r="20" spans="1:4" x14ac:dyDescent="0.25">
      <c r="A20" t="s">
        <v>20</v>
      </c>
      <c r="B20" s="15">
        <v>21023</v>
      </c>
      <c r="C20" s="15">
        <v>15558</v>
      </c>
      <c r="D20" s="15">
        <v>15558</v>
      </c>
    </row>
    <row r="21" spans="1:4" x14ac:dyDescent="0.25">
      <c r="A21" t="s">
        <v>21</v>
      </c>
      <c r="B21" s="15">
        <v>169836</v>
      </c>
      <c r="C21" s="15">
        <v>177511</v>
      </c>
      <c r="D21" s="15">
        <v>191641</v>
      </c>
    </row>
    <row r="22" spans="1:4" x14ac:dyDescent="0.25">
      <c r="A22" t="s">
        <v>65</v>
      </c>
      <c r="B22" s="15">
        <v>14743</v>
      </c>
      <c r="C22" s="15">
        <v>18531</v>
      </c>
      <c r="D22" s="15">
        <v>18270</v>
      </c>
    </row>
    <row r="23" spans="1:4" x14ac:dyDescent="0.25">
      <c r="A23" t="s">
        <v>23</v>
      </c>
      <c r="B23" s="15">
        <v>15177</v>
      </c>
      <c r="C23" s="15">
        <v>17270</v>
      </c>
      <c r="D23" s="15">
        <v>17745</v>
      </c>
    </row>
    <row r="24" spans="1:4" x14ac:dyDescent="0.25">
      <c r="A24" t="s">
        <v>24</v>
      </c>
      <c r="B24" s="15">
        <v>47573</v>
      </c>
      <c r="C24" s="15">
        <v>49531</v>
      </c>
      <c r="D24" s="15">
        <v>47725</v>
      </c>
    </row>
    <row r="25" spans="1:4" x14ac:dyDescent="0.25">
      <c r="A25" t="s">
        <v>25</v>
      </c>
      <c r="B25" s="15">
        <v>44832</v>
      </c>
      <c r="C25" s="15">
        <v>44611</v>
      </c>
      <c r="D25" s="15">
        <v>38808</v>
      </c>
    </row>
    <row r="26" spans="1:4" x14ac:dyDescent="0.25">
      <c r="A26" t="s">
        <v>26</v>
      </c>
      <c r="B26" s="15">
        <v>7651</v>
      </c>
      <c r="C26" s="15">
        <v>12359</v>
      </c>
      <c r="D26" s="15">
        <v>12508</v>
      </c>
    </row>
    <row r="27" spans="1:4" x14ac:dyDescent="0.25">
      <c r="A27" t="s">
        <v>27</v>
      </c>
      <c r="B27" s="15">
        <v>8239</v>
      </c>
      <c r="C27" s="15">
        <v>8575</v>
      </c>
      <c r="D27" s="15">
        <v>9195</v>
      </c>
    </row>
    <row r="28" spans="1:4" x14ac:dyDescent="0.25">
      <c r="A28" t="s">
        <v>28</v>
      </c>
      <c r="B28" s="15">
        <v>403058</v>
      </c>
      <c r="C28" s="15">
        <v>398920</v>
      </c>
      <c r="D28" s="15">
        <v>448400</v>
      </c>
    </row>
    <row r="29" spans="1:4" x14ac:dyDescent="0.25">
      <c r="A29" t="s">
        <v>66</v>
      </c>
      <c r="B29" s="15">
        <v>4367</v>
      </c>
      <c r="C29" s="15">
        <v>4361</v>
      </c>
      <c r="D29" s="15">
        <v>4861</v>
      </c>
    </row>
    <row r="30" spans="1:4" x14ac:dyDescent="0.25">
      <c r="A30" t="s">
        <v>30</v>
      </c>
      <c r="B30" s="15">
        <v>7058</v>
      </c>
      <c r="C30" s="15">
        <v>7022</v>
      </c>
      <c r="D30" s="15">
        <v>8132</v>
      </c>
    </row>
    <row r="31" spans="1:4" x14ac:dyDescent="0.25">
      <c r="A31" t="s">
        <v>31</v>
      </c>
      <c r="B31" s="15">
        <v>4900</v>
      </c>
      <c r="C31" s="15">
        <v>4818</v>
      </c>
      <c r="D31" s="15">
        <v>4837</v>
      </c>
    </row>
    <row r="32" spans="1:4" x14ac:dyDescent="0.25">
      <c r="A32" t="s">
        <v>32</v>
      </c>
      <c r="B32" s="15">
        <v>4834</v>
      </c>
      <c r="C32" s="15">
        <v>4810</v>
      </c>
      <c r="D32" s="15">
        <v>4787</v>
      </c>
    </row>
    <row r="33" spans="1:4" x14ac:dyDescent="0.25">
      <c r="A33" t="s">
        <v>33</v>
      </c>
      <c r="B33" s="15">
        <v>67020</v>
      </c>
      <c r="C33" s="15">
        <v>65907</v>
      </c>
      <c r="D33" s="15">
        <v>74686</v>
      </c>
    </row>
    <row r="34" spans="1:4" x14ac:dyDescent="0.25">
      <c r="A34" t="s">
        <v>34</v>
      </c>
      <c r="B34" s="15">
        <v>41942</v>
      </c>
      <c r="C34" s="15">
        <v>52665</v>
      </c>
      <c r="D34" s="15">
        <v>62903</v>
      </c>
    </row>
    <row r="35" spans="1:4" x14ac:dyDescent="0.25">
      <c r="A35" t="s">
        <v>35</v>
      </c>
      <c r="B35" s="15">
        <v>18765</v>
      </c>
      <c r="C35" s="15">
        <v>18104</v>
      </c>
      <c r="D35" s="15">
        <v>22262</v>
      </c>
    </row>
    <row r="36" spans="1:4" x14ac:dyDescent="0.25">
      <c r="A36" t="s">
        <v>36</v>
      </c>
      <c r="B36" s="15">
        <v>14700</v>
      </c>
      <c r="C36" s="15">
        <v>14413</v>
      </c>
      <c r="D36" s="15">
        <v>14545</v>
      </c>
    </row>
    <row r="37" spans="1:4" x14ac:dyDescent="0.25">
      <c r="A37" t="s">
        <v>37</v>
      </c>
      <c r="B37" s="15">
        <v>11420</v>
      </c>
      <c r="C37" s="15">
        <v>11158</v>
      </c>
      <c r="D37" s="15">
        <v>11142</v>
      </c>
    </row>
    <row r="38" spans="1:4" x14ac:dyDescent="0.25">
      <c r="A38" t="s">
        <v>38</v>
      </c>
      <c r="B38" s="15">
        <v>28403</v>
      </c>
      <c r="C38" s="15">
        <v>21628</v>
      </c>
      <c r="D38" s="15">
        <v>29823</v>
      </c>
    </row>
    <row r="39" spans="1:4" x14ac:dyDescent="0.25">
      <c r="A39" t="s">
        <v>39</v>
      </c>
      <c r="B39" s="15">
        <v>219291</v>
      </c>
      <c r="C39" s="15">
        <v>212025</v>
      </c>
      <c r="D39" s="15">
        <v>225327</v>
      </c>
    </row>
    <row r="40" spans="1:4" x14ac:dyDescent="0.25">
      <c r="A40" t="s">
        <v>40</v>
      </c>
      <c r="B40" s="15">
        <v>221635</v>
      </c>
      <c r="C40" s="15">
        <v>221818</v>
      </c>
      <c r="D40" s="15">
        <v>228125</v>
      </c>
    </row>
    <row r="41" spans="1:4" x14ac:dyDescent="0.25">
      <c r="A41" t="s">
        <v>41</v>
      </c>
      <c r="B41" s="15">
        <v>363578</v>
      </c>
      <c r="C41" s="15">
        <v>352482</v>
      </c>
      <c r="D41" s="15">
        <v>466241</v>
      </c>
    </row>
    <row r="42" spans="1:4" x14ac:dyDescent="0.25">
      <c r="A42" t="s">
        <v>42</v>
      </c>
      <c r="B42" s="15">
        <v>326173</v>
      </c>
      <c r="C42" s="15">
        <v>323386</v>
      </c>
      <c r="D42" s="15">
        <v>450146</v>
      </c>
    </row>
    <row r="43" spans="1:4" x14ac:dyDescent="0.25">
      <c r="A43" t="s">
        <v>43</v>
      </c>
      <c r="B43" s="15">
        <v>134524</v>
      </c>
      <c r="C43" s="15">
        <v>131718</v>
      </c>
      <c r="D43" s="15">
        <v>105557</v>
      </c>
    </row>
    <row r="44" spans="1:4" x14ac:dyDescent="0.25">
      <c r="A44" t="s">
        <v>44</v>
      </c>
      <c r="B44" s="15">
        <v>115134</v>
      </c>
      <c r="C44" s="15">
        <v>112248</v>
      </c>
      <c r="D44" s="15">
        <v>158471</v>
      </c>
    </row>
    <row r="45" spans="1:4" x14ac:dyDescent="0.25">
      <c r="A45" t="s">
        <v>45</v>
      </c>
      <c r="B45" s="15">
        <v>1850478</v>
      </c>
      <c r="C45" s="15">
        <v>1733304</v>
      </c>
      <c r="D45" s="15">
        <v>1645222</v>
      </c>
    </row>
    <row r="46" spans="1:4" x14ac:dyDescent="0.25">
      <c r="A46" t="s">
        <v>46</v>
      </c>
      <c r="B46" s="15">
        <v>99315</v>
      </c>
      <c r="C46" s="15">
        <v>102362</v>
      </c>
      <c r="D46" s="15">
        <v>102147</v>
      </c>
    </row>
    <row r="47" spans="1:4" x14ac:dyDescent="0.25">
      <c r="A47" t="s">
        <v>67</v>
      </c>
      <c r="B47" s="15">
        <v>194732</v>
      </c>
      <c r="C47" s="15">
        <v>200162</v>
      </c>
      <c r="D47" s="15">
        <v>187881</v>
      </c>
    </row>
    <row r="48" spans="1:4" x14ac:dyDescent="0.25">
      <c r="A48" t="s">
        <v>48</v>
      </c>
      <c r="B48" s="15">
        <v>329317</v>
      </c>
      <c r="C48" s="15">
        <v>331215</v>
      </c>
      <c r="D48" s="15">
        <v>297242</v>
      </c>
    </row>
    <row r="49" spans="1:4" x14ac:dyDescent="0.25">
      <c r="A49" t="s">
        <v>49</v>
      </c>
      <c r="B49" s="15">
        <v>824047</v>
      </c>
      <c r="C49" s="15">
        <v>648073</v>
      </c>
      <c r="D49" s="15">
        <v>625365</v>
      </c>
    </row>
    <row r="50" spans="1:4" x14ac:dyDescent="0.25">
      <c r="A50" t="s">
        <v>50</v>
      </c>
      <c r="B50" s="15">
        <v>1138654</v>
      </c>
      <c r="C50" s="15">
        <v>1083077</v>
      </c>
      <c r="D50" s="15">
        <v>1074983</v>
      </c>
    </row>
    <row r="51" spans="1:4" x14ac:dyDescent="0.25">
      <c r="A51" t="s">
        <v>51</v>
      </c>
      <c r="B51" s="15">
        <v>1931963</v>
      </c>
      <c r="C51" s="15">
        <v>1997938</v>
      </c>
      <c r="D51" s="15">
        <v>1953017</v>
      </c>
    </row>
    <row r="52" spans="1:4" x14ac:dyDescent="0.25">
      <c r="A52" t="s">
        <v>52</v>
      </c>
      <c r="B52" s="15">
        <v>1710859</v>
      </c>
      <c r="C52" s="15">
        <v>1975840</v>
      </c>
      <c r="D52" s="15">
        <v>1927957</v>
      </c>
    </row>
    <row r="53" spans="1:4" x14ac:dyDescent="0.25">
      <c r="A53" t="s">
        <v>53</v>
      </c>
      <c r="B53" s="15">
        <v>2370176</v>
      </c>
      <c r="C53" s="15">
        <v>2728059</v>
      </c>
      <c r="D53" s="15">
        <v>2729030</v>
      </c>
    </row>
    <row r="54" spans="1:4" x14ac:dyDescent="0.25">
      <c r="A54" t="s">
        <v>54</v>
      </c>
      <c r="B54" s="15">
        <v>2043064</v>
      </c>
      <c r="C54" s="15">
        <v>1682805</v>
      </c>
      <c r="D54" s="15">
        <v>1682805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9B76-B991-4D21-83C8-3140E00AB261}">
  <sheetPr>
    <tabColor theme="3"/>
  </sheetPr>
  <dimension ref="A1:B26"/>
  <sheetViews>
    <sheetView workbookViewId="0"/>
  </sheetViews>
  <sheetFormatPr defaultRowHeight="15" x14ac:dyDescent="0.25"/>
  <cols>
    <col min="1" max="1" width="47.42578125" customWidth="1"/>
    <col min="2" max="2" width="19" customWidth="1"/>
  </cols>
  <sheetData>
    <row r="1" spans="1:2" x14ac:dyDescent="0.25">
      <c r="A1" s="10" t="s">
        <v>62</v>
      </c>
      <c r="B1" s="1" t="s">
        <v>63</v>
      </c>
    </row>
    <row r="2" spans="1:2" x14ac:dyDescent="0.25">
      <c r="A2" t="s">
        <v>79</v>
      </c>
      <c r="B2" s="11" cm="1">
        <f t="array" ref="B2">IFERROR(SUMPRODUCT(--('Table B6'!$C$3:$C$54=$A2),'Table B6'!$B$3:$B$54,'Table A1'!$B$3:$B$54)/SUMIFS('Table A1'!$B$3:$B$54,'Table B6'!$C$3:$C$54,$A2),0)</f>
        <v>-0.81200000000000006</v>
      </c>
    </row>
    <row r="3" spans="1:2" x14ac:dyDescent="0.25">
      <c r="A3" t="s">
        <v>80</v>
      </c>
      <c r="B3" s="11" cm="1">
        <f t="array" ref="B3">IFERROR(SUMPRODUCT(--('Table B6'!$C$3:$C$54=$A3),'Table B6'!$B$3:$B$54,'Table A1'!$B$3:$B$54)/SUMIFS('Table A1'!$B$3:$B$54,'Table B6'!$C$3:$C$54,$A3),0)</f>
        <v>-0.106</v>
      </c>
    </row>
    <row r="4" spans="1:2" x14ac:dyDescent="0.25">
      <c r="A4" t="s">
        <v>81</v>
      </c>
      <c r="B4" s="11" cm="1">
        <f t="array" ref="B4">IFERROR(SUMPRODUCT(--('Table B6'!$C$3:$C$54=$A4),'Table B6'!$B$3:$B$54,'Table A1'!$B$3:$B$54)/SUMIFS('Table A1'!$B$3:$B$54,'Table B6'!$C$3:$C$54,$A4),0)</f>
        <v>-0.29599999999999999</v>
      </c>
    </row>
    <row r="5" spans="1:2" x14ac:dyDescent="0.25">
      <c r="A5" t="s">
        <v>82</v>
      </c>
      <c r="B5" s="11" cm="1">
        <f t="array" ref="B5">IFERROR(SUMPRODUCT(--('Table B6'!$C$3:$C$54=$A5),'Table B6'!$B$3:$B$54,'Table A1'!$B$3:$B$54)/SUMIFS('Table A1'!$B$3:$B$54,'Table B6'!$C$3:$C$54,$A5),0)</f>
        <v>-0.63300000000000001</v>
      </c>
    </row>
    <row r="6" spans="1:2" x14ac:dyDescent="0.25">
      <c r="A6" t="s">
        <v>83</v>
      </c>
      <c r="B6" s="11" cm="1">
        <f t="array" ref="B6">IFERROR(SUMPRODUCT(--('Table B6'!$C$3:$C$54=$A6),'Table B6'!$B$3:$B$54,'Table A1'!$B$3:$B$54)/SUMIFS('Table A1'!$B$3:$B$54,'Table B6'!$C$3:$C$54,$A6),0)</f>
        <v>-0.63800000000000001</v>
      </c>
    </row>
    <row r="7" spans="1:2" x14ac:dyDescent="0.25">
      <c r="A7" t="s">
        <v>84</v>
      </c>
      <c r="B7" s="11" cm="1">
        <f t="array" ref="B7">IFERROR(SUMPRODUCT(--('Table B6'!$C$3:$C$54=$A7),'Table B6'!$B$3:$B$54,'Table A1'!$B$3:$B$54)/SUMIFS('Table A1'!$B$3:$B$54,'Table B6'!$C$3:$C$54,$A7),0)</f>
        <v>-1.6823913135674904</v>
      </c>
    </row>
    <row r="8" spans="1:2" x14ac:dyDescent="0.25">
      <c r="A8" t="s">
        <v>85</v>
      </c>
      <c r="B8" s="11" cm="1">
        <f t="array" ref="B8">IFERROR(SUMPRODUCT(--('Table B6'!$C$3:$C$54=$A8),'Table B6'!$B$3:$B$54,'Table A1'!$B$3:$B$54)/SUMIFS('Table A1'!$B$3:$B$54,'Table B6'!$C$3:$C$54,$A8),0)</f>
        <v>-0.69799999999999995</v>
      </c>
    </row>
    <row r="9" spans="1:2" x14ac:dyDescent="0.25">
      <c r="A9" t="s">
        <v>86</v>
      </c>
      <c r="B9" s="11" cm="1">
        <f t="array" ref="B9">IFERROR(SUMPRODUCT(--('Table B6'!$C$3:$C$54=$A9),'Table B6'!$B$3:$B$54,'Table A1'!$B$3:$B$54)/SUMIFS('Table A1'!$B$3:$B$54,'Table B6'!$C$3:$C$54,$A9),0)</f>
        <v>-0.69799999999999995</v>
      </c>
    </row>
    <row r="10" spans="1:2" x14ac:dyDescent="0.25">
      <c r="A10" t="s">
        <v>87</v>
      </c>
      <c r="B10" s="11" cm="1">
        <f t="array" ref="B10">IFERROR(SUMPRODUCT(--('Table B6'!$C$3:$C$54=$A10),'Table B6'!$B$3:$B$54,'Table A1'!$B$3:$B$54)/SUMIFS('Table A1'!$B$3:$B$54,'Table B6'!$C$3:$C$54,$A10),0)</f>
        <v>-7.0999999999999994E-2</v>
      </c>
    </row>
    <row r="11" spans="1:2" x14ac:dyDescent="0.25">
      <c r="A11" t="s">
        <v>88</v>
      </c>
      <c r="B11" s="11" cm="1">
        <f t="array" ref="B11">IFERROR(SUMPRODUCT(--('Table B6'!$C$3:$C$54=$A11),'Table B6'!$B$3:$B$54,'Table A1'!$B$3:$B$54)/SUMIFS('Table A1'!$B$3:$B$54,'Table B6'!$C$3:$C$54,$A11),0)</f>
        <v>-0.98699999999999988</v>
      </c>
    </row>
    <row r="12" spans="1:2" x14ac:dyDescent="0.25">
      <c r="A12" t="s">
        <v>89</v>
      </c>
      <c r="B12" s="11" cm="1">
        <f t="array" ref="B12">IFERROR(SUMPRODUCT(--('Table B6'!$C$3:$C$54=$A12),'Table B6'!$B$3:$B$54,'Table A1'!$B$3:$B$54)/SUMIFS('Table A1'!$B$3:$B$54,'Table B6'!$C$3:$C$54,$A12),0)</f>
        <v>-0.98528503405534762</v>
      </c>
    </row>
    <row r="13" spans="1:2" x14ac:dyDescent="0.25">
      <c r="A13" t="s">
        <v>90</v>
      </c>
      <c r="B13" s="18">
        <f>B14</f>
        <v>-0.82699999999999985</v>
      </c>
    </row>
    <row r="14" spans="1:2" x14ac:dyDescent="0.25">
      <c r="A14" t="s">
        <v>91</v>
      </c>
      <c r="B14" s="11" cm="1">
        <f t="array" ref="B14">IFERROR(SUMPRODUCT(--('Table B6'!$C$3:$C$54=$A14),'Table B6'!$B$3:$B$54,'Table A1'!$B$3:$B$54)/SUMIFS('Table A1'!$B$3:$B$54,'Table B6'!$C$3:$C$54,$A14),0)</f>
        <v>-0.82699999999999985</v>
      </c>
    </row>
    <row r="15" spans="1:2" x14ac:dyDescent="0.25">
      <c r="A15" t="s">
        <v>92</v>
      </c>
      <c r="B15" s="11" cm="1">
        <f t="array" ref="B15">IFERROR(SUMPRODUCT(--('Table B6'!$C$3:$C$54=$A15),'Table B6'!$B$3:$B$54,'Table A1'!$B$3:$B$54)/SUMIFS('Table A1'!$B$3:$B$54,'Table B6'!$C$3:$C$54,$A15),0)</f>
        <v>-0.95299999999999985</v>
      </c>
    </row>
    <row r="16" spans="1:2" x14ac:dyDescent="0.25">
      <c r="A16" t="s">
        <v>93</v>
      </c>
      <c r="B16" s="11" cm="1">
        <f t="array" ref="B16">IFERROR(SUMPRODUCT(--('Table B6'!$C$3:$C$54=$A16),'Table B6'!$B$3:$B$54,'Table A1'!$B$3:$B$54)/SUMIFS('Table A1'!$B$3:$B$54,'Table B6'!$C$3:$C$54,$A16),0)</f>
        <v>-0.95300000000000007</v>
      </c>
    </row>
    <row r="17" spans="1:2" x14ac:dyDescent="0.25">
      <c r="A17" t="s">
        <v>94</v>
      </c>
      <c r="B17" s="11" cm="1">
        <f t="array" ref="B17">IFERROR(SUMPRODUCT(--('Table B6'!$C$3:$C$54=$A17),'Table B6'!$B$3:$B$54,'Table A1'!$B$3:$B$54)/SUMIFS('Table A1'!$B$3:$B$54,'Table B6'!$C$3:$C$54,$A17),0)</f>
        <v>-0.505</v>
      </c>
    </row>
    <row r="18" spans="1:2" x14ac:dyDescent="0.25">
      <c r="A18" t="s">
        <v>95</v>
      </c>
      <c r="B18" s="11" cm="1">
        <f t="array" ref="B18">IFERROR(SUMPRODUCT(--('Table B6'!$C$3:$C$54=$A18),'Table B6'!$B$3:$B$54,'Table A1'!$B$3:$B$54)/SUMIFS('Table A1'!$B$3:$B$54,'Table B6'!$C$3:$C$54,$A18),0)</f>
        <v>-2.5960000000000001</v>
      </c>
    </row>
    <row r="19" spans="1:2" x14ac:dyDescent="0.25">
      <c r="A19" t="s">
        <v>96</v>
      </c>
      <c r="B19" s="18">
        <f>B18</f>
        <v>-2.5960000000000001</v>
      </c>
    </row>
    <row r="20" spans="1:2" x14ac:dyDescent="0.25">
      <c r="A20" t="s">
        <v>97</v>
      </c>
      <c r="B20" s="11" cm="1">
        <f t="array" ref="B20">IFERROR(SUMPRODUCT(--('Table B6'!$C$3:$C$54=$A20),'Table B6'!$B$3:$B$54,'Table A1'!$B$3:$B$54)/SUMIFS('Table A1'!$B$3:$B$54,'Table B6'!$C$3:$C$54,$A20),0)</f>
        <v>-1.6619999999999999</v>
      </c>
    </row>
    <row r="21" spans="1:2" x14ac:dyDescent="0.25">
      <c r="A21" t="s">
        <v>98</v>
      </c>
      <c r="B21" s="11" cm="1">
        <f t="array" ref="B21">IFERROR(SUMPRODUCT(--('Table B6'!$C$3:$C$54=$A21),'Table B6'!$B$3:$B$54,'Table A1'!$B$3:$B$54)/SUMIFS('Table A1'!$B$3:$B$54,'Table B6'!$C$3:$C$54,$A21),0)</f>
        <v>-2.4849999999999999</v>
      </c>
    </row>
    <row r="22" spans="1:2" x14ac:dyDescent="0.25">
      <c r="A22" t="s">
        <v>99</v>
      </c>
      <c r="B22" s="11" cm="1">
        <f t="array" ref="B22">IFERROR(SUMPRODUCT(--('Table B6'!$C$3:$C$54=$A22),'Table B6'!$B$3:$B$54,'Table A1'!$B$3:$B$54)/SUMIFS('Table A1'!$B$3:$B$54,'Table B6'!$C$3:$C$54,$A22),0)</f>
        <v>-2.4849999999999999</v>
      </c>
    </row>
    <row r="23" spans="1:2" x14ac:dyDescent="0.25">
      <c r="A23" t="s">
        <v>100</v>
      </c>
      <c r="B23" s="11" cm="1">
        <f t="array" ref="B23">IFERROR(SUMPRODUCT(--('Table B6'!$C$3:$C$54=$A23),'Table B6'!$B$3:$B$54,'Table A1'!$B$3:$B$54)/SUMIFS('Table A1'!$B$3:$B$54,'Table B6'!$C$3:$C$54,$A23),0)</f>
        <v>-1.6619999999999999</v>
      </c>
    </row>
    <row r="24" spans="1:2" x14ac:dyDescent="0.25">
      <c r="A24" t="s">
        <v>101</v>
      </c>
      <c r="B24" s="11" cm="1">
        <f t="array" ref="B24">IFERROR(SUMPRODUCT(--('Table B6'!$C$3:$C$54=$A24),'Table B6'!$B$3:$B$54,'Table A1'!$B$3:$B$54)/SUMIFS('Table A1'!$B$3:$B$54,'Table B6'!$C$3:$C$54,$A24),0)</f>
        <v>-0.56599999999999995</v>
      </c>
    </row>
    <row r="25" spans="1:2" x14ac:dyDescent="0.25">
      <c r="A25" t="s">
        <v>102</v>
      </c>
      <c r="B25" s="11" cm="1">
        <f t="array" ref="B25">IFERROR(SUMPRODUCT(--('Table B6'!$C$3:$C$54=$A25),'Table B6'!$B$3:$B$54,'Table A1'!$B$3:$B$54)/SUMIFS('Table A1'!$B$3:$B$54,'Table B6'!$C$3:$C$54,$A25),0)</f>
        <v>0</v>
      </c>
    </row>
    <row r="26" spans="1:2" x14ac:dyDescent="0.25">
      <c r="A26" t="s">
        <v>103</v>
      </c>
      <c r="B26" s="11" cm="1">
        <f t="array" ref="B26">IFERROR(SUMPRODUCT(--('Table B6'!$C$3:$C$54=$A26),'Table B6'!$B$3:$B$54,'Table A1'!$B$3:$B$54)/SUMIFS('Table A1'!$B$3:$B$54,'Table B6'!$C$3:$C$54,$A26),0)</f>
        <v>-0.77400000000000002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0BB224-BA96-4F76-B92E-6D27B3A9DF04}"/>
</file>

<file path=customXml/itemProps2.xml><?xml version="1.0" encoding="utf-8"?>
<ds:datastoreItem xmlns:ds="http://schemas.openxmlformats.org/officeDocument/2006/customXml" ds:itemID="{6C426589-A05C-4947-ADD2-11FE3DC2E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B6</vt:lpstr>
      <vt:lpstr>Table A1</vt:lpstr>
      <vt:lpstr>EoDfIP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2014-03-25T22:25:04Z</dcterms:created>
  <dcterms:modified xsi:type="dcterms:W3CDTF">2021-02-03T04:32:18Z</dcterms:modified>
</cp:coreProperties>
</file>