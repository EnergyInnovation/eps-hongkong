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indst/0 Need to Update/FoISaGPbE/"/>
    </mc:Choice>
  </mc:AlternateContent>
  <xr:revisionPtr revIDLastSave="4176" documentId="11_F50E7DBD51BB9064FC8E5DC9970DFC1A6B1D844A" xr6:coauthVersionLast="47" xr6:coauthVersionMax="47" xr10:uidLastSave="{9E0DA005-34ED-D54E-93A4-EB8BC78E5523}"/>
  <bookViews>
    <workbookView xWindow="29100" yWindow="500" windowWidth="38360" windowHeight="21100" activeTab="5" xr2:uid="{00000000-000D-0000-FFFF-FFFF00000000}"/>
  </bookViews>
  <sheets>
    <sheet name="About" sheetId="1" r:id="rId1"/>
    <sheet name="OECD Crosswalk" sheetId="20" r:id="rId2"/>
    <sheet name="OECD Data IO Table - Total (HKD" sheetId="24" r:id="rId3"/>
    <sheet name="OECD Data IO Table - Total (USD" sheetId="18" r:id="rId4"/>
    <sheet name="OECD Data IO Table - Value HKD" sheetId="25" r:id="rId5"/>
    <sheet name="OECD Data IO Table - Value USD" sheetId="19" r:id="rId6"/>
    <sheet name="OECD Data IO Table - Imports" sheetId="23" r:id="rId7"/>
    <sheet name="Calculations" sheetId="22" r:id="rId8"/>
    <sheet name="FoISaGPbE-FoGPbE" sheetId="7" r:id="rId9"/>
    <sheet name="FoISaGPbE-NIbSEaSoGO" sheetId="16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" i="25" l="1"/>
  <c r="AN11" i="25"/>
  <c r="AM12" i="25"/>
  <c r="AM11" i="25"/>
  <c r="AL12" i="25"/>
  <c r="AL11" i="25"/>
  <c r="AK12" i="25"/>
  <c r="AK11" i="25"/>
  <c r="AJ12" i="25"/>
  <c r="AJ11" i="25"/>
  <c r="AI12" i="25"/>
  <c r="AI11" i="25"/>
  <c r="AH12" i="25"/>
  <c r="AH11" i="25"/>
  <c r="AG12" i="25"/>
  <c r="AG11" i="25"/>
  <c r="AF12" i="25"/>
  <c r="AF11" i="25"/>
  <c r="AE12" i="25"/>
  <c r="AE11" i="25"/>
  <c r="AD12" i="25"/>
  <c r="AD11" i="25"/>
  <c r="AC12" i="25"/>
  <c r="AC11" i="25"/>
  <c r="AB12" i="25"/>
  <c r="AB11" i="25"/>
  <c r="AA12" i="25"/>
  <c r="AA11" i="25"/>
  <c r="Z12" i="25"/>
  <c r="Z11" i="25"/>
  <c r="Y12" i="25"/>
  <c r="Y11" i="25"/>
  <c r="X12" i="25"/>
  <c r="X11" i="25"/>
  <c r="W12" i="25"/>
  <c r="W11" i="25"/>
  <c r="V12" i="25"/>
  <c r="V11" i="25"/>
  <c r="U12" i="25"/>
  <c r="U11" i="25"/>
  <c r="T12" i="25"/>
  <c r="T11" i="25"/>
  <c r="S12" i="25"/>
  <c r="S11" i="25"/>
  <c r="R12" i="25"/>
  <c r="R11" i="25"/>
  <c r="Q12" i="25"/>
  <c r="Q11" i="25"/>
  <c r="P12" i="25"/>
  <c r="P11" i="25"/>
  <c r="O12" i="25"/>
  <c r="O11" i="25"/>
  <c r="N12" i="25"/>
  <c r="N11" i="25"/>
  <c r="M12" i="25"/>
  <c r="M11" i="25"/>
  <c r="L12" i="25"/>
  <c r="L11" i="25"/>
  <c r="K12" i="25"/>
  <c r="K11" i="25"/>
  <c r="J12" i="25"/>
  <c r="J11" i="25"/>
  <c r="I12" i="25"/>
  <c r="I11" i="25"/>
  <c r="H12" i="25"/>
  <c r="H11" i="25"/>
  <c r="G12" i="25"/>
  <c r="G11" i="25"/>
  <c r="F12" i="25"/>
  <c r="F11" i="25"/>
  <c r="E12" i="25"/>
  <c r="E11" i="25"/>
  <c r="E16" i="25"/>
  <c r="AN12" i="19"/>
  <c r="AN11" i="19"/>
  <c r="AM12" i="19"/>
  <c r="AM11" i="19"/>
  <c r="AL12" i="19"/>
  <c r="AL11" i="19"/>
  <c r="AK12" i="19"/>
  <c r="AK11" i="19"/>
  <c r="AJ12" i="19"/>
  <c r="AJ11" i="19"/>
  <c r="AI12" i="19"/>
  <c r="AI11" i="19"/>
  <c r="AH12" i="19"/>
  <c r="AH11" i="19"/>
  <c r="AG12" i="19"/>
  <c r="AG11" i="19"/>
  <c r="AF12" i="19"/>
  <c r="AF11" i="19"/>
  <c r="AE12" i="19"/>
  <c r="AE11" i="19"/>
  <c r="AD12" i="19"/>
  <c r="AD11" i="19"/>
  <c r="AC12" i="19"/>
  <c r="AC11" i="19"/>
  <c r="AB12" i="19"/>
  <c r="AB11" i="19"/>
  <c r="AA12" i="19"/>
  <c r="AA11" i="19"/>
  <c r="Z12" i="19"/>
  <c r="Z11" i="19"/>
  <c r="Y12" i="19"/>
  <c r="Y11" i="19"/>
  <c r="X12" i="19"/>
  <c r="X11" i="19"/>
  <c r="W12" i="19"/>
  <c r="W11" i="19"/>
  <c r="V12" i="19"/>
  <c r="V11" i="19"/>
  <c r="U12" i="19"/>
  <c r="U11" i="19"/>
  <c r="T12" i="19"/>
  <c r="T11" i="19"/>
  <c r="S12" i="19"/>
  <c r="S11" i="19"/>
  <c r="R12" i="19"/>
  <c r="R11" i="19"/>
  <c r="Q12" i="19"/>
  <c r="Q11" i="19"/>
  <c r="P12" i="19"/>
  <c r="P11" i="19"/>
  <c r="O12" i="19"/>
  <c r="O11" i="19"/>
  <c r="N12" i="19"/>
  <c r="N11" i="19"/>
  <c r="M12" i="19"/>
  <c r="M11" i="19"/>
  <c r="L12" i="19"/>
  <c r="L11" i="19"/>
  <c r="K12" i="19"/>
  <c r="K11" i="19"/>
  <c r="J12" i="19"/>
  <c r="J11" i="19"/>
  <c r="I12" i="19"/>
  <c r="I11" i="19"/>
  <c r="H12" i="19"/>
  <c r="H11" i="19"/>
  <c r="G13" i="19"/>
  <c r="G11" i="19"/>
  <c r="F12" i="19"/>
  <c r="F11" i="19"/>
  <c r="E12" i="19"/>
  <c r="E11" i="19"/>
  <c r="E16" i="19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E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5" i="25"/>
  <c r="C11" i="25"/>
  <c r="C10" i="25"/>
  <c r="AN3" i="25"/>
  <c r="AM3" i="25"/>
  <c r="AL3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AN2" i="25"/>
  <c r="AM2" i="25"/>
  <c r="AL2" i="25"/>
  <c r="AK2" i="25"/>
  <c r="AJ2" i="25"/>
  <c r="AI2" i="25"/>
  <c r="AH2" i="25"/>
  <c r="AG2" i="25"/>
  <c r="AF2" i="25"/>
  <c r="AE2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E1" i="25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2" i="19"/>
  <c r="G10" i="19"/>
  <c r="F10" i="19"/>
  <c r="E10" i="19"/>
  <c r="E15" i="19"/>
  <c r="AU51" i="24"/>
  <c r="AJ50" i="24"/>
  <c r="AF50" i="24"/>
  <c r="Y50" i="24"/>
  <c r="V50" i="24"/>
  <c r="K50" i="24"/>
  <c r="B50" i="24"/>
  <c r="AU50" i="24" s="1"/>
  <c r="AJ49" i="24"/>
  <c r="AF49" i="24"/>
  <c r="Y49" i="24"/>
  <c r="V49" i="24"/>
  <c r="K49" i="24"/>
  <c r="B49" i="24"/>
  <c r="AU49" i="24" s="1"/>
  <c r="AJ48" i="24"/>
  <c r="AF48" i="24"/>
  <c r="Y48" i="24"/>
  <c r="V48" i="24"/>
  <c r="AU48" i="24" s="1"/>
  <c r="K48" i="24"/>
  <c r="B48" i="24"/>
  <c r="AJ47" i="24"/>
  <c r="AF47" i="24"/>
  <c r="Y47" i="24"/>
  <c r="V47" i="24"/>
  <c r="AU47" i="24" s="1"/>
  <c r="K47" i="24"/>
  <c r="B47" i="24"/>
  <c r="Y46" i="24"/>
  <c r="AU46" i="24" s="1"/>
  <c r="AU45" i="24"/>
  <c r="AT44" i="24"/>
  <c r="AR44" i="24"/>
  <c r="AQ44" i="24"/>
  <c r="AP44" i="24"/>
  <c r="AO44" i="24"/>
  <c r="AM44" i="24"/>
  <c r="AL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S44" i="24"/>
  <c r="R44" i="24"/>
  <c r="Q44" i="24"/>
  <c r="P44" i="24"/>
  <c r="O44" i="24"/>
  <c r="N44" i="24"/>
  <c r="M44" i="24"/>
  <c r="K44" i="24"/>
  <c r="J44" i="24"/>
  <c r="I44" i="24"/>
  <c r="H44" i="24"/>
  <c r="AU44" i="24" s="1"/>
  <c r="G44" i="24"/>
  <c r="F44" i="24"/>
  <c r="E44" i="24"/>
  <c r="B44" i="24"/>
  <c r="AJ43" i="24"/>
  <c r="AF43" i="24"/>
  <c r="Y43" i="24"/>
  <c r="AU43" i="24" s="1"/>
  <c r="V43" i="24"/>
  <c r="K43" i="24"/>
  <c r="AJ42" i="24"/>
  <c r="AF42" i="24"/>
  <c r="Y42" i="24"/>
  <c r="V42" i="24"/>
  <c r="K42" i="24"/>
  <c r="AU42" i="24" s="1"/>
  <c r="AJ41" i="24"/>
  <c r="AF41" i="24"/>
  <c r="Y41" i="24"/>
  <c r="V41" i="24"/>
  <c r="K41" i="24"/>
  <c r="AU41" i="24" s="1"/>
  <c r="AT40" i="24"/>
  <c r="AS40" i="24"/>
  <c r="AR40" i="24"/>
  <c r="AQ40" i="24"/>
  <c r="AP40" i="24"/>
  <c r="AO40" i="24"/>
  <c r="AN40" i="24"/>
  <c r="AM40" i="24"/>
  <c r="AL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K40" i="24"/>
  <c r="J40" i="24"/>
  <c r="I40" i="24"/>
  <c r="H40" i="24"/>
  <c r="G40" i="24"/>
  <c r="F40" i="24"/>
  <c r="E40" i="24"/>
  <c r="B40" i="24"/>
  <c r="AU40" i="24" s="1"/>
  <c r="AJ39" i="24"/>
  <c r="AF39" i="24"/>
  <c r="Y39" i="24"/>
  <c r="V39" i="24"/>
  <c r="K39" i="24"/>
  <c r="B39" i="24"/>
  <c r="AU39" i="24" s="1"/>
  <c r="AU38" i="24"/>
  <c r="AJ38" i="24"/>
  <c r="AF38" i="24"/>
  <c r="Y38" i="24"/>
  <c r="V38" i="24"/>
  <c r="K38" i="24"/>
  <c r="B38" i="24"/>
  <c r="AJ37" i="24"/>
  <c r="AU37" i="24" s="1"/>
  <c r="AF37" i="24"/>
  <c r="Y37" i="24"/>
  <c r="V37" i="24"/>
  <c r="K37" i="24"/>
  <c r="AJ36" i="24"/>
  <c r="AF36" i="24"/>
  <c r="Y36" i="24"/>
  <c r="AU36" i="24" s="1"/>
  <c r="V36" i="24"/>
  <c r="K36" i="24"/>
  <c r="B36" i="24"/>
  <c r="AJ35" i="24"/>
  <c r="AF35" i="24"/>
  <c r="Y35" i="24"/>
  <c r="V35" i="24"/>
  <c r="AU35" i="24" s="1"/>
  <c r="K35" i="24"/>
  <c r="B35" i="24"/>
  <c r="AF34" i="24"/>
  <c r="Y34" i="24"/>
  <c r="V34" i="24"/>
  <c r="AU34" i="24" s="1"/>
  <c r="AT33" i="24"/>
  <c r="AS33" i="24"/>
  <c r="AR33" i="24"/>
  <c r="AQ33" i="24"/>
  <c r="AP33" i="24"/>
  <c r="AO33" i="24"/>
  <c r="AM33" i="24"/>
  <c r="AL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K33" i="24"/>
  <c r="J33" i="24"/>
  <c r="I33" i="24"/>
  <c r="H33" i="24"/>
  <c r="G33" i="24"/>
  <c r="F33" i="24"/>
  <c r="E33" i="24"/>
  <c r="B33" i="24"/>
  <c r="AU33" i="24" s="1"/>
  <c r="AU32" i="24"/>
  <c r="AJ32" i="24"/>
  <c r="AF32" i="24"/>
  <c r="Y32" i="24"/>
  <c r="V32" i="24"/>
  <c r="K32" i="24"/>
  <c r="B32" i="24"/>
  <c r="AJ31" i="24"/>
  <c r="AU31" i="24" s="1"/>
  <c r="AF31" i="24"/>
  <c r="Y31" i="24"/>
  <c r="V31" i="24"/>
  <c r="K31" i="24"/>
  <c r="AT30" i="24"/>
  <c r="AS30" i="24"/>
  <c r="AQ30" i="24"/>
  <c r="AP30" i="24"/>
  <c r="AO30" i="24"/>
  <c r="AM30" i="24"/>
  <c r="AL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K30" i="24"/>
  <c r="J30" i="24"/>
  <c r="I30" i="24"/>
  <c r="H30" i="24"/>
  <c r="AU30" i="24" s="1"/>
  <c r="G30" i="24"/>
  <c r="F30" i="24"/>
  <c r="E30" i="24"/>
  <c r="B30" i="24"/>
  <c r="AJ29" i="24"/>
  <c r="AF29" i="24"/>
  <c r="Y29" i="24"/>
  <c r="AU29" i="24" s="1"/>
  <c r="V29" i="24"/>
  <c r="K29" i="24"/>
  <c r="B29" i="24"/>
  <c r="AJ28" i="24"/>
  <c r="AF28" i="24"/>
  <c r="Y28" i="24"/>
  <c r="V28" i="24"/>
  <c r="AU28" i="24" s="1"/>
  <c r="K28" i="24"/>
  <c r="AJ27" i="24"/>
  <c r="AF27" i="24"/>
  <c r="Y27" i="24"/>
  <c r="V27" i="24"/>
  <c r="K27" i="24"/>
  <c r="AU27" i="24" s="1"/>
  <c r="AU26" i="24"/>
  <c r="AJ26" i="24"/>
  <c r="AF26" i="24"/>
  <c r="Y26" i="24"/>
  <c r="V26" i="24"/>
  <c r="K26" i="24"/>
  <c r="AJ25" i="24"/>
  <c r="AF25" i="24"/>
  <c r="AU25" i="24" s="1"/>
  <c r="Y25" i="24"/>
  <c r="V25" i="24"/>
  <c r="K25" i="24"/>
  <c r="AJ24" i="24"/>
  <c r="AF24" i="24"/>
  <c r="Y24" i="24"/>
  <c r="V24" i="24"/>
  <c r="AU24" i="24" s="1"/>
  <c r="K24" i="24"/>
  <c r="AJ23" i="24"/>
  <c r="AF23" i="24"/>
  <c r="Y23" i="24"/>
  <c r="V23" i="24"/>
  <c r="K23" i="24"/>
  <c r="AU23" i="24" s="1"/>
  <c r="AU22" i="24"/>
  <c r="AJ22" i="24"/>
  <c r="AF22" i="24"/>
  <c r="Y22" i="24"/>
  <c r="V22" i="24"/>
  <c r="K22" i="24"/>
  <c r="AJ21" i="24"/>
  <c r="AF21" i="24"/>
  <c r="AU21" i="24" s="1"/>
  <c r="Y21" i="24"/>
  <c r="V21" i="24"/>
  <c r="K21" i="24"/>
  <c r="AJ20" i="24"/>
  <c r="AF20" i="24"/>
  <c r="Y20" i="24"/>
  <c r="V20" i="24"/>
  <c r="AU20" i="24" s="1"/>
  <c r="K20" i="24"/>
  <c r="AT19" i="24"/>
  <c r="AS19" i="24"/>
  <c r="AR19" i="24"/>
  <c r="AQ19" i="24"/>
  <c r="AP19" i="24"/>
  <c r="AO19" i="24"/>
  <c r="AN19" i="24"/>
  <c r="AL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K19" i="24"/>
  <c r="J19" i="24"/>
  <c r="I19" i="24"/>
  <c r="H19" i="24"/>
  <c r="G19" i="24"/>
  <c r="F19" i="24"/>
  <c r="E19" i="24"/>
  <c r="B19" i="24"/>
  <c r="AU19" i="24" s="1"/>
  <c r="AJ18" i="24"/>
  <c r="AF18" i="24"/>
  <c r="Y18" i="24"/>
  <c r="V18" i="24"/>
  <c r="K18" i="24"/>
  <c r="B18" i="24"/>
  <c r="AU18" i="24" s="1"/>
  <c r="AJ17" i="24"/>
  <c r="AF17" i="24"/>
  <c r="Y17" i="24"/>
  <c r="V17" i="24"/>
  <c r="K17" i="24"/>
  <c r="B17" i="24"/>
  <c r="AU17" i="24" s="1"/>
  <c r="AJ16" i="24"/>
  <c r="AF16" i="24"/>
  <c r="Y16" i="24"/>
  <c r="V16" i="24"/>
  <c r="B16" i="24"/>
  <c r="AU16" i="24" s="1"/>
  <c r="AJ15" i="24"/>
  <c r="AU15" i="24" s="1"/>
  <c r="AF15" i="24"/>
  <c r="Y15" i="24"/>
  <c r="V15" i="24"/>
  <c r="K15" i="24"/>
  <c r="B15" i="24"/>
  <c r="AJ14" i="24"/>
  <c r="AF14" i="24"/>
  <c r="AU14" i="24" s="1"/>
  <c r="Y14" i="24"/>
  <c r="V14" i="24"/>
  <c r="K14" i="24"/>
  <c r="B14" i="24"/>
  <c r="AJ13" i="24"/>
  <c r="AF13" i="24"/>
  <c r="Y13" i="24"/>
  <c r="AU13" i="24" s="1"/>
  <c r="V13" i="24"/>
  <c r="K13" i="24"/>
  <c r="B13" i="24"/>
  <c r="AJ12" i="24"/>
  <c r="AF12" i="24"/>
  <c r="Y12" i="24"/>
  <c r="V12" i="24"/>
  <c r="AU12" i="24" s="1"/>
  <c r="K12" i="24"/>
  <c r="B12" i="24"/>
  <c r="AJ11" i="24"/>
  <c r="AF11" i="24"/>
  <c r="Y11" i="24"/>
  <c r="V11" i="24"/>
  <c r="K11" i="24"/>
  <c r="B11" i="24"/>
  <c r="AU11" i="24" s="1"/>
  <c r="AT10" i="24"/>
  <c r="AS10" i="24"/>
  <c r="AR10" i="24"/>
  <c r="AQ10" i="24"/>
  <c r="AP10" i="24"/>
  <c r="AO10" i="24"/>
  <c r="AL10" i="24"/>
  <c r="AJ10" i="24"/>
  <c r="AI10" i="24"/>
  <c r="AH10" i="24"/>
  <c r="AG10" i="24"/>
  <c r="AF10" i="24"/>
  <c r="AE10" i="24"/>
  <c r="AD10" i="24"/>
  <c r="AB10" i="24"/>
  <c r="AA10" i="24"/>
  <c r="Z10" i="24"/>
  <c r="Y10" i="24"/>
  <c r="X10" i="24"/>
  <c r="W10" i="24"/>
  <c r="V10" i="24"/>
  <c r="K10" i="24"/>
  <c r="I10" i="24"/>
  <c r="H10" i="24"/>
  <c r="G10" i="24"/>
  <c r="F10" i="24"/>
  <c r="B10" i="24"/>
  <c r="AU10" i="24" s="1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T2" i="24"/>
  <c r="AS2" i="24"/>
  <c r="AR2" i="24"/>
  <c r="AQ2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A1" i="24"/>
  <c r="AV79" i="23" l="1"/>
  <c r="AX79" i="23"/>
  <c r="AU79" i="23"/>
  <c r="AT79" i="23"/>
  <c r="AS79" i="23"/>
  <c r="AR79" i="23"/>
  <c r="AQ79" i="23"/>
  <c r="AP79" i="23"/>
  <c r="AN79" i="23"/>
  <c r="AM79" i="23"/>
  <c r="AL79" i="23"/>
  <c r="AK79" i="23"/>
  <c r="AJ79" i="23"/>
  <c r="AI79" i="23"/>
  <c r="AH79" i="23"/>
  <c r="AG79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O79" i="23"/>
  <c r="N79" i="23"/>
  <c r="M79" i="23"/>
  <c r="L79" i="23"/>
  <c r="K79" i="23"/>
  <c r="J79" i="23"/>
  <c r="I79" i="23"/>
  <c r="AX75" i="23"/>
  <c r="AV75" i="23"/>
  <c r="AU75" i="23"/>
  <c r="AT75" i="23"/>
  <c r="AS75" i="23"/>
  <c r="AR75" i="23"/>
  <c r="AQ75" i="23"/>
  <c r="AP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A75" i="23"/>
  <c r="AB75" i="23"/>
  <c r="Z75" i="23"/>
  <c r="Y75" i="23"/>
  <c r="X75" i="23"/>
  <c r="W75" i="23"/>
  <c r="V75" i="23"/>
  <c r="U75" i="23"/>
  <c r="T75" i="23"/>
  <c r="S75" i="23"/>
  <c r="R75" i="23"/>
  <c r="Q75" i="23"/>
  <c r="O75" i="23"/>
  <c r="I75" i="23"/>
  <c r="N75" i="23"/>
  <c r="M75" i="23"/>
  <c r="L75" i="23"/>
  <c r="K75" i="23"/>
  <c r="J75" i="23"/>
  <c r="AX68" i="23"/>
  <c r="AV68" i="23"/>
  <c r="AU68" i="23"/>
  <c r="AT68" i="23"/>
  <c r="AS68" i="23"/>
  <c r="AR68" i="23"/>
  <c r="AQ68" i="23"/>
  <c r="AP68" i="23"/>
  <c r="AN68" i="23"/>
  <c r="AM68" i="23"/>
  <c r="AL68" i="23"/>
  <c r="AK68" i="23"/>
  <c r="AJ68" i="23"/>
  <c r="AI68" i="23"/>
  <c r="AH68" i="23"/>
  <c r="AG68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O68" i="23"/>
  <c r="J68" i="23"/>
  <c r="K68" i="23"/>
  <c r="L68" i="23"/>
  <c r="M68" i="23"/>
  <c r="N68" i="23"/>
  <c r="I68" i="23"/>
  <c r="AX65" i="23"/>
  <c r="AV65" i="23"/>
  <c r="AU65" i="23"/>
  <c r="AT65" i="23"/>
  <c r="AS65" i="23"/>
  <c r="AR65" i="23"/>
  <c r="AQ65" i="23"/>
  <c r="AP65" i="23"/>
  <c r="AN65" i="23"/>
  <c r="AM65" i="23"/>
  <c r="AL65" i="23"/>
  <c r="AK65" i="23"/>
  <c r="AJ65" i="23"/>
  <c r="AI65" i="23"/>
  <c r="AH65" i="23"/>
  <c r="AG65" i="23"/>
  <c r="AF65" i="23"/>
  <c r="AE65" i="23"/>
  <c r="AD65" i="23"/>
  <c r="AC65" i="23"/>
  <c r="AB65" i="23"/>
  <c r="AA65" i="23"/>
  <c r="Z65" i="23"/>
  <c r="Y65" i="23"/>
  <c r="X65" i="23"/>
  <c r="W65" i="23"/>
  <c r="V65" i="23"/>
  <c r="U65" i="23"/>
  <c r="T65" i="23"/>
  <c r="S65" i="23"/>
  <c r="R65" i="23"/>
  <c r="Q65" i="23"/>
  <c r="O65" i="23"/>
  <c r="N65" i="23"/>
  <c r="M65" i="23"/>
  <c r="L65" i="23"/>
  <c r="K65" i="23"/>
  <c r="J65" i="23"/>
  <c r="I65" i="23"/>
  <c r="AC45" i="23"/>
  <c r="AX54" i="23"/>
  <c r="AU54" i="23"/>
  <c r="AT54" i="23"/>
  <c r="AS54" i="23"/>
  <c r="AP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A54" i="23"/>
  <c r="AB54" i="23"/>
  <c r="Z54" i="23"/>
  <c r="O54" i="23"/>
  <c r="Y54" i="23"/>
  <c r="X54" i="23"/>
  <c r="W54" i="23"/>
  <c r="V54" i="23"/>
  <c r="U54" i="23"/>
  <c r="T54" i="23"/>
  <c r="S54" i="23"/>
  <c r="R54" i="23"/>
  <c r="Q54" i="23"/>
  <c r="N54" i="23"/>
  <c r="M54" i="23"/>
  <c r="L54" i="23"/>
  <c r="K54" i="23"/>
  <c r="J54" i="23"/>
  <c r="I54" i="23"/>
  <c r="AN85" i="23" l="1"/>
  <c r="AN84" i="23"/>
  <c r="AN83" i="23"/>
  <c r="AN82" i="23"/>
  <c r="AJ85" i="23"/>
  <c r="AJ84" i="23"/>
  <c r="AJ83" i="23"/>
  <c r="AJ82" i="23"/>
  <c r="AC85" i="23"/>
  <c r="AC84" i="23"/>
  <c r="AC83" i="23"/>
  <c r="AC82" i="23"/>
  <c r="Z85" i="23"/>
  <c r="Z84" i="23"/>
  <c r="Z83" i="23"/>
  <c r="Z82" i="23"/>
  <c r="O85" i="23"/>
  <c r="O84" i="23"/>
  <c r="O83" i="23"/>
  <c r="O82" i="23"/>
  <c r="AC78" i="23"/>
  <c r="AC77" i="23"/>
  <c r="AC76" i="23"/>
  <c r="AN74" i="23"/>
  <c r="AN73" i="23"/>
  <c r="AN72" i="23"/>
  <c r="AN71" i="23"/>
  <c r="AN70" i="23"/>
  <c r="AN69" i="23"/>
  <c r="AJ74" i="23"/>
  <c r="AJ73" i="23"/>
  <c r="AJ72" i="23"/>
  <c r="AJ71" i="23"/>
  <c r="AJ70" i="23"/>
  <c r="AC74" i="23"/>
  <c r="AC73" i="23"/>
  <c r="AC72" i="23"/>
  <c r="AC71" i="23"/>
  <c r="AC70" i="23"/>
  <c r="AC69" i="23"/>
  <c r="Z74" i="23"/>
  <c r="Z73" i="23"/>
  <c r="Z70" i="23"/>
  <c r="AN67" i="23"/>
  <c r="AJ67" i="23"/>
  <c r="AJ66" i="23"/>
  <c r="AC67" i="23"/>
  <c r="AC66" i="23"/>
  <c r="Z67" i="23"/>
  <c r="Z66" i="23"/>
  <c r="O67" i="23"/>
  <c r="AN64" i="23"/>
  <c r="AN63" i="23"/>
  <c r="AN62" i="23"/>
  <c r="AN61" i="23"/>
  <c r="AN60" i="23"/>
  <c r="AN59" i="23"/>
  <c r="AN58" i="23"/>
  <c r="AN57" i="23"/>
  <c r="AN56" i="23"/>
  <c r="AN55" i="23"/>
  <c r="AJ64" i="23"/>
  <c r="AJ63" i="23"/>
  <c r="AJ62" i="23"/>
  <c r="AJ61" i="23"/>
  <c r="AJ60" i="23"/>
  <c r="AJ59" i="23"/>
  <c r="AJ58" i="23"/>
  <c r="AJ57" i="23"/>
  <c r="AJ56" i="23"/>
  <c r="AJ55" i="23"/>
  <c r="AC64" i="23"/>
  <c r="AC63" i="23"/>
  <c r="AC62" i="23"/>
  <c r="AC61" i="23"/>
  <c r="AC60" i="23"/>
  <c r="AC59" i="23"/>
  <c r="AC58" i="23"/>
  <c r="AC57" i="23"/>
  <c r="AC56" i="23"/>
  <c r="AC55" i="23"/>
  <c r="Z64" i="23"/>
  <c r="Z63" i="23"/>
  <c r="Z62" i="23"/>
  <c r="Z61" i="23"/>
  <c r="Z60" i="23"/>
  <c r="Z59" i="23"/>
  <c r="Z58" i="23"/>
  <c r="Z57" i="23"/>
  <c r="Z56" i="23"/>
  <c r="Z55" i="23"/>
  <c r="O55" i="23"/>
  <c r="AN53" i="23"/>
  <c r="AN52" i="23"/>
  <c r="AN50" i="23"/>
  <c r="AN49" i="23"/>
  <c r="AN47" i="23"/>
  <c r="AN46" i="23"/>
  <c r="AJ53" i="23"/>
  <c r="AJ52" i="23"/>
  <c r="AJ50" i="23"/>
  <c r="AJ49" i="23"/>
  <c r="AJ47" i="23"/>
  <c r="AJ46" i="23"/>
  <c r="AC53" i="23"/>
  <c r="AC52" i="23"/>
  <c r="AC51" i="23"/>
  <c r="AC50" i="23"/>
  <c r="AC49" i="23"/>
  <c r="AC48" i="23"/>
  <c r="AC47" i="23"/>
  <c r="AC46" i="23"/>
  <c r="Z53" i="23"/>
  <c r="Z52" i="23"/>
  <c r="Z51" i="23"/>
  <c r="Z50" i="23"/>
  <c r="Z49" i="23"/>
  <c r="Z46" i="23"/>
  <c r="O53" i="23"/>
  <c r="O49" i="23"/>
  <c r="O46" i="23"/>
  <c r="AX45" i="23"/>
  <c r="AU45" i="23"/>
  <c r="AP45" i="23"/>
  <c r="AN45" i="23"/>
  <c r="AM45" i="23"/>
  <c r="AL45" i="23"/>
  <c r="AK45" i="23"/>
  <c r="AJ45" i="23"/>
  <c r="AI45" i="23"/>
  <c r="AH45" i="23"/>
  <c r="AF45" i="23"/>
  <c r="AE45" i="23"/>
  <c r="AD45" i="23"/>
  <c r="Z45" i="23"/>
  <c r="O45" i="23"/>
  <c r="K45" i="23"/>
  <c r="J45" i="23"/>
  <c r="F85" i="23"/>
  <c r="F84" i="23"/>
  <c r="F83" i="23"/>
  <c r="F82" i="23"/>
  <c r="F75" i="23"/>
  <c r="F68" i="23"/>
  <c r="F54" i="23"/>
  <c r="F52" i="23"/>
  <c r="F49" i="23"/>
  <c r="F47" i="23"/>
  <c r="F46" i="23"/>
  <c r="F45" i="23"/>
  <c r="AY39" i="23"/>
  <c r="AY43" i="23"/>
  <c r="AY32" i="23"/>
  <c r="AY29" i="23"/>
  <c r="AY18" i="23"/>
  <c r="AY9" i="23"/>
  <c r="AV43" i="23"/>
  <c r="AW39" i="23"/>
  <c r="AV39" i="23"/>
  <c r="AW18" i="23"/>
  <c r="AW9" i="23"/>
  <c r="AW32" i="23"/>
  <c r="AV32" i="23"/>
  <c r="AV18" i="23"/>
  <c r="AV9" i="23"/>
  <c r="AT18" i="23"/>
  <c r="AT29" i="23"/>
  <c r="AT43" i="23"/>
  <c r="AS43" i="23"/>
  <c r="AQ43" i="23"/>
  <c r="AT32" i="23"/>
  <c r="AT39" i="23"/>
  <c r="AS39" i="23"/>
  <c r="AS32" i="23"/>
  <c r="AQ32" i="23"/>
  <c r="AS18" i="23"/>
  <c r="AP43" i="23"/>
  <c r="AP39" i="23"/>
  <c r="AP32" i="23"/>
  <c r="AP29" i="23"/>
  <c r="AP18" i="23"/>
  <c r="AP9" i="23"/>
  <c r="AN37" i="23"/>
  <c r="AN43" i="23"/>
  <c r="AN42" i="23"/>
  <c r="AN41" i="23"/>
  <c r="AN40" i="23"/>
  <c r="AN39" i="23"/>
  <c r="AN38" i="23"/>
  <c r="AN36" i="23"/>
  <c r="AN35" i="23"/>
  <c r="AN34" i="23"/>
  <c r="AN33" i="23"/>
  <c r="AN32" i="23"/>
  <c r="AN31" i="23"/>
  <c r="AN30" i="23"/>
  <c r="AN29" i="23"/>
  <c r="AN28" i="23"/>
  <c r="AN27" i="23"/>
  <c r="AN26" i="23"/>
  <c r="AN25" i="23"/>
  <c r="AN24" i="23"/>
  <c r="AN22" i="23"/>
  <c r="AN21" i="23"/>
  <c r="AN20" i="23"/>
  <c r="AN18" i="23"/>
  <c r="AN17" i="23"/>
  <c r="AN16" i="23"/>
  <c r="AN15" i="23"/>
  <c r="AN14" i="23"/>
  <c r="AN13" i="23"/>
  <c r="AN12" i="23"/>
  <c r="AN9" i="23"/>
  <c r="AM43" i="23"/>
  <c r="AM39" i="23"/>
  <c r="AM32" i="23"/>
  <c r="AM29" i="23"/>
  <c r="AM18" i="23"/>
  <c r="AL43" i="23"/>
  <c r="AL39" i="23"/>
  <c r="AL32" i="23"/>
  <c r="AL29" i="23"/>
  <c r="AK43" i="23"/>
  <c r="AK39" i="23"/>
  <c r="AK32" i="23"/>
  <c r="AK29" i="23"/>
  <c r="AK18" i="23"/>
  <c r="AK9" i="23"/>
  <c r="AJ43" i="23"/>
  <c r="AJ42" i="23"/>
  <c r="AJ41" i="23"/>
  <c r="AJ40" i="23"/>
  <c r="AJ39" i="23"/>
  <c r="AJ38" i="23"/>
  <c r="AJ37" i="23"/>
  <c r="AJ36" i="23"/>
  <c r="AJ35" i="23"/>
  <c r="AJ34" i="23"/>
  <c r="AJ33" i="23"/>
  <c r="AJ32" i="23"/>
  <c r="AJ31" i="23"/>
  <c r="AJ30" i="23"/>
  <c r="AJ29" i="23"/>
  <c r="AJ28" i="23"/>
  <c r="AJ27" i="23"/>
  <c r="AJ26" i="23"/>
  <c r="AJ25" i="23"/>
  <c r="AJ24" i="23"/>
  <c r="AJ22" i="23"/>
  <c r="AJ21" i="23"/>
  <c r="AJ20" i="23"/>
  <c r="AJ18" i="23"/>
  <c r="AJ17" i="23"/>
  <c r="AJ16" i="23"/>
  <c r="AJ15" i="23"/>
  <c r="AJ14" i="23"/>
  <c r="AJ13" i="23"/>
  <c r="AJ12" i="23"/>
  <c r="AJ9" i="23"/>
  <c r="AI43" i="23"/>
  <c r="AI39" i="23"/>
  <c r="AI32" i="23"/>
  <c r="AI29" i="23"/>
  <c r="AH43" i="23"/>
  <c r="AH39" i="23"/>
  <c r="AH32" i="23"/>
  <c r="AH29" i="23"/>
  <c r="AG43" i="23"/>
  <c r="AG39" i="23"/>
  <c r="AG32" i="23"/>
  <c r="AG29" i="23"/>
  <c r="AF43" i="23"/>
  <c r="AF39" i="23"/>
  <c r="AF32" i="23"/>
  <c r="AF29" i="23"/>
  <c r="AE43" i="23"/>
  <c r="AE39" i="23"/>
  <c r="AE32" i="23"/>
  <c r="AE29" i="23"/>
  <c r="AD43" i="23"/>
  <c r="AD39" i="23"/>
  <c r="AD32" i="23"/>
  <c r="AD29" i="23"/>
  <c r="AD9" i="23"/>
  <c r="AC43" i="23"/>
  <c r="AC42" i="23"/>
  <c r="AC41" i="23"/>
  <c r="AC40" i="23"/>
  <c r="AC39" i="23"/>
  <c r="AC38" i="23"/>
  <c r="AC37" i="23"/>
  <c r="AC36" i="23"/>
  <c r="AC35" i="23"/>
  <c r="AC34" i="23"/>
  <c r="AC33" i="23"/>
  <c r="AC32" i="23"/>
  <c r="AC31" i="23"/>
  <c r="AC30" i="23"/>
  <c r="AC29" i="23"/>
  <c r="AC28" i="23"/>
  <c r="AC27" i="23"/>
  <c r="AC26" i="23"/>
  <c r="AC25" i="23"/>
  <c r="AC24" i="23"/>
  <c r="AC22" i="23"/>
  <c r="AC21" i="23"/>
  <c r="AC20" i="23"/>
  <c r="AC18" i="23"/>
  <c r="AC17" i="23"/>
  <c r="AC16" i="23"/>
  <c r="AC15" i="23"/>
  <c r="AC14" i="23"/>
  <c r="AC13" i="23"/>
  <c r="AC12" i="23"/>
  <c r="AC9" i="23"/>
  <c r="AB43" i="23"/>
  <c r="AB39" i="23"/>
  <c r="AB32" i="23"/>
  <c r="AB29" i="23"/>
  <c r="AA43" i="23"/>
  <c r="AA39" i="23"/>
  <c r="AA32" i="23"/>
  <c r="AA29" i="23"/>
  <c r="Z43" i="23"/>
  <c r="Z42" i="23"/>
  <c r="Z41" i="23"/>
  <c r="Z40" i="23"/>
  <c r="Z39" i="23"/>
  <c r="Z38" i="23"/>
  <c r="Z37" i="23"/>
  <c r="Z36" i="23"/>
  <c r="Z35" i="23"/>
  <c r="Z34" i="23"/>
  <c r="Z33" i="23"/>
  <c r="Z32" i="23"/>
  <c r="Z31" i="23"/>
  <c r="Z30" i="23"/>
  <c r="Z29" i="23"/>
  <c r="Z28" i="23"/>
  <c r="Z25" i="23"/>
  <c r="Z24" i="23"/>
  <c r="Z22" i="23"/>
  <c r="Z21" i="23"/>
  <c r="Z20" i="23"/>
  <c r="Z17" i="23"/>
  <c r="Z16" i="23"/>
  <c r="Z15" i="23"/>
  <c r="Z14" i="23"/>
  <c r="Z13" i="23"/>
  <c r="Z12" i="23"/>
  <c r="Z9" i="23"/>
  <c r="Y32" i="23"/>
  <c r="X33" i="23"/>
  <c r="X32" i="23"/>
  <c r="W32" i="23"/>
  <c r="V32" i="23"/>
  <c r="U39" i="23"/>
  <c r="U32" i="23"/>
  <c r="T39" i="23"/>
  <c r="T32" i="23"/>
  <c r="T18" i="23"/>
  <c r="S39" i="23"/>
  <c r="S32" i="23"/>
  <c r="S29" i="23"/>
  <c r="R43" i="23"/>
  <c r="R39" i="23"/>
  <c r="R32" i="23"/>
  <c r="R29" i="23"/>
  <c r="R18" i="23"/>
  <c r="Q39" i="23"/>
  <c r="Q32" i="23"/>
  <c r="Q29" i="23"/>
  <c r="Q18" i="23"/>
  <c r="O43" i="23"/>
  <c r="O41" i="23"/>
  <c r="O39" i="23"/>
  <c r="O38" i="23"/>
  <c r="O37" i="23"/>
  <c r="O35" i="23"/>
  <c r="O34" i="23"/>
  <c r="O32" i="23"/>
  <c r="O31" i="23"/>
  <c r="O29" i="23"/>
  <c r="O28" i="23"/>
  <c r="O27" i="23"/>
  <c r="O26" i="23"/>
  <c r="O25" i="23"/>
  <c r="O24" i="23"/>
  <c r="O22" i="23"/>
  <c r="O21" i="23"/>
  <c r="O20" i="23"/>
  <c r="O18" i="23"/>
  <c r="O17" i="23"/>
  <c r="O16" i="23"/>
  <c r="O13" i="23"/>
  <c r="N43" i="23"/>
  <c r="N39" i="23"/>
  <c r="N32" i="23"/>
  <c r="N29" i="23"/>
  <c r="M43" i="23"/>
  <c r="M39" i="23"/>
  <c r="M32" i="23"/>
  <c r="M29" i="23"/>
  <c r="M18" i="23"/>
  <c r="L43" i="23"/>
  <c r="L39" i="23"/>
  <c r="L32" i="23"/>
  <c r="L29" i="23"/>
  <c r="K43" i="23"/>
  <c r="K39" i="23"/>
  <c r="K32" i="23"/>
  <c r="K29" i="23"/>
  <c r="J43" i="23"/>
  <c r="J39" i="23"/>
  <c r="J32" i="23"/>
  <c r="J29" i="23"/>
  <c r="J18" i="23"/>
  <c r="J9" i="23"/>
  <c r="I43" i="23"/>
  <c r="I39" i="23"/>
  <c r="I32" i="23"/>
  <c r="I29" i="23"/>
  <c r="F43" i="23"/>
  <c r="F39" i="23"/>
  <c r="F38" i="23"/>
  <c r="F37" i="23"/>
  <c r="F35" i="23"/>
  <c r="F32" i="23"/>
  <c r="F31" i="23"/>
  <c r="F29" i="23"/>
  <c r="F16" i="23"/>
  <c r="F15" i="23"/>
  <c r="F13" i="23"/>
  <c r="F12" i="23"/>
  <c r="F9" i="23"/>
  <c r="AQ29" i="23"/>
  <c r="AW44" i="18" l="1"/>
  <c r="AW40" i="18"/>
  <c r="AW33" i="18"/>
  <c r="AW30" i="18"/>
  <c r="AW19" i="18"/>
  <c r="AW10" i="18"/>
  <c r="AV40" i="18"/>
  <c r="AV33" i="18"/>
  <c r="AV30" i="18"/>
  <c r="AV19" i="18"/>
  <c r="AV10" i="18"/>
  <c r="AU44" i="18"/>
  <c r="AU40" i="18"/>
  <c r="AU33" i="18"/>
  <c r="AU19" i="18"/>
  <c r="AU10" i="18"/>
  <c r="AT44" i="18"/>
  <c r="AT40" i="18"/>
  <c r="AT33" i="18"/>
  <c r="AT30" i="18"/>
  <c r="AT19" i="18"/>
  <c r="AT10" i="18"/>
  <c r="AS44" i="18"/>
  <c r="AS40" i="18"/>
  <c r="AS33" i="18"/>
  <c r="AS30" i="18"/>
  <c r="AS19" i="18"/>
  <c r="AS10" i="18"/>
  <c r="AR44" i="18"/>
  <c r="AR40" i="18"/>
  <c r="AR33" i="18"/>
  <c r="AR30" i="18"/>
  <c r="AR19" i="18"/>
  <c r="AR10" i="18"/>
  <c r="AQ40" i="18"/>
  <c r="AQ19" i="18"/>
  <c r="AP44" i="18"/>
  <c r="AP40" i="18"/>
  <c r="AP33" i="18"/>
  <c r="AP30" i="18"/>
  <c r="AO44" i="18"/>
  <c r="AO40" i="18"/>
  <c r="AO33" i="18"/>
  <c r="AO30" i="18"/>
  <c r="AO19" i="18"/>
  <c r="AO10" i="18"/>
  <c r="AM50" i="18"/>
  <c r="AM49" i="18"/>
  <c r="AM48" i="18"/>
  <c r="AM47" i="18"/>
  <c r="AM44" i="18"/>
  <c r="AM43" i="18"/>
  <c r="AM42" i="18"/>
  <c r="AM41" i="18"/>
  <c r="AM40" i="18"/>
  <c r="AM39" i="18"/>
  <c r="AM38" i="18"/>
  <c r="AM37" i="18"/>
  <c r="AM36" i="18"/>
  <c r="AM35" i="18"/>
  <c r="AM33" i="18"/>
  <c r="AM32" i="18"/>
  <c r="AM31" i="18"/>
  <c r="AM30" i="18"/>
  <c r="AM29" i="18"/>
  <c r="AM28" i="18"/>
  <c r="AM27" i="18"/>
  <c r="AM25" i="18"/>
  <c r="AM26" i="18"/>
  <c r="AM24" i="18"/>
  <c r="AM23" i="18"/>
  <c r="AM22" i="18"/>
  <c r="AM21" i="18"/>
  <c r="AM20" i="18"/>
  <c r="AM19" i="18"/>
  <c r="AM18" i="18"/>
  <c r="AM17" i="18"/>
  <c r="AM16" i="18"/>
  <c r="AM15" i="18"/>
  <c r="AM14" i="18"/>
  <c r="AM13" i="18"/>
  <c r="AM12" i="18"/>
  <c r="AM11" i="18"/>
  <c r="AM10" i="18"/>
  <c r="AL44" i="18"/>
  <c r="AL40" i="18"/>
  <c r="AL33" i="18"/>
  <c r="AL30" i="18"/>
  <c r="AL19" i="18"/>
  <c r="AL10" i="18"/>
  <c r="AK44" i="18"/>
  <c r="AK40" i="18"/>
  <c r="AK33" i="18"/>
  <c r="AK30" i="18"/>
  <c r="AK19" i="18"/>
  <c r="AK10" i="18"/>
  <c r="AD44" i="18"/>
  <c r="AJ44" i="18"/>
  <c r="AJ40" i="18"/>
  <c r="AJ33" i="18"/>
  <c r="AJ30" i="18"/>
  <c r="AJ19" i="18"/>
  <c r="AJ10" i="18"/>
  <c r="AI50" i="18"/>
  <c r="AI49" i="18"/>
  <c r="AI48" i="18"/>
  <c r="AI47" i="18"/>
  <c r="AI44" i="18"/>
  <c r="AI43" i="18"/>
  <c r="AI42" i="18"/>
  <c r="AI41" i="18"/>
  <c r="AI40" i="18"/>
  <c r="AI39" i="18"/>
  <c r="AI38" i="18"/>
  <c r="AI37" i="18"/>
  <c r="AI36" i="18"/>
  <c r="AI35" i="18"/>
  <c r="AI34" i="18"/>
  <c r="AI33" i="18"/>
  <c r="AI32" i="18"/>
  <c r="AI31" i="18"/>
  <c r="AI30" i="18"/>
  <c r="AI29" i="18"/>
  <c r="AI28" i="18"/>
  <c r="AI27" i="18"/>
  <c r="AI26" i="18"/>
  <c r="AI25" i="18"/>
  <c r="AI24" i="18"/>
  <c r="AI23" i="18"/>
  <c r="AI22" i="18"/>
  <c r="AI21" i="18"/>
  <c r="AI20" i="18"/>
  <c r="AI19" i="18"/>
  <c r="AI18" i="18"/>
  <c r="AI17" i="18"/>
  <c r="AI16" i="18"/>
  <c r="AI15" i="18"/>
  <c r="AI14" i="18"/>
  <c r="AI13" i="18"/>
  <c r="AI12" i="18"/>
  <c r="AI11" i="18"/>
  <c r="AI10" i="18"/>
  <c r="AH44" i="18"/>
  <c r="AH40" i="18"/>
  <c r="AH33" i="18"/>
  <c r="AH30" i="18"/>
  <c r="AH19" i="18"/>
  <c r="AH10" i="18"/>
  <c r="AG44" i="18"/>
  <c r="AG40" i="18"/>
  <c r="AG33" i="18"/>
  <c r="AG30" i="18"/>
  <c r="AG19" i="18"/>
  <c r="AG10" i="18"/>
  <c r="AF44" i="18"/>
  <c r="AF40" i="18"/>
  <c r="AF33" i="18"/>
  <c r="AF30" i="18"/>
  <c r="AF19" i="18"/>
  <c r="AE44" i="18"/>
  <c r="AE40" i="18"/>
  <c r="AE33" i="18"/>
  <c r="AE30" i="18"/>
  <c r="AE19" i="18"/>
  <c r="AE10" i="18"/>
  <c r="AD40" i="18"/>
  <c r="AD33" i="18"/>
  <c r="AD30" i="18"/>
  <c r="AD19" i="18"/>
  <c r="AD10" i="18"/>
  <c r="AC44" i="18"/>
  <c r="AC40" i="18"/>
  <c r="AC33" i="18"/>
  <c r="AC30" i="18"/>
  <c r="AC19" i="18"/>
  <c r="AC10" i="18"/>
  <c r="AB50" i="18"/>
  <c r="AB49" i="18"/>
  <c r="AB48" i="18"/>
  <c r="AB47" i="18"/>
  <c r="AB46" i="18"/>
  <c r="AB44" i="18"/>
  <c r="AB43" i="18"/>
  <c r="AB42" i="18"/>
  <c r="AB41" i="18"/>
  <c r="AB40" i="18"/>
  <c r="AB36" i="18"/>
  <c r="AB37" i="18"/>
  <c r="AB39" i="18"/>
  <c r="AB38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2" i="18"/>
  <c r="AB13" i="18"/>
  <c r="AB15" i="18"/>
  <c r="AB14" i="18"/>
  <c r="AB11" i="18"/>
  <c r="AB10" i="18"/>
  <c r="AA44" i="18"/>
  <c r="AA40" i="18"/>
  <c r="AA33" i="18"/>
  <c r="AA30" i="18"/>
  <c r="AA19" i="18"/>
  <c r="AA10" i="18"/>
  <c r="Z44" i="18"/>
  <c r="Z40" i="18"/>
  <c r="Z33" i="18"/>
  <c r="Z30" i="18"/>
  <c r="Z19" i="18"/>
  <c r="Z10" i="18"/>
  <c r="Y50" i="18"/>
  <c r="Y49" i="18"/>
  <c r="Y48" i="18"/>
  <c r="Y47" i="18"/>
  <c r="Y44" i="18"/>
  <c r="Y43" i="18"/>
  <c r="Y42" i="18"/>
  <c r="Y41" i="18"/>
  <c r="Y40" i="18"/>
  <c r="Y39" i="18"/>
  <c r="Y38" i="18"/>
  <c r="Y37" i="18"/>
  <c r="Y36" i="18"/>
  <c r="Y35" i="18"/>
  <c r="Y34" i="18"/>
  <c r="Y33" i="18"/>
  <c r="Y32" i="18"/>
  <c r="Y31" i="18"/>
  <c r="Y30" i="18"/>
  <c r="Y29" i="18"/>
  <c r="Y28" i="18"/>
  <c r="Y27" i="18"/>
  <c r="Y26" i="18"/>
  <c r="Y25" i="18"/>
  <c r="Y24" i="18"/>
  <c r="Y23" i="18"/>
  <c r="Y22" i="18"/>
  <c r="Y21" i="18"/>
  <c r="Y11" i="18"/>
  <c r="Y10" i="18"/>
  <c r="N28" i="18"/>
  <c r="N21" i="18"/>
  <c r="E47" i="18"/>
  <c r="E48" i="18"/>
  <c r="E49" i="18"/>
  <c r="E50" i="18"/>
  <c r="Y20" i="18"/>
  <c r="Y19" i="18"/>
  <c r="Y18" i="18"/>
  <c r="Y17" i="18"/>
  <c r="Y16" i="18"/>
  <c r="Y15" i="18"/>
  <c r="Y14" i="18"/>
  <c r="Y13" i="18"/>
  <c r="Y12" i="18"/>
  <c r="V33" i="18"/>
  <c r="W40" i="18"/>
  <c r="X40" i="18"/>
  <c r="X30" i="18"/>
  <c r="X19" i="18"/>
  <c r="X33" i="18"/>
  <c r="W19" i="18"/>
  <c r="W33" i="18"/>
  <c r="W30" i="18"/>
  <c r="V44" i="18"/>
  <c r="V40" i="18"/>
  <c r="V30" i="18"/>
  <c r="V19" i="18"/>
  <c r="U44" i="18"/>
  <c r="U40" i="18"/>
  <c r="U33" i="18"/>
  <c r="U30" i="18"/>
  <c r="U19" i="18"/>
  <c r="T44" i="18"/>
  <c r="T40" i="18"/>
  <c r="T33" i="18"/>
  <c r="T30" i="18"/>
  <c r="T19" i="18"/>
  <c r="S44" i="18"/>
  <c r="S40" i="18"/>
  <c r="S33" i="18"/>
  <c r="S30" i="18"/>
  <c r="S19" i="18"/>
  <c r="R44" i="18"/>
  <c r="R40" i="18"/>
  <c r="R33" i="18"/>
  <c r="R30" i="18"/>
  <c r="R19" i="18"/>
  <c r="Q44" i="18"/>
  <c r="Q40" i="18"/>
  <c r="Q33" i="18"/>
  <c r="Q30" i="18"/>
  <c r="Q19" i="18"/>
  <c r="P44" i="18"/>
  <c r="P40" i="18"/>
  <c r="P33" i="18"/>
  <c r="P30" i="18"/>
  <c r="P19" i="18"/>
  <c r="N50" i="18"/>
  <c r="N49" i="18"/>
  <c r="AX49" i="18" s="1"/>
  <c r="N48" i="18"/>
  <c r="N47" i="18"/>
  <c r="AX47" i="18" s="1"/>
  <c r="N44" i="18"/>
  <c r="N43" i="18"/>
  <c r="N42" i="18"/>
  <c r="N41" i="18"/>
  <c r="N40" i="18"/>
  <c r="N39" i="18"/>
  <c r="N38" i="18"/>
  <c r="N37" i="18"/>
  <c r="N36" i="18"/>
  <c r="N35" i="18"/>
  <c r="N33" i="18"/>
  <c r="N32" i="18"/>
  <c r="N31" i="18"/>
  <c r="N30" i="18"/>
  <c r="N29" i="18"/>
  <c r="N27" i="18"/>
  <c r="N26" i="18"/>
  <c r="N25" i="18"/>
  <c r="N24" i="18"/>
  <c r="N23" i="18"/>
  <c r="N22" i="18"/>
  <c r="N20" i="18"/>
  <c r="N19" i="18"/>
  <c r="N18" i="18"/>
  <c r="N17" i="18"/>
  <c r="N15" i="18"/>
  <c r="AX15" i="18" s="1"/>
  <c r="N14" i="18"/>
  <c r="N13" i="18"/>
  <c r="N12" i="18"/>
  <c r="N11" i="18"/>
  <c r="N10" i="18"/>
  <c r="M44" i="18"/>
  <c r="M40" i="18"/>
  <c r="M33" i="18"/>
  <c r="M30" i="18"/>
  <c r="M19" i="18"/>
  <c r="L44" i="18"/>
  <c r="L40" i="18"/>
  <c r="L33" i="18"/>
  <c r="L30" i="18"/>
  <c r="L19" i="18"/>
  <c r="L10" i="18"/>
  <c r="K44" i="18"/>
  <c r="K40" i="18"/>
  <c r="K33" i="18"/>
  <c r="K30" i="18"/>
  <c r="K19" i="18"/>
  <c r="K10" i="18"/>
  <c r="J44" i="18"/>
  <c r="J40" i="18"/>
  <c r="J33" i="18"/>
  <c r="J30" i="18"/>
  <c r="J19" i="18"/>
  <c r="J10" i="18"/>
  <c r="I44" i="18"/>
  <c r="I40" i="18"/>
  <c r="I33" i="18"/>
  <c r="I30" i="18"/>
  <c r="I19" i="18"/>
  <c r="I10" i="18"/>
  <c r="H44" i="18"/>
  <c r="H40" i="18"/>
  <c r="H33" i="18"/>
  <c r="H30" i="18"/>
  <c r="H19" i="18"/>
  <c r="E44" i="18"/>
  <c r="E40" i="18"/>
  <c r="E39" i="18"/>
  <c r="E38" i="18"/>
  <c r="E36" i="18"/>
  <c r="E35" i="18"/>
  <c r="E33" i="18"/>
  <c r="E32" i="18"/>
  <c r="E30" i="18"/>
  <c r="E29" i="18"/>
  <c r="E19" i="18"/>
  <c r="E18" i="18"/>
  <c r="E17" i="18"/>
  <c r="E16" i="18"/>
  <c r="E15" i="18"/>
  <c r="E14" i="18"/>
  <c r="E13" i="18"/>
  <c r="E12" i="18"/>
  <c r="E11" i="18"/>
  <c r="E10" i="18"/>
  <c r="AX21" i="18"/>
  <c r="AX29" i="18"/>
  <c r="AX36" i="18"/>
  <c r="AX41" i="18"/>
  <c r="AX45" i="18"/>
  <c r="AX28" i="18"/>
  <c r="AX23" i="18"/>
  <c r="AX12" i="18"/>
  <c r="AX20" i="18"/>
  <c r="AX43" i="18"/>
  <c r="AX46" i="18"/>
  <c r="AX48" i="18"/>
  <c r="AX50" i="18"/>
  <c r="AX51" i="18"/>
  <c r="AX42" i="18" l="1"/>
  <c r="AX11" i="18"/>
  <c r="AX35" i="18"/>
  <c r="AX39" i="18"/>
  <c r="AX37" i="18"/>
  <c r="AX22" i="18"/>
  <c r="AX16" i="18"/>
  <c r="AX32" i="18"/>
  <c r="AX24" i="18"/>
  <c r="AX31" i="18"/>
  <c r="AX17" i="18"/>
  <c r="AX26" i="18"/>
  <c r="AX25" i="18"/>
  <c r="AX14" i="18"/>
  <c r="AX34" i="18"/>
  <c r="AX27" i="18"/>
  <c r="AX18" i="18"/>
  <c r="AX38" i="18"/>
  <c r="AX13" i="18"/>
  <c r="AX10" i="18"/>
  <c r="AX44" i="18"/>
  <c r="AX40" i="18"/>
  <c r="AX30" i="18"/>
  <c r="AX19" i="18"/>
  <c r="AX33" i="18"/>
  <c r="A190" i="22"/>
  <c r="B190" i="22"/>
  <c r="A191" i="22"/>
  <c r="B191" i="22"/>
  <c r="A192" i="22"/>
  <c r="B192" i="22"/>
  <c r="A193" i="22"/>
  <c r="B193" i="22"/>
  <c r="A194" i="22"/>
  <c r="B194" i="22"/>
  <c r="A195" i="22"/>
  <c r="B195" i="22"/>
  <c r="A196" i="22"/>
  <c r="B196" i="22"/>
  <c r="A197" i="22"/>
  <c r="B197" i="22"/>
  <c r="A177" i="22"/>
  <c r="B177" i="22"/>
  <c r="A178" i="22"/>
  <c r="B178" i="22"/>
  <c r="A179" i="22"/>
  <c r="B179" i="22"/>
  <c r="A180" i="22"/>
  <c r="B180" i="22"/>
  <c r="A181" i="22"/>
  <c r="B181" i="22"/>
  <c r="A182" i="22"/>
  <c r="B182" i="22"/>
  <c r="A183" i="22"/>
  <c r="B183" i="22"/>
  <c r="A184" i="22"/>
  <c r="B184" i="22"/>
  <c r="A185" i="22"/>
  <c r="B185" i="22"/>
  <c r="A186" i="22"/>
  <c r="B186" i="22"/>
  <c r="A187" i="22"/>
  <c r="B187" i="22"/>
  <c r="A188" i="22"/>
  <c r="B188" i="22"/>
  <c r="A189" i="22"/>
  <c r="B189" i="22"/>
  <c r="A163" i="22"/>
  <c r="B163" i="22"/>
  <c r="A164" i="22"/>
  <c r="B164" i="22"/>
  <c r="A165" i="22"/>
  <c r="B165" i="22"/>
  <c r="A166" i="22"/>
  <c r="B166" i="22"/>
  <c r="A167" i="22"/>
  <c r="B167" i="22"/>
  <c r="A168" i="22"/>
  <c r="B168" i="22"/>
  <c r="A169" i="22"/>
  <c r="B169" i="22"/>
  <c r="A170" i="22"/>
  <c r="B170" i="22"/>
  <c r="A171" i="22"/>
  <c r="B171" i="22"/>
  <c r="A172" i="22"/>
  <c r="B172" i="22"/>
  <c r="A173" i="22"/>
  <c r="B173" i="22"/>
  <c r="A174" i="22"/>
  <c r="B174" i="22"/>
  <c r="A175" i="22"/>
  <c r="B175" i="22"/>
  <c r="A176" i="22"/>
  <c r="B176" i="22"/>
  <c r="A150" i="22"/>
  <c r="B150" i="22"/>
  <c r="A151" i="22"/>
  <c r="B151" i="22"/>
  <c r="A152" i="22"/>
  <c r="B152" i="22"/>
  <c r="A153" i="22"/>
  <c r="B153" i="22"/>
  <c r="A154" i="22"/>
  <c r="B154" i="22"/>
  <c r="A155" i="22"/>
  <c r="B155" i="22"/>
  <c r="A156" i="22"/>
  <c r="B156" i="22"/>
  <c r="A157" i="22"/>
  <c r="B157" i="22"/>
  <c r="A158" i="22"/>
  <c r="B158" i="22"/>
  <c r="A159" i="22"/>
  <c r="B159" i="22"/>
  <c r="A160" i="22"/>
  <c r="B160" i="22"/>
  <c r="A161" i="22"/>
  <c r="B161" i="22"/>
  <c r="A162" i="22"/>
  <c r="B162" i="22"/>
  <c r="A122" i="22"/>
  <c r="B122" i="22"/>
  <c r="A123" i="22"/>
  <c r="B123" i="22"/>
  <c r="A124" i="22"/>
  <c r="B124" i="22"/>
  <c r="A125" i="22"/>
  <c r="B125" i="22"/>
  <c r="A126" i="22"/>
  <c r="B126" i="22"/>
  <c r="A127" i="22"/>
  <c r="B127" i="22"/>
  <c r="A128" i="22"/>
  <c r="B128" i="22"/>
  <c r="A129" i="22"/>
  <c r="B129" i="22"/>
  <c r="A130" i="22"/>
  <c r="B130" i="22"/>
  <c r="A131" i="22"/>
  <c r="B131" i="22"/>
  <c r="A132" i="22"/>
  <c r="B132" i="22"/>
  <c r="A133" i="22"/>
  <c r="B133" i="22"/>
  <c r="A134" i="22"/>
  <c r="B134" i="22"/>
  <c r="A135" i="22"/>
  <c r="B135" i="22"/>
  <c r="A136" i="22"/>
  <c r="B136" i="22"/>
  <c r="A137" i="22"/>
  <c r="B137" i="22"/>
  <c r="A138" i="22"/>
  <c r="B138" i="22"/>
  <c r="A139" i="22"/>
  <c r="B139" i="22"/>
  <c r="A140" i="22"/>
  <c r="B140" i="22"/>
  <c r="A141" i="22"/>
  <c r="B141" i="22"/>
  <c r="A142" i="22"/>
  <c r="B142" i="22"/>
  <c r="A143" i="22"/>
  <c r="B143" i="22"/>
  <c r="A144" i="22"/>
  <c r="B144" i="22"/>
  <c r="A145" i="22"/>
  <c r="B145" i="22"/>
  <c r="A146" i="22"/>
  <c r="B146" i="22"/>
  <c r="A147" i="22"/>
  <c r="B147" i="22"/>
  <c r="A148" i="22"/>
  <c r="B148" i="22"/>
  <c r="A149" i="22"/>
  <c r="B149" i="22"/>
  <c r="B121" i="22"/>
  <c r="A121" i="22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R2" i="23"/>
  <c r="AS2" i="23"/>
  <c r="AT2" i="23"/>
  <c r="AU2" i="23"/>
  <c r="AV2" i="23"/>
  <c r="AW2" i="23"/>
  <c r="AX2" i="23"/>
  <c r="AY2" i="23"/>
  <c r="F2" i="23"/>
  <c r="H192" i="22" l="1"/>
  <c r="G141" i="22"/>
  <c r="I149" i="22"/>
  <c r="G148" i="22"/>
  <c r="I147" i="22"/>
  <c r="D146" i="22"/>
  <c r="J145" i="22"/>
  <c r="E145" i="22"/>
  <c r="I144" i="22"/>
  <c r="D144" i="22"/>
  <c r="J143" i="22"/>
  <c r="E143" i="22"/>
  <c r="I142" i="22"/>
  <c r="D142" i="22"/>
  <c r="J141" i="22"/>
  <c r="E141" i="22"/>
  <c r="I140" i="22"/>
  <c r="D140" i="22"/>
  <c r="J139" i="22"/>
  <c r="E139" i="22"/>
  <c r="I138" i="22"/>
  <c r="D138" i="22"/>
  <c r="J137" i="22"/>
  <c r="E137" i="22"/>
  <c r="I136" i="22"/>
  <c r="D136" i="22"/>
  <c r="I135" i="22"/>
  <c r="E134" i="22"/>
  <c r="I133" i="22"/>
  <c r="E132" i="22"/>
  <c r="I131" i="22"/>
  <c r="E130" i="22"/>
  <c r="I129" i="22"/>
  <c r="E128" i="22"/>
  <c r="I127" i="22"/>
  <c r="E126" i="22"/>
  <c r="I125" i="22"/>
  <c r="H151" i="22"/>
  <c r="H174" i="22"/>
  <c r="H170" i="22"/>
  <c r="H166" i="22"/>
  <c r="H189" i="22"/>
  <c r="H185" i="22"/>
  <c r="H181" i="22"/>
  <c r="H177" i="22"/>
  <c r="H194" i="22"/>
  <c r="H190" i="22"/>
  <c r="I121" i="22"/>
  <c r="E121" i="22"/>
  <c r="H149" i="22"/>
  <c r="D149" i="22"/>
  <c r="J148" i="22"/>
  <c r="F148" i="22"/>
  <c r="H147" i="22"/>
  <c r="C147" i="22"/>
  <c r="H146" i="22"/>
  <c r="C146" i="22"/>
  <c r="I145" i="22"/>
  <c r="C145" i="22"/>
  <c r="H144" i="22"/>
  <c r="C144" i="22"/>
  <c r="I143" i="22"/>
  <c r="C143" i="22"/>
  <c r="H142" i="22"/>
  <c r="C142" i="22"/>
  <c r="I141" i="22"/>
  <c r="C141" i="22"/>
  <c r="H140" i="22"/>
  <c r="C140" i="22"/>
  <c r="I139" i="22"/>
  <c r="C139" i="22"/>
  <c r="H138" i="22"/>
  <c r="C138" i="22"/>
  <c r="I137" i="22"/>
  <c r="C137" i="22"/>
  <c r="H136" i="22"/>
  <c r="C136" i="22"/>
  <c r="G135" i="22"/>
  <c r="C134" i="22"/>
  <c r="G133" i="22"/>
  <c r="C132" i="22"/>
  <c r="G131" i="22"/>
  <c r="C130" i="22"/>
  <c r="G129" i="22"/>
  <c r="C128" i="22"/>
  <c r="G127" i="22"/>
  <c r="C126" i="22"/>
  <c r="G125" i="22"/>
  <c r="D152" i="22"/>
  <c r="D175" i="22"/>
  <c r="D171" i="22"/>
  <c r="D167" i="22"/>
  <c r="D163" i="22"/>
  <c r="J186" i="22"/>
  <c r="J182" i="22"/>
  <c r="J178" i="22"/>
  <c r="J195" i="22"/>
  <c r="J191" i="22"/>
  <c r="J121" i="22"/>
  <c r="I146" i="22"/>
  <c r="G140" i="22"/>
  <c r="G139" i="22"/>
  <c r="G138" i="22"/>
  <c r="G137" i="22"/>
  <c r="G136" i="22"/>
  <c r="E135" i="22"/>
  <c r="I134" i="22"/>
  <c r="E133" i="22"/>
  <c r="I132" i="22"/>
  <c r="E131" i="22"/>
  <c r="I130" i="22"/>
  <c r="E129" i="22"/>
  <c r="I128" i="22"/>
  <c r="E127" i="22"/>
  <c r="I126" i="22"/>
  <c r="E125" i="22"/>
  <c r="I124" i="22"/>
  <c r="G123" i="22"/>
  <c r="I122" i="22"/>
  <c r="G162" i="22"/>
  <c r="I161" i="22"/>
  <c r="G160" i="22"/>
  <c r="I159" i="22"/>
  <c r="G158" i="22"/>
  <c r="I157" i="22"/>
  <c r="G156" i="22"/>
  <c r="I155" i="22"/>
  <c r="J154" i="22"/>
  <c r="H153" i="22"/>
  <c r="H176" i="22"/>
  <c r="H172" i="22"/>
  <c r="H168" i="22"/>
  <c r="H164" i="22"/>
  <c r="H187" i="22"/>
  <c r="H183" i="22"/>
  <c r="H179" i="22"/>
  <c r="H196" i="22"/>
  <c r="F121" i="22"/>
  <c r="E149" i="22"/>
  <c r="C148" i="22"/>
  <c r="E147" i="22"/>
  <c r="H121" i="22"/>
  <c r="D121" i="22"/>
  <c r="G149" i="22"/>
  <c r="C149" i="22"/>
  <c r="I148" i="22"/>
  <c r="E148" i="22"/>
  <c r="G147" i="22"/>
  <c r="G146" i="22"/>
  <c r="G145" i="22"/>
  <c r="G144" i="22"/>
  <c r="G143" i="22"/>
  <c r="G142" i="22"/>
  <c r="E190" i="22"/>
  <c r="I190" i="22"/>
  <c r="C191" i="22"/>
  <c r="G191" i="22"/>
  <c r="E192" i="22"/>
  <c r="I192" i="22"/>
  <c r="C193" i="22"/>
  <c r="G193" i="22"/>
  <c r="E194" i="22"/>
  <c r="I194" i="22"/>
  <c r="C195" i="22"/>
  <c r="G195" i="22"/>
  <c r="E196" i="22"/>
  <c r="I196" i="22"/>
  <c r="C197" i="22"/>
  <c r="G197" i="22"/>
  <c r="E177" i="22"/>
  <c r="I177" i="22"/>
  <c r="C178" i="22"/>
  <c r="G178" i="22"/>
  <c r="E179" i="22"/>
  <c r="I179" i="22"/>
  <c r="C180" i="22"/>
  <c r="G180" i="22"/>
  <c r="E181" i="22"/>
  <c r="I181" i="22"/>
  <c r="C182" i="22"/>
  <c r="G182" i="22"/>
  <c r="E183" i="22"/>
  <c r="I183" i="22"/>
  <c r="C184" i="22"/>
  <c r="G184" i="22"/>
  <c r="E185" i="22"/>
  <c r="I185" i="22"/>
  <c r="C186" i="22"/>
  <c r="G186" i="22"/>
  <c r="E187" i="22"/>
  <c r="I187" i="22"/>
  <c r="C188" i="22"/>
  <c r="G188" i="22"/>
  <c r="E189" i="22"/>
  <c r="I189" i="22"/>
  <c r="C163" i="22"/>
  <c r="G163" i="22"/>
  <c r="E164" i="22"/>
  <c r="I164" i="22"/>
  <c r="C165" i="22"/>
  <c r="G165" i="22"/>
  <c r="E166" i="22"/>
  <c r="I166" i="22"/>
  <c r="C167" i="22"/>
  <c r="G167" i="22"/>
  <c r="E168" i="22"/>
  <c r="I168" i="22"/>
  <c r="C169" i="22"/>
  <c r="G169" i="22"/>
  <c r="E170" i="22"/>
  <c r="I170" i="22"/>
  <c r="C171" i="22"/>
  <c r="G171" i="22"/>
  <c r="E172" i="22"/>
  <c r="I172" i="22"/>
  <c r="C173" i="22"/>
  <c r="G173" i="22"/>
  <c r="E174" i="22"/>
  <c r="I174" i="22"/>
  <c r="C175" i="22"/>
  <c r="G175" i="22"/>
  <c r="E176" i="22"/>
  <c r="I176" i="22"/>
  <c r="C150" i="22"/>
  <c r="G150" i="22"/>
  <c r="E151" i="22"/>
  <c r="I151" i="22"/>
  <c r="C152" i="22"/>
  <c r="G152" i="22"/>
  <c r="E153" i="22"/>
  <c r="I153" i="22"/>
  <c r="C154" i="22"/>
  <c r="G154" i="22"/>
  <c r="E155" i="22"/>
  <c r="F190" i="22"/>
  <c r="J190" i="22"/>
  <c r="D191" i="22"/>
  <c r="H191" i="22"/>
  <c r="F192" i="22"/>
  <c r="J192" i="22"/>
  <c r="D193" i="22"/>
  <c r="H193" i="22"/>
  <c r="F194" i="22"/>
  <c r="J194" i="22"/>
  <c r="D195" i="22"/>
  <c r="H195" i="22"/>
  <c r="F196" i="22"/>
  <c r="J196" i="22"/>
  <c r="D197" i="22"/>
  <c r="H197" i="22"/>
  <c r="F177" i="22"/>
  <c r="J177" i="22"/>
  <c r="D178" i="22"/>
  <c r="H178" i="22"/>
  <c r="F179" i="22"/>
  <c r="J179" i="22"/>
  <c r="D180" i="22"/>
  <c r="H180" i="22"/>
  <c r="F181" i="22"/>
  <c r="J181" i="22"/>
  <c r="D182" i="22"/>
  <c r="H182" i="22"/>
  <c r="F183" i="22"/>
  <c r="J183" i="22"/>
  <c r="D184" i="22"/>
  <c r="H184" i="22"/>
  <c r="F185" i="22"/>
  <c r="J185" i="22"/>
  <c r="D186" i="22"/>
  <c r="H186" i="22"/>
  <c r="F187" i="22"/>
  <c r="J187" i="22"/>
  <c r="D188" i="22"/>
  <c r="H188" i="22"/>
  <c r="F189" i="22"/>
  <c r="C190" i="22"/>
  <c r="G190" i="22"/>
  <c r="E191" i="22"/>
  <c r="I191" i="22"/>
  <c r="C192" i="22"/>
  <c r="G192" i="22"/>
  <c r="E193" i="22"/>
  <c r="I193" i="22"/>
  <c r="C194" i="22"/>
  <c r="G194" i="22"/>
  <c r="E195" i="22"/>
  <c r="I195" i="22"/>
  <c r="C196" i="22"/>
  <c r="G196" i="22"/>
  <c r="E197" i="22"/>
  <c r="I197" i="22"/>
  <c r="C177" i="22"/>
  <c r="G177" i="22"/>
  <c r="E178" i="22"/>
  <c r="I178" i="22"/>
  <c r="C179" i="22"/>
  <c r="G179" i="22"/>
  <c r="E180" i="22"/>
  <c r="I180" i="22"/>
  <c r="C181" i="22"/>
  <c r="G181" i="22"/>
  <c r="E182" i="22"/>
  <c r="I182" i="22"/>
  <c r="C183" i="22"/>
  <c r="G183" i="22"/>
  <c r="E184" i="22"/>
  <c r="I184" i="22"/>
  <c r="C185" i="22"/>
  <c r="G185" i="22"/>
  <c r="E186" i="22"/>
  <c r="I186" i="22"/>
  <c r="C187" i="22"/>
  <c r="G187" i="22"/>
  <c r="E188" i="22"/>
  <c r="I188" i="22"/>
  <c r="C189" i="22"/>
  <c r="G189" i="22"/>
  <c r="E163" i="22"/>
  <c r="I163" i="22"/>
  <c r="C164" i="22"/>
  <c r="G164" i="22"/>
  <c r="E165" i="22"/>
  <c r="I165" i="22"/>
  <c r="C166" i="22"/>
  <c r="G166" i="22"/>
  <c r="E167" i="22"/>
  <c r="I167" i="22"/>
  <c r="C168" i="22"/>
  <c r="G168" i="22"/>
  <c r="E169" i="22"/>
  <c r="I169" i="22"/>
  <c r="C170" i="22"/>
  <c r="G170" i="22"/>
  <c r="E171" i="22"/>
  <c r="I171" i="22"/>
  <c r="C172" i="22"/>
  <c r="G172" i="22"/>
  <c r="E173" i="22"/>
  <c r="I173" i="22"/>
  <c r="C174" i="22"/>
  <c r="G174" i="22"/>
  <c r="E175" i="22"/>
  <c r="I175" i="22"/>
  <c r="C176" i="22"/>
  <c r="G176" i="22"/>
  <c r="E150" i="22"/>
  <c r="I150" i="22"/>
  <c r="C151" i="22"/>
  <c r="G151" i="22"/>
  <c r="E152" i="22"/>
  <c r="I152" i="22"/>
  <c r="C153" i="22"/>
  <c r="G153" i="22"/>
  <c r="E154" i="22"/>
  <c r="J189" i="22"/>
  <c r="F163" i="22"/>
  <c r="J164" i="22"/>
  <c r="F165" i="22"/>
  <c r="J166" i="22"/>
  <c r="F167" i="22"/>
  <c r="J168" i="22"/>
  <c r="F169" i="22"/>
  <c r="J170" i="22"/>
  <c r="F171" i="22"/>
  <c r="J172" i="22"/>
  <c r="F173" i="22"/>
  <c r="J174" i="22"/>
  <c r="F175" i="22"/>
  <c r="J176" i="22"/>
  <c r="F150" i="22"/>
  <c r="J151" i="22"/>
  <c r="F152" i="22"/>
  <c r="J153" i="22"/>
  <c r="F154" i="22"/>
  <c r="F155" i="22"/>
  <c r="J155" i="22"/>
  <c r="D156" i="22"/>
  <c r="H156" i="22"/>
  <c r="F157" i="22"/>
  <c r="J157" i="22"/>
  <c r="D158" i="22"/>
  <c r="H158" i="22"/>
  <c r="F159" i="22"/>
  <c r="J159" i="22"/>
  <c r="D160" i="22"/>
  <c r="H160" i="22"/>
  <c r="F161" i="22"/>
  <c r="J161" i="22"/>
  <c r="D162" i="22"/>
  <c r="H162" i="22"/>
  <c r="F122" i="22"/>
  <c r="J122" i="22"/>
  <c r="D123" i="22"/>
  <c r="H123" i="22"/>
  <c r="F124" i="22"/>
  <c r="J124" i="22"/>
  <c r="D125" i="22"/>
  <c r="H125" i="22"/>
  <c r="F126" i="22"/>
  <c r="J126" i="22"/>
  <c r="D127" i="22"/>
  <c r="H127" i="22"/>
  <c r="F128" i="22"/>
  <c r="J128" i="22"/>
  <c r="D129" i="22"/>
  <c r="H129" i="22"/>
  <c r="F130" i="22"/>
  <c r="J130" i="22"/>
  <c r="D131" i="22"/>
  <c r="H131" i="22"/>
  <c r="F132" i="22"/>
  <c r="J132" i="22"/>
  <c r="D133" i="22"/>
  <c r="H133" i="22"/>
  <c r="F134" i="22"/>
  <c r="J134" i="22"/>
  <c r="D135" i="22"/>
  <c r="H135" i="22"/>
  <c r="F136" i="22"/>
  <c r="J136" i="22"/>
  <c r="D137" i="22"/>
  <c r="H137" i="22"/>
  <c r="F138" i="22"/>
  <c r="J138" i="22"/>
  <c r="D139" i="22"/>
  <c r="H139" i="22"/>
  <c r="F140" i="22"/>
  <c r="J140" i="22"/>
  <c r="D141" i="22"/>
  <c r="H141" i="22"/>
  <c r="F142" i="22"/>
  <c r="J142" i="22"/>
  <c r="D143" i="22"/>
  <c r="H143" i="22"/>
  <c r="F144" i="22"/>
  <c r="J144" i="22"/>
  <c r="D145" i="22"/>
  <c r="H145" i="22"/>
  <c r="F146" i="22"/>
  <c r="J146" i="22"/>
  <c r="D147" i="22"/>
  <c r="H163" i="22"/>
  <c r="D164" i="22"/>
  <c r="H165" i="22"/>
  <c r="D166" i="22"/>
  <c r="H167" i="22"/>
  <c r="D168" i="22"/>
  <c r="H169" i="22"/>
  <c r="D170" i="22"/>
  <c r="H171" i="22"/>
  <c r="D172" i="22"/>
  <c r="H173" i="22"/>
  <c r="D174" i="22"/>
  <c r="H175" i="22"/>
  <c r="D176" i="22"/>
  <c r="H150" i="22"/>
  <c r="D151" i="22"/>
  <c r="H152" i="22"/>
  <c r="D153" i="22"/>
  <c r="H154" i="22"/>
  <c r="G155" i="22"/>
  <c r="E156" i="22"/>
  <c r="I156" i="22"/>
  <c r="C157" i="22"/>
  <c r="G157" i="22"/>
  <c r="E158" i="22"/>
  <c r="I158" i="22"/>
  <c r="C159" i="22"/>
  <c r="G159" i="22"/>
  <c r="E160" i="22"/>
  <c r="I160" i="22"/>
  <c r="C161" i="22"/>
  <c r="G161" i="22"/>
  <c r="E162" i="22"/>
  <c r="I162" i="22"/>
  <c r="C122" i="22"/>
  <c r="G122" i="22"/>
  <c r="E123" i="22"/>
  <c r="I123" i="22"/>
  <c r="C124" i="22"/>
  <c r="G124" i="22"/>
  <c r="D190" i="22"/>
  <c r="F191" i="22"/>
  <c r="D192" i="22"/>
  <c r="F193" i="22"/>
  <c r="D194" i="22"/>
  <c r="F195" i="22"/>
  <c r="D196" i="22"/>
  <c r="F197" i="22"/>
  <c r="D177" i="22"/>
  <c r="F178" i="22"/>
  <c r="D179" i="22"/>
  <c r="F180" i="22"/>
  <c r="D181" i="22"/>
  <c r="F182" i="22"/>
  <c r="D183" i="22"/>
  <c r="F184" i="22"/>
  <c r="D185" i="22"/>
  <c r="F186" i="22"/>
  <c r="D187" i="22"/>
  <c r="F188" i="22"/>
  <c r="D189" i="22"/>
  <c r="J163" i="22"/>
  <c r="F164" i="22"/>
  <c r="J165" i="22"/>
  <c r="F166" i="22"/>
  <c r="J167" i="22"/>
  <c r="F168" i="22"/>
  <c r="J169" i="22"/>
  <c r="F170" i="22"/>
  <c r="J171" i="22"/>
  <c r="F172" i="22"/>
  <c r="J173" i="22"/>
  <c r="F174" i="22"/>
  <c r="J175" i="22"/>
  <c r="F176" i="22"/>
  <c r="J150" i="22"/>
  <c r="F151" i="22"/>
  <c r="J152" i="22"/>
  <c r="F153" i="22"/>
  <c r="I154" i="22"/>
  <c r="C155" i="22"/>
  <c r="H155" i="22"/>
  <c r="F156" i="22"/>
  <c r="J156" i="22"/>
  <c r="D157" i="22"/>
  <c r="H157" i="22"/>
  <c r="F158" i="22"/>
  <c r="J158" i="22"/>
  <c r="D159" i="22"/>
  <c r="H159" i="22"/>
  <c r="F160" i="22"/>
  <c r="J160" i="22"/>
  <c r="D161" i="22"/>
  <c r="H161" i="22"/>
  <c r="F162" i="22"/>
  <c r="J162" i="22"/>
  <c r="D122" i="22"/>
  <c r="H122" i="22"/>
  <c r="F123" i="22"/>
  <c r="J123" i="22"/>
  <c r="D124" i="22"/>
  <c r="H124" i="22"/>
  <c r="F125" i="22"/>
  <c r="J125" i="22"/>
  <c r="D126" i="22"/>
  <c r="H126" i="22"/>
  <c r="F127" i="22"/>
  <c r="J127" i="22"/>
  <c r="D128" i="22"/>
  <c r="H128" i="22"/>
  <c r="F129" i="22"/>
  <c r="J129" i="22"/>
  <c r="D130" i="22"/>
  <c r="H130" i="22"/>
  <c r="F131" i="22"/>
  <c r="J131" i="22"/>
  <c r="D132" i="22"/>
  <c r="H132" i="22"/>
  <c r="F133" i="22"/>
  <c r="J133" i="22"/>
  <c r="D134" i="22"/>
  <c r="H134" i="22"/>
  <c r="F135" i="22"/>
  <c r="J135" i="22"/>
  <c r="C121" i="22"/>
  <c r="G121" i="22"/>
  <c r="J149" i="22"/>
  <c r="F149" i="22"/>
  <c r="H148" i="22"/>
  <c r="D148" i="22"/>
  <c r="J147" i="22"/>
  <c r="F147" i="22"/>
  <c r="E146" i="22"/>
  <c r="F145" i="22"/>
  <c r="E144" i="22"/>
  <c r="F143" i="22"/>
  <c r="E142" i="22"/>
  <c r="F141" i="22"/>
  <c r="E140" i="22"/>
  <c r="F139" i="22"/>
  <c r="E138" i="22"/>
  <c r="F137" i="22"/>
  <c r="E136" i="22"/>
  <c r="C135" i="22"/>
  <c r="G134" i="22"/>
  <c r="C133" i="22"/>
  <c r="G132" i="22"/>
  <c r="C131" i="22"/>
  <c r="G130" i="22"/>
  <c r="C129" i="22"/>
  <c r="G128" i="22"/>
  <c r="C127" i="22"/>
  <c r="G126" i="22"/>
  <c r="C125" i="22"/>
  <c r="E124" i="22"/>
  <c r="C123" i="22"/>
  <c r="E122" i="22"/>
  <c r="C162" i="22"/>
  <c r="E161" i="22"/>
  <c r="C160" i="22"/>
  <c r="E159" i="22"/>
  <c r="C158" i="22"/>
  <c r="E157" i="22"/>
  <c r="C156" i="22"/>
  <c r="D155" i="22"/>
  <c r="D154" i="22"/>
  <c r="D150" i="22"/>
  <c r="D173" i="22"/>
  <c r="D169" i="22"/>
  <c r="D165" i="22"/>
  <c r="J188" i="22"/>
  <c r="J184" i="22"/>
  <c r="J180" i="22"/>
  <c r="J197" i="22"/>
  <c r="J193" i="22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Z2" i="19"/>
  <c r="AA2" i="19"/>
  <c r="AB2" i="19"/>
  <c r="AC2" i="19"/>
  <c r="AD2" i="19"/>
  <c r="AE2" i="19"/>
  <c r="AF2" i="19"/>
  <c r="AG2" i="19"/>
  <c r="AH2" i="19"/>
  <c r="AI2" i="19"/>
  <c r="AJ2" i="19"/>
  <c r="AK2" i="19"/>
  <c r="AL2" i="19"/>
  <c r="AM2" i="19"/>
  <c r="AN2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E3" i="19"/>
  <c r="E2" i="19"/>
  <c r="C11" i="19"/>
  <c r="C10" i="19"/>
  <c r="D202" i="22" l="1"/>
  <c r="G81" i="22"/>
  <c r="I202" i="22"/>
  <c r="B201" i="22"/>
  <c r="E202" i="22"/>
  <c r="F202" i="22"/>
  <c r="G202" i="22"/>
  <c r="H202" i="22"/>
  <c r="F201" i="22"/>
  <c r="C202" i="22"/>
  <c r="C201" i="22"/>
  <c r="D201" i="22"/>
  <c r="E201" i="22"/>
  <c r="H201" i="22"/>
  <c r="G201" i="22"/>
  <c r="B202" i="22"/>
  <c r="I201" i="22"/>
  <c r="C82" i="22"/>
  <c r="G82" i="22"/>
  <c r="J81" i="22"/>
  <c r="F81" i="22"/>
  <c r="J82" i="22"/>
  <c r="F82" i="22"/>
  <c r="I81" i="22"/>
  <c r="E81" i="22"/>
  <c r="I82" i="22"/>
  <c r="E82" i="22"/>
  <c r="H81" i="22"/>
  <c r="D81" i="22"/>
  <c r="C81" i="22"/>
  <c r="H82" i="22"/>
  <c r="D82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40" i="22"/>
  <c r="B11" i="18"/>
  <c r="B41" i="22" s="1"/>
  <c r="B12" i="18"/>
  <c r="B42" i="22" s="1"/>
  <c r="B13" i="18"/>
  <c r="B43" i="22" s="1"/>
  <c r="B14" i="18"/>
  <c r="B44" i="22" s="1"/>
  <c r="B15" i="18"/>
  <c r="B45" i="22" s="1"/>
  <c r="B16" i="18"/>
  <c r="B46" i="22" s="1"/>
  <c r="B17" i="18"/>
  <c r="B47" i="22" s="1"/>
  <c r="B18" i="18"/>
  <c r="B48" i="22" s="1"/>
  <c r="B19" i="18"/>
  <c r="B49" i="22" s="1"/>
  <c r="B20" i="18"/>
  <c r="B50" i="22" s="1"/>
  <c r="B21" i="18"/>
  <c r="B51" i="22" s="1"/>
  <c r="B22" i="18"/>
  <c r="B52" i="22" s="1"/>
  <c r="B23" i="18"/>
  <c r="B53" i="22" s="1"/>
  <c r="B24" i="18"/>
  <c r="B54" i="22" s="1"/>
  <c r="B25" i="18"/>
  <c r="B55" i="22" s="1"/>
  <c r="B26" i="18"/>
  <c r="B56" i="22" s="1"/>
  <c r="B27" i="18"/>
  <c r="B57" i="22" s="1"/>
  <c r="B28" i="18"/>
  <c r="B58" i="22" s="1"/>
  <c r="B29" i="18"/>
  <c r="B59" i="22" s="1"/>
  <c r="B30" i="18"/>
  <c r="B60" i="22" s="1"/>
  <c r="B31" i="18"/>
  <c r="B61" i="22" s="1"/>
  <c r="B32" i="18"/>
  <c r="B62" i="22" s="1"/>
  <c r="B33" i="18"/>
  <c r="B63" i="22" s="1"/>
  <c r="B34" i="18"/>
  <c r="B64" i="22" s="1"/>
  <c r="B35" i="18"/>
  <c r="B65" i="22" s="1"/>
  <c r="B36" i="18"/>
  <c r="B66" i="22" s="1"/>
  <c r="B37" i="18"/>
  <c r="B67" i="22" s="1"/>
  <c r="B38" i="18"/>
  <c r="B68" i="22" s="1"/>
  <c r="B39" i="18"/>
  <c r="B69" i="22" s="1"/>
  <c r="B40" i="18"/>
  <c r="B70" i="22" s="1"/>
  <c r="B41" i="18"/>
  <c r="B71" i="22" s="1"/>
  <c r="B42" i="18"/>
  <c r="B72" i="22" s="1"/>
  <c r="B43" i="18"/>
  <c r="B73" i="22" s="1"/>
  <c r="B44" i="18"/>
  <c r="B74" i="22" s="1"/>
  <c r="B45" i="18"/>
  <c r="B75" i="22" s="1"/>
  <c r="B46" i="18"/>
  <c r="B76" i="22" s="1"/>
  <c r="B47" i="18"/>
  <c r="B77" i="22" s="1"/>
  <c r="B48" i="18"/>
  <c r="B78" i="22" s="1"/>
  <c r="B49" i="18"/>
  <c r="B79" i="22" s="1"/>
  <c r="B50" i="18"/>
  <c r="B80" i="22" s="1"/>
  <c r="B10" i="18"/>
  <c r="B40" i="22" s="1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E3" i="18"/>
  <c r="D1" i="18"/>
  <c r="D203" i="22" l="1"/>
  <c r="B208" i="22" s="1"/>
  <c r="E203" i="22"/>
  <c r="B209" i="22" s="1"/>
  <c r="H203" i="22"/>
  <c r="B212" i="22" s="1"/>
  <c r="I203" i="22"/>
  <c r="B213" i="22" s="1"/>
  <c r="F203" i="22"/>
  <c r="B210" i="22" s="1"/>
  <c r="G203" i="22"/>
  <c r="B211" i="22" s="1"/>
  <c r="C203" i="22"/>
  <c r="B207" i="22" s="1"/>
  <c r="B203" i="22"/>
  <c r="B206" i="22" s="1"/>
  <c r="F90" i="22"/>
  <c r="E103" i="22" s="1"/>
  <c r="G91" i="22"/>
  <c r="H92" i="22"/>
  <c r="C95" i="22"/>
  <c r="G90" i="22"/>
  <c r="E104" i="22" s="1"/>
  <c r="H91" i="22"/>
  <c r="I92" i="22"/>
  <c r="C94" i="22"/>
  <c r="D95" i="22"/>
  <c r="B90" i="22"/>
  <c r="E99" i="22" s="1"/>
  <c r="D92" i="22"/>
  <c r="H90" i="22"/>
  <c r="E105" i="22" s="1"/>
  <c r="I91" i="22"/>
  <c r="D94" i="22"/>
  <c r="E95" i="22"/>
  <c r="B91" i="22"/>
  <c r="I90" i="22"/>
  <c r="E106" i="22" s="1"/>
  <c r="C92" i="22"/>
  <c r="E94" i="22"/>
  <c r="F95" i="22"/>
  <c r="B92" i="22"/>
  <c r="C91" i="22"/>
  <c r="C90" i="22"/>
  <c r="E100" i="22" s="1"/>
  <c r="D91" i="22"/>
  <c r="E92" i="22"/>
  <c r="G94" i="22"/>
  <c r="H95" i="22"/>
  <c r="B94" i="22"/>
  <c r="D90" i="22"/>
  <c r="E101" i="22" s="1"/>
  <c r="E91" i="22"/>
  <c r="F92" i="22"/>
  <c r="H94" i="22"/>
  <c r="I95" i="22"/>
  <c r="B95" i="22"/>
  <c r="G95" i="22"/>
  <c r="E90" i="22"/>
  <c r="E102" i="22" s="1"/>
  <c r="F91" i="22"/>
  <c r="G92" i="22"/>
  <c r="I94" i="22"/>
  <c r="F94" i="22"/>
  <c r="C41" i="22"/>
  <c r="H47" i="22"/>
  <c r="G62" i="22"/>
  <c r="H80" i="22"/>
  <c r="H73" i="22"/>
  <c r="H66" i="22"/>
  <c r="H60" i="22"/>
  <c r="H53" i="22"/>
  <c r="H48" i="22"/>
  <c r="H42" i="22"/>
  <c r="G80" i="22"/>
  <c r="G74" i="22"/>
  <c r="G69" i="22"/>
  <c r="G64" i="22"/>
  <c r="G57" i="22"/>
  <c r="G52" i="22"/>
  <c r="G48" i="22"/>
  <c r="G43" i="22"/>
  <c r="C40" i="22"/>
  <c r="J80" i="22"/>
  <c r="J79" i="22"/>
  <c r="J78" i="22"/>
  <c r="J77" i="22"/>
  <c r="J76" i="22"/>
  <c r="J75" i="22"/>
  <c r="I89" i="22" s="1"/>
  <c r="D106" i="22" s="1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H78" i="22"/>
  <c r="H71" i="22"/>
  <c r="H64" i="22"/>
  <c r="H57" i="22"/>
  <c r="H51" i="22"/>
  <c r="H44" i="22"/>
  <c r="G77" i="22"/>
  <c r="G72" i="22"/>
  <c r="G66" i="22"/>
  <c r="G60" i="22"/>
  <c r="G55" i="22"/>
  <c r="G51" i="22"/>
  <c r="G42" i="22"/>
  <c r="J40" i="22"/>
  <c r="I80" i="22"/>
  <c r="I79" i="22"/>
  <c r="I78" i="22"/>
  <c r="I77" i="22"/>
  <c r="I76" i="22"/>
  <c r="I75" i="22"/>
  <c r="H89" i="22" s="1"/>
  <c r="D105" i="22" s="1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H76" i="22"/>
  <c r="H69" i="22"/>
  <c r="H62" i="22"/>
  <c r="H54" i="22"/>
  <c r="G79" i="22"/>
  <c r="G70" i="22"/>
  <c r="G46" i="22"/>
  <c r="H79" i="22"/>
  <c r="H72" i="22"/>
  <c r="H65" i="22"/>
  <c r="H58" i="22"/>
  <c r="H50" i="22"/>
  <c r="H43" i="22"/>
  <c r="G78" i="22"/>
  <c r="G73" i="22"/>
  <c r="G67" i="22"/>
  <c r="G61" i="22"/>
  <c r="G56" i="22"/>
  <c r="G50" i="22"/>
  <c r="G44" i="22"/>
  <c r="G40" i="22"/>
  <c r="F80" i="22"/>
  <c r="F79" i="22"/>
  <c r="F78" i="22"/>
  <c r="F77" i="22"/>
  <c r="F76" i="22"/>
  <c r="F75" i="22"/>
  <c r="E89" i="22" s="1"/>
  <c r="D102" i="22" s="1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H77" i="22"/>
  <c r="H70" i="22"/>
  <c r="H63" i="22"/>
  <c r="H56" i="22"/>
  <c r="H49" i="22"/>
  <c r="H45" i="22"/>
  <c r="G75" i="22"/>
  <c r="F89" i="22" s="1"/>
  <c r="D103" i="22" s="1"/>
  <c r="G68" i="22"/>
  <c r="G63" i="22"/>
  <c r="G58" i="22"/>
  <c r="G53" i="22"/>
  <c r="G47" i="22"/>
  <c r="F40" i="22"/>
  <c r="E80" i="22"/>
  <c r="E79" i="22"/>
  <c r="E78" i="22"/>
  <c r="E77" i="22"/>
  <c r="E76" i="22"/>
  <c r="E75" i="22"/>
  <c r="D89" i="22" s="1"/>
  <c r="D101" i="22" s="1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I40" i="22"/>
  <c r="H74" i="22"/>
  <c r="H67" i="22"/>
  <c r="H59" i="22"/>
  <c r="H52" i="22"/>
  <c r="H46" i="22"/>
  <c r="H41" i="22"/>
  <c r="G76" i="22"/>
  <c r="G71" i="22"/>
  <c r="G65" i="22"/>
  <c r="G59" i="22"/>
  <c r="G54" i="22"/>
  <c r="G49" i="22"/>
  <c r="G45" i="22"/>
  <c r="G41" i="22"/>
  <c r="E40" i="22"/>
  <c r="D80" i="22"/>
  <c r="D79" i="22"/>
  <c r="D78" i="22"/>
  <c r="D77" i="22"/>
  <c r="D76" i="22"/>
  <c r="D75" i="22"/>
  <c r="C89" i="22" s="1"/>
  <c r="D100" i="22" s="1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H75" i="22"/>
  <c r="G89" i="22" s="1"/>
  <c r="D104" i="22" s="1"/>
  <c r="H68" i="22"/>
  <c r="H61" i="22"/>
  <c r="H55" i="22"/>
  <c r="H40" i="22"/>
  <c r="D40" i="22"/>
  <c r="C80" i="22"/>
  <c r="C79" i="22"/>
  <c r="C78" i="22"/>
  <c r="C77" i="22"/>
  <c r="C76" i="22"/>
  <c r="C75" i="22"/>
  <c r="B89" i="22" s="1"/>
  <c r="D99" i="22" s="1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AK3" i="22"/>
  <c r="AL3" i="22"/>
  <c r="AM3" i="22"/>
  <c r="AN3" i="22"/>
  <c r="AO3" i="22"/>
  <c r="AP3" i="22"/>
  <c r="AQ3" i="22"/>
  <c r="AR3" i="22"/>
  <c r="AS3" i="22"/>
  <c r="AT3" i="22"/>
  <c r="B3" i="22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10" i="18"/>
  <c r="F2" i="18"/>
  <c r="C4" i="22" s="1"/>
  <c r="G2" i="18"/>
  <c r="D4" i="22" s="1"/>
  <c r="H2" i="18"/>
  <c r="E4" i="22" s="1"/>
  <c r="I2" i="18"/>
  <c r="F4" i="22" s="1"/>
  <c r="J2" i="18"/>
  <c r="G4" i="22" s="1"/>
  <c r="K2" i="18"/>
  <c r="H4" i="22" s="1"/>
  <c r="L2" i="18"/>
  <c r="I4" i="22" s="1"/>
  <c r="M2" i="18"/>
  <c r="J4" i="22" s="1"/>
  <c r="N2" i="18"/>
  <c r="K4" i="22" s="1"/>
  <c r="O2" i="18"/>
  <c r="L4" i="22" s="1"/>
  <c r="P2" i="18"/>
  <c r="M4" i="22" s="1"/>
  <c r="Q2" i="18"/>
  <c r="N4" i="22" s="1"/>
  <c r="R2" i="18"/>
  <c r="O4" i="22" s="1"/>
  <c r="S2" i="18"/>
  <c r="P4" i="22" s="1"/>
  <c r="T2" i="18"/>
  <c r="Q4" i="22" s="1"/>
  <c r="U2" i="18"/>
  <c r="R4" i="22" s="1"/>
  <c r="V2" i="18"/>
  <c r="S4" i="22" s="1"/>
  <c r="W2" i="18"/>
  <c r="T4" i="22" s="1"/>
  <c r="X2" i="18"/>
  <c r="U4" i="22" s="1"/>
  <c r="Y2" i="18"/>
  <c r="V4" i="22" s="1"/>
  <c r="Z2" i="18"/>
  <c r="W4" i="22" s="1"/>
  <c r="AA2" i="18"/>
  <c r="X4" i="22" s="1"/>
  <c r="AB2" i="18"/>
  <c r="Y4" i="22" s="1"/>
  <c r="AC2" i="18"/>
  <c r="Z4" i="22" s="1"/>
  <c r="AD2" i="18"/>
  <c r="AA4" i="22" s="1"/>
  <c r="AE2" i="18"/>
  <c r="AB4" i="22" s="1"/>
  <c r="AF2" i="18"/>
  <c r="AC4" i="22" s="1"/>
  <c r="AG2" i="18"/>
  <c r="AD4" i="22" s="1"/>
  <c r="AH2" i="18"/>
  <c r="AE4" i="22" s="1"/>
  <c r="AI2" i="18"/>
  <c r="AF4" i="22" s="1"/>
  <c r="AJ2" i="18"/>
  <c r="AG4" i="22" s="1"/>
  <c r="AK2" i="18"/>
  <c r="AH4" i="22" s="1"/>
  <c r="AL2" i="18"/>
  <c r="AI4" i="22" s="1"/>
  <c r="AM2" i="18"/>
  <c r="AJ4" i="22" s="1"/>
  <c r="AN2" i="18"/>
  <c r="AK4" i="22" s="1"/>
  <c r="AO2" i="18"/>
  <c r="AL4" i="22" s="1"/>
  <c r="AP2" i="18"/>
  <c r="AM4" i="22" s="1"/>
  <c r="AQ2" i="18"/>
  <c r="AN4" i="22" s="1"/>
  <c r="AR2" i="18"/>
  <c r="AO4" i="22" s="1"/>
  <c r="AS2" i="18"/>
  <c r="AP4" i="22" s="1"/>
  <c r="AT2" i="18"/>
  <c r="AQ4" i="22" s="1"/>
  <c r="AU2" i="18"/>
  <c r="AR4" i="22" s="1"/>
  <c r="AV2" i="18"/>
  <c r="AS4" i="22" s="1"/>
  <c r="AW2" i="18"/>
  <c r="AT4" i="22" s="1"/>
  <c r="E2" i="18"/>
  <c r="B4" i="22" s="1"/>
  <c r="H93" i="22" l="1"/>
  <c r="G87" i="22"/>
  <c r="B104" i="22" s="1"/>
  <c r="F93" i="22"/>
  <c r="G93" i="22"/>
  <c r="B87" i="22"/>
  <c r="B99" i="22" s="1"/>
  <c r="E93" i="22"/>
  <c r="G83" i="22"/>
  <c r="C87" i="22"/>
  <c r="B100" i="22" s="1"/>
  <c r="F87" i="22"/>
  <c r="B103" i="22" s="1"/>
  <c r="I83" i="22"/>
  <c r="E116" i="22" s="1"/>
  <c r="E83" i="22"/>
  <c r="E112" i="22" s="1"/>
  <c r="F83" i="22"/>
  <c r="D113" i="22" s="1"/>
  <c r="D220" i="22" s="1"/>
  <c r="D5" i="16" s="1"/>
  <c r="C83" i="22"/>
  <c r="E110" i="22" s="1"/>
  <c r="D83" i="22"/>
  <c r="J83" i="22"/>
  <c r="D117" i="22" s="1"/>
  <c r="D224" i="22" s="1"/>
  <c r="D9" i="16" s="1"/>
  <c r="H83" i="22"/>
  <c r="E87" i="22"/>
  <c r="B102" i="22" s="1"/>
  <c r="D87" i="22"/>
  <c r="B101" i="22" s="1"/>
  <c r="I87" i="22"/>
  <c r="B106" i="22" s="1"/>
  <c r="H88" i="22"/>
  <c r="C105" i="22" s="1"/>
  <c r="C93" i="22"/>
  <c r="D88" i="22"/>
  <c r="C101" i="22" s="1"/>
  <c r="D93" i="22"/>
  <c r="E88" i="22"/>
  <c r="C102" i="22" s="1"/>
  <c r="H87" i="22"/>
  <c r="B105" i="22" s="1"/>
  <c r="I93" i="22"/>
  <c r="B88" i="22"/>
  <c r="C99" i="22" s="1"/>
  <c r="F88" i="22"/>
  <c r="C103" i="22" s="1"/>
  <c r="I88" i="22"/>
  <c r="C106" i="22" s="1"/>
  <c r="B93" i="22"/>
  <c r="G88" i="22"/>
  <c r="C104" i="22" s="1"/>
  <c r="C88" i="22"/>
  <c r="C100" i="22" s="1"/>
  <c r="D5" i="22"/>
  <c r="G20" i="22"/>
  <c r="V6" i="22"/>
  <c r="C5" i="22"/>
  <c r="AA5" i="22"/>
  <c r="O6" i="22"/>
  <c r="AM6" i="22"/>
  <c r="AA7" i="22"/>
  <c r="O8" i="22"/>
  <c r="C9" i="22"/>
  <c r="G10" i="22"/>
  <c r="AM10" i="22"/>
  <c r="AA11" i="22"/>
  <c r="O12" i="22"/>
  <c r="B6" i="22"/>
  <c r="K5" i="22"/>
  <c r="AQ5" i="22"/>
  <c r="AE6" i="22"/>
  <c r="C7" i="22"/>
  <c r="AQ7" i="22"/>
  <c r="W8" i="22"/>
  <c r="K9" i="22"/>
  <c r="AQ9" i="22"/>
  <c r="AE10" i="22"/>
  <c r="S11" i="22"/>
  <c r="AI11" i="22"/>
  <c r="W12" i="22"/>
  <c r="AI5" i="22"/>
  <c r="W6" i="22"/>
  <c r="K7" i="22"/>
  <c r="AI7" i="22"/>
  <c r="AE8" i="22"/>
  <c r="S9" i="22"/>
  <c r="AI9" i="22"/>
  <c r="W10" i="22"/>
  <c r="K11" i="22"/>
  <c r="AQ11" i="22"/>
  <c r="AE12" i="22"/>
  <c r="S5" i="22"/>
  <c r="G6" i="22"/>
  <c r="S7" i="22"/>
  <c r="G8" i="22"/>
  <c r="AM8" i="22"/>
  <c r="AA9" i="22"/>
  <c r="O10" i="22"/>
  <c r="C11" i="22"/>
  <c r="G12" i="22"/>
  <c r="AM12" i="22"/>
  <c r="AD12" i="22"/>
  <c r="AH11" i="22"/>
  <c r="AL10" i="22"/>
  <c r="F10" i="22"/>
  <c r="J9" i="22"/>
  <c r="V8" i="22"/>
  <c r="K20" i="22" s="1"/>
  <c r="L20" i="22" s="1"/>
  <c r="Z7" i="22"/>
  <c r="AD6" i="22"/>
  <c r="AP5" i="22"/>
  <c r="Z5" i="22"/>
  <c r="B12" i="22"/>
  <c r="AS12" i="22"/>
  <c r="AK12" i="22"/>
  <c r="AC12" i="22"/>
  <c r="U12" i="22"/>
  <c r="M12" i="22"/>
  <c r="E12" i="22"/>
  <c r="AO11" i="22"/>
  <c r="AG11" i="22"/>
  <c r="Y11" i="22"/>
  <c r="Q11" i="22"/>
  <c r="I11" i="22"/>
  <c r="AS10" i="22"/>
  <c r="AK10" i="22"/>
  <c r="AC10" i="22"/>
  <c r="U10" i="22"/>
  <c r="M10" i="22"/>
  <c r="E10" i="22"/>
  <c r="AO9" i="22"/>
  <c r="AG9" i="22"/>
  <c r="Y9" i="22"/>
  <c r="Q9" i="22"/>
  <c r="I9" i="22"/>
  <c r="AS8" i="22"/>
  <c r="AK8" i="22"/>
  <c r="AC8" i="22"/>
  <c r="U8" i="22"/>
  <c r="M8" i="22"/>
  <c r="E8" i="22"/>
  <c r="AO7" i="22"/>
  <c r="AG7" i="22"/>
  <c r="Y7" i="22"/>
  <c r="Q7" i="22"/>
  <c r="I7" i="22"/>
  <c r="AS6" i="22"/>
  <c r="AK6" i="22"/>
  <c r="AC6" i="22"/>
  <c r="U6" i="22"/>
  <c r="M6" i="22"/>
  <c r="E6" i="22"/>
  <c r="AO5" i="22"/>
  <c r="AG5" i="22"/>
  <c r="Y5" i="22"/>
  <c r="Q5" i="22"/>
  <c r="I5" i="22"/>
  <c r="AT12" i="22"/>
  <c r="F12" i="22"/>
  <c r="R11" i="22"/>
  <c r="AD10" i="22"/>
  <c r="AH9" i="22"/>
  <c r="AL8" i="22"/>
  <c r="AP7" i="22"/>
  <c r="J7" i="22"/>
  <c r="N6" i="22"/>
  <c r="J5" i="22"/>
  <c r="B11" i="22"/>
  <c r="AR12" i="22"/>
  <c r="AJ12" i="22"/>
  <c r="AB12" i="22"/>
  <c r="T12" i="22"/>
  <c r="L12" i="22"/>
  <c r="D12" i="22"/>
  <c r="AN11" i="22"/>
  <c r="AF11" i="22"/>
  <c r="X11" i="22"/>
  <c r="P11" i="22"/>
  <c r="H11" i="22"/>
  <c r="AR10" i="22"/>
  <c r="AJ10" i="22"/>
  <c r="AB10" i="22"/>
  <c r="T10" i="22"/>
  <c r="L10" i="22"/>
  <c r="D10" i="22"/>
  <c r="AN9" i="22"/>
  <c r="AF9" i="22"/>
  <c r="X9" i="22"/>
  <c r="P9" i="22"/>
  <c r="H9" i="22"/>
  <c r="AR8" i="22"/>
  <c r="AJ8" i="22"/>
  <c r="AB8" i="22"/>
  <c r="T8" i="22"/>
  <c r="L8" i="22"/>
  <c r="D8" i="22"/>
  <c r="AN7" i="22"/>
  <c r="AF7" i="22"/>
  <c r="X7" i="22"/>
  <c r="P7" i="22"/>
  <c r="H7" i="22"/>
  <c r="AR6" i="22"/>
  <c r="AJ6" i="22"/>
  <c r="AB6" i="22"/>
  <c r="T6" i="22"/>
  <c r="L6" i="22"/>
  <c r="D6" i="22"/>
  <c r="AN5" i="22"/>
  <c r="AF5" i="22"/>
  <c r="X5" i="22"/>
  <c r="P5" i="22"/>
  <c r="H5" i="22"/>
  <c r="B5" i="22"/>
  <c r="V12" i="22"/>
  <c r="K24" i="22" s="1"/>
  <c r="J11" i="22"/>
  <c r="V10" i="22"/>
  <c r="K22" i="22" s="1"/>
  <c r="Z9" i="22"/>
  <c r="AD8" i="22"/>
  <c r="AH7" i="22"/>
  <c r="AL6" i="22"/>
  <c r="F6" i="22"/>
  <c r="R5" i="22"/>
  <c r="B10" i="22"/>
  <c r="AQ12" i="22"/>
  <c r="AI12" i="22"/>
  <c r="AA12" i="22"/>
  <c r="S12" i="22"/>
  <c r="K12" i="22"/>
  <c r="C12" i="22"/>
  <c r="AM11" i="22"/>
  <c r="AE11" i="22"/>
  <c r="W11" i="22"/>
  <c r="O11" i="22"/>
  <c r="G11" i="22"/>
  <c r="AQ10" i="22"/>
  <c r="AI10" i="22"/>
  <c r="AA10" i="22"/>
  <c r="S10" i="22"/>
  <c r="K10" i="22"/>
  <c r="C10" i="22"/>
  <c r="AM9" i="22"/>
  <c r="AE9" i="22"/>
  <c r="W9" i="22"/>
  <c r="O9" i="22"/>
  <c r="G9" i="22"/>
  <c r="AQ8" i="22"/>
  <c r="AI8" i="22"/>
  <c r="AA8" i="22"/>
  <c r="S8" i="22"/>
  <c r="K8" i="22"/>
  <c r="C8" i="22"/>
  <c r="AM7" i="22"/>
  <c r="AE7" i="22"/>
  <c r="W7" i="22"/>
  <c r="O7" i="22"/>
  <c r="G7" i="22"/>
  <c r="AQ6" i="22"/>
  <c r="AI6" i="22"/>
  <c r="AA6" i="22"/>
  <c r="S6" i="22"/>
  <c r="K6" i="22"/>
  <c r="C6" i="22"/>
  <c r="AM5" i="22"/>
  <c r="AE5" i="22"/>
  <c r="W5" i="22"/>
  <c r="O5" i="22"/>
  <c r="G5" i="22"/>
  <c r="B9" i="22"/>
  <c r="AP12" i="22"/>
  <c r="AH12" i="22"/>
  <c r="Z12" i="22"/>
  <c r="R12" i="22"/>
  <c r="J12" i="22"/>
  <c r="AT11" i="22"/>
  <c r="AL11" i="22"/>
  <c r="AD11" i="22"/>
  <c r="V11" i="22"/>
  <c r="K23" i="22" s="1"/>
  <c r="N11" i="22"/>
  <c r="F11" i="22"/>
  <c r="AP10" i="22"/>
  <c r="AH10" i="22"/>
  <c r="Z10" i="22"/>
  <c r="R10" i="22"/>
  <c r="J10" i="22"/>
  <c r="AT9" i="22"/>
  <c r="AL9" i="22"/>
  <c r="AD9" i="22"/>
  <c r="V9" i="22"/>
  <c r="K21" i="22" s="1"/>
  <c r="N9" i="22"/>
  <c r="F9" i="22"/>
  <c r="AP8" i="22"/>
  <c r="AH8" i="22"/>
  <c r="Z8" i="22"/>
  <c r="R8" i="22"/>
  <c r="J8" i="22"/>
  <c r="AT7" i="22"/>
  <c r="AL7" i="22"/>
  <c r="AD7" i="22"/>
  <c r="V7" i="22"/>
  <c r="K19" i="22" s="1"/>
  <c r="L19" i="22" s="1"/>
  <c r="N7" i="22"/>
  <c r="F7" i="22"/>
  <c r="AP6" i="22"/>
  <c r="AH6" i="22"/>
  <c r="Z6" i="22"/>
  <c r="R6" i="22"/>
  <c r="J6" i="22"/>
  <c r="AT5" i="22"/>
  <c r="AL5" i="22"/>
  <c r="AD5" i="22"/>
  <c r="V5" i="22"/>
  <c r="K17" i="22" s="1"/>
  <c r="L17" i="22" s="1"/>
  <c r="N17" i="22" s="1"/>
  <c r="N5" i="22"/>
  <c r="F5" i="22"/>
  <c r="AL12" i="22"/>
  <c r="AP11" i="22"/>
  <c r="AT10" i="22"/>
  <c r="AP9" i="22"/>
  <c r="AT8" i="22"/>
  <c r="F8" i="22"/>
  <c r="AT6" i="22"/>
  <c r="AH5" i="22"/>
  <c r="B8" i="22"/>
  <c r="AO12" i="22"/>
  <c r="AG12" i="22"/>
  <c r="Y12" i="22"/>
  <c r="Q12" i="22"/>
  <c r="I12" i="22"/>
  <c r="AS11" i="22"/>
  <c r="AK11" i="22"/>
  <c r="AC11" i="22"/>
  <c r="U11" i="22"/>
  <c r="M11" i="22"/>
  <c r="E11" i="22"/>
  <c r="AO10" i="22"/>
  <c r="AG10" i="22"/>
  <c r="Y10" i="22"/>
  <c r="Q10" i="22"/>
  <c r="I10" i="22"/>
  <c r="AS9" i="22"/>
  <c r="AK9" i="22"/>
  <c r="AC9" i="22"/>
  <c r="U9" i="22"/>
  <c r="M9" i="22"/>
  <c r="E9" i="22"/>
  <c r="AO8" i="22"/>
  <c r="AG8" i="22"/>
  <c r="Y8" i="22"/>
  <c r="Q8" i="22"/>
  <c r="I8" i="22"/>
  <c r="AS7" i="22"/>
  <c r="AK7" i="22"/>
  <c r="AC7" i="22"/>
  <c r="U7" i="22"/>
  <c r="M7" i="22"/>
  <c r="E7" i="22"/>
  <c r="AO6" i="22"/>
  <c r="AG6" i="22"/>
  <c r="Y6" i="22"/>
  <c r="Q6" i="22"/>
  <c r="I6" i="22"/>
  <c r="AS5" i="22"/>
  <c r="AK5" i="22"/>
  <c r="AC5" i="22"/>
  <c r="U5" i="22"/>
  <c r="M5" i="22"/>
  <c r="E5" i="22"/>
  <c r="N12" i="22"/>
  <c r="Z11" i="22"/>
  <c r="N10" i="22"/>
  <c r="R9" i="22"/>
  <c r="N8" i="22"/>
  <c r="R7" i="22"/>
  <c r="B7" i="22"/>
  <c r="AN12" i="22"/>
  <c r="AF12" i="22"/>
  <c r="X12" i="22"/>
  <c r="P12" i="22"/>
  <c r="H12" i="22"/>
  <c r="AR11" i="22"/>
  <c r="AJ11" i="22"/>
  <c r="AB11" i="22"/>
  <c r="T11" i="22"/>
  <c r="L11" i="22"/>
  <c r="D11" i="22"/>
  <c r="AN10" i="22"/>
  <c r="AF10" i="22"/>
  <c r="X10" i="22"/>
  <c r="P10" i="22"/>
  <c r="H10" i="22"/>
  <c r="AR9" i="22"/>
  <c r="AJ9" i="22"/>
  <c r="AB9" i="22"/>
  <c r="T9" i="22"/>
  <c r="L9" i="22"/>
  <c r="D9" i="22"/>
  <c r="AN8" i="22"/>
  <c r="AF8" i="22"/>
  <c r="X8" i="22"/>
  <c r="P8" i="22"/>
  <c r="H8" i="22"/>
  <c r="AR7" i="22"/>
  <c r="AJ7" i="22"/>
  <c r="AB7" i="22"/>
  <c r="T7" i="22"/>
  <c r="L7" i="22"/>
  <c r="D7" i="22"/>
  <c r="AN6" i="22"/>
  <c r="AF6" i="22"/>
  <c r="X6" i="22"/>
  <c r="P6" i="22"/>
  <c r="H6" i="22"/>
  <c r="AR5" i="22"/>
  <c r="AJ5" i="22"/>
  <c r="AB5" i="22"/>
  <c r="T5" i="22"/>
  <c r="L5" i="22"/>
  <c r="F21" i="22"/>
  <c r="J24" i="22"/>
  <c r="I17" i="22"/>
  <c r="I24" i="22"/>
  <c r="J23" i="22"/>
  <c r="F19" i="22"/>
  <c r="G18" i="22"/>
  <c r="F20" i="22"/>
  <c r="I23" i="22"/>
  <c r="J22" i="22"/>
  <c r="F18" i="22"/>
  <c r="J17" i="22"/>
  <c r="G19" i="22"/>
  <c r="G17" i="22"/>
  <c r="G24" i="22"/>
  <c r="I22" i="22"/>
  <c r="J21" i="22"/>
  <c r="I18" i="22"/>
  <c r="F17" i="22"/>
  <c r="F24" i="22"/>
  <c r="G23" i="22"/>
  <c r="I21" i="22"/>
  <c r="J20" i="22"/>
  <c r="F23" i="22"/>
  <c r="G22" i="22"/>
  <c r="I20" i="22"/>
  <c r="J19" i="22"/>
  <c r="F22" i="22"/>
  <c r="G21" i="22"/>
  <c r="I19" i="22"/>
  <c r="J18" i="22"/>
  <c r="E1" i="19"/>
  <c r="C116" i="22" l="1"/>
  <c r="E223" i="22" s="1"/>
  <c r="E8" i="16" s="1"/>
  <c r="C112" i="22"/>
  <c r="E219" i="22" s="1"/>
  <c r="E4" i="16" s="1"/>
  <c r="B116" i="22"/>
  <c r="B223" i="22" s="1"/>
  <c r="B8" i="16" s="1"/>
  <c r="C113" i="22"/>
  <c r="C220" i="22" s="1"/>
  <c r="C5" i="16" s="1"/>
  <c r="C111" i="22"/>
  <c r="E218" i="22" s="1"/>
  <c r="E3" i="16" s="1"/>
  <c r="B112" i="22"/>
  <c r="B219" i="22" s="1"/>
  <c r="B4" i="16" s="1"/>
  <c r="B111" i="22"/>
  <c r="B218" i="22" s="1"/>
  <c r="B3" i="16" s="1"/>
  <c r="C110" i="22"/>
  <c r="E217" i="22" s="1"/>
  <c r="E2" i="16" s="1"/>
  <c r="B113" i="22"/>
  <c r="B220" i="22" s="1"/>
  <c r="B5" i="16" s="1"/>
  <c r="D112" i="22"/>
  <c r="D219" i="22" s="1"/>
  <c r="D4" i="16" s="1"/>
  <c r="D116" i="22"/>
  <c r="D223" i="22" s="1"/>
  <c r="D8" i="16" s="1"/>
  <c r="E117" i="22"/>
  <c r="D111" i="22"/>
  <c r="D218" i="22" s="1"/>
  <c r="D3" i="16" s="1"/>
  <c r="E113" i="22"/>
  <c r="K18" i="22"/>
  <c r="L18" i="22" s="1"/>
  <c r="E111" i="22"/>
  <c r="B117" i="22"/>
  <c r="B224" i="22" s="1"/>
  <c r="B9" i="16" s="1"/>
  <c r="D110" i="22"/>
  <c r="D217" i="22" s="1"/>
  <c r="D2" i="16" s="1"/>
  <c r="C117" i="22"/>
  <c r="E18" i="22"/>
  <c r="B110" i="22"/>
  <c r="B217" i="22" s="1"/>
  <c r="B2" i="16" s="1"/>
  <c r="D20" i="22"/>
  <c r="H21" i="22"/>
  <c r="B17" i="22"/>
  <c r="E20" i="22"/>
  <c r="E24" i="22"/>
  <c r="B23" i="22"/>
  <c r="H17" i="22"/>
  <c r="D19" i="22"/>
  <c r="D22" i="22"/>
  <c r="H19" i="22"/>
  <c r="H22" i="22"/>
  <c r="D24" i="22"/>
  <c r="D23" i="22"/>
  <c r="H20" i="22"/>
  <c r="D18" i="22"/>
  <c r="B21" i="22"/>
  <c r="H23" i="22"/>
  <c r="E23" i="22"/>
  <c r="B20" i="22"/>
  <c r="E21" i="22"/>
  <c r="E17" i="22"/>
  <c r="E19" i="22"/>
  <c r="H24" i="22"/>
  <c r="E22" i="22"/>
  <c r="D17" i="22"/>
  <c r="B18" i="22"/>
  <c r="C20" i="22"/>
  <c r="D21" i="22"/>
  <c r="H18" i="22"/>
  <c r="C18" i="22"/>
  <c r="B19" i="22"/>
  <c r="C22" i="22"/>
  <c r="C21" i="22"/>
  <c r="C23" i="22"/>
  <c r="B24" i="22"/>
  <c r="C24" i="22"/>
  <c r="C19" i="22"/>
  <c r="B22" i="22"/>
  <c r="C17" i="22"/>
  <c r="N23" i="22"/>
  <c r="L23" i="22"/>
  <c r="N24" i="22"/>
  <c r="L24" i="22"/>
  <c r="C223" i="22" l="1"/>
  <c r="C8" i="16" s="1"/>
  <c r="C219" i="22"/>
  <c r="C4" i="16" s="1"/>
  <c r="C218" i="22"/>
  <c r="C3" i="16" s="1"/>
  <c r="E220" i="22"/>
  <c r="E5" i="16" s="1"/>
  <c r="C217" i="22"/>
  <c r="C2" i="16" s="1"/>
  <c r="E224" i="22"/>
  <c r="E9" i="16" s="1"/>
  <c r="C224" i="22"/>
  <c r="C9" i="16" s="1"/>
  <c r="B31" i="22"/>
  <c r="B5" i="7" s="1"/>
  <c r="E33" i="22"/>
  <c r="E7" i="7" s="1"/>
  <c r="D30" i="22"/>
  <c r="D4" i="7" s="1"/>
  <c r="J31" i="22"/>
  <c r="J5" i="7" s="1"/>
  <c r="F31" i="22"/>
  <c r="F5" i="7" s="1"/>
  <c r="I31" i="22"/>
  <c r="I5" i="7" s="1"/>
  <c r="C31" i="22"/>
  <c r="C5" i="7" s="1"/>
  <c r="D31" i="22"/>
  <c r="D5" i="7" s="1"/>
  <c r="E31" i="22"/>
  <c r="E5" i="7" s="1"/>
  <c r="H31" i="22"/>
  <c r="H5" i="7" s="1"/>
  <c r="C28" i="22"/>
  <c r="C2" i="7" s="1"/>
  <c r="I29" i="22"/>
  <c r="I3" i="7" s="1"/>
  <c r="G31" i="22"/>
  <c r="G5" i="7" s="1"/>
  <c r="E29" i="22"/>
  <c r="E3" i="7" s="1"/>
  <c r="J29" i="22"/>
  <c r="J3" i="7" s="1"/>
  <c r="B29" i="22"/>
  <c r="B3" i="7" s="1"/>
  <c r="F29" i="22"/>
  <c r="F3" i="7" s="1"/>
  <c r="H32" i="22"/>
  <c r="H6" i="7" s="1"/>
  <c r="C32" i="22"/>
  <c r="C6" i="7" s="1"/>
  <c r="I32" i="22"/>
  <c r="I6" i="7" s="1"/>
  <c r="H29" i="22"/>
  <c r="H3" i="7" s="1"/>
  <c r="F32" i="22"/>
  <c r="F6" i="7" s="1"/>
  <c r="B32" i="22"/>
  <c r="B6" i="7" s="1"/>
  <c r="G29" i="22"/>
  <c r="G3" i="7" s="1"/>
  <c r="B30" i="22"/>
  <c r="B4" i="7" s="1"/>
  <c r="G32" i="22"/>
  <c r="G6" i="7" s="1"/>
  <c r="D32" i="22"/>
  <c r="D6" i="7" s="1"/>
  <c r="G30" i="22"/>
  <c r="G4" i="7" s="1"/>
  <c r="H33" i="22"/>
  <c r="H7" i="7" s="1"/>
  <c r="E30" i="22"/>
  <c r="E4" i="7" s="1"/>
  <c r="C30" i="22"/>
  <c r="C4" i="7" s="1"/>
  <c r="E32" i="22"/>
  <c r="E6" i="7" s="1"/>
  <c r="B34" i="22"/>
  <c r="B8" i="7" s="1"/>
  <c r="D29" i="22"/>
  <c r="D3" i="7" s="1"/>
  <c r="C29" i="22"/>
  <c r="C3" i="7" s="1"/>
  <c r="I35" i="22"/>
  <c r="I9" i="7" s="1"/>
  <c r="J32" i="22"/>
  <c r="J6" i="7" s="1"/>
  <c r="G28" i="22"/>
  <c r="G2" i="7" s="1"/>
  <c r="J30" i="22"/>
  <c r="J4" i="7" s="1"/>
  <c r="I30" i="22"/>
  <c r="I4" i="7" s="1"/>
  <c r="F30" i="22"/>
  <c r="F4" i="7" s="1"/>
  <c r="H30" i="22"/>
  <c r="H4" i="7" s="1"/>
  <c r="D35" i="22"/>
  <c r="D9" i="7" s="1"/>
  <c r="I33" i="22"/>
  <c r="I7" i="7" s="1"/>
  <c r="J33" i="22"/>
  <c r="J7" i="7" s="1"/>
  <c r="C33" i="22"/>
  <c r="C7" i="7" s="1"/>
  <c r="E34" i="22"/>
  <c r="E8" i="7" s="1"/>
  <c r="G33" i="22"/>
  <c r="G7" i="7" s="1"/>
  <c r="D33" i="22"/>
  <c r="D7" i="7" s="1"/>
  <c r="B33" i="22"/>
  <c r="B7" i="7" s="1"/>
  <c r="F33" i="22"/>
  <c r="F7" i="7" s="1"/>
  <c r="J35" i="22"/>
  <c r="J9" i="7" s="1"/>
  <c r="I28" i="22"/>
  <c r="I2" i="7" s="1"/>
  <c r="I34" i="22"/>
  <c r="I8" i="7" s="1"/>
  <c r="C35" i="22"/>
  <c r="C9" i="7" s="1"/>
  <c r="F34" i="22"/>
  <c r="F8" i="7" s="1"/>
  <c r="D34" i="22"/>
  <c r="D8" i="7" s="1"/>
  <c r="J28" i="22"/>
  <c r="J2" i="7" s="1"/>
  <c r="H35" i="22"/>
  <c r="H9" i="7" s="1"/>
  <c r="H28" i="22"/>
  <c r="H2" i="7" s="1"/>
  <c r="F28" i="22"/>
  <c r="F2" i="7" s="1"/>
  <c r="B28" i="22"/>
  <c r="B2" i="7" s="1"/>
  <c r="G34" i="22"/>
  <c r="G8" i="7" s="1"/>
  <c r="B35" i="22"/>
  <c r="B9" i="7" s="1"/>
  <c r="J34" i="22"/>
  <c r="J8" i="7" s="1"/>
  <c r="F35" i="22"/>
  <c r="F9" i="7" s="1"/>
  <c r="E28" i="22"/>
  <c r="E2" i="7" s="1"/>
  <c r="C34" i="22"/>
  <c r="C8" i="7" s="1"/>
  <c r="H34" i="22"/>
  <c r="H8" i="7" s="1"/>
  <c r="G35" i="22"/>
  <c r="G9" i="7" s="1"/>
  <c r="E35" i="22"/>
  <c r="E9" i="7" s="1"/>
  <c r="D28" i="22"/>
  <c r="D2" i="7" s="1"/>
</calcChain>
</file>

<file path=xl/sharedStrings.xml><?xml version="1.0" encoding="utf-8"?>
<sst xmlns="http://schemas.openxmlformats.org/spreadsheetml/2006/main" count="1353" uniqueCount="328">
  <si>
    <t>FoISaGPbE Fraction of Goods Purchased by Entity</t>
  </si>
  <si>
    <t>FoISaGPbE Nonenergy Inputs by Supplying Entity as Share of Gross Output</t>
  </si>
  <si>
    <t>Sources:</t>
  </si>
  <si>
    <t>All Data</t>
  </si>
  <si>
    <t>Organisation for Economic Co-operation and Development</t>
  </si>
  <si>
    <t xml:space="preserve">2021 ed. </t>
  </si>
  <si>
    <t>Interactive Data Tables: OECD.Stat</t>
  </si>
  <si>
    <t>Interactive Data Tables: OECD Stat</t>
  </si>
  <si>
    <t>https://stats.oecd.org</t>
  </si>
  <si>
    <t xml:space="preserve">https://stats.oecd.org/Index.aspx?QueryId=109612 </t>
  </si>
  <si>
    <t>Input Output Database: Input-Output Tables (IOTs) ISIC Rev. 4</t>
  </si>
  <si>
    <t>Input Output Tables (IOTS) 2021ed.</t>
  </si>
  <si>
    <t>TTL : Total; VAL: Value Added, DOMIMP: Domestic output and imports</t>
  </si>
  <si>
    <t>DOMIMP (Domestic output and imports0</t>
  </si>
  <si>
    <t>Notes</t>
  </si>
  <si>
    <t>Explanation</t>
  </si>
  <si>
    <t>When industrial production declines in response to a policy package, the effect is not only</t>
  </si>
  <si>
    <t>to reduce industry revenue.  Industry also buys less services from suppliers, and pays less</t>
  </si>
  <si>
    <t>income and other taxes to government.  This variable helps us calculate the cash flows associated</t>
  </si>
  <si>
    <t>both with lost revenue (reduced purchases of industrial goods) and reduced spending by</t>
  </si>
  <si>
    <t>industry.</t>
  </si>
  <si>
    <t>Fraction of Goods Purchased by Entity is used to allocate money for reduced sales of industrial</t>
  </si>
  <si>
    <t>outputs.  Values for all industries (except Waste Management) are calculated, but only the values</t>
  </si>
  <si>
    <t>for non-energy industries are actually used in Vensim (in EPS 1.5.0), since the cash flows associated</t>
  </si>
  <si>
    <t>with reduced sales of energy are already handled in the various demand sectors, with cash flows</t>
  </si>
  <si>
    <t>assigned to the relevant energy supply industry, as well as to the users of the energy, who buy less.</t>
  </si>
  <si>
    <t>Nonenergy Inputs by Supplying Entity as Share of Gross Output is used to allocate money for reduced</t>
  </si>
  <si>
    <t>purchases of inputs (e.g. intermediate materials, labor, etc.) by each industry.</t>
  </si>
  <si>
    <t>Values are calculated for all industries (except Waste Management), and all are used in Vensim</t>
  </si>
  <si>
    <t>(as of EPS 1.5.0), because nowhere else in the model is the reduction in inputs demanded by</t>
  </si>
  <si>
    <t>the energy supply industries taken into account.  However,</t>
  </si>
  <si>
    <t>reduced spending is included only on non-energy inputs (e.g. intermediate materials, labor, etc.)</t>
  </si>
  <si>
    <t>because reduced spending on energy (e.g. reduced purchases of fuels and electricity) is handled</t>
  </si>
  <si>
    <t>in a separate structure on the "Industry - Cash Flow" sheet.</t>
  </si>
  <si>
    <t>Notes on Whether Rows in Output Tables Sum to One (Across All Entities)</t>
  </si>
  <si>
    <t>Fraction of Goods Purchased by Entity is represented as a share of total output, so the rows must</t>
  </si>
  <si>
    <t>sum to one.  On the other hand, Nonenergy Inputs by Supplying Entity as Share of Gross Output</t>
  </si>
  <si>
    <t>is represented as a share of total revenue (not a share of total inputs), so</t>
  </si>
  <si>
    <t>the sum of each row will be less than one.  This is normal (and necessary).</t>
  </si>
  <si>
    <t>OECD Data IO Table - Imports</t>
  </si>
  <si>
    <t>This table indicates where KSA supply of each industrial good comes from.</t>
  </si>
  <si>
    <t>This table would be irrelevant to us, except it includes imports, which we</t>
  </si>
  <si>
    <t>need to handle specially (we assume all exports are KSA-produced goods,</t>
  </si>
  <si>
    <t>not imported goods that are re-exported).  The entire purpose of this</t>
  </si>
  <si>
    <t xml:space="preserve">table is to determine the share of the final value of goods (the Supply) </t>
  </si>
  <si>
    <t xml:space="preserve">that comes from imports and the various charges associated with </t>
  </si>
  <si>
    <t>imports (taxes, trade and transport margins, etc.)</t>
  </si>
  <si>
    <t>OECD Data IO Table - Total</t>
  </si>
  <si>
    <t>This table shows how much input is demanded by each entity from each industry.</t>
  </si>
  <si>
    <t>Columns show the industry/entity demanding goods.</t>
  </si>
  <si>
    <t>Rows show which industries are supplying the demanded goods.</t>
  </si>
  <si>
    <t>This table is our primary source.  However, we adjust it to account for</t>
  </si>
  <si>
    <t>special handling of imports (noted above).</t>
  </si>
  <si>
    <t>OECD Data IO Table - Value Add</t>
  </si>
  <si>
    <t>This table breaks out the value added line item in the total table.</t>
  </si>
  <si>
    <t>We use this table to understand the share of value added that comes</t>
  </si>
  <si>
    <t>from taxes/subsidies and labor. We omit operating surplus</t>
  </si>
  <si>
    <t>and other income from our calculations.</t>
  </si>
  <si>
    <t>Iron &amp; Steel</t>
  </si>
  <si>
    <t>Iron &amp; steel isn't separately broken out in trade statistics, so we use the share of all</t>
  </si>
  <si>
    <t>basic metals to represent iron and steel.</t>
  </si>
  <si>
    <t>Cement</t>
  </si>
  <si>
    <t>Cement isn't separately broken out in the trade statistics, so we use the share of all</t>
  </si>
  <si>
    <t>other non-metallic mineral products to represent cement, in line with</t>
  </si>
  <si>
    <t>the UN's documentation (https://unstats.un.org/unsd/publication/SeriesM/seriesm_4rev4e.pdf)</t>
  </si>
  <si>
    <t>Imported Share of Industrial Inputs</t>
  </si>
  <si>
    <t>We assume only inputs supplied by other industries (i.e. materials, components,</t>
  </si>
  <si>
    <t>etc.), not inputs supplied by the "consumers" entity (i.e. services and labor) are</t>
  </si>
  <si>
    <t>imported.  We calculate the imported share of products from each industry.</t>
  </si>
  <si>
    <t>Precision of Output Numbers</t>
  </si>
  <si>
    <t>Although our estimate does not have great precision, we use a large number of</t>
  </si>
  <si>
    <t>decimal places in the output sheet in order to reduce rounding error in Vensim</t>
  </si>
  <si>
    <t>to imperceptible levels.</t>
  </si>
  <si>
    <t>OECD Name</t>
  </si>
  <si>
    <t>Fraction of Good Purchased Category</t>
  </si>
  <si>
    <t>Industry Category</t>
  </si>
  <si>
    <t>government</t>
  </si>
  <si>
    <t>Cement and other carbonate use</t>
  </si>
  <si>
    <t>TTL_01T03: Agriculture, forestry and fishing</t>
  </si>
  <si>
    <t>nonenergy industries</t>
  </si>
  <si>
    <t>agriculture</t>
  </si>
  <si>
    <t>Natural gas and petroleum systems</t>
  </si>
  <si>
    <t>TTL_05T06: Mining and extraction of energy producing products</t>
  </si>
  <si>
    <t>natural gas and petroleum suppliers</t>
  </si>
  <si>
    <t>other industries</t>
  </si>
  <si>
    <t>labor and consumers</t>
  </si>
  <si>
    <t>Iron and steel</t>
  </si>
  <si>
    <t>TTL_07T08: Mining and quarrying of non-energy producing products</t>
  </si>
  <si>
    <t>foreign entities</t>
  </si>
  <si>
    <t>Chemicals</t>
  </si>
  <si>
    <t>TTL_09: Mining support service activities</t>
  </si>
  <si>
    <t>electricity suppliers</t>
  </si>
  <si>
    <t>Coal mining</t>
  </si>
  <si>
    <t>TTL_10T12: Food products, beverages and tobacco</t>
  </si>
  <si>
    <t>coal suppliers</t>
  </si>
  <si>
    <t>Waste management</t>
  </si>
  <si>
    <t>TTL_13T15: Textiles, wearing apparel, leather and related products</t>
  </si>
  <si>
    <t>Agriculture</t>
  </si>
  <si>
    <t>TTL_16: Wood and of products of wood and cork (except furniture)</t>
  </si>
  <si>
    <t>biomass and biofuel suppliers</t>
  </si>
  <si>
    <t>Other industries</t>
  </si>
  <si>
    <t>TTL_17T18: Paper products and printing</t>
  </si>
  <si>
    <t>other energy suppliers</t>
  </si>
  <si>
    <t>TTL_19: Coke and refined petroleum products</t>
  </si>
  <si>
    <t>natural gas and petroleum systems</t>
  </si>
  <si>
    <t>TTL_20T21: Chemicals and pharmaceutical products</t>
  </si>
  <si>
    <t>chemicals</t>
  </si>
  <si>
    <t>TTL_22: Rubber and plastics products</t>
  </si>
  <si>
    <t>TTL_23: Other non-metallic mineral products</t>
  </si>
  <si>
    <t>TTL_24: Manufacture of basic metals</t>
  </si>
  <si>
    <t>iron and steel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</si>
  <si>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</si>
  <si>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</si>
  <si>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</si>
  <si>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</si>
  <si>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</si>
  <si>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</si>
  <si>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</si>
  <si>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</si>
  <si>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energy suppliers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</si>
  <si>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</si>
  <si>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</si>
  <si>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</si>
  <si>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</si>
  <si>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</si>
  <si>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</si>
  <si>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</si>
  <si>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</si>
  <si>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</si>
  <si>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</si>
  <si>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</si>
  <si>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</si>
  <si>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</si>
  <si>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</si>
  <si>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</si>
  <si>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</si>
  <si>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</si>
  <si>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</si>
  <si>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total</t>
  </si>
  <si>
    <t>VALU: Value added at basic prices</t>
  </si>
  <si>
    <t>value add</t>
  </si>
  <si>
    <t>OUTPUT: Output at basic prices</t>
  </si>
  <si>
    <t>output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</si>
  <si>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</si>
  <si>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</si>
  <si>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</si>
  <si>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</si>
  <si>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</si>
  <si>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</si>
  <si>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</si>
  <si>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</si>
  <si>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</si>
  <si>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</si>
  <si>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</si>
  <si>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</si>
  <si>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</si>
  <si>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</si>
  <si>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</si>
  <si>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</si>
  <si>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</si>
  <si>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</si>
  <si>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</si>
  <si>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</si>
  <si>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</si>
  <si>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</si>
  <si>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</si>
  <si>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</si>
  <si>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</si>
  <si>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</si>
  <si>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</si>
  <si>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</si>
  <si>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</si>
  <si>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</si>
  <si>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</si>
  <si>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</si>
  <si>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</si>
  <si>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</si>
  <si>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</si>
  <si>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</si>
  <si>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</si>
  <si>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</si>
  <si>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</si>
  <si>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</si>
  <si>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capital formation</t>
  </si>
  <si>
    <t>INVNT: Changes in inventories</t>
  </si>
  <si>
    <t>inventory</t>
  </si>
  <si>
    <t>CONS_ABR: Direct purchases abroad by residents (imports)</t>
  </si>
  <si>
    <t>imports</t>
  </si>
  <si>
    <t>CONS_NONRES: Direct purchases by non-residents (exports)</t>
  </si>
  <si>
    <t>EXPO: Exports (cross border)</t>
  </si>
  <si>
    <t>IMPO: Imports (cross border)</t>
  </si>
  <si>
    <t>LABR: Compensation of employees</t>
  </si>
  <si>
    <t>OTXS: Other taxes less subsidies on production</t>
  </si>
  <si>
    <t>taxes</t>
  </si>
  <si>
    <t>GOPS: Gross operating surplus and mixed income</t>
  </si>
  <si>
    <t>other</t>
  </si>
  <si>
    <t>To Sector</t>
  </si>
  <si>
    <t>From Sector</t>
  </si>
  <si>
    <t>Variable</t>
  </si>
  <si>
    <t>TTL: Total</t>
  </si>
  <si>
    <t>Country</t>
  </si>
  <si>
    <t>HKG: Hong Kong, China</t>
  </si>
  <si>
    <t>Time</t>
  </si>
  <si>
    <t>Unit</t>
  </si>
  <si>
    <t>US Dollar, Millions</t>
  </si>
  <si>
    <t>To: (sector in column)</t>
  </si>
  <si>
    <t>Totals</t>
  </si>
  <si>
    <t>From: (sector in row)</t>
  </si>
  <si>
    <t/>
  </si>
  <si>
    <t>00=8.4+24.4</t>
  </si>
  <si>
    <t>Data extracted on 4 Sept 2023 10:13 UTC (GMT) from OECD.Stat</t>
  </si>
  <si>
    <t>Sorry, the query is too large to fit into the Excel cell. You will not be able to update your table with the .Stat Populator.</t>
  </si>
  <si>
    <t>VAL: Value added</t>
  </si>
  <si>
    <t>Data extracted on 05 Oct 2019 17:23 UTC (GMT) from OECD.Stat</t>
  </si>
  <si>
    <t>WRI (14/11/21)</t>
  </si>
  <si>
    <t>using a CPI (Consumer Price Index)</t>
  </si>
  <si>
    <t xml:space="preserve">use the exchange rate to change to HKD GDP  and then CPI to change 2018 datasheet to 2021 </t>
  </si>
  <si>
    <t xml:space="preserve">GDP becomes a multiplier to calculate the differences </t>
  </si>
  <si>
    <t>DOMIMP: Domestic output and imports</t>
  </si>
  <si>
    <t>TOTAL: Total</t>
  </si>
  <si>
    <t>Domestic</t>
  </si>
  <si>
    <t>DOM_01T03: Agriculture, forestry and fishing</t>
  </si>
  <si>
    <t>DOM_05T06: Mining and extraction of energy producing products</t>
  </si>
  <si>
    <t>DOM_07T08: Mining and quarrying of non-energy producing products</t>
  </si>
  <si>
    <t>DOM_09: Mining support service activities</t>
  </si>
  <si>
    <t>DOM_10T12: Food products, beverages and tobacco</t>
  </si>
  <si>
    <t>DOM_13T15: Textiles, wearing apparel, leather and related products</t>
  </si>
  <si>
    <t>DOM_16: Wood and of products of wood and cork (except furniture)</t>
  </si>
  <si>
    <t>DOM_17T18: Paper products and printing</t>
  </si>
  <si>
    <t>DOM_19: Coke and refined petroleum products</t>
  </si>
  <si>
    <t>DOM_20T21: Chemicals and pharmaceutical products</t>
  </si>
  <si>
    <t>DOM_22: Rubber and plastics products</t>
  </si>
  <si>
    <t>DOM_23: Other non-metallic mineral products</t>
  </si>
  <si>
    <t>DOM_24: Manufacture of basic metals</t>
  </si>
  <si>
    <t>DOM_25: Fabricated metal products, except machinery and equipment</t>
  </si>
  <si>
    <t>DOM_26: Computer, electronic and optical products</t>
  </si>
  <si>
    <t>DOM_27: Electrical equipment</t>
  </si>
  <si>
    <t>DOM_28: Machinery and equipment n.e.c.</t>
  </si>
  <si>
    <t>DOM_29: Motor vehicles, trailers and semi-trailers</t>
  </si>
  <si>
    <t>DOM_30: Other transport equipment</t>
  </si>
  <si>
    <t>DOM_31T33: Other manufacturing; repair and installation of machinery and equipment</t>
  </si>
  <si>
    <t>DOM_35T39: Electricity, gas, water supply, sewerage, waste and remediation services</t>
  </si>
  <si>
    <t>DOM_41T43: Construction</t>
  </si>
  <si>
    <t>DOM_45T47: Wholesale and retail trade; repair of motor vehicles</t>
  </si>
  <si>
    <t>DOM_49T53: Transportation and storage</t>
  </si>
  <si>
    <t>DOM_55T56: Accomodation and food services</t>
  </si>
  <si>
    <t>DOM_58T60: Publishing, audiovisual and broadcasting activities</t>
  </si>
  <si>
    <t>DOM_61: Telecommunications</t>
  </si>
  <si>
    <t>DOM_62T63: IT and other information services</t>
  </si>
  <si>
    <t>DOM_64T66: Financial and insurance activities</t>
  </si>
  <si>
    <t>DOM_68: Real estate activities</t>
  </si>
  <si>
    <t>DOM_69T82: Other business sector services</t>
  </si>
  <si>
    <t>DOM_84: Public administration and defence; compulsory social security</t>
  </si>
  <si>
    <t>DOM_85: Education</t>
  </si>
  <si>
    <t>DOM_86T88: Human health and social work</t>
  </si>
  <si>
    <t>DOM_90T96: Arts, entertainment, recreation and other service activities</t>
  </si>
  <si>
    <t>DOM_97T98: Private households with employed persons</t>
  </si>
  <si>
    <t>Imports</t>
  </si>
  <si>
    <t>IMP_01T03: Agriculture, forestry and fishing</t>
  </si>
  <si>
    <t>IMP_05T06: Mining and extraction of energy producing products</t>
  </si>
  <si>
    <t>IMP_07T08: Mining and quarrying of non-energy producing products</t>
  </si>
  <si>
    <t>IMP_09: Mining support service activities</t>
  </si>
  <si>
    <t>IMP_10T12: Food products, beverages and tobacco</t>
  </si>
  <si>
    <t>IMP_13T15: Textiles, wearing apparel, leather and related products</t>
  </si>
  <si>
    <t>IMP_16: Wood and of products of wood and cork (except furniture)</t>
  </si>
  <si>
    <t>IMP_17T18: Paper products and printing</t>
  </si>
  <si>
    <t>IMP_19: Coke and refined petroleum products</t>
  </si>
  <si>
    <t>IMP_20T21: Chemicals and pharmaceutical products</t>
  </si>
  <si>
    <t>IMP_22: Rubber and plastics products</t>
  </si>
  <si>
    <t>#</t>
  </si>
  <si>
    <t>IMP_23: Other non-metallic mineral products</t>
  </si>
  <si>
    <t>IMP_24: Manufacture of basic metals</t>
  </si>
  <si>
    <t>IMP_25: Fabricated metal products, except machinery and equipment</t>
  </si>
  <si>
    <t>IMP_26: Computer, electronic and optical products</t>
  </si>
  <si>
    <t>IMP_27: Electrical equipment</t>
  </si>
  <si>
    <t>IMP_28: Machinery and equipment n.e.c.</t>
  </si>
  <si>
    <t>IMP_29: Motor vehicles, trailers and semi-trailers</t>
  </si>
  <si>
    <t>IMP_30: Other transport equipment</t>
  </si>
  <si>
    <t>IMP_31T33: Other manufacturing; repair and installation of machinery and equipment</t>
  </si>
  <si>
    <t>IMP_35T39: Electricity, gas, water supply, sewerage, waste and remediation services</t>
  </si>
  <si>
    <t>IMP_41T43: Construction</t>
  </si>
  <si>
    <t>IMP_45T47: Wholesale and retail trade; repair of motor vehicles</t>
  </si>
  <si>
    <t>IMP_49T53: Transportation and storage</t>
  </si>
  <si>
    <t>IMP_55T56: Accomodation and food services</t>
  </si>
  <si>
    <t>IMP_58T60: Publishing, audiovisual and broadcasting activities</t>
  </si>
  <si>
    <t>IMP_61: Telecommunications</t>
  </si>
  <si>
    <t>IMP_62T63: IT and other information services</t>
  </si>
  <si>
    <t>IMP_64T66: Financial and insurance activities</t>
  </si>
  <si>
    <t>IMP_68: Real estate activities</t>
  </si>
  <si>
    <t>IMP_69T82: Other business sector services</t>
  </si>
  <si>
    <t>IMP_84: Public administration and defence; compulsory social security</t>
  </si>
  <si>
    <t>IMP_85: Education</t>
  </si>
  <si>
    <t>IMP_86T88: Human health and social work</t>
  </si>
  <si>
    <t>IMP_90T96: Arts, entertainment, recreation and other service activities</t>
  </si>
  <si>
    <t>IMP_97T98: Private households with employed persons</t>
  </si>
  <si>
    <t>Data extracted on 6 Sept 2023 17:23 UTC (GMT) from OECD.Stat</t>
  </si>
  <si>
    <t xml:space="preserve"> </t>
  </si>
  <si>
    <t>Estimating Fraction of Goods Purchased by Entity</t>
  </si>
  <si>
    <t>Consolidating Industry Sectors</t>
  </si>
  <si>
    <t>Conslidating Purchasing Entities</t>
  </si>
  <si>
    <t>energy suppliers, reallocated --&gt;</t>
  </si>
  <si>
    <t>Fraction of Goods Purchased by Entity</t>
  </si>
  <si>
    <t>Estimating Nonenergy Inputs by Supplying Entity as a Share of Gross Output</t>
  </si>
  <si>
    <t>Total</t>
  </si>
  <si>
    <t>Consolidating Input Sectors</t>
  </si>
  <si>
    <t>Transposing Outputs</t>
  </si>
  <si>
    <t>Calculating Shares</t>
  </si>
  <si>
    <t>Calculating Import and Export Shares</t>
  </si>
  <si>
    <t>Consolidating Imports by Industry Sector</t>
  </si>
  <si>
    <t>Calculating Import Share</t>
  </si>
  <si>
    <t>Final Values</t>
  </si>
  <si>
    <t>Values in yellow (for energy industries) are not used (as of EPS 1.5.0) but are calculated here for completeness, in case these values prove useful in the future.</t>
  </si>
  <si>
    <t>See the "About" tab for more details.</t>
  </si>
  <si>
    <t>These rows are intended to sum to less than one, as they are inputs as a share of gross output (e.g. ignoring value added)</t>
  </si>
  <si>
    <t>These are shares of non-energy inputs, so we assign zeroes to all energy supplier cash flow entities.</t>
  </si>
  <si>
    <t>* CPI = value to input above</t>
  </si>
  <si>
    <t>more on the price rather than the product</t>
  </si>
  <si>
    <t xml:space="preserve">USD--&gt; HKD ---&gt; </t>
  </si>
  <si>
    <t>change the currency to HKD and then change it to year using GDP</t>
  </si>
  <si>
    <t>CPI</t>
  </si>
  <si>
    <t>GDP</t>
  </si>
  <si>
    <t>CPI change (2018-2021)</t>
  </si>
  <si>
    <t>HK Dollar, Millions</t>
  </si>
  <si>
    <t>GDP Change (2018-2021)</t>
  </si>
  <si>
    <t>https://www.censtatd.gov.hk/en/web_table.html?id=31</t>
  </si>
  <si>
    <t xml:space="preserve">https://www.censtatd.gov.hk/en/data/stat_report/product/B1060002/att/B10600022021AN21B0100.pdf </t>
  </si>
  <si>
    <t xml:space="preserve">https://www.censtatd.gov.hk/en/data/stat_report/product/B1060002/att/B10600022018AN18B0100.pdf </t>
  </si>
  <si>
    <t xml:space="preserve">https://www.statistics.gov.hk/pub/B10300022018AN18E0100.pdf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</si>
</sst>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00"/>
    <numFmt numFmtId="166" formatCode="#,##0.0_ ;\-#,##0.0\ "/>
    <numFmt numFmtId="167" formatCode="0.0000"/>
    <numFmt numFmtId="168" formatCode="#,##0.00_ ;\-#,##0.00\ "/>
    <numFmt numFmtId="169" formatCode="#,##0.000_ ;\-#,##0.000\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rgb="FFC0C0C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/>
      <bottom style="thin">
        <color rgb="FFC0C0C0"/>
      </bottom>
      <diagonal/>
    </border>
    <border>
      <left style="hair">
        <color rgb="FFFFFFCC"/>
      </left>
      <right style="thin">
        <color rgb="FFC0C0C0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7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164" fontId="0" fillId="0" borderId="0" xfId="0" applyNumberFormat="1"/>
    <xf numFmtId="0" fontId="3" fillId="0" borderId="0" xfId="1" applyFont="1"/>
    <xf numFmtId="165" fontId="0" fillId="0" borderId="0" xfId="0" applyNumberFormat="1"/>
    <xf numFmtId="0" fontId="0" fillId="3" borderId="0" xfId="0" applyFill="1"/>
    <xf numFmtId="0" fontId="0" fillId="0" borderId="0" xfId="0" applyAlignment="1">
      <alignment horizontal="right" wrapText="1"/>
    </xf>
    <xf numFmtId="0" fontId="6" fillId="0" borderId="1" xfId="0" applyFont="1" applyBorder="1"/>
    <xf numFmtId="0" fontId="10" fillId="5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wrapText="1"/>
    </xf>
    <xf numFmtId="0" fontId="12" fillId="7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top" wrapText="1"/>
    </xf>
    <xf numFmtId="166" fontId="6" fillId="0" borderId="1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0" fontId="5" fillId="0" borderId="0" xfId="0" applyFont="1"/>
    <xf numFmtId="0" fontId="12" fillId="7" borderId="1" xfId="0" applyFont="1" applyFill="1" applyBorder="1" applyAlignment="1">
      <alignment horizontal="center" wrapText="1"/>
    </xf>
    <xf numFmtId="0" fontId="0" fillId="8" borderId="0" xfId="0" applyFill="1"/>
    <xf numFmtId="0" fontId="1" fillId="8" borderId="0" xfId="0" applyFont="1" applyFill="1"/>
    <xf numFmtId="166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0" fontId="7" fillId="0" borderId="2" xfId="0" applyFont="1" applyBorder="1" applyAlignment="1">
      <alignment horizontal="left" wrapText="1"/>
    </xf>
    <xf numFmtId="0" fontId="12" fillId="7" borderId="1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 vertical="top" wrapText="1"/>
    </xf>
    <xf numFmtId="167" fontId="0" fillId="0" borderId="0" xfId="0" applyNumberFormat="1"/>
    <xf numFmtId="0" fontId="8" fillId="4" borderId="2" xfId="0" applyFont="1" applyFill="1" applyBorder="1" applyAlignment="1">
      <alignment horizontal="right" vertical="top" wrapText="1"/>
    </xf>
    <xf numFmtId="0" fontId="8" fillId="5" borderId="2" xfId="0" applyFont="1" applyFill="1" applyBorder="1" applyAlignment="1">
      <alignment horizontal="right" vertical="center" wrapText="1"/>
    </xf>
    <xf numFmtId="164" fontId="0" fillId="2" borderId="0" xfId="0" applyNumberFormat="1" applyFill="1"/>
    <xf numFmtId="2" fontId="15" fillId="0" borderId="0" xfId="0" applyNumberFormat="1" applyFont="1" applyAlignment="1">
      <alignment horizontal="right"/>
    </xf>
    <xf numFmtId="166" fontId="6" fillId="9" borderId="1" xfId="0" applyNumberFormat="1" applyFont="1" applyFill="1" applyBorder="1" applyAlignment="1">
      <alignment horizontal="right"/>
    </xf>
    <xf numFmtId="168" fontId="6" fillId="9" borderId="1" xfId="0" applyNumberFormat="1" applyFont="1" applyFill="1" applyBorder="1" applyAlignment="1">
      <alignment horizontal="right"/>
    </xf>
    <xf numFmtId="166" fontId="6" fillId="3" borderId="1" xfId="0" applyNumberFormat="1" applyFont="1" applyFill="1" applyBorder="1" applyAlignment="1">
      <alignment horizontal="right"/>
    </xf>
    <xf numFmtId="166" fontId="0" fillId="3" borderId="0" xfId="0" applyNumberFormat="1" applyFill="1"/>
    <xf numFmtId="0" fontId="12" fillId="10" borderId="1" xfId="0" applyFont="1" applyFill="1" applyBorder="1" applyAlignment="1">
      <alignment horizontal="center"/>
    </xf>
    <xf numFmtId="168" fontId="10" fillId="5" borderId="1" xfId="0" applyNumberFormat="1" applyFont="1" applyFill="1" applyBorder="1" applyAlignment="1">
      <alignment horizontal="center" vertical="top" wrapText="1"/>
    </xf>
    <xf numFmtId="168" fontId="12" fillId="7" borderId="1" xfId="0" applyNumberFormat="1" applyFont="1" applyFill="1" applyBorder="1" applyAlignment="1">
      <alignment horizontal="center"/>
    </xf>
    <xf numFmtId="168" fontId="4" fillId="9" borderId="1" xfId="0" applyNumberFormat="1" applyFont="1" applyFill="1" applyBorder="1" applyAlignment="1">
      <alignment horizontal="right"/>
    </xf>
    <xf numFmtId="169" fontId="6" fillId="9" borderId="1" xfId="0" applyNumberFormat="1" applyFont="1" applyFill="1" applyBorder="1" applyAlignment="1">
      <alignment horizontal="right"/>
    </xf>
    <xf numFmtId="2" fontId="15" fillId="9" borderId="1" xfId="0" applyNumberFormat="1" applyFont="1" applyFill="1" applyBorder="1" applyAlignment="1">
      <alignment horizontal="right"/>
    </xf>
    <xf numFmtId="168" fontId="15" fillId="9" borderId="1" xfId="0" applyNumberFormat="1" applyFont="1" applyFill="1" applyBorder="1" applyAlignment="1">
      <alignment horizontal="right"/>
    </xf>
    <xf numFmtId="2" fontId="16" fillId="9" borderId="1" xfId="0" applyNumberFormat="1" applyFont="1" applyFill="1" applyBorder="1" applyAlignment="1">
      <alignment horizontal="right"/>
    </xf>
    <xf numFmtId="169" fontId="6" fillId="0" borderId="6" xfId="0" applyNumberFormat="1" applyFont="1" applyBorder="1" applyAlignment="1">
      <alignment horizontal="right"/>
    </xf>
    <xf numFmtId="169" fontId="6" fillId="0" borderId="7" xfId="0" applyNumberFormat="1" applyFont="1" applyBorder="1" applyAlignment="1">
      <alignment horizontal="right"/>
    </xf>
    <xf numFmtId="169" fontId="6" fillId="0" borderId="1" xfId="0" applyNumberFormat="1" applyFont="1" applyBorder="1" applyAlignment="1">
      <alignment horizontal="right"/>
    </xf>
    <xf numFmtId="169" fontId="6" fillId="9" borderId="6" xfId="0" applyNumberFormat="1" applyFont="1" applyFill="1" applyBorder="1" applyAlignment="1">
      <alignment horizontal="right"/>
    </xf>
    <xf numFmtId="169" fontId="6" fillId="9" borderId="7" xfId="0" applyNumberFormat="1" applyFont="1" applyFill="1" applyBorder="1" applyAlignment="1">
      <alignment horizontal="right"/>
    </xf>
    <xf numFmtId="0" fontId="0" fillId="9" borderId="1" xfId="0" applyFill="1" applyBorder="1"/>
    <xf numFmtId="0" fontId="0" fillId="0" borderId="4" xfId="0" applyBorder="1"/>
    <xf numFmtId="169" fontId="6" fillId="0" borderId="8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168" fontId="17" fillId="0" borderId="1" xfId="0" applyNumberFormat="1" applyFont="1" applyBorder="1"/>
    <xf numFmtId="2" fontId="17" fillId="0" borderId="1" xfId="0" applyNumberFormat="1" applyFont="1" applyBorder="1"/>
    <xf numFmtId="0" fontId="17" fillId="0" borderId="1" xfId="0" applyFont="1" applyBorder="1"/>
    <xf numFmtId="166" fontId="6" fillId="11" borderId="1" xfId="0" applyNumberFormat="1" applyFont="1" applyFill="1" applyBorder="1" applyAlignment="1">
      <alignment horizontal="right"/>
    </xf>
    <xf numFmtId="169" fontId="6" fillId="11" borderId="6" xfId="0" applyNumberFormat="1" applyFont="1" applyFill="1" applyBorder="1" applyAlignment="1">
      <alignment horizontal="right"/>
    </xf>
    <xf numFmtId="0" fontId="13" fillId="6" borderId="0" xfId="0" applyFont="1" applyFill="1" applyAlignment="1">
      <alignment vertical="top" wrapText="1"/>
    </xf>
    <xf numFmtId="0" fontId="9" fillId="4" borderId="2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 wrapText="1"/>
    </xf>
    <xf numFmtId="0" fontId="9" fillId="4" borderId="3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0" fillId="4" borderId="4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4" borderId="4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right" vertical="top" wrapText="1"/>
    </xf>
    <xf numFmtId="0" fontId="8" fillId="4" borderId="3" xfId="0" applyFont="1" applyFill="1" applyBorder="1" applyAlignment="1">
      <alignment horizontal="right" vertical="top" wrapText="1"/>
    </xf>
    <xf numFmtId="0" fontId="8" fillId="5" borderId="2" xfId="0" applyFont="1" applyFill="1" applyBorder="1" applyAlignment="1">
      <alignment horizontal="right" vertical="center" wrapText="1"/>
    </xf>
    <xf numFmtId="0" fontId="8" fillId="5" borderId="3" xfId="0" applyFont="1" applyFill="1" applyBorder="1" applyAlignment="1">
      <alignment horizontal="right" vertical="center" wrapText="1"/>
    </xf>
    <xf numFmtId="166" fontId="6" fillId="12" borderId="1" xfId="0" applyNumberFormat="1" applyFont="1" applyFill="1" applyBorder="1" applyAlignment="1">
      <alignment horizontal="right"/>
    </xf>
    <xf numFmtId="0" fontId="18" fillId="11" borderId="0" xfId="0" applyFont="1" applyFill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E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vicexchangeorg.sharepoint.com/Users/harriettsang/Desktop/Fraction%20of%20Inputs%20Supplied%20and%20Goods%20Purchased%20by%20Entity_%20DOMIMP_download%20OECD.xml" TargetMode="External"/><Relationship Id="rId1" Type="http://schemas.openxmlformats.org/officeDocument/2006/relationships/externalLinkPath" Target="/Users/harriettsang/Desktop/Fraction%20of%20Inputs%20Supplied%20and%20Goods%20Purchased%20by%20Entity_%20DOMIMP_download%20OECD.xm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ECD.Stat export"/>
    </sheetNames>
    <sheetDataSet>
      <sheetData sheetId="0">
        <row r="54">
          <cell r="BD54">
            <v>29.6</v>
          </cell>
          <cell r="BF54">
            <v>122.9</v>
          </cell>
          <cell r="BH54">
            <v>230.8</v>
          </cell>
          <cell r="BJ54">
            <v>6.1</v>
          </cell>
          <cell r="BL54">
            <v>3.4</v>
          </cell>
        </row>
        <row r="55">
          <cell r="BD55">
            <v>4.0999999999999996</v>
          </cell>
          <cell r="BF55">
            <v>35.200000000000003</v>
          </cell>
          <cell r="BH55">
            <v>58.8</v>
          </cell>
          <cell r="BJ55">
            <v>1.2</v>
          </cell>
          <cell r="BL55">
            <v>1</v>
          </cell>
        </row>
        <row r="64">
          <cell r="L64">
            <v>11.5</v>
          </cell>
          <cell r="N64">
            <v>32.799999999999997</v>
          </cell>
          <cell r="P64">
            <v>22</v>
          </cell>
          <cell r="R64">
            <v>11.5</v>
          </cell>
          <cell r="T64">
            <v>93.3</v>
          </cell>
          <cell r="V64">
            <v>27.3</v>
          </cell>
          <cell r="X64">
            <v>288.5</v>
          </cell>
          <cell r="Z64">
            <v>68.7</v>
          </cell>
          <cell r="AD64">
            <v>76.2</v>
          </cell>
          <cell r="AF64">
            <v>197</v>
          </cell>
          <cell r="AH64">
            <v>18.5</v>
          </cell>
          <cell r="AJ64">
            <v>36.9</v>
          </cell>
          <cell r="AL64">
            <v>105.9</v>
          </cell>
          <cell r="AN64">
            <v>28.1</v>
          </cell>
          <cell r="AP64">
            <v>20.3</v>
          </cell>
          <cell r="AR64">
            <v>6.1</v>
          </cell>
          <cell r="AT64">
            <v>12</v>
          </cell>
          <cell r="AV64">
            <v>12.5</v>
          </cell>
          <cell r="AX64">
            <v>157.80000000000001</v>
          </cell>
          <cell r="AZ64">
            <v>7</v>
          </cell>
          <cell r="BB64">
            <v>762.1</v>
          </cell>
          <cell r="BD64">
            <v>16.7</v>
          </cell>
          <cell r="BF64">
            <v>34.6</v>
          </cell>
          <cell r="BH64">
            <v>30.2</v>
          </cell>
          <cell r="BJ64">
            <v>103.6</v>
          </cell>
          <cell r="BL64">
            <v>13</v>
          </cell>
          <cell r="BN64">
            <v>23.3</v>
          </cell>
          <cell r="BP64">
            <v>68.3</v>
          </cell>
          <cell r="BR64">
            <v>21.5</v>
          </cell>
          <cell r="BT64">
            <v>1.7</v>
          </cell>
          <cell r="BV64">
            <v>125.5</v>
          </cell>
          <cell r="BX64">
            <v>53.8</v>
          </cell>
          <cell r="BZ64">
            <v>19.600000000000001</v>
          </cell>
          <cell r="CB64">
            <v>46.5</v>
          </cell>
          <cell r="CD64">
            <v>78.400000000000006</v>
          </cell>
          <cell r="CF64">
            <v>201.7</v>
          </cell>
          <cell r="CH64">
            <v>87.5</v>
          </cell>
          <cell r="CJ64">
            <v>78.900000000000006</v>
          </cell>
          <cell r="CL64">
            <v>266.3</v>
          </cell>
          <cell r="CP64">
            <v>3015.8</v>
          </cell>
          <cell r="CV64">
            <v>126.8</v>
          </cell>
          <cell r="CX64">
            <v>61.4</v>
          </cell>
          <cell r="CZ64">
            <v>23.6</v>
          </cell>
          <cell r="DF64">
            <v>6496.9</v>
          </cell>
        </row>
        <row r="65">
          <cell r="L65">
            <v>0.1</v>
          </cell>
          <cell r="N65">
            <v>2.2999999999999998</v>
          </cell>
          <cell r="P65">
            <v>0.7</v>
          </cell>
          <cell r="R65">
            <v>0.4</v>
          </cell>
          <cell r="T65">
            <v>2</v>
          </cell>
          <cell r="V65">
            <v>0.7</v>
          </cell>
          <cell r="X65">
            <v>7.3</v>
          </cell>
          <cell r="Z65">
            <v>52.1</v>
          </cell>
          <cell r="AD65">
            <v>1.5</v>
          </cell>
          <cell r="AF65">
            <v>5.7</v>
          </cell>
          <cell r="AH65">
            <v>0.5</v>
          </cell>
          <cell r="AJ65">
            <v>1.4</v>
          </cell>
          <cell r="AL65">
            <v>2</v>
          </cell>
          <cell r="AN65">
            <v>0.8</v>
          </cell>
          <cell r="AP65">
            <v>0.5</v>
          </cell>
          <cell r="AR65">
            <v>0.2</v>
          </cell>
          <cell r="AT65">
            <v>0.2</v>
          </cell>
          <cell r="AV65">
            <v>0.5</v>
          </cell>
          <cell r="AX65">
            <v>4.5999999999999996</v>
          </cell>
          <cell r="AZ65">
            <v>0.8</v>
          </cell>
          <cell r="BB65">
            <v>48.4</v>
          </cell>
          <cell r="BD65">
            <v>0.8</v>
          </cell>
          <cell r="BF65">
            <v>2.8</v>
          </cell>
          <cell r="BH65">
            <v>2.7</v>
          </cell>
          <cell r="BJ65">
            <v>4.5999999999999996</v>
          </cell>
          <cell r="BL65">
            <v>1.1000000000000001</v>
          </cell>
          <cell r="BN65">
            <v>2</v>
          </cell>
          <cell r="BP65">
            <v>1.6</v>
          </cell>
          <cell r="BR65">
            <v>1.9</v>
          </cell>
          <cell r="BT65">
            <v>0.1</v>
          </cell>
          <cell r="BV65">
            <v>9.3000000000000007</v>
          </cell>
          <cell r="BX65">
            <v>2.6</v>
          </cell>
          <cell r="BZ65">
            <v>2.7</v>
          </cell>
          <cell r="CB65">
            <v>1.6</v>
          </cell>
          <cell r="CD65">
            <v>13.7</v>
          </cell>
          <cell r="CF65">
            <v>20.3</v>
          </cell>
          <cell r="CH65">
            <v>70.8</v>
          </cell>
          <cell r="CJ65">
            <v>9.1</v>
          </cell>
          <cell r="CL65">
            <v>11.8</v>
          </cell>
          <cell r="CP65">
            <v>1282.5</v>
          </cell>
          <cell r="CV65">
            <v>28.7</v>
          </cell>
          <cell r="CX65">
            <v>191.6</v>
          </cell>
          <cell r="CZ65">
            <v>18.399999999999999</v>
          </cell>
          <cell r="DF65">
            <v>1813.5</v>
          </cell>
        </row>
        <row r="76">
          <cell r="L76">
            <v>0.1</v>
          </cell>
          <cell r="N76">
            <v>15.5</v>
          </cell>
          <cell r="P76">
            <v>2.1</v>
          </cell>
          <cell r="R76">
            <v>1.4</v>
          </cell>
          <cell r="T76">
            <v>11.4</v>
          </cell>
          <cell r="V76">
            <v>0.1</v>
          </cell>
          <cell r="X76">
            <v>0.2</v>
          </cell>
          <cell r="Z76">
            <v>0.1</v>
          </cell>
          <cell r="AD76">
            <v>0.2</v>
          </cell>
          <cell r="AF76">
            <v>1.5</v>
          </cell>
          <cell r="AH76">
            <v>0.1</v>
          </cell>
          <cell r="AJ76">
            <v>0.1</v>
          </cell>
          <cell r="AL76">
            <v>0.2</v>
          </cell>
          <cell r="AN76">
            <v>0.1</v>
          </cell>
          <cell r="AP76">
            <v>0.1</v>
          </cell>
          <cell r="AR76">
            <v>0</v>
          </cell>
          <cell r="AT76">
            <v>0.1</v>
          </cell>
          <cell r="AV76">
            <v>46.3</v>
          </cell>
          <cell r="AX76">
            <v>13.8</v>
          </cell>
          <cell r="AZ76">
            <v>6.4</v>
          </cell>
          <cell r="BB76">
            <v>61.3</v>
          </cell>
          <cell r="BD76">
            <v>18.5</v>
          </cell>
          <cell r="BF76">
            <v>7.2</v>
          </cell>
          <cell r="BH76">
            <v>10.8</v>
          </cell>
          <cell r="BJ76">
            <v>52.8</v>
          </cell>
          <cell r="BL76">
            <v>2.6</v>
          </cell>
          <cell r="BN76">
            <v>61</v>
          </cell>
          <cell r="BP76">
            <v>10.3</v>
          </cell>
          <cell r="BR76">
            <v>15.5</v>
          </cell>
          <cell r="BT76">
            <v>0.6</v>
          </cell>
          <cell r="BV76">
            <v>70.900000000000006</v>
          </cell>
          <cell r="BX76">
            <v>174.3</v>
          </cell>
          <cell r="BZ76">
            <v>3.4</v>
          </cell>
          <cell r="CB76">
            <v>5.2</v>
          </cell>
          <cell r="CD76">
            <v>22.7</v>
          </cell>
          <cell r="CF76">
            <v>19</v>
          </cell>
          <cell r="CH76">
            <v>30.9</v>
          </cell>
          <cell r="CJ76">
            <v>17.3</v>
          </cell>
          <cell r="CL76">
            <v>18.3</v>
          </cell>
          <cell r="CP76">
            <v>205.8</v>
          </cell>
          <cell r="CR76">
            <v>0.4</v>
          </cell>
          <cell r="CT76">
            <v>0</v>
          </cell>
          <cell r="CV76">
            <v>2.2000000000000002</v>
          </cell>
          <cell r="CX76">
            <v>4.3</v>
          </cell>
          <cell r="CZ76">
            <v>0.4</v>
          </cell>
          <cell r="DB76">
            <v>0</v>
          </cell>
          <cell r="DF76">
            <v>915.6</v>
          </cell>
        </row>
        <row r="77">
          <cell r="L77">
            <v>0</v>
          </cell>
          <cell r="N77">
            <v>0.3</v>
          </cell>
          <cell r="P77">
            <v>0.1</v>
          </cell>
          <cell r="R77">
            <v>0</v>
          </cell>
          <cell r="T77">
            <v>0.3</v>
          </cell>
          <cell r="V77">
            <v>0</v>
          </cell>
          <cell r="X77">
            <v>0.1</v>
          </cell>
          <cell r="Z77">
            <v>0</v>
          </cell>
          <cell r="AD77">
            <v>0</v>
          </cell>
          <cell r="AF77">
            <v>1.2</v>
          </cell>
          <cell r="AH77">
            <v>0.1</v>
          </cell>
          <cell r="AJ77">
            <v>0.1</v>
          </cell>
          <cell r="AL77">
            <v>0.2</v>
          </cell>
          <cell r="AN77">
            <v>0.1</v>
          </cell>
          <cell r="AP77">
            <v>0.1</v>
          </cell>
          <cell r="AR77">
            <v>0.1</v>
          </cell>
          <cell r="AT77">
            <v>0</v>
          </cell>
          <cell r="AV77">
            <v>0.1</v>
          </cell>
          <cell r="AX77">
            <v>0.2</v>
          </cell>
          <cell r="AZ77">
            <v>0.5</v>
          </cell>
          <cell r="BB77">
            <v>3.2</v>
          </cell>
          <cell r="BD77">
            <v>0.2</v>
          </cell>
          <cell r="BF77">
            <v>0.6</v>
          </cell>
          <cell r="BH77">
            <v>0.5</v>
          </cell>
          <cell r="BJ77">
            <v>0.3</v>
          </cell>
          <cell r="BL77">
            <v>0.1</v>
          </cell>
          <cell r="BN77">
            <v>0.8</v>
          </cell>
          <cell r="BP77">
            <v>0.1</v>
          </cell>
          <cell r="BR77">
            <v>0.2</v>
          </cell>
          <cell r="BT77">
            <v>0</v>
          </cell>
          <cell r="BV77">
            <v>0.6</v>
          </cell>
          <cell r="BX77">
            <v>0.3</v>
          </cell>
          <cell r="BZ77">
            <v>0.1</v>
          </cell>
          <cell r="CB77">
            <v>0.1</v>
          </cell>
          <cell r="CD77">
            <v>0.1</v>
          </cell>
          <cell r="CF77">
            <v>0.1</v>
          </cell>
          <cell r="CH77">
            <v>0.3</v>
          </cell>
          <cell r="CJ77">
            <v>0.1</v>
          </cell>
          <cell r="CL77">
            <v>0.3</v>
          </cell>
          <cell r="CP77">
            <v>8.6</v>
          </cell>
          <cell r="CR77">
            <v>0</v>
          </cell>
          <cell r="CT77">
            <v>0</v>
          </cell>
          <cell r="CV77">
            <v>2.9</v>
          </cell>
          <cell r="CX77">
            <v>3.3</v>
          </cell>
          <cell r="CZ77">
            <v>0.2</v>
          </cell>
          <cell r="DB77">
            <v>0</v>
          </cell>
          <cell r="DF77">
            <v>26.6</v>
          </cell>
        </row>
        <row r="80">
          <cell r="L80">
            <v>6.3</v>
          </cell>
          <cell r="X80">
            <v>9.6999999999999993</v>
          </cell>
          <cell r="Z80">
            <v>3.9</v>
          </cell>
          <cell r="AD80">
            <v>14.5</v>
          </cell>
          <cell r="AF80">
            <v>127.3</v>
          </cell>
          <cell r="AH80">
            <v>12.6</v>
          </cell>
          <cell r="AJ80">
            <v>13.8</v>
          </cell>
          <cell r="AL80">
            <v>31.4</v>
          </cell>
          <cell r="AN80">
            <v>14</v>
          </cell>
          <cell r="AP80">
            <v>12.7</v>
          </cell>
          <cell r="AR80">
            <v>4.9000000000000004</v>
          </cell>
          <cell r="AT80">
            <v>2.9</v>
          </cell>
          <cell r="AV80">
            <v>15.1</v>
          </cell>
          <cell r="AX80">
            <v>16.7</v>
          </cell>
          <cell r="AZ80">
            <v>28.4</v>
          </cell>
          <cell r="BB80">
            <v>674.4</v>
          </cell>
          <cell r="BD80">
            <v>58.7</v>
          </cell>
          <cell r="BF80">
            <v>65.400000000000006</v>
          </cell>
          <cell r="BH80">
            <v>59.5</v>
          </cell>
          <cell r="BJ80">
            <v>107.5</v>
          </cell>
          <cell r="BL80">
            <v>14.1</v>
          </cell>
          <cell r="BN80">
            <v>65.599999999999994</v>
          </cell>
          <cell r="BP80">
            <v>12.6</v>
          </cell>
          <cell r="BR80">
            <v>42.4</v>
          </cell>
          <cell r="BT80">
            <v>1.3</v>
          </cell>
          <cell r="BV80">
            <v>82.8</v>
          </cell>
          <cell r="BX80">
            <v>23.9</v>
          </cell>
          <cell r="BZ80">
            <v>7.2</v>
          </cell>
          <cell r="CB80">
            <v>15.4</v>
          </cell>
          <cell r="CD80">
            <v>18.100000000000001</v>
          </cell>
          <cell r="CF80">
            <v>18.5</v>
          </cell>
          <cell r="CH80">
            <v>22.1</v>
          </cell>
          <cell r="CJ80">
            <v>12.8</v>
          </cell>
          <cell r="CL80">
            <v>30.1</v>
          </cell>
          <cell r="CP80">
            <v>1355.4</v>
          </cell>
          <cell r="CR80">
            <v>0.1</v>
          </cell>
          <cell r="CT80">
            <v>0</v>
          </cell>
          <cell r="CV80">
            <v>422.8</v>
          </cell>
          <cell r="CX80">
            <v>766.5</v>
          </cell>
          <cell r="CZ80">
            <v>374.1</v>
          </cell>
          <cell r="DB80">
            <v>0</v>
          </cell>
          <cell r="DF80">
            <v>4656.3</v>
          </cell>
        </row>
        <row r="81">
          <cell r="L81">
            <v>0.6</v>
          </cell>
          <cell r="X81">
            <v>1.2</v>
          </cell>
          <cell r="Z81">
            <v>0.4</v>
          </cell>
          <cell r="AD81">
            <v>1.2</v>
          </cell>
          <cell r="AF81">
            <v>12.6</v>
          </cell>
          <cell r="AH81">
            <v>1.2</v>
          </cell>
          <cell r="AJ81">
            <v>1.4</v>
          </cell>
          <cell r="AL81">
            <v>2.8</v>
          </cell>
          <cell r="AN81">
            <v>1.3</v>
          </cell>
          <cell r="AP81">
            <v>1.1000000000000001</v>
          </cell>
          <cell r="AR81">
            <v>0.4</v>
          </cell>
          <cell r="AT81">
            <v>0.3</v>
          </cell>
          <cell r="AV81">
            <v>1.5</v>
          </cell>
          <cell r="AX81">
            <v>2.4</v>
          </cell>
          <cell r="AZ81">
            <v>7</v>
          </cell>
          <cell r="BB81">
            <v>176.2</v>
          </cell>
          <cell r="BD81">
            <v>6.4</v>
          </cell>
          <cell r="BF81">
            <v>216.4</v>
          </cell>
          <cell r="BH81">
            <v>119</v>
          </cell>
          <cell r="BJ81">
            <v>94</v>
          </cell>
          <cell r="BL81">
            <v>38.4</v>
          </cell>
          <cell r="BN81">
            <v>5.9</v>
          </cell>
          <cell r="BP81">
            <v>2</v>
          </cell>
          <cell r="BR81">
            <v>39.299999999999997</v>
          </cell>
          <cell r="BT81">
            <v>0.6</v>
          </cell>
          <cell r="BV81">
            <v>62.4</v>
          </cell>
          <cell r="BX81">
            <v>5.4</v>
          </cell>
          <cell r="BZ81">
            <v>3.3</v>
          </cell>
          <cell r="CB81">
            <v>9.5</v>
          </cell>
          <cell r="CD81">
            <v>3.5</v>
          </cell>
          <cell r="CF81">
            <v>3.2</v>
          </cell>
          <cell r="CH81">
            <v>3.8</v>
          </cell>
          <cell r="CJ81">
            <v>2.5</v>
          </cell>
          <cell r="CL81">
            <v>9</v>
          </cell>
          <cell r="CP81">
            <v>182.9</v>
          </cell>
          <cell r="CR81">
            <v>0</v>
          </cell>
          <cell r="CT81">
            <v>0</v>
          </cell>
          <cell r="CV81">
            <v>41.9</v>
          </cell>
          <cell r="CX81">
            <v>81.3</v>
          </cell>
          <cell r="CZ81">
            <v>68.8</v>
          </cell>
          <cell r="DB81">
            <v>0</v>
          </cell>
          <cell r="DF81">
            <v>1227.2</v>
          </cell>
        </row>
        <row r="82">
          <cell r="L82">
            <v>0.5</v>
          </cell>
          <cell r="X82">
            <v>0.9</v>
          </cell>
          <cell r="Z82">
            <v>0.3</v>
          </cell>
          <cell r="AD82">
            <v>1</v>
          </cell>
          <cell r="AF82">
            <v>9.6999999999999993</v>
          </cell>
          <cell r="AH82">
            <v>0.9</v>
          </cell>
          <cell r="AJ82">
            <v>1.1000000000000001</v>
          </cell>
          <cell r="AL82">
            <v>2.2000000000000002</v>
          </cell>
          <cell r="AN82">
            <v>1</v>
          </cell>
          <cell r="AP82">
            <v>1</v>
          </cell>
          <cell r="AR82">
            <v>0.4</v>
          </cell>
          <cell r="AT82">
            <v>0.2</v>
          </cell>
          <cell r="AV82">
            <v>1.6</v>
          </cell>
          <cell r="AX82">
            <v>2</v>
          </cell>
          <cell r="AZ82">
            <v>8.9</v>
          </cell>
          <cell r="BB82">
            <v>207.6</v>
          </cell>
          <cell r="BD82">
            <v>7.7</v>
          </cell>
          <cell r="BF82">
            <v>292.7</v>
          </cell>
          <cell r="BH82">
            <v>162.5</v>
          </cell>
          <cell r="BJ82">
            <v>71.8</v>
          </cell>
          <cell r="BL82">
            <v>55.2</v>
          </cell>
          <cell r="BN82">
            <v>6.1</v>
          </cell>
          <cell r="BP82">
            <v>3.4</v>
          </cell>
          <cell r="BR82">
            <v>51</v>
          </cell>
          <cell r="BT82">
            <v>1</v>
          </cell>
          <cell r="BV82">
            <v>73.8</v>
          </cell>
          <cell r="BX82">
            <v>6.3</v>
          </cell>
          <cell r="BZ82">
            <v>5.0999999999999996</v>
          </cell>
          <cell r="CB82">
            <v>11.5</v>
          </cell>
          <cell r="CD82">
            <v>4</v>
          </cell>
          <cell r="CF82">
            <v>3.5</v>
          </cell>
          <cell r="CH82">
            <v>4.5</v>
          </cell>
          <cell r="CJ82">
            <v>3</v>
          </cell>
          <cell r="CL82">
            <v>9.5</v>
          </cell>
          <cell r="CP82">
            <v>183.1</v>
          </cell>
          <cell r="CR82">
            <v>0</v>
          </cell>
          <cell r="CT82">
            <v>0</v>
          </cell>
          <cell r="CV82">
            <v>34.4</v>
          </cell>
          <cell r="CX82">
            <v>66.5</v>
          </cell>
          <cell r="CZ82">
            <v>181</v>
          </cell>
          <cell r="DB82">
            <v>0</v>
          </cell>
          <cell r="DF82">
            <v>1495</v>
          </cell>
        </row>
        <row r="83">
          <cell r="L83">
            <v>2.7</v>
          </cell>
          <cell r="X83">
            <v>3.3</v>
          </cell>
          <cell r="Z83">
            <v>1.2</v>
          </cell>
          <cell r="AD83">
            <v>3.6</v>
          </cell>
          <cell r="AF83">
            <v>36.200000000000003</v>
          </cell>
          <cell r="AH83">
            <v>3.4</v>
          </cell>
          <cell r="AJ83">
            <v>3.6</v>
          </cell>
          <cell r="AL83">
            <v>7.9</v>
          </cell>
          <cell r="AN83">
            <v>3.7</v>
          </cell>
          <cell r="AP83">
            <v>3.3</v>
          </cell>
          <cell r="AR83">
            <v>1.2</v>
          </cell>
          <cell r="AT83">
            <v>1.2</v>
          </cell>
          <cell r="AV83">
            <v>4.0999999999999996</v>
          </cell>
          <cell r="AX83">
            <v>5.0999999999999996</v>
          </cell>
          <cell r="AZ83">
            <v>9</v>
          </cell>
          <cell r="BD83">
            <v>8.9</v>
          </cell>
          <cell r="BF83">
            <v>89.5</v>
          </cell>
          <cell r="BH83">
            <v>65</v>
          </cell>
          <cell r="BJ83">
            <v>83.1</v>
          </cell>
          <cell r="BL83">
            <v>19.600000000000001</v>
          </cell>
          <cell r="BN83">
            <v>15.8</v>
          </cell>
          <cell r="BP83">
            <v>3.8</v>
          </cell>
          <cell r="BR83">
            <v>25.2</v>
          </cell>
          <cell r="BT83">
            <v>0.5</v>
          </cell>
          <cell r="BV83">
            <v>42.8</v>
          </cell>
          <cell r="BX83">
            <v>7.9</v>
          </cell>
          <cell r="BZ83">
            <v>2.8</v>
          </cell>
          <cell r="CB83">
            <v>7.3</v>
          </cell>
          <cell r="CD83">
            <v>6</v>
          </cell>
          <cell r="CF83">
            <v>5.8</v>
          </cell>
          <cell r="CH83">
            <v>6.6</v>
          </cell>
          <cell r="CJ83">
            <v>3.6</v>
          </cell>
          <cell r="CL83">
            <v>9.5</v>
          </cell>
          <cell r="CP83">
            <v>318.39999999999998</v>
          </cell>
          <cell r="CR83">
            <v>0</v>
          </cell>
          <cell r="CT83">
            <v>0.1</v>
          </cell>
          <cell r="CV83">
            <v>111.8</v>
          </cell>
          <cell r="CX83">
            <v>236.9</v>
          </cell>
          <cell r="CZ83">
            <v>6.8</v>
          </cell>
          <cell r="DB83">
            <v>0</v>
          </cell>
          <cell r="DF83">
            <v>1421.5</v>
          </cell>
        </row>
        <row r="84">
          <cell r="L84">
            <v>0</v>
          </cell>
          <cell r="X84">
            <v>0</v>
          </cell>
          <cell r="Z84">
            <v>0</v>
          </cell>
          <cell r="AD84">
            <v>0</v>
          </cell>
          <cell r="AF84">
            <v>0.2</v>
          </cell>
          <cell r="AH84">
            <v>0</v>
          </cell>
          <cell r="AJ84">
            <v>0</v>
          </cell>
          <cell r="AL84">
            <v>0.1</v>
          </cell>
          <cell r="AN84">
            <v>0.1</v>
          </cell>
          <cell r="AP84">
            <v>0</v>
          </cell>
          <cell r="AR84">
            <v>0</v>
          </cell>
          <cell r="AT84">
            <v>0</v>
          </cell>
          <cell r="AV84">
            <v>1.9</v>
          </cell>
          <cell r="AX84">
            <v>4.4000000000000004</v>
          </cell>
          <cell r="AZ84">
            <v>4.3</v>
          </cell>
          <cell r="BB84">
            <v>167.9</v>
          </cell>
          <cell r="BD84">
            <v>7.3</v>
          </cell>
          <cell r="BF84">
            <v>90.2</v>
          </cell>
          <cell r="BH84">
            <v>12.6</v>
          </cell>
          <cell r="BJ84">
            <v>16.100000000000001</v>
          </cell>
          <cell r="BL84">
            <v>163.1</v>
          </cell>
          <cell r="BN84">
            <v>5.4</v>
          </cell>
          <cell r="BP84">
            <v>8</v>
          </cell>
          <cell r="BR84">
            <v>106.2</v>
          </cell>
          <cell r="BT84">
            <v>1.7</v>
          </cell>
          <cell r="BV84">
            <v>213.2</v>
          </cell>
          <cell r="BX84">
            <v>44.1</v>
          </cell>
          <cell r="BZ84">
            <v>9.1</v>
          </cell>
          <cell r="CB84">
            <v>15.1</v>
          </cell>
          <cell r="CD84">
            <v>13.7</v>
          </cell>
          <cell r="CF84">
            <v>6.9</v>
          </cell>
          <cell r="CH84">
            <v>8.1</v>
          </cell>
          <cell r="CJ84">
            <v>7.2</v>
          </cell>
          <cell r="CL84">
            <v>17.899999999999999</v>
          </cell>
          <cell r="CP84">
            <v>66.400000000000006</v>
          </cell>
          <cell r="CR84">
            <v>1.6</v>
          </cell>
          <cell r="CT84">
            <v>0</v>
          </cell>
          <cell r="CV84">
            <v>71.099999999999994</v>
          </cell>
          <cell r="CX84">
            <v>1.1000000000000001</v>
          </cell>
          <cell r="CZ84">
            <v>5.4</v>
          </cell>
          <cell r="DB84">
            <v>0</v>
          </cell>
          <cell r="DF84">
            <v>1087</v>
          </cell>
        </row>
        <row r="91">
          <cell r="L91">
            <v>0.4</v>
          </cell>
          <cell r="N91">
            <v>11.8</v>
          </cell>
          <cell r="P91">
            <v>3.5</v>
          </cell>
          <cell r="R91">
            <v>2.4</v>
          </cell>
          <cell r="T91">
            <v>11.4</v>
          </cell>
          <cell r="V91">
            <v>0.1</v>
          </cell>
          <cell r="X91">
            <v>0.3</v>
          </cell>
          <cell r="Z91">
            <v>0.2</v>
          </cell>
          <cell r="AD91">
            <v>0.2</v>
          </cell>
          <cell r="AF91">
            <v>2.2999999999999998</v>
          </cell>
          <cell r="AH91">
            <v>0.2</v>
          </cell>
          <cell r="AJ91">
            <v>0.5</v>
          </cell>
          <cell r="AL91">
            <v>1.1000000000000001</v>
          </cell>
          <cell r="AN91">
            <v>0.7</v>
          </cell>
          <cell r="AP91">
            <v>0.8</v>
          </cell>
          <cell r="AR91">
            <v>0.3</v>
          </cell>
          <cell r="AT91">
            <v>0.2</v>
          </cell>
          <cell r="AV91">
            <v>3.1</v>
          </cell>
          <cell r="AX91">
            <v>5.8</v>
          </cell>
          <cell r="AZ91">
            <v>16.399999999999999</v>
          </cell>
          <cell r="BB91">
            <v>284.2</v>
          </cell>
          <cell r="BD91">
            <v>14.3</v>
          </cell>
          <cell r="BF91">
            <v>13.2</v>
          </cell>
          <cell r="BH91">
            <v>16.899999999999999</v>
          </cell>
          <cell r="BJ91">
            <v>27.8</v>
          </cell>
          <cell r="BL91">
            <v>9.4</v>
          </cell>
          <cell r="BP91">
            <v>13.4</v>
          </cell>
          <cell r="BR91">
            <v>42.9</v>
          </cell>
          <cell r="BT91">
            <v>2.8</v>
          </cell>
          <cell r="BV91">
            <v>192.9</v>
          </cell>
          <cell r="BX91">
            <v>104</v>
          </cell>
          <cell r="BZ91">
            <v>27.6</v>
          </cell>
          <cell r="CB91">
            <v>19.600000000000001</v>
          </cell>
          <cell r="CD91">
            <v>22.1</v>
          </cell>
          <cell r="CF91">
            <v>11</v>
          </cell>
          <cell r="CH91">
            <v>17.5</v>
          </cell>
          <cell r="CJ91">
            <v>11.7</v>
          </cell>
          <cell r="CL91">
            <v>16.7</v>
          </cell>
          <cell r="CP91">
            <v>78.3</v>
          </cell>
          <cell r="CR91">
            <v>1</v>
          </cell>
          <cell r="CT91">
            <v>45.1</v>
          </cell>
          <cell r="CV91">
            <v>69.3</v>
          </cell>
          <cell r="CX91">
            <v>17.100000000000001</v>
          </cell>
          <cell r="CZ91">
            <v>32.9</v>
          </cell>
          <cell r="DB91">
            <v>0</v>
          </cell>
          <cell r="DF91">
            <v>1166.5999999999999</v>
          </cell>
        </row>
        <row r="92">
          <cell r="L92">
            <v>0.3</v>
          </cell>
          <cell r="N92">
            <v>8.9</v>
          </cell>
          <cell r="P92">
            <v>2.5</v>
          </cell>
          <cell r="R92">
            <v>1.7</v>
          </cell>
          <cell r="T92">
            <v>7.8</v>
          </cell>
          <cell r="V92">
            <v>0</v>
          </cell>
          <cell r="X92">
            <v>0.1</v>
          </cell>
          <cell r="Z92">
            <v>0.1</v>
          </cell>
          <cell r="AD92">
            <v>0.1</v>
          </cell>
          <cell r="AF92">
            <v>1.3</v>
          </cell>
          <cell r="AH92">
            <v>0.1</v>
          </cell>
          <cell r="AJ92">
            <v>0.1</v>
          </cell>
          <cell r="AL92">
            <v>0.3</v>
          </cell>
          <cell r="AN92">
            <v>0.2</v>
          </cell>
          <cell r="AP92">
            <v>0.2</v>
          </cell>
          <cell r="AR92">
            <v>0.1</v>
          </cell>
          <cell r="AT92">
            <v>0.2</v>
          </cell>
          <cell r="AV92">
            <v>1.9</v>
          </cell>
          <cell r="AX92">
            <v>4.5999999999999996</v>
          </cell>
          <cell r="AZ92">
            <v>9.3000000000000007</v>
          </cell>
          <cell r="BB92">
            <v>201.5</v>
          </cell>
          <cell r="BD92">
            <v>20.9</v>
          </cell>
          <cell r="BF92">
            <v>73.599999999999994</v>
          </cell>
          <cell r="BH92">
            <v>58.2</v>
          </cell>
          <cell r="BJ92">
            <v>31.2</v>
          </cell>
          <cell r="BL92">
            <v>17.5</v>
          </cell>
          <cell r="BN92">
            <v>11.3</v>
          </cell>
          <cell r="BP92">
            <v>9.1999999999999993</v>
          </cell>
          <cell r="BR92">
            <v>49.9</v>
          </cell>
          <cell r="BT92">
            <v>2</v>
          </cell>
          <cell r="BV92">
            <v>130</v>
          </cell>
          <cell r="BX92">
            <v>71.599999999999994</v>
          </cell>
          <cell r="BZ92">
            <v>11</v>
          </cell>
          <cell r="CB92">
            <v>30.8</v>
          </cell>
          <cell r="CD92">
            <v>14.5</v>
          </cell>
          <cell r="CF92">
            <v>11</v>
          </cell>
          <cell r="CH92">
            <v>17.5</v>
          </cell>
          <cell r="CJ92">
            <v>10.199999999999999</v>
          </cell>
          <cell r="CL92">
            <v>11.7</v>
          </cell>
          <cell r="CP92">
            <v>46.4</v>
          </cell>
          <cell r="CR92">
            <v>0</v>
          </cell>
          <cell r="CT92">
            <v>0.1</v>
          </cell>
          <cell r="CV92">
            <v>16.8</v>
          </cell>
          <cell r="CX92">
            <v>7.6</v>
          </cell>
          <cell r="CZ92">
            <v>73</v>
          </cell>
          <cell r="DB92">
            <v>0</v>
          </cell>
          <cell r="DF92">
            <v>967.3</v>
          </cell>
        </row>
        <row r="96">
          <cell r="L96">
            <v>0</v>
          </cell>
          <cell r="N96">
            <v>1</v>
          </cell>
          <cell r="P96">
            <v>0.2</v>
          </cell>
          <cell r="R96">
            <v>0.1</v>
          </cell>
          <cell r="T96">
            <v>0.7</v>
          </cell>
          <cell r="V96">
            <v>0</v>
          </cell>
          <cell r="X96">
            <v>0.1</v>
          </cell>
          <cell r="Z96">
            <v>0</v>
          </cell>
          <cell r="AD96">
            <v>0</v>
          </cell>
          <cell r="AF96">
            <v>0.2</v>
          </cell>
          <cell r="AH96">
            <v>0</v>
          </cell>
          <cell r="AJ96">
            <v>0</v>
          </cell>
          <cell r="AL96">
            <v>0.1</v>
          </cell>
          <cell r="AN96">
            <v>0</v>
          </cell>
          <cell r="AP96">
            <v>0</v>
          </cell>
          <cell r="AR96">
            <v>0</v>
          </cell>
          <cell r="AT96">
            <v>0</v>
          </cell>
          <cell r="AV96">
            <v>0.3</v>
          </cell>
          <cell r="AX96">
            <v>0.3</v>
          </cell>
          <cell r="AZ96">
            <v>0.9</v>
          </cell>
          <cell r="BB96">
            <v>12.7</v>
          </cell>
          <cell r="BD96">
            <v>1.2</v>
          </cell>
          <cell r="BF96">
            <v>3.3</v>
          </cell>
          <cell r="BH96">
            <v>2.8</v>
          </cell>
          <cell r="BJ96">
            <v>2.6</v>
          </cell>
          <cell r="BL96">
            <v>1.1000000000000001</v>
          </cell>
          <cell r="BN96">
            <v>1.3</v>
          </cell>
          <cell r="BP96">
            <v>8.6</v>
          </cell>
          <cell r="BR96">
            <v>3</v>
          </cell>
          <cell r="BT96">
            <v>0.1</v>
          </cell>
          <cell r="BV96">
            <v>19.100000000000001</v>
          </cell>
          <cell r="BX96">
            <v>13</v>
          </cell>
          <cell r="BZ96">
            <v>2</v>
          </cell>
          <cell r="CB96">
            <v>2.7</v>
          </cell>
          <cell r="CD96">
            <v>1.4</v>
          </cell>
          <cell r="CF96">
            <v>1.9</v>
          </cell>
          <cell r="CH96">
            <v>1.9</v>
          </cell>
          <cell r="CJ96">
            <v>34.1</v>
          </cell>
          <cell r="CL96">
            <v>3.9</v>
          </cell>
          <cell r="CP96">
            <v>66.599999999999994</v>
          </cell>
          <cell r="CR96">
            <v>1.3</v>
          </cell>
          <cell r="CT96">
            <v>0</v>
          </cell>
          <cell r="CV96">
            <v>11.9</v>
          </cell>
          <cell r="CX96">
            <v>4.5</v>
          </cell>
          <cell r="CZ96">
            <v>132.4</v>
          </cell>
          <cell r="DB96">
            <v>0</v>
          </cell>
          <cell r="DF96">
            <v>337.8</v>
          </cell>
        </row>
        <row r="97">
          <cell r="L97">
            <v>0</v>
          </cell>
          <cell r="N97">
            <v>0.5</v>
          </cell>
          <cell r="P97">
            <v>0.2</v>
          </cell>
          <cell r="R97">
            <v>0</v>
          </cell>
          <cell r="T97">
            <v>0.4</v>
          </cell>
          <cell r="V97">
            <v>0.1</v>
          </cell>
          <cell r="X97">
            <v>0.3</v>
          </cell>
          <cell r="Z97">
            <v>0.1</v>
          </cell>
          <cell r="AD97">
            <v>0.2</v>
          </cell>
          <cell r="AF97">
            <v>1.1000000000000001</v>
          </cell>
          <cell r="AH97">
            <v>0.1</v>
          </cell>
          <cell r="AJ97">
            <v>0.2</v>
          </cell>
          <cell r="AL97">
            <v>0.4</v>
          </cell>
          <cell r="AN97">
            <v>0.1</v>
          </cell>
          <cell r="AP97">
            <v>0.2</v>
          </cell>
          <cell r="AR97">
            <v>0</v>
          </cell>
          <cell r="AT97">
            <v>0</v>
          </cell>
          <cell r="AV97">
            <v>0.2</v>
          </cell>
          <cell r="AX97">
            <v>0.3</v>
          </cell>
          <cell r="AZ97">
            <v>0.5</v>
          </cell>
          <cell r="BB97">
            <v>10.3</v>
          </cell>
          <cell r="BD97">
            <v>0.4</v>
          </cell>
          <cell r="BF97">
            <v>0.9</v>
          </cell>
          <cell r="BH97">
            <v>0.9</v>
          </cell>
          <cell r="BJ97">
            <v>0.8</v>
          </cell>
          <cell r="BL97">
            <v>0.2</v>
          </cell>
          <cell r="BN97">
            <v>0.7</v>
          </cell>
          <cell r="BP97">
            <v>0.3</v>
          </cell>
          <cell r="BR97">
            <v>0.8</v>
          </cell>
          <cell r="BT97">
            <v>0</v>
          </cell>
          <cell r="BV97">
            <v>1.4</v>
          </cell>
          <cell r="BX97">
            <v>0.5</v>
          </cell>
          <cell r="BZ97">
            <v>0.1</v>
          </cell>
          <cell r="CB97">
            <v>0.2</v>
          </cell>
          <cell r="CD97">
            <v>0.3</v>
          </cell>
          <cell r="CF97">
            <v>0.4</v>
          </cell>
          <cell r="CH97">
            <v>0.5</v>
          </cell>
          <cell r="CJ97">
            <v>0.3</v>
          </cell>
          <cell r="CL97">
            <v>0.6</v>
          </cell>
          <cell r="CP97">
            <v>22.7</v>
          </cell>
          <cell r="CR97">
            <v>0</v>
          </cell>
          <cell r="CT97">
            <v>0</v>
          </cell>
          <cell r="CV97">
            <v>5.3</v>
          </cell>
          <cell r="CX97">
            <v>19.3</v>
          </cell>
          <cell r="CZ97">
            <v>78.3</v>
          </cell>
          <cell r="DB97">
            <v>0</v>
          </cell>
          <cell r="DF97">
            <v>150.19999999999999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QueryId=109612" TargetMode="External"/><Relationship Id="rId1" Type="http://schemas.openxmlformats.org/officeDocument/2006/relationships/hyperlink" Target="https://stats.oecd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s-2.oecd.org/index.aspx?DatasetCode=IOTSI4_2018" TargetMode="External"/><Relationship Id="rId1" Type="http://schemas.openxmlformats.org/officeDocument/2006/relationships/hyperlink" Target="http://stats.oecd.org/OECDStat_Metadata/ShowMetadata.ashx?Dataset=IOTSI4_2018&amp;Coords=%5bVAR%5d.%5bTTL%5d&amp;ShowOnWeb=true&amp;Lang=e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s-2.oecd.org/index.aspx?DatasetCode=IOTSI4_2018" TargetMode="External"/><Relationship Id="rId1" Type="http://schemas.openxmlformats.org/officeDocument/2006/relationships/hyperlink" Target="http://stats.oecd.org/OECDStat_Metadata/ShowMetadata.ashx?Dataset=IOTSI4_2018&amp;Coords=%5bVAR%5d.%5bTTL%5d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s-2.oecd.org/index.aspx?DatasetCode=IOTSI4_2018" TargetMode="External"/><Relationship Id="rId1" Type="http://schemas.openxmlformats.org/officeDocument/2006/relationships/hyperlink" Target="http://stats.oecd.org/OECDStat_Metadata/ShowMetadata.ashx?Dataset=IOTSI4_2018&amp;Coords=%5bVAR%5d.%5bVAL%5d&amp;ShowOnWeb=true&amp;Lang=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tatd.gov.hk/en/web_table.html?id=31" TargetMode="External"/><Relationship Id="rId2" Type="http://schemas.openxmlformats.org/officeDocument/2006/relationships/hyperlink" Target="https://stats-2.oecd.org/index.aspx?DatasetCode=IOTSI4_2018" TargetMode="External"/><Relationship Id="rId1" Type="http://schemas.openxmlformats.org/officeDocument/2006/relationships/hyperlink" Target="http://stats.oecd.org/OECDStat_Metadata/ShowMetadata.ashx?Dataset=IOTSI4_2018&amp;Coords=%5bVAR%5d.%5bVAL%5d&amp;ShowOnWeb=true&amp;Lang=en" TargetMode="External"/><Relationship Id="rId6" Type="http://schemas.openxmlformats.org/officeDocument/2006/relationships/hyperlink" Target="https://www.statistics.gov.hk/pub/B10300022018AN18E0100.pdf" TargetMode="External"/><Relationship Id="rId5" Type="http://schemas.openxmlformats.org/officeDocument/2006/relationships/hyperlink" Target="https://www.censtatd.gov.hk/en/data/stat_report/product/B1060002/att/B10600022018AN18B0100.pdf" TargetMode="External"/><Relationship Id="rId4" Type="http://schemas.openxmlformats.org/officeDocument/2006/relationships/hyperlink" Target="https://www.censtatd.gov.hk/en/data/stat_report/product/B1060002/att/B10600022021AN21B0100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s-2.oecd.org/index.aspx?DatasetCode=IOTSI4_2018" TargetMode="External"/><Relationship Id="rId1" Type="http://schemas.openxmlformats.org/officeDocument/2006/relationships/hyperlink" Target="http://stats.oecd.org/OECDStat_Metadata/ShowMetadata.ashx?Dataset=IOTSI4_2018&amp;Coords=%5bVAR%5d.%5bDOMIMP%5d&amp;ShowOnWeb=true&amp;Lang=e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workbookViewId="0">
      <selection activeCell="C8" sqref="C8"/>
    </sheetView>
  </sheetViews>
  <sheetFormatPr baseColWidth="10" defaultColWidth="8.83203125" defaultRowHeight="15" x14ac:dyDescent="0.2"/>
  <cols>
    <col min="2" max="2" width="68.1640625" customWidth="1"/>
  </cols>
  <sheetData>
    <row r="1" spans="1:5" x14ac:dyDescent="0.2">
      <c r="A1" s="1" t="s">
        <v>0</v>
      </c>
    </row>
    <row r="2" spans="1:5" x14ac:dyDescent="0.2">
      <c r="A2" s="1" t="s">
        <v>1</v>
      </c>
    </row>
    <row r="4" spans="1:5" x14ac:dyDescent="0.2">
      <c r="A4" s="1" t="s">
        <v>2</v>
      </c>
      <c r="B4" s="2" t="s">
        <v>3</v>
      </c>
    </row>
    <row r="5" spans="1:5" x14ac:dyDescent="0.2">
      <c r="B5" t="s">
        <v>4</v>
      </c>
      <c r="C5" t="s">
        <v>4</v>
      </c>
      <c r="E5" s="1"/>
    </row>
    <row r="6" spans="1:5" x14ac:dyDescent="0.2">
      <c r="B6" s="3">
        <v>2019</v>
      </c>
      <c r="C6" s="3" t="s">
        <v>5</v>
      </c>
    </row>
    <row r="7" spans="1:5" x14ac:dyDescent="0.2">
      <c r="B7" t="s">
        <v>6</v>
      </c>
      <c r="C7" t="s">
        <v>7</v>
      </c>
    </row>
    <row r="8" spans="1:5" x14ac:dyDescent="0.2">
      <c r="B8" s="4" t="s">
        <v>8</v>
      </c>
      <c r="C8" s="4" t="s">
        <v>9</v>
      </c>
    </row>
    <row r="9" spans="1:5" x14ac:dyDescent="0.2">
      <c r="B9" s="7" t="s">
        <v>10</v>
      </c>
      <c r="C9" t="s">
        <v>11</v>
      </c>
    </row>
    <row r="10" spans="1:5" x14ac:dyDescent="0.2">
      <c r="B10" t="s">
        <v>12</v>
      </c>
      <c r="C10" t="s">
        <v>13</v>
      </c>
    </row>
    <row r="13" spans="1:5" x14ac:dyDescent="0.2">
      <c r="A13" s="1" t="s">
        <v>14</v>
      </c>
    </row>
    <row r="14" spans="1:5" x14ac:dyDescent="0.2">
      <c r="A14" s="1"/>
    </row>
    <row r="15" spans="1:5" x14ac:dyDescent="0.2">
      <c r="A15" s="1" t="s">
        <v>15</v>
      </c>
    </row>
    <row r="16" spans="1:5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7" spans="1:1" x14ac:dyDescent="0.2">
      <c r="A37" s="1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3" spans="1:1" x14ac:dyDescent="0.2">
      <c r="A43" s="1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8" spans="1:1" x14ac:dyDescent="0.2">
      <c r="A48" t="s">
        <v>44</v>
      </c>
    </row>
    <row r="49" spans="1:1" x14ac:dyDescent="0.2">
      <c r="A49" t="s">
        <v>45</v>
      </c>
    </row>
    <row r="50" spans="1:1" x14ac:dyDescent="0.2">
      <c r="A50" t="s">
        <v>46</v>
      </c>
    </row>
    <row r="52" spans="1:1" x14ac:dyDescent="0.2">
      <c r="A52" s="1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9" spans="1:1" x14ac:dyDescent="0.2">
      <c r="A59" s="1" t="s">
        <v>53</v>
      </c>
    </row>
    <row r="60" spans="1:1" x14ac:dyDescent="0.2">
      <c r="A60" t="s">
        <v>54</v>
      </c>
    </row>
    <row r="61" spans="1:1" x14ac:dyDescent="0.2">
      <c r="A61" t="s">
        <v>55</v>
      </c>
    </row>
    <row r="62" spans="1:1" x14ac:dyDescent="0.2">
      <c r="A62" t="s">
        <v>56</v>
      </c>
    </row>
    <row r="63" spans="1:1" x14ac:dyDescent="0.2">
      <c r="A63" t="s">
        <v>57</v>
      </c>
    </row>
    <row r="65" spans="1:1" x14ac:dyDescent="0.2">
      <c r="A65" s="1" t="s">
        <v>58</v>
      </c>
    </row>
    <row r="66" spans="1:1" x14ac:dyDescent="0.2">
      <c r="A66" t="s">
        <v>59</v>
      </c>
    </row>
    <row r="67" spans="1:1" x14ac:dyDescent="0.2">
      <c r="A67" t="s">
        <v>60</v>
      </c>
    </row>
    <row r="69" spans="1:1" x14ac:dyDescent="0.2">
      <c r="A69" s="1" t="s">
        <v>61</v>
      </c>
    </row>
    <row r="70" spans="1:1" x14ac:dyDescent="0.2">
      <c r="A70" t="s">
        <v>62</v>
      </c>
    </row>
    <row r="71" spans="1:1" x14ac:dyDescent="0.2">
      <c r="A71" t="s">
        <v>63</v>
      </c>
    </row>
    <row r="72" spans="1:1" x14ac:dyDescent="0.2">
      <c r="A72" t="s">
        <v>64</v>
      </c>
    </row>
    <row r="74" spans="1:1" x14ac:dyDescent="0.2">
      <c r="A74" s="1" t="s">
        <v>65</v>
      </c>
    </row>
    <row r="75" spans="1:1" x14ac:dyDescent="0.2">
      <c r="A75" t="s">
        <v>66</v>
      </c>
    </row>
    <row r="76" spans="1:1" x14ac:dyDescent="0.2">
      <c r="A76" t="s">
        <v>67</v>
      </c>
    </row>
    <row r="77" spans="1:1" x14ac:dyDescent="0.2">
      <c r="A77" t="s">
        <v>68</v>
      </c>
    </row>
    <row r="79" spans="1:1" x14ac:dyDescent="0.2">
      <c r="A79" s="1" t="s">
        <v>69</v>
      </c>
    </row>
    <row r="80" spans="1:1" x14ac:dyDescent="0.2">
      <c r="A80" t="s">
        <v>70</v>
      </c>
    </row>
    <row r="81" spans="1:1" x14ac:dyDescent="0.2">
      <c r="A81" t="s">
        <v>71</v>
      </c>
    </row>
    <row r="82" spans="1:1" x14ac:dyDescent="0.2">
      <c r="A82" t="s">
        <v>72</v>
      </c>
    </row>
  </sheetData>
  <hyperlinks>
    <hyperlink ref="B8" r:id="rId1" display="https://stats.oecd.org/" xr:uid="{00000000-0004-0000-0000-000000000000}"/>
    <hyperlink ref="C8" r:id="rId2" xr:uid="{80DA2A66-95CB-904A-9A8C-4CB623A84D9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workbookViewId="0"/>
  </sheetViews>
  <sheetFormatPr baseColWidth="10" defaultColWidth="8.83203125" defaultRowHeight="15" x14ac:dyDescent="0.2"/>
  <cols>
    <col min="1" max="1" width="123" bestFit="1" customWidth="1"/>
    <col min="2" max="2" width="34.33203125" bestFit="1" customWidth="1"/>
    <col min="3" max="3" width="16.6640625" bestFit="1" customWidth="1"/>
    <col min="5" max="5" width="9.1640625"/>
  </cols>
  <sheetData>
    <row r="1" spans="1:8" x14ac:dyDescent="0.2">
      <c r="A1" t="s">
        <v>73</v>
      </c>
      <c r="B1" t="s">
        <v>74</v>
      </c>
      <c r="C1" t="s">
        <v>75</v>
      </c>
      <c r="E1" s="3" t="s">
        <v>76</v>
      </c>
      <c r="H1" t="s">
        <v>77</v>
      </c>
    </row>
    <row r="2" spans="1:8" x14ac:dyDescent="0.2">
      <c r="A2" t="s">
        <v>78</v>
      </c>
      <c r="B2" t="s">
        <v>79</v>
      </c>
      <c r="C2" t="s">
        <v>80</v>
      </c>
      <c r="E2" s="3" t="s">
        <v>79</v>
      </c>
      <c r="H2" t="s">
        <v>81</v>
      </c>
    </row>
    <row r="3" spans="1:8" x14ac:dyDescent="0.2">
      <c r="A3" t="s">
        <v>82</v>
      </c>
      <c r="B3" t="s">
        <v>83</v>
      </c>
      <c r="C3" t="s">
        <v>84</v>
      </c>
      <c r="E3" s="3" t="s">
        <v>85</v>
      </c>
      <c r="H3" t="s">
        <v>86</v>
      </c>
    </row>
    <row r="4" spans="1:8" x14ac:dyDescent="0.2">
      <c r="A4" t="s">
        <v>87</v>
      </c>
      <c r="B4" t="s">
        <v>79</v>
      </c>
      <c r="C4" t="s">
        <v>84</v>
      </c>
      <c r="E4" s="3" t="s">
        <v>88</v>
      </c>
      <c r="H4" t="s">
        <v>89</v>
      </c>
    </row>
    <row r="5" spans="1:8" x14ac:dyDescent="0.2">
      <c r="A5" t="s">
        <v>90</v>
      </c>
      <c r="B5" t="s">
        <v>79</v>
      </c>
      <c r="C5" t="s">
        <v>84</v>
      </c>
      <c r="E5" s="3" t="s">
        <v>91</v>
      </c>
      <c r="H5" t="s">
        <v>92</v>
      </c>
    </row>
    <row r="6" spans="1:8" x14ac:dyDescent="0.2">
      <c r="A6" t="s">
        <v>93</v>
      </c>
      <c r="B6" t="s">
        <v>79</v>
      </c>
      <c r="C6" t="s">
        <v>84</v>
      </c>
      <c r="E6" s="3" t="s">
        <v>94</v>
      </c>
      <c r="H6" t="s">
        <v>95</v>
      </c>
    </row>
    <row r="7" spans="1:8" x14ac:dyDescent="0.2">
      <c r="A7" t="s">
        <v>96</v>
      </c>
      <c r="B7" t="s">
        <v>79</v>
      </c>
      <c r="C7" t="s">
        <v>84</v>
      </c>
      <c r="E7" s="3" t="s">
        <v>83</v>
      </c>
      <c r="H7" t="s">
        <v>97</v>
      </c>
    </row>
    <row r="8" spans="1:8" x14ac:dyDescent="0.2">
      <c r="A8" t="s">
        <v>98</v>
      </c>
      <c r="B8" t="s">
        <v>79</v>
      </c>
      <c r="C8" t="s">
        <v>84</v>
      </c>
      <c r="E8" s="3" t="s">
        <v>99</v>
      </c>
      <c r="H8" t="s">
        <v>100</v>
      </c>
    </row>
    <row r="9" spans="1:8" x14ac:dyDescent="0.2">
      <c r="A9" t="s">
        <v>101</v>
      </c>
      <c r="B9" t="s">
        <v>79</v>
      </c>
      <c r="C9" t="s">
        <v>84</v>
      </c>
      <c r="E9" s="3" t="s">
        <v>102</v>
      </c>
    </row>
    <row r="10" spans="1:8" x14ac:dyDescent="0.2">
      <c r="A10" t="s">
        <v>103</v>
      </c>
      <c r="B10" t="s">
        <v>83</v>
      </c>
      <c r="C10" t="s">
        <v>104</v>
      </c>
    </row>
    <row r="11" spans="1:8" x14ac:dyDescent="0.2">
      <c r="A11" t="s">
        <v>105</v>
      </c>
      <c r="B11" t="s">
        <v>79</v>
      </c>
      <c r="C11" t="s">
        <v>106</v>
      </c>
    </row>
    <row r="12" spans="1:8" x14ac:dyDescent="0.2">
      <c r="A12" t="s">
        <v>107</v>
      </c>
      <c r="B12" t="s">
        <v>79</v>
      </c>
      <c r="C12" t="s">
        <v>84</v>
      </c>
    </row>
    <row r="13" spans="1:8" x14ac:dyDescent="0.2">
      <c r="A13" t="s">
        <v>108</v>
      </c>
      <c r="B13" t="s">
        <v>79</v>
      </c>
      <c r="C13" t="s">
        <v>77</v>
      </c>
    </row>
    <row r="14" spans="1:8" x14ac:dyDescent="0.2">
      <c r="A14" t="s">
        <v>109</v>
      </c>
      <c r="B14" t="s">
        <v>79</v>
      </c>
      <c r="C14" t="s">
        <v>110</v>
      </c>
    </row>
    <row r="15" spans="1:8" x14ac:dyDescent="0.2">
      <c r="A15" t="s">
        <v>111</v>
      </c>
      <c r="B15" t="s">
        <v>79</v>
      </c>
      <c r="C15" t="s">
        <v>84</v>
      </c>
    </row>
    <row r="16" spans="1:8" x14ac:dyDescent="0.2">
      <c r="A16" t="s">
        <v>112</v>
      </c>
      <c r="B16" t="s">
        <v>79</v>
      </c>
      <c r="C16" t="s">
        <v>84</v>
      </c>
    </row>
    <row r="17" spans="1:3" x14ac:dyDescent="0.2">
      <c r="A17" t="s">
        <v>113</v>
      </c>
      <c r="B17" t="s">
        <v>79</v>
      </c>
      <c r="C17" t="s">
        <v>84</v>
      </c>
    </row>
    <row r="18" spans="1:3" x14ac:dyDescent="0.2">
      <c r="A18" t="s">
        <v>114</v>
      </c>
      <c r="B18" t="s">
        <v>79</v>
      </c>
      <c r="C18" t="s">
        <v>84</v>
      </c>
    </row>
    <row r="19" spans="1:3" x14ac:dyDescent="0.2">
      <c r="A19" t="s">
        <v>115</v>
      </c>
      <c r="B19" t="s">
        <v>79</v>
      </c>
      <c r="C19" t="s">
        <v>84</v>
      </c>
    </row>
    <row r="20" spans="1:3" x14ac:dyDescent="0.2">
      <c r="A20" t="s">
        <v>116</v>
      </c>
      <c r="B20" t="s">
        <v>79</v>
      </c>
      <c r="C20" t="s">
        <v>84</v>
      </c>
    </row>
    <row r="21" spans="1:3" x14ac:dyDescent="0.2">
      <c r="A21" t="s">
        <v>117</v>
      </c>
      <c r="B21" t="s">
        <v>79</v>
      </c>
      <c r="C21" t="s">
        <v>84</v>
      </c>
    </row>
    <row r="22" spans="1:3" x14ac:dyDescent="0.2">
      <c r="A22" t="s">
        <v>118</v>
      </c>
      <c r="B22" s="18" t="s">
        <v>119</v>
      </c>
      <c r="C22" s="18" t="s">
        <v>119</v>
      </c>
    </row>
    <row r="23" spans="1:3" x14ac:dyDescent="0.2">
      <c r="A23" t="s">
        <v>120</v>
      </c>
      <c r="B23" t="s">
        <v>79</v>
      </c>
    </row>
    <row r="24" spans="1:3" x14ac:dyDescent="0.2">
      <c r="A24" t="s">
        <v>121</v>
      </c>
      <c r="B24" t="s">
        <v>79</v>
      </c>
    </row>
    <row r="25" spans="1:3" x14ac:dyDescent="0.2">
      <c r="A25" t="s">
        <v>122</v>
      </c>
      <c r="B25" t="s">
        <v>79</v>
      </c>
    </row>
    <row r="26" spans="1:3" x14ac:dyDescent="0.2">
      <c r="A26" t="s">
        <v>123</v>
      </c>
      <c r="B26" t="s">
        <v>79</v>
      </c>
    </row>
    <row r="27" spans="1:3" x14ac:dyDescent="0.2">
      <c r="A27" t="s">
        <v>124</v>
      </c>
      <c r="B27" t="s">
        <v>79</v>
      </c>
    </row>
    <row r="28" spans="1:3" x14ac:dyDescent="0.2">
      <c r="A28" t="s">
        <v>125</v>
      </c>
      <c r="B28" t="s">
        <v>79</v>
      </c>
    </row>
    <row r="29" spans="1:3" x14ac:dyDescent="0.2">
      <c r="A29" t="s">
        <v>126</v>
      </c>
      <c r="B29" t="s">
        <v>79</v>
      </c>
    </row>
    <row r="30" spans="1:3" x14ac:dyDescent="0.2">
      <c r="A30" t="s">
        <v>127</v>
      </c>
      <c r="B30" t="s">
        <v>79</v>
      </c>
    </row>
    <row r="31" spans="1:3" x14ac:dyDescent="0.2">
      <c r="A31" t="s">
        <v>128</v>
      </c>
      <c r="B31" t="s">
        <v>79</v>
      </c>
    </row>
    <row r="32" spans="1:3" x14ac:dyDescent="0.2">
      <c r="A32" t="s">
        <v>129</v>
      </c>
      <c r="B32" t="s">
        <v>79</v>
      </c>
    </row>
    <row r="33" spans="1:3" x14ac:dyDescent="0.2">
      <c r="A33" t="s">
        <v>130</v>
      </c>
      <c r="B33" t="s">
        <v>76</v>
      </c>
    </row>
    <row r="34" spans="1:3" x14ac:dyDescent="0.2">
      <c r="A34" t="s">
        <v>131</v>
      </c>
      <c r="B34" t="s">
        <v>79</v>
      </c>
    </row>
    <row r="35" spans="1:3" x14ac:dyDescent="0.2">
      <c r="A35" t="s">
        <v>132</v>
      </c>
      <c r="B35" t="s">
        <v>79</v>
      </c>
    </row>
    <row r="36" spans="1:3" x14ac:dyDescent="0.2">
      <c r="A36" t="s">
        <v>133</v>
      </c>
      <c r="B36" t="s">
        <v>79</v>
      </c>
    </row>
    <row r="37" spans="1:3" x14ac:dyDescent="0.2">
      <c r="A37" t="s">
        <v>134</v>
      </c>
      <c r="B37" t="s">
        <v>85</v>
      </c>
    </row>
    <row r="38" spans="1:3" x14ac:dyDescent="0.2">
      <c r="A38" t="s">
        <v>135</v>
      </c>
      <c r="B38" t="s">
        <v>76</v>
      </c>
    </row>
    <row r="39" spans="1:3" x14ac:dyDescent="0.2">
      <c r="A39" t="s">
        <v>136</v>
      </c>
      <c r="B39" t="s">
        <v>76</v>
      </c>
    </row>
    <row r="40" spans="1:3" x14ac:dyDescent="0.2">
      <c r="A40" t="s">
        <v>137</v>
      </c>
      <c r="B40" t="s">
        <v>138</v>
      </c>
    </row>
    <row r="41" spans="1:3" x14ac:dyDescent="0.2">
      <c r="A41" t="s">
        <v>139</v>
      </c>
      <c r="B41" t="s">
        <v>140</v>
      </c>
    </row>
    <row r="42" spans="1:3" x14ac:dyDescent="0.2">
      <c r="A42" t="s">
        <v>141</v>
      </c>
      <c r="B42" t="s">
        <v>142</v>
      </c>
    </row>
    <row r="43" spans="1:3" x14ac:dyDescent="0.2">
      <c r="A43" t="s">
        <v>143</v>
      </c>
      <c r="B43" t="s">
        <v>79</v>
      </c>
      <c r="C43" t="s">
        <v>80</v>
      </c>
    </row>
    <row r="44" spans="1:3" x14ac:dyDescent="0.2">
      <c r="A44" t="s">
        <v>144</v>
      </c>
      <c r="B44" t="s">
        <v>83</v>
      </c>
      <c r="C44" t="s">
        <v>84</v>
      </c>
    </row>
    <row r="45" spans="1:3" x14ac:dyDescent="0.2">
      <c r="A45" t="s">
        <v>145</v>
      </c>
      <c r="B45" t="s">
        <v>79</v>
      </c>
      <c r="C45" t="s">
        <v>84</v>
      </c>
    </row>
    <row r="46" spans="1:3" x14ac:dyDescent="0.2">
      <c r="A46" t="s">
        <v>146</v>
      </c>
      <c r="B46" t="s">
        <v>79</v>
      </c>
      <c r="C46" t="s">
        <v>84</v>
      </c>
    </row>
    <row r="47" spans="1:3" x14ac:dyDescent="0.2">
      <c r="A47" t="s">
        <v>147</v>
      </c>
      <c r="B47" t="s">
        <v>79</v>
      </c>
      <c r="C47" t="s">
        <v>84</v>
      </c>
    </row>
    <row r="48" spans="1:3" x14ac:dyDescent="0.2">
      <c r="A48" t="s">
        <v>148</v>
      </c>
      <c r="B48" t="s">
        <v>79</v>
      </c>
      <c r="C48" t="s">
        <v>84</v>
      </c>
    </row>
    <row r="49" spans="1:3" x14ac:dyDescent="0.2">
      <c r="A49" t="s">
        <v>149</v>
      </c>
      <c r="B49" t="s">
        <v>79</v>
      </c>
      <c r="C49" t="s">
        <v>84</v>
      </c>
    </row>
    <row r="50" spans="1:3" x14ac:dyDescent="0.2">
      <c r="A50" t="s">
        <v>150</v>
      </c>
      <c r="B50" t="s">
        <v>79</v>
      </c>
      <c r="C50" t="s">
        <v>84</v>
      </c>
    </row>
    <row r="51" spans="1:3" x14ac:dyDescent="0.2">
      <c r="A51" t="s">
        <v>151</v>
      </c>
      <c r="B51" t="s">
        <v>83</v>
      </c>
      <c r="C51" t="s">
        <v>104</v>
      </c>
    </row>
    <row r="52" spans="1:3" x14ac:dyDescent="0.2">
      <c r="A52" t="s">
        <v>152</v>
      </c>
      <c r="B52" t="s">
        <v>79</v>
      </c>
      <c r="C52" t="s">
        <v>106</v>
      </c>
    </row>
    <row r="53" spans="1:3" x14ac:dyDescent="0.2">
      <c r="A53" t="s">
        <v>153</v>
      </c>
      <c r="B53" t="s">
        <v>79</v>
      </c>
      <c r="C53" t="s">
        <v>84</v>
      </c>
    </row>
    <row r="54" spans="1:3" x14ac:dyDescent="0.2">
      <c r="A54" t="s">
        <v>154</v>
      </c>
      <c r="B54" t="s">
        <v>79</v>
      </c>
      <c r="C54" t="s">
        <v>77</v>
      </c>
    </row>
    <row r="55" spans="1:3" x14ac:dyDescent="0.2">
      <c r="A55" t="s">
        <v>155</v>
      </c>
      <c r="B55" t="s">
        <v>79</v>
      </c>
      <c r="C55" t="s">
        <v>110</v>
      </c>
    </row>
    <row r="56" spans="1:3" x14ac:dyDescent="0.2">
      <c r="A56" t="s">
        <v>156</v>
      </c>
      <c r="B56" t="s">
        <v>79</v>
      </c>
      <c r="C56" t="s">
        <v>84</v>
      </c>
    </row>
    <row r="57" spans="1:3" x14ac:dyDescent="0.2">
      <c r="A57" t="s">
        <v>157</v>
      </c>
      <c r="B57" t="s">
        <v>79</v>
      </c>
      <c r="C57" t="s">
        <v>84</v>
      </c>
    </row>
    <row r="58" spans="1:3" x14ac:dyDescent="0.2">
      <c r="A58" t="s">
        <v>158</v>
      </c>
      <c r="B58" t="s">
        <v>79</v>
      </c>
      <c r="C58" t="s">
        <v>84</v>
      </c>
    </row>
    <row r="59" spans="1:3" x14ac:dyDescent="0.2">
      <c r="A59" t="s">
        <v>159</v>
      </c>
      <c r="B59" t="s">
        <v>79</v>
      </c>
      <c r="C59" t="s">
        <v>84</v>
      </c>
    </row>
    <row r="60" spans="1:3" x14ac:dyDescent="0.2">
      <c r="A60" t="s">
        <v>160</v>
      </c>
      <c r="B60" t="s">
        <v>79</v>
      </c>
      <c r="C60" t="s">
        <v>84</v>
      </c>
    </row>
    <row r="61" spans="1:3" x14ac:dyDescent="0.2">
      <c r="A61" t="s">
        <v>161</v>
      </c>
      <c r="B61" t="s">
        <v>79</v>
      </c>
      <c r="C61" t="s">
        <v>84</v>
      </c>
    </row>
    <row r="62" spans="1:3" x14ac:dyDescent="0.2">
      <c r="A62" t="s">
        <v>162</v>
      </c>
      <c r="B62" t="s">
        <v>79</v>
      </c>
      <c r="C62" t="s">
        <v>84</v>
      </c>
    </row>
    <row r="63" spans="1:3" x14ac:dyDescent="0.2">
      <c r="A63" t="s">
        <v>163</v>
      </c>
      <c r="B63" s="18" t="s">
        <v>119</v>
      </c>
      <c r="C63" s="18" t="s">
        <v>119</v>
      </c>
    </row>
    <row r="64" spans="1:3" x14ac:dyDescent="0.2">
      <c r="A64" t="s">
        <v>164</v>
      </c>
      <c r="B64" t="s">
        <v>79</v>
      </c>
    </row>
    <row r="65" spans="1:2" x14ac:dyDescent="0.2">
      <c r="A65" t="s">
        <v>165</v>
      </c>
      <c r="B65" t="s">
        <v>79</v>
      </c>
    </row>
    <row r="66" spans="1:2" x14ac:dyDescent="0.2">
      <c r="A66" t="s">
        <v>166</v>
      </c>
      <c r="B66" t="s">
        <v>79</v>
      </c>
    </row>
    <row r="67" spans="1:2" x14ac:dyDescent="0.2">
      <c r="A67" t="s">
        <v>167</v>
      </c>
      <c r="B67" t="s">
        <v>79</v>
      </c>
    </row>
    <row r="68" spans="1:2" x14ac:dyDescent="0.2">
      <c r="A68" t="s">
        <v>168</v>
      </c>
      <c r="B68" t="s">
        <v>79</v>
      </c>
    </row>
    <row r="69" spans="1:2" x14ac:dyDescent="0.2">
      <c r="A69" t="s">
        <v>169</v>
      </c>
      <c r="B69" t="s">
        <v>79</v>
      </c>
    </row>
    <row r="70" spans="1:2" x14ac:dyDescent="0.2">
      <c r="A70" t="s">
        <v>170</v>
      </c>
      <c r="B70" t="s">
        <v>79</v>
      </c>
    </row>
    <row r="71" spans="1:2" x14ac:dyDescent="0.2">
      <c r="A71" t="s">
        <v>171</v>
      </c>
      <c r="B71" t="s">
        <v>79</v>
      </c>
    </row>
    <row r="72" spans="1:2" x14ac:dyDescent="0.2">
      <c r="A72" t="s">
        <v>172</v>
      </c>
      <c r="B72" t="s">
        <v>79</v>
      </c>
    </row>
    <row r="73" spans="1:2" x14ac:dyDescent="0.2">
      <c r="A73" t="s">
        <v>173</v>
      </c>
      <c r="B73" t="s">
        <v>79</v>
      </c>
    </row>
    <row r="74" spans="1:2" x14ac:dyDescent="0.2">
      <c r="A74" t="s">
        <v>174</v>
      </c>
      <c r="B74" t="s">
        <v>76</v>
      </c>
    </row>
    <row r="75" spans="1:2" x14ac:dyDescent="0.2">
      <c r="A75" t="s">
        <v>175</v>
      </c>
      <c r="B75" t="s">
        <v>79</v>
      </c>
    </row>
    <row r="76" spans="1:2" x14ac:dyDescent="0.2">
      <c r="A76" t="s">
        <v>176</v>
      </c>
      <c r="B76" t="s">
        <v>79</v>
      </c>
    </row>
    <row r="77" spans="1:2" x14ac:dyDescent="0.2">
      <c r="A77" t="s">
        <v>177</v>
      </c>
      <c r="B77" t="s">
        <v>79</v>
      </c>
    </row>
    <row r="78" spans="1:2" x14ac:dyDescent="0.2">
      <c r="A78" t="s">
        <v>178</v>
      </c>
      <c r="B78" t="s">
        <v>85</v>
      </c>
    </row>
    <row r="79" spans="1:2" x14ac:dyDescent="0.2">
      <c r="A79" t="s">
        <v>179</v>
      </c>
      <c r="B79" s="18" t="s">
        <v>85</v>
      </c>
    </row>
    <row r="80" spans="1:2" x14ac:dyDescent="0.2">
      <c r="A80" t="s">
        <v>180</v>
      </c>
      <c r="B80" t="s">
        <v>79</v>
      </c>
    </row>
    <row r="81" spans="1:2" x14ac:dyDescent="0.2">
      <c r="A81" t="s">
        <v>181</v>
      </c>
      <c r="B81" t="s">
        <v>76</v>
      </c>
    </row>
    <row r="82" spans="1:2" x14ac:dyDescent="0.2">
      <c r="A82" t="s">
        <v>182</v>
      </c>
      <c r="B82" t="s">
        <v>183</v>
      </c>
    </row>
    <row r="83" spans="1:2" x14ac:dyDescent="0.2">
      <c r="A83" t="s">
        <v>184</v>
      </c>
      <c r="B83" t="s">
        <v>185</v>
      </c>
    </row>
    <row r="84" spans="1:2" x14ac:dyDescent="0.2">
      <c r="A84" t="s">
        <v>186</v>
      </c>
      <c r="B84" t="s">
        <v>187</v>
      </c>
    </row>
    <row r="85" spans="1:2" x14ac:dyDescent="0.2">
      <c r="A85" t="s">
        <v>188</v>
      </c>
      <c r="B85" t="s">
        <v>88</v>
      </c>
    </row>
    <row r="86" spans="1:2" x14ac:dyDescent="0.2">
      <c r="A86" t="s">
        <v>189</v>
      </c>
      <c r="B86" t="s">
        <v>88</v>
      </c>
    </row>
    <row r="87" spans="1:2" x14ac:dyDescent="0.2">
      <c r="A87" t="s">
        <v>190</v>
      </c>
      <c r="B87" t="s">
        <v>187</v>
      </c>
    </row>
    <row r="88" spans="1:2" x14ac:dyDescent="0.2">
      <c r="A88" t="s">
        <v>191</v>
      </c>
      <c r="B88" t="s">
        <v>85</v>
      </c>
    </row>
    <row r="89" spans="1:2" x14ac:dyDescent="0.2">
      <c r="A89" t="s">
        <v>192</v>
      </c>
      <c r="B89" t="s">
        <v>193</v>
      </c>
    </row>
    <row r="90" spans="1:2" x14ac:dyDescent="0.2">
      <c r="A90" t="s">
        <v>194</v>
      </c>
      <c r="B90" t="s">
        <v>195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1107-CE5E-5749-A0F1-E794F378083D}">
  <dimension ref="A1:AU51"/>
  <sheetViews>
    <sheetView workbookViewId="0">
      <selection activeCell="E14" sqref="E14"/>
    </sheetView>
  </sheetViews>
  <sheetFormatPr baseColWidth="10" defaultRowHeight="15" x14ac:dyDescent="0.2"/>
  <sheetData>
    <row r="1" spans="1:47" x14ac:dyDescent="0.2">
      <c r="A1" s="11" t="e">
        <f ca="1">DotStatQuery(#REF!)</f>
        <v>#NAME?</v>
      </c>
    </row>
    <row r="2" spans="1:47" ht="56" x14ac:dyDescent="0.2">
      <c r="A2" s="25" t="s">
        <v>196</v>
      </c>
      <c r="B2" s="19" t="e">
        <f>INDEX('OECD Crosswalk'!$B$2:$B$90,MATCH('OECD Data IO Table - Total (USD'!B8,'OECD Crosswalk'!$A$2:$A$90,0),1)</f>
        <v>#N/A</v>
      </c>
      <c r="C2" s="19" t="e">
        <f>INDEX('OECD Crosswalk'!$B$2:$B$90,MATCH('OECD Data IO Table - Total (USD'!C8,'OECD Crosswalk'!$A$2:$A$90,0),1)</f>
        <v>#N/A</v>
      </c>
      <c r="D2" s="19" t="e">
        <f>INDEX('OECD Crosswalk'!$B$2:$B$90,MATCH('OECD Data IO Table - Total (USD'!D8,'OECD Crosswalk'!$A$2:$A$90,0),1)</f>
        <v>#N/A</v>
      </c>
      <c r="E2" s="19" t="str">
        <f>INDEX('OECD Crosswalk'!$B$2:$B$90,MATCH('OECD Data IO Table - Total (USD'!E8,'OECD Crosswalk'!$A$2:$A$90,0),1)</f>
        <v>nonenergy industries</v>
      </c>
      <c r="F2" s="19" t="str">
        <f>INDEX('OECD Crosswalk'!$B$2:$B$90,MATCH('OECD Data IO Table - Total (USD'!F8,'OECD Crosswalk'!$A$2:$A$90,0),1)</f>
        <v>natural gas and petroleum suppliers</v>
      </c>
      <c r="G2" s="19" t="str">
        <f>INDEX('OECD Crosswalk'!$B$2:$B$90,MATCH('OECD Data IO Table - Total (USD'!G8,'OECD Crosswalk'!$A$2:$A$90,0),1)</f>
        <v>nonenergy industries</v>
      </c>
      <c r="H2" s="19" t="str">
        <f>INDEX('OECD Crosswalk'!$B$2:$B$90,MATCH('OECD Data IO Table - Total (USD'!H8,'OECD Crosswalk'!$A$2:$A$90,0),1)</f>
        <v>nonenergy industries</v>
      </c>
      <c r="I2" s="19" t="str">
        <f>INDEX('OECD Crosswalk'!$B$2:$B$90,MATCH('OECD Data IO Table - Total (USD'!I8,'OECD Crosswalk'!$A$2:$A$90,0),1)</f>
        <v>nonenergy industries</v>
      </c>
      <c r="J2" s="19" t="str">
        <f>INDEX('OECD Crosswalk'!$B$2:$B$90,MATCH('OECD Data IO Table - Total (USD'!J8,'OECD Crosswalk'!$A$2:$A$90,0),1)</f>
        <v>nonenergy industries</v>
      </c>
      <c r="K2" s="19" t="str">
        <f>INDEX('OECD Crosswalk'!$B$2:$B$90,MATCH('OECD Data IO Table - Total (USD'!K8,'OECD Crosswalk'!$A$2:$A$90,0),1)</f>
        <v>nonenergy industries</v>
      </c>
      <c r="L2" s="19" t="str">
        <f>INDEX('OECD Crosswalk'!$B$2:$B$90,MATCH('OECD Data IO Table - Total (USD'!L8,'OECD Crosswalk'!$A$2:$A$90,0),1)</f>
        <v>nonenergy industries</v>
      </c>
      <c r="M2" s="19" t="str">
        <f>INDEX('OECD Crosswalk'!$B$2:$B$90,MATCH('OECD Data IO Table - Total (USD'!M8,'OECD Crosswalk'!$A$2:$A$90,0),1)</f>
        <v>natural gas and petroleum suppliers</v>
      </c>
      <c r="N2" s="19" t="str">
        <f>INDEX('OECD Crosswalk'!$B$2:$B$90,MATCH('OECD Data IO Table - Total (USD'!N8,'OECD Crosswalk'!$A$2:$A$90,0),1)</f>
        <v>nonenergy industries</v>
      </c>
      <c r="O2" s="19" t="str">
        <f>INDEX('OECD Crosswalk'!$B$2:$B$90,MATCH('OECD Data IO Table - Total (USD'!O8,'OECD Crosswalk'!$A$2:$A$90,0),1)</f>
        <v>nonenergy industries</v>
      </c>
      <c r="P2" s="19" t="str">
        <f>INDEX('OECD Crosswalk'!$B$2:$B$90,MATCH('OECD Data IO Table - Total (USD'!P8,'OECD Crosswalk'!$A$2:$A$90,0),1)</f>
        <v>nonenergy industries</v>
      </c>
      <c r="Q2" s="19" t="str">
        <f>INDEX('OECD Crosswalk'!$B$2:$B$90,MATCH('OECD Data IO Table - Total (USD'!Q8,'OECD Crosswalk'!$A$2:$A$90,0),1)</f>
        <v>nonenergy industries</v>
      </c>
      <c r="R2" s="19" t="str">
        <f>INDEX('OECD Crosswalk'!$B$2:$B$90,MATCH('OECD Data IO Table - Total (USD'!R8,'OECD Crosswalk'!$A$2:$A$90,0),1)</f>
        <v>nonenergy industries</v>
      </c>
      <c r="S2" s="19" t="str">
        <f>INDEX('OECD Crosswalk'!$B$2:$B$90,MATCH('OECD Data IO Table - Total (USD'!S8,'OECD Crosswalk'!$A$2:$A$90,0),1)</f>
        <v>nonenergy industries</v>
      </c>
      <c r="T2" s="19" t="str">
        <f>INDEX('OECD Crosswalk'!$B$2:$B$90,MATCH('OECD Data IO Table - Total (USD'!T8,'OECD Crosswalk'!$A$2:$A$90,0),1)</f>
        <v>nonenergy industries</v>
      </c>
      <c r="U2" s="19" t="str">
        <f>INDEX('OECD Crosswalk'!$B$2:$B$90,MATCH('OECD Data IO Table - Total (USD'!U8,'OECD Crosswalk'!$A$2:$A$90,0),1)</f>
        <v>nonenergy industries</v>
      </c>
      <c r="V2" s="19" t="str">
        <f>INDEX('OECD Crosswalk'!$B$2:$B$90,MATCH('OECD Data IO Table - Total (USD'!V8,'OECD Crosswalk'!$A$2:$A$90,0),1)</f>
        <v>nonenergy industries</v>
      </c>
      <c r="W2" s="19" t="str">
        <f>INDEX('OECD Crosswalk'!$B$2:$B$90,MATCH('OECD Data IO Table - Total (USD'!W8,'OECD Crosswalk'!$A$2:$A$90,0),1)</f>
        <v>nonenergy industries</v>
      </c>
      <c r="X2" s="19" t="str">
        <f>INDEX('OECD Crosswalk'!$B$2:$B$90,MATCH('OECD Data IO Table - Total (USD'!X8,'OECD Crosswalk'!$A$2:$A$90,0),1)</f>
        <v>nonenergy industries</v>
      </c>
      <c r="Y2" s="19" t="str">
        <f>INDEX('OECD Crosswalk'!$B$2:$B$90,MATCH('OECD Data IO Table - Total (USD'!Y8,'OECD Crosswalk'!$A$2:$A$90,0),1)</f>
        <v>energy suppliers</v>
      </c>
      <c r="Z2" s="19" t="str">
        <f>INDEX('OECD Crosswalk'!$B$2:$B$90,MATCH('OECD Data IO Table - Total (USD'!Z8,'OECD Crosswalk'!$A$2:$A$90,0),1)</f>
        <v>nonenergy industries</v>
      </c>
      <c r="AA2" s="19" t="str">
        <f>INDEX('OECD Crosswalk'!$B$2:$B$90,MATCH('OECD Data IO Table - Total (USD'!AA8,'OECD Crosswalk'!$A$2:$A$90,0),1)</f>
        <v>nonenergy industries</v>
      </c>
      <c r="AB2" s="19" t="str">
        <f>INDEX('OECD Crosswalk'!$B$2:$B$90,MATCH('OECD Data IO Table - Total (USD'!AB8,'OECD Crosswalk'!$A$2:$A$90,0),1)</f>
        <v>nonenergy industries</v>
      </c>
      <c r="AC2" s="19" t="str">
        <f>INDEX('OECD Crosswalk'!$B$2:$B$90,MATCH('OECD Data IO Table - Total (USD'!AC8,'OECD Crosswalk'!$A$2:$A$90,0),1)</f>
        <v>nonenergy industries</v>
      </c>
      <c r="AD2" s="19" t="str">
        <f>INDEX('OECD Crosswalk'!$B$2:$B$90,MATCH('OECD Data IO Table - Total (USD'!AD8,'OECD Crosswalk'!$A$2:$A$90,0),1)</f>
        <v>nonenergy industries</v>
      </c>
      <c r="AE2" s="19" t="str">
        <f>INDEX('OECD Crosswalk'!$B$2:$B$90,MATCH('OECD Data IO Table - Total (USD'!AE8,'OECD Crosswalk'!$A$2:$A$90,0),1)</f>
        <v>nonenergy industries</v>
      </c>
      <c r="AF2" s="19" t="str">
        <f>INDEX('OECD Crosswalk'!$B$2:$B$90,MATCH('OECD Data IO Table - Total (USD'!AF8,'OECD Crosswalk'!$A$2:$A$90,0),1)</f>
        <v>nonenergy industries</v>
      </c>
      <c r="AG2" s="19" t="str">
        <f>INDEX('OECD Crosswalk'!$B$2:$B$90,MATCH('OECD Data IO Table - Total (USD'!AG8,'OECD Crosswalk'!$A$2:$A$90,0),1)</f>
        <v>nonenergy industries</v>
      </c>
      <c r="AH2" s="19" t="str">
        <f>INDEX('OECD Crosswalk'!$B$2:$B$90,MATCH('OECD Data IO Table - Total (USD'!AH8,'OECD Crosswalk'!$A$2:$A$90,0),1)</f>
        <v>nonenergy industries</v>
      </c>
      <c r="AI2" s="19" t="str">
        <f>INDEX('OECD Crosswalk'!$B$2:$B$90,MATCH('OECD Data IO Table - Total (USD'!AI8,'OECD Crosswalk'!$A$2:$A$90,0),1)</f>
        <v>nonenergy industries</v>
      </c>
      <c r="AJ2" s="19" t="str">
        <f>INDEX('OECD Crosswalk'!$B$2:$B$90,MATCH('OECD Data IO Table - Total (USD'!AJ8,'OECD Crosswalk'!$A$2:$A$90,0),1)</f>
        <v>government</v>
      </c>
      <c r="AK2" s="19" t="str">
        <f>INDEX('OECD Crosswalk'!$B$2:$B$90,MATCH('OECD Data IO Table - Total (USD'!AK8,'OECD Crosswalk'!$A$2:$A$90,0),1)</f>
        <v>nonenergy industries</v>
      </c>
      <c r="AL2" s="19" t="str">
        <f>INDEX('OECD Crosswalk'!$B$2:$B$90,MATCH('OECD Data IO Table - Total (USD'!AL8,'OECD Crosswalk'!$A$2:$A$90,0),1)</f>
        <v>nonenergy industries</v>
      </c>
      <c r="AM2" s="19" t="str">
        <f>INDEX('OECD Crosswalk'!$B$2:$B$90,MATCH('OECD Data IO Table - Total (USD'!AM8,'OECD Crosswalk'!$A$2:$A$90,0),1)</f>
        <v>nonenergy industries</v>
      </c>
      <c r="AN2" s="19" t="str">
        <f>INDEX('OECD Crosswalk'!$B$2:$B$90,MATCH('OECD Data IO Table - Total (USD'!AN8,'OECD Crosswalk'!$A$2:$A$90,0),1)</f>
        <v>labor and consumers</v>
      </c>
      <c r="AO2" s="19" t="str">
        <f>INDEX('OECD Crosswalk'!$B$2:$B$90,MATCH('OECD Data IO Table - Total (USD'!AO8,'OECD Crosswalk'!$A$2:$A$90,0),1)</f>
        <v>labor and consumers</v>
      </c>
      <c r="AP2" s="19" t="str">
        <f>INDEX('OECD Crosswalk'!$B$2:$B$90,MATCH('OECD Data IO Table - Total (USD'!AP8,'OECD Crosswalk'!$A$2:$A$90,0),1)</f>
        <v>nonenergy industries</v>
      </c>
      <c r="AQ2" s="19" t="str">
        <f>INDEX('OECD Crosswalk'!$B$2:$B$90,MATCH('OECD Data IO Table - Total (USD'!AQ8,'OECD Crosswalk'!$A$2:$A$90,0),1)</f>
        <v>government</v>
      </c>
      <c r="AR2" s="19" t="str">
        <f>INDEX('OECD Crosswalk'!$B$2:$B$90,MATCH('OECD Data IO Table - Total (USD'!AR8,'OECD Crosswalk'!$A$2:$A$90,0),1)</f>
        <v>capital formation</v>
      </c>
      <c r="AS2" s="19" t="str">
        <f>INDEX('OECD Crosswalk'!$B$2:$B$90,MATCH('OECD Data IO Table - Total (USD'!AS8,'OECD Crosswalk'!$A$2:$A$90,0),1)</f>
        <v>inventory</v>
      </c>
      <c r="AT2" s="19" t="str">
        <f>INDEX('OECD Crosswalk'!$B$2:$B$90,MATCH('OECD Data IO Table - Total (USD'!AT8,'OECD Crosswalk'!$A$2:$A$90,0),1)</f>
        <v>imports</v>
      </c>
    </row>
    <row r="3" spans="1:47" ht="56" x14ac:dyDescent="0.2">
      <c r="A3" s="25" t="s">
        <v>197</v>
      </c>
      <c r="B3" s="19" t="e">
        <f>INDEX('OECD Crosswalk'!$C$2:$C$90,MATCH('OECD Data IO Table - Total (USD'!B8,'OECD Crosswalk'!$A$2:$A$90,0),1)</f>
        <v>#N/A</v>
      </c>
      <c r="C3" s="19" t="e">
        <f>INDEX('OECD Crosswalk'!$C$2:$C$90,MATCH('OECD Data IO Table - Total (USD'!C8,'OECD Crosswalk'!$A$2:$A$90,0),1)</f>
        <v>#N/A</v>
      </c>
      <c r="D3" s="19" t="e">
        <f>INDEX('OECD Crosswalk'!$C$2:$C$90,MATCH('OECD Data IO Table - Total (USD'!D8,'OECD Crosswalk'!$A$2:$A$90,0),1)</f>
        <v>#N/A</v>
      </c>
      <c r="E3" s="19" t="str">
        <f>INDEX('OECD Crosswalk'!$C$2:$C$90,MATCH('OECD Data IO Table - Total (USD'!E8,'OECD Crosswalk'!$A$2:$A$90,0),1)</f>
        <v>agriculture</v>
      </c>
      <c r="F3" s="19" t="str">
        <f>INDEX('OECD Crosswalk'!$C$2:$C$90,MATCH('OECD Data IO Table - Total (USD'!F8,'OECD Crosswalk'!$A$2:$A$90,0),1)</f>
        <v>other industries</v>
      </c>
      <c r="G3" s="19" t="str">
        <f>INDEX('OECD Crosswalk'!$C$2:$C$90,MATCH('OECD Data IO Table - Total (USD'!G8,'OECD Crosswalk'!$A$2:$A$90,0),1)</f>
        <v>other industries</v>
      </c>
      <c r="H3" s="19" t="str">
        <f>INDEX('OECD Crosswalk'!$C$2:$C$90,MATCH('OECD Data IO Table - Total (USD'!H8,'OECD Crosswalk'!$A$2:$A$90,0),1)</f>
        <v>other industries</v>
      </c>
      <c r="I3" s="19" t="str">
        <f>INDEX('OECD Crosswalk'!$C$2:$C$90,MATCH('OECD Data IO Table - Total (USD'!I8,'OECD Crosswalk'!$A$2:$A$90,0),1)</f>
        <v>other industries</v>
      </c>
      <c r="J3" s="19" t="str">
        <f>INDEX('OECD Crosswalk'!$C$2:$C$90,MATCH('OECD Data IO Table - Total (USD'!J8,'OECD Crosswalk'!$A$2:$A$90,0),1)</f>
        <v>other industries</v>
      </c>
      <c r="K3" s="19" t="str">
        <f>INDEX('OECD Crosswalk'!$C$2:$C$90,MATCH('OECD Data IO Table - Total (USD'!K8,'OECD Crosswalk'!$A$2:$A$90,0),1)</f>
        <v>other industries</v>
      </c>
      <c r="L3" s="19" t="str">
        <f>INDEX('OECD Crosswalk'!$C$2:$C$90,MATCH('OECD Data IO Table - Total (USD'!L8,'OECD Crosswalk'!$A$2:$A$90,0),1)</f>
        <v>other industries</v>
      </c>
      <c r="M3" s="19" t="str">
        <f>INDEX('OECD Crosswalk'!$C$2:$C$90,MATCH('OECD Data IO Table - Total (USD'!M8,'OECD Crosswalk'!$A$2:$A$90,0),1)</f>
        <v>natural gas and petroleum systems</v>
      </c>
      <c r="N3" s="19" t="str">
        <f>INDEX('OECD Crosswalk'!$C$2:$C$90,MATCH('OECD Data IO Table - Total (USD'!N8,'OECD Crosswalk'!$A$2:$A$90,0),1)</f>
        <v>chemicals</v>
      </c>
      <c r="O3" s="19" t="str">
        <f>INDEX('OECD Crosswalk'!$C$2:$C$90,MATCH('OECD Data IO Table - Total (USD'!O8,'OECD Crosswalk'!$A$2:$A$90,0),1)</f>
        <v>other industries</v>
      </c>
      <c r="P3" s="19" t="str">
        <f>INDEX('OECD Crosswalk'!$C$2:$C$90,MATCH('OECD Data IO Table - Total (USD'!P8,'OECD Crosswalk'!$A$2:$A$90,0),1)</f>
        <v>Cement and other carbonate use</v>
      </c>
      <c r="Q3" s="19" t="str">
        <f>INDEX('OECD Crosswalk'!$C$2:$C$90,MATCH('OECD Data IO Table - Total (USD'!Q8,'OECD Crosswalk'!$A$2:$A$90,0),1)</f>
        <v>iron and steel</v>
      </c>
      <c r="R3" s="19" t="str">
        <f>INDEX('OECD Crosswalk'!$C$2:$C$90,MATCH('OECD Data IO Table - Total (USD'!R8,'OECD Crosswalk'!$A$2:$A$90,0),1)</f>
        <v>other industries</v>
      </c>
      <c r="S3" s="19" t="str">
        <f>INDEX('OECD Crosswalk'!$C$2:$C$90,MATCH('OECD Data IO Table - Total (USD'!S8,'OECD Crosswalk'!$A$2:$A$90,0),1)</f>
        <v>other industries</v>
      </c>
      <c r="T3" s="19" t="str">
        <f>INDEX('OECD Crosswalk'!$C$2:$C$90,MATCH('OECD Data IO Table - Total (USD'!T8,'OECD Crosswalk'!$A$2:$A$90,0),1)</f>
        <v>other industries</v>
      </c>
      <c r="U3" s="19" t="str">
        <f>INDEX('OECD Crosswalk'!$C$2:$C$90,MATCH('OECD Data IO Table - Total (USD'!U8,'OECD Crosswalk'!$A$2:$A$90,0),1)</f>
        <v>other industries</v>
      </c>
      <c r="V3" s="19" t="str">
        <f>INDEX('OECD Crosswalk'!$C$2:$C$90,MATCH('OECD Data IO Table - Total (USD'!V8,'OECD Crosswalk'!$A$2:$A$90,0),1)</f>
        <v>other industries</v>
      </c>
      <c r="W3" s="19" t="str">
        <f>INDEX('OECD Crosswalk'!$C$2:$C$90,MATCH('OECD Data IO Table - Total (USD'!W8,'OECD Crosswalk'!$A$2:$A$90,0),1)</f>
        <v>other industries</v>
      </c>
      <c r="X3" s="19" t="str">
        <f>INDEX('OECD Crosswalk'!$C$2:$C$90,MATCH('OECD Data IO Table - Total (USD'!X8,'OECD Crosswalk'!$A$2:$A$90,0),1)</f>
        <v>other industries</v>
      </c>
      <c r="Y3" s="19" t="str">
        <f>INDEX('OECD Crosswalk'!$C$2:$C$90,MATCH('OECD Data IO Table - Total (USD'!Y8,'OECD Crosswalk'!$A$2:$A$90,0),1)</f>
        <v>energy suppliers</v>
      </c>
      <c r="Z3" s="19">
        <f>INDEX('OECD Crosswalk'!$C$2:$C$90,MATCH('OECD Data IO Table - Total (USD'!Z8,'OECD Crosswalk'!$A$2:$A$90,0),1)</f>
        <v>0</v>
      </c>
      <c r="AA3" s="19">
        <f>INDEX('OECD Crosswalk'!$C$2:$C$90,MATCH('OECD Data IO Table - Total (USD'!AA8,'OECD Crosswalk'!$A$2:$A$90,0),1)</f>
        <v>0</v>
      </c>
      <c r="AB3" s="19">
        <f>INDEX('OECD Crosswalk'!$C$2:$C$90,MATCH('OECD Data IO Table - Total (USD'!AB8,'OECD Crosswalk'!$A$2:$A$90,0),1)</f>
        <v>0</v>
      </c>
      <c r="AC3" s="19">
        <f>INDEX('OECD Crosswalk'!$C$2:$C$90,MATCH('OECD Data IO Table - Total (USD'!AC8,'OECD Crosswalk'!$A$2:$A$90,0),1)</f>
        <v>0</v>
      </c>
      <c r="AD3" s="19">
        <f>INDEX('OECD Crosswalk'!$C$2:$C$90,MATCH('OECD Data IO Table - Total (USD'!AD8,'OECD Crosswalk'!$A$2:$A$90,0),1)</f>
        <v>0</v>
      </c>
      <c r="AE3" s="19">
        <f>INDEX('OECD Crosswalk'!$C$2:$C$90,MATCH('OECD Data IO Table - Total (USD'!AE8,'OECD Crosswalk'!$A$2:$A$90,0),1)</f>
        <v>0</v>
      </c>
      <c r="AF3" s="19">
        <f>INDEX('OECD Crosswalk'!$C$2:$C$90,MATCH('OECD Data IO Table - Total (USD'!AF8,'OECD Crosswalk'!$A$2:$A$90,0),1)</f>
        <v>0</v>
      </c>
      <c r="AG3" s="19">
        <f>INDEX('OECD Crosswalk'!$C$2:$C$90,MATCH('OECD Data IO Table - Total (USD'!AG8,'OECD Crosswalk'!$A$2:$A$90,0),1)</f>
        <v>0</v>
      </c>
      <c r="AH3" s="19">
        <f>INDEX('OECD Crosswalk'!$C$2:$C$90,MATCH('OECD Data IO Table - Total (USD'!AH8,'OECD Crosswalk'!$A$2:$A$90,0),1)</f>
        <v>0</v>
      </c>
      <c r="AI3" s="19">
        <f>INDEX('OECD Crosswalk'!$C$2:$C$90,MATCH('OECD Data IO Table - Total (USD'!AI8,'OECD Crosswalk'!$A$2:$A$90,0),1)</f>
        <v>0</v>
      </c>
      <c r="AJ3" s="19">
        <f>INDEX('OECD Crosswalk'!$C$2:$C$90,MATCH('OECD Data IO Table - Total (USD'!AJ8,'OECD Crosswalk'!$A$2:$A$90,0),1)</f>
        <v>0</v>
      </c>
      <c r="AK3" s="19">
        <f>INDEX('OECD Crosswalk'!$C$2:$C$90,MATCH('OECD Data IO Table - Total (USD'!AK8,'OECD Crosswalk'!$A$2:$A$90,0),1)</f>
        <v>0</v>
      </c>
      <c r="AL3" s="19">
        <f>INDEX('OECD Crosswalk'!$C$2:$C$90,MATCH('OECD Data IO Table - Total (USD'!AL8,'OECD Crosswalk'!$A$2:$A$90,0),1)</f>
        <v>0</v>
      </c>
      <c r="AM3" s="19">
        <f>INDEX('OECD Crosswalk'!$C$2:$C$90,MATCH('OECD Data IO Table - Total (USD'!AM8,'OECD Crosswalk'!$A$2:$A$90,0),1)</f>
        <v>0</v>
      </c>
      <c r="AN3" s="19">
        <f>INDEX('OECD Crosswalk'!$C$2:$C$90,MATCH('OECD Data IO Table - Total (USD'!AN8,'OECD Crosswalk'!$A$2:$A$90,0),1)</f>
        <v>0</v>
      </c>
      <c r="AO3" s="19">
        <f>INDEX('OECD Crosswalk'!$C$2:$C$90,MATCH('OECD Data IO Table - Total (USD'!AO8,'OECD Crosswalk'!$A$2:$A$90,0),1)</f>
        <v>0</v>
      </c>
      <c r="AP3" s="19">
        <f>INDEX('OECD Crosswalk'!$C$2:$C$90,MATCH('OECD Data IO Table - Total (USD'!AP8,'OECD Crosswalk'!$A$2:$A$90,0),1)</f>
        <v>0</v>
      </c>
      <c r="AQ3" s="19">
        <f>INDEX('OECD Crosswalk'!$C$2:$C$90,MATCH('OECD Data IO Table - Total (USD'!AQ8,'OECD Crosswalk'!$A$2:$A$90,0),1)</f>
        <v>0</v>
      </c>
      <c r="AR3" s="19">
        <f>INDEX('OECD Crosswalk'!$C$2:$C$90,MATCH('OECD Data IO Table - Total (USD'!AR8,'OECD Crosswalk'!$A$2:$A$90,0),1)</f>
        <v>0</v>
      </c>
      <c r="AS3" s="19">
        <f>INDEX('OECD Crosswalk'!$C$2:$C$90,MATCH('OECD Data IO Table - Total (USD'!AS8,'OECD Crosswalk'!$A$2:$A$90,0),1)</f>
        <v>0</v>
      </c>
      <c r="AT3" s="19">
        <f>INDEX('OECD Crosswalk'!$C$2:$C$90,MATCH('OECD Data IO Table - Total (USD'!AT8,'OECD Crosswalk'!$A$2:$A$90,0),1)</f>
        <v>0</v>
      </c>
    </row>
    <row r="4" spans="1:47" x14ac:dyDescent="0.2">
      <c r="A4" s="29" t="s">
        <v>198</v>
      </c>
      <c r="B4" s="61" t="s">
        <v>199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3"/>
    </row>
    <row r="5" spans="1:47" x14ac:dyDescent="0.2">
      <c r="A5" s="29" t="s">
        <v>200</v>
      </c>
      <c r="B5" s="64" t="s">
        <v>201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6"/>
    </row>
    <row r="6" spans="1:47" x14ac:dyDescent="0.2">
      <c r="A6" s="29" t="s">
        <v>202</v>
      </c>
      <c r="B6" s="67">
        <v>2021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9"/>
    </row>
    <row r="7" spans="1:47" x14ac:dyDescent="0.2">
      <c r="A7" s="29" t="s">
        <v>203</v>
      </c>
      <c r="B7" s="64" t="s">
        <v>322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6"/>
    </row>
    <row r="8" spans="1:47" ht="96" x14ac:dyDescent="0.2">
      <c r="A8" s="30" t="s">
        <v>205</v>
      </c>
      <c r="B8" s="12" t="s">
        <v>143</v>
      </c>
      <c r="C8" s="12" t="s">
        <v>144</v>
      </c>
      <c r="D8" s="12" t="s">
        <v>145</v>
      </c>
      <c r="E8" s="12" t="s">
        <v>146</v>
      </c>
      <c r="F8" s="12" t="s">
        <v>147</v>
      </c>
      <c r="G8" s="12" t="s">
        <v>148</v>
      </c>
      <c r="H8" s="12" t="s">
        <v>149</v>
      </c>
      <c r="I8" s="12" t="s">
        <v>150</v>
      </c>
      <c r="J8" s="12" t="s">
        <v>151</v>
      </c>
      <c r="K8" s="12" t="s">
        <v>152</v>
      </c>
      <c r="L8" s="12" t="s">
        <v>153</v>
      </c>
      <c r="M8" s="12" t="s">
        <v>154</v>
      </c>
      <c r="N8" s="12" t="s">
        <v>155</v>
      </c>
      <c r="O8" s="12" t="s">
        <v>156</v>
      </c>
      <c r="P8" s="12" t="s">
        <v>157</v>
      </c>
      <c r="Q8" s="12" t="s">
        <v>158</v>
      </c>
      <c r="R8" s="12" t="s">
        <v>159</v>
      </c>
      <c r="S8" s="12" t="s">
        <v>160</v>
      </c>
      <c r="T8" s="12" t="s">
        <v>161</v>
      </c>
      <c r="U8" s="12" t="s">
        <v>162</v>
      </c>
      <c r="V8" s="12" t="s">
        <v>163</v>
      </c>
      <c r="W8" s="12" t="s">
        <v>164</v>
      </c>
      <c r="X8" s="12" t="s">
        <v>165</v>
      </c>
      <c r="Y8" s="12" t="s">
        <v>166</v>
      </c>
      <c r="Z8" s="38" t="s">
        <v>167</v>
      </c>
      <c r="AA8" s="12" t="s">
        <v>168</v>
      </c>
      <c r="AB8" s="12" t="s">
        <v>169</v>
      </c>
      <c r="AC8" s="12" t="s">
        <v>170</v>
      </c>
      <c r="AD8" s="12" t="s">
        <v>171</v>
      </c>
      <c r="AE8" s="12" t="s">
        <v>172</v>
      </c>
      <c r="AF8" s="12" t="s">
        <v>173</v>
      </c>
      <c r="AG8" s="12" t="s">
        <v>174</v>
      </c>
      <c r="AH8" s="12" t="s">
        <v>175</v>
      </c>
      <c r="AI8" s="12" t="s">
        <v>176</v>
      </c>
      <c r="AJ8" s="12" t="s">
        <v>177</v>
      </c>
      <c r="AK8" s="12" t="s">
        <v>178</v>
      </c>
      <c r="AL8" s="38" t="s">
        <v>179</v>
      </c>
      <c r="AM8" s="12" t="s">
        <v>180</v>
      </c>
      <c r="AN8" s="12" t="s">
        <v>181</v>
      </c>
      <c r="AO8" s="12" t="s">
        <v>182</v>
      </c>
      <c r="AP8" s="12" t="s">
        <v>184</v>
      </c>
      <c r="AQ8" s="12" t="s">
        <v>186</v>
      </c>
      <c r="AR8" s="12" t="s">
        <v>188</v>
      </c>
      <c r="AS8" s="12" t="s">
        <v>189</v>
      </c>
      <c r="AT8" s="12" t="s">
        <v>190</v>
      </c>
      <c r="AU8" s="27" t="s">
        <v>206</v>
      </c>
    </row>
    <row r="9" spans="1:47" ht="37" x14ac:dyDescent="0.2">
      <c r="A9" s="13" t="s">
        <v>207</v>
      </c>
      <c r="B9" s="14" t="s">
        <v>208</v>
      </c>
      <c r="C9" s="14" t="s">
        <v>208</v>
      </c>
      <c r="D9" s="14" t="s">
        <v>208</v>
      </c>
      <c r="E9" s="14" t="s">
        <v>208</v>
      </c>
      <c r="F9" s="14" t="s">
        <v>208</v>
      </c>
      <c r="G9" s="14" t="s">
        <v>208</v>
      </c>
      <c r="H9" s="14" t="s">
        <v>208</v>
      </c>
      <c r="I9" s="14"/>
      <c r="J9" s="14" t="s">
        <v>208</v>
      </c>
      <c r="K9" s="14" t="s">
        <v>208</v>
      </c>
      <c r="L9" s="14" t="s">
        <v>208</v>
      </c>
      <c r="M9" s="14" t="s">
        <v>208</v>
      </c>
      <c r="N9" s="14" t="s">
        <v>208</v>
      </c>
      <c r="O9" s="14" t="s">
        <v>208</v>
      </c>
      <c r="P9" s="14" t="s">
        <v>208</v>
      </c>
      <c r="Q9" s="14" t="s">
        <v>208</v>
      </c>
      <c r="R9" s="14" t="s">
        <v>208</v>
      </c>
      <c r="S9" s="14" t="s">
        <v>208</v>
      </c>
      <c r="T9" s="14" t="s">
        <v>208</v>
      </c>
      <c r="U9" s="14" t="s">
        <v>208</v>
      </c>
      <c r="V9" s="14" t="s">
        <v>208</v>
      </c>
      <c r="W9" s="14" t="s">
        <v>208</v>
      </c>
      <c r="X9" s="14" t="s">
        <v>208</v>
      </c>
      <c r="Y9" s="14" t="s">
        <v>208</v>
      </c>
      <c r="Z9" s="39" t="s">
        <v>208</v>
      </c>
      <c r="AA9" s="14" t="s">
        <v>208</v>
      </c>
      <c r="AB9" s="14" t="s">
        <v>208</v>
      </c>
      <c r="AC9" s="14" t="s">
        <v>208</v>
      </c>
      <c r="AD9" s="14" t="s">
        <v>208</v>
      </c>
      <c r="AE9" s="14" t="s">
        <v>208</v>
      </c>
      <c r="AF9" s="14" t="s">
        <v>208</v>
      </c>
      <c r="AG9" s="14" t="s">
        <v>208</v>
      </c>
      <c r="AH9" s="14" t="s">
        <v>208</v>
      </c>
      <c r="AI9" s="14" t="s">
        <v>208</v>
      </c>
      <c r="AJ9" s="14" t="s">
        <v>208</v>
      </c>
      <c r="AK9" s="14" t="s">
        <v>208</v>
      </c>
      <c r="AL9" s="39" t="s">
        <v>208</v>
      </c>
      <c r="AM9" s="14" t="s">
        <v>208</v>
      </c>
      <c r="AN9" s="14" t="s">
        <v>208</v>
      </c>
      <c r="AO9" s="37" t="s">
        <v>208</v>
      </c>
      <c r="AP9" s="14" t="s">
        <v>208</v>
      </c>
      <c r="AQ9" s="14" t="s">
        <v>208</v>
      </c>
      <c r="AR9" s="14" t="s">
        <v>208</v>
      </c>
      <c r="AS9" s="14" t="s">
        <v>208</v>
      </c>
      <c r="AT9" s="14" t="s">
        <v>208</v>
      </c>
    </row>
    <row r="10" spans="1:47" ht="48" x14ac:dyDescent="0.2">
      <c r="A10" s="15" t="s">
        <v>78</v>
      </c>
      <c r="B10" s="34">
        <f>0.9+0.1+0.1</f>
        <v>1.1000000000000001</v>
      </c>
      <c r="C10" s="42">
        <v>0</v>
      </c>
      <c r="D10" s="42">
        <v>0</v>
      </c>
      <c r="E10" s="42">
        <v>1.2333592481749999E-3</v>
      </c>
      <c r="F10" s="34">
        <f>154.9+4.4</f>
        <v>159.30000000000001</v>
      </c>
      <c r="G10" s="34">
        <f>1.6+0.2</f>
        <v>1.8</v>
      </c>
      <c r="H10" s="34">
        <f>0.5+0.1</f>
        <v>0.6</v>
      </c>
      <c r="I10" s="34">
        <f>2.5+0.6</f>
        <v>3.1</v>
      </c>
      <c r="J10" s="33">
        <v>0</v>
      </c>
      <c r="K10" s="34">
        <f>0.3+0.2</f>
        <v>0.5</v>
      </c>
      <c r="L10" s="33">
        <v>0</v>
      </c>
      <c r="M10" s="42">
        <v>0.1</v>
      </c>
      <c r="N10" s="34">
        <v>0.4</v>
      </c>
      <c r="O10" s="44">
        <v>0</v>
      </c>
      <c r="P10" s="34">
        <v>0.1</v>
      </c>
      <c r="Q10" s="33">
        <v>0.1</v>
      </c>
      <c r="R10" s="34">
        <v>0.1</v>
      </c>
      <c r="S10" s="33">
        <v>0.1</v>
      </c>
      <c r="T10" s="42">
        <v>1.6348852007582799E-5</v>
      </c>
      <c r="U10" s="34">
        <v>0</v>
      </c>
      <c r="V10" s="34">
        <f>43.7+16.7+5.3+2.2</f>
        <v>67.900000000000006</v>
      </c>
      <c r="W10" s="34">
        <f>7.9+1.3</f>
        <v>9.2000000000000011</v>
      </c>
      <c r="X10" s="34">
        <f>44.4+3.5</f>
        <v>47.9</v>
      </c>
      <c r="Y10" s="34">
        <f>34.6+141.9+255+6.8+4+4.4+37.6+62.6+1.3+1.1</f>
        <v>549.29999999999995</v>
      </c>
      <c r="Z10" s="34">
        <f>453.1+91.4</f>
        <v>544.5</v>
      </c>
      <c r="AA10" s="34">
        <f>3.6+1</f>
        <v>4.5999999999999996</v>
      </c>
      <c r="AB10" s="34">
        <f>8.3+1.8</f>
        <v>10.100000000000001</v>
      </c>
      <c r="AC10" s="34">
        <v>0.2</v>
      </c>
      <c r="AD10" s="34">
        <f>8.6+1.5</f>
        <v>10.1</v>
      </c>
      <c r="AE10" s="40">
        <f>2.9+0.4</f>
        <v>3.3</v>
      </c>
      <c r="AF10" s="34">
        <f>2+5.2+0.3+0.6</f>
        <v>8.1</v>
      </c>
      <c r="AG10" s="34">
        <f>7.1+0.7</f>
        <v>7.8</v>
      </c>
      <c r="AH10" s="34">
        <f>11.8+1.3</f>
        <v>13.100000000000001</v>
      </c>
      <c r="AI10" s="34">
        <f>19.4+1.6</f>
        <v>21</v>
      </c>
      <c r="AJ10" s="34">
        <f>13+2.4+19.7+3.5</f>
        <v>38.6</v>
      </c>
      <c r="AK10" s="34">
        <v>0</v>
      </c>
      <c r="AL10" s="34">
        <f>4367.1+711.7</f>
        <v>5078.8</v>
      </c>
      <c r="AM10" s="33">
        <v>0.1</v>
      </c>
      <c r="AN10" s="34">
        <v>0</v>
      </c>
      <c r="AO10" s="34">
        <f>3.2+0.3</f>
        <v>3.5</v>
      </c>
      <c r="AP10" s="33">
        <f>10.3+0.3</f>
        <v>10.600000000000001</v>
      </c>
      <c r="AQ10" s="33">
        <f>33.6+2.6</f>
        <v>36.200000000000003</v>
      </c>
      <c r="AR10" s="33">
        <f>1.1+2.5</f>
        <v>3.6</v>
      </c>
      <c r="AS10" s="33">
        <f>4.5+7.5</f>
        <v>12</v>
      </c>
      <c r="AT10" s="33">
        <f>-5242.7+-891.3</f>
        <v>-6134</v>
      </c>
      <c r="AU10" s="22">
        <f>SUM(B10:AN10)</f>
        <v>6581.9012497081003</v>
      </c>
    </row>
    <row r="11" spans="1:47" ht="72" x14ac:dyDescent="0.2">
      <c r="A11" s="15" t="s">
        <v>82</v>
      </c>
      <c r="B11" s="34">
        <f>15.7+1.5</f>
        <v>17.2</v>
      </c>
      <c r="C11" s="48">
        <v>0</v>
      </c>
      <c r="D11" s="48">
        <v>0</v>
      </c>
      <c r="E11" s="48">
        <v>169.3</v>
      </c>
      <c r="F11" s="48">
        <v>167.3</v>
      </c>
      <c r="G11" s="48">
        <v>136.5</v>
      </c>
      <c r="H11" s="48">
        <v>8.6999999999999993</v>
      </c>
      <c r="I11" s="48">
        <v>91.6</v>
      </c>
      <c r="J11" s="48">
        <v>18.100000000000001</v>
      </c>
      <c r="K11" s="34">
        <f>0.6+0.1</f>
        <v>0.7</v>
      </c>
      <c r="L11" s="33">
        <v>0</v>
      </c>
      <c r="M11" s="48">
        <v>1.4</v>
      </c>
      <c r="N11" s="48">
        <v>43.7</v>
      </c>
      <c r="O11" s="48">
        <v>2.2000000000000002</v>
      </c>
      <c r="P11" s="48">
        <v>4.0999999999999996</v>
      </c>
      <c r="Q11" s="48">
        <v>11.9</v>
      </c>
      <c r="R11" s="48">
        <v>8.1</v>
      </c>
      <c r="S11" s="48">
        <v>2.6</v>
      </c>
      <c r="T11" s="48">
        <v>1.7</v>
      </c>
      <c r="U11" s="48">
        <v>9.6999999999999993</v>
      </c>
      <c r="V11" s="34">
        <f>54.1+30.2</f>
        <v>84.3</v>
      </c>
      <c r="W11" s="48">
        <v>3.8</v>
      </c>
      <c r="X11" s="48">
        <v>22.3</v>
      </c>
      <c r="Y11" s="34">
        <f>129.4+1.9+39.4+1601.3+9.5</f>
        <v>1781.5</v>
      </c>
      <c r="Z11" s="48">
        <v>6</v>
      </c>
      <c r="AA11" s="48">
        <v>3.2</v>
      </c>
      <c r="AB11" s="48">
        <v>12.7</v>
      </c>
      <c r="AC11" s="48">
        <v>4.0999999999999996</v>
      </c>
      <c r="AD11" s="48">
        <v>44.4</v>
      </c>
      <c r="AE11" s="48">
        <v>11.6</v>
      </c>
      <c r="AF11" s="34">
        <f>27.1+84.5</f>
        <v>111.6</v>
      </c>
      <c r="AG11" s="48">
        <v>7.7</v>
      </c>
      <c r="AH11" s="48">
        <v>30.2</v>
      </c>
      <c r="AI11" s="48">
        <v>16.2</v>
      </c>
      <c r="AJ11" s="34">
        <f>14.1+22.3</f>
        <v>36.4</v>
      </c>
      <c r="AK11" s="34">
        <v>0</v>
      </c>
      <c r="AL11" s="48">
        <v>37.1</v>
      </c>
      <c r="AM11" s="48">
        <v>0.6</v>
      </c>
      <c r="AN11" s="48">
        <v>0</v>
      </c>
      <c r="AO11" s="48">
        <v>3.7</v>
      </c>
      <c r="AP11" s="48">
        <v>31.4</v>
      </c>
      <c r="AQ11" s="48">
        <v>0.4</v>
      </c>
      <c r="AR11" s="48">
        <v>0</v>
      </c>
      <c r="AS11" s="48">
        <v>0</v>
      </c>
      <c r="AT11" s="48">
        <v>-2952.4</v>
      </c>
      <c r="AU11" s="22">
        <f t="shared" ref="AU11:AU50" si="0">SUM(B11:AN11)</f>
        <v>2908.4999999999991</v>
      </c>
    </row>
    <row r="12" spans="1:47" ht="72" x14ac:dyDescent="0.2">
      <c r="A12" s="15" t="s">
        <v>87</v>
      </c>
      <c r="B12" s="34">
        <f>3.1+0.4</f>
        <v>3.5</v>
      </c>
      <c r="C12" s="48">
        <v>0</v>
      </c>
      <c r="D12" s="48">
        <v>0</v>
      </c>
      <c r="E12" s="48">
        <v>38.700000000000003</v>
      </c>
      <c r="F12" s="48">
        <v>20.2</v>
      </c>
      <c r="G12" s="49">
        <v>17.399999999999999</v>
      </c>
      <c r="H12" s="48">
        <v>1.3</v>
      </c>
      <c r="I12" s="48">
        <v>9.9</v>
      </c>
      <c r="J12" s="48">
        <v>0.5</v>
      </c>
      <c r="K12" s="34">
        <f>0.2+0.1</f>
        <v>0.30000000000000004</v>
      </c>
      <c r="L12" s="33">
        <v>0</v>
      </c>
      <c r="M12" s="48">
        <v>0.9</v>
      </c>
      <c r="N12" s="48">
        <v>10.1</v>
      </c>
      <c r="O12" s="48">
        <v>0.6</v>
      </c>
      <c r="P12" s="48">
        <v>0.7</v>
      </c>
      <c r="Q12" s="48">
        <v>2.4</v>
      </c>
      <c r="R12" s="48">
        <v>1.6</v>
      </c>
      <c r="S12" s="48">
        <v>0.4</v>
      </c>
      <c r="T12" s="48">
        <v>0.3</v>
      </c>
      <c r="U12" s="48">
        <v>1.7</v>
      </c>
      <c r="V12" s="34">
        <f>4.2+4</f>
        <v>8.1999999999999993</v>
      </c>
      <c r="W12" s="48">
        <v>2.1</v>
      </c>
      <c r="X12" s="48">
        <v>3.7</v>
      </c>
      <c r="Y12" s="34">
        <f>18.8+0.2+4.8+288.2+0.9</f>
        <v>312.89999999999998</v>
      </c>
      <c r="Z12" s="48">
        <v>0.8</v>
      </c>
      <c r="AA12" s="48">
        <v>800.1</v>
      </c>
      <c r="AB12" s="48">
        <v>1.6</v>
      </c>
      <c r="AC12" s="48">
        <v>0.5</v>
      </c>
      <c r="AD12" s="48">
        <v>4.7</v>
      </c>
      <c r="AE12" s="48">
        <v>1.8</v>
      </c>
      <c r="AF12" s="34">
        <f>5.7+10.8</f>
        <v>16.5</v>
      </c>
      <c r="AG12" s="48">
        <v>1.3</v>
      </c>
      <c r="AH12" s="48">
        <v>3.1</v>
      </c>
      <c r="AI12" s="48">
        <v>1.7</v>
      </c>
      <c r="AJ12" s="34">
        <f>1.9+3</f>
        <v>4.9000000000000004</v>
      </c>
      <c r="AK12" s="34">
        <v>0</v>
      </c>
      <c r="AL12" s="48">
        <v>6.1</v>
      </c>
      <c r="AM12" s="48">
        <v>0</v>
      </c>
      <c r="AN12" s="48">
        <v>0</v>
      </c>
      <c r="AO12" s="48">
        <v>1</v>
      </c>
      <c r="AP12" s="48">
        <v>1.1000000000000001</v>
      </c>
      <c r="AQ12" s="48">
        <v>0.4</v>
      </c>
      <c r="AR12" s="48">
        <v>0</v>
      </c>
      <c r="AS12" s="48">
        <v>0</v>
      </c>
      <c r="AT12" s="48">
        <v>-481.4</v>
      </c>
      <c r="AU12" s="22">
        <f t="shared" si="0"/>
        <v>1280.4999999999998</v>
      </c>
    </row>
    <row r="13" spans="1:47" ht="60" x14ac:dyDescent="0.2">
      <c r="A13" s="15" t="s">
        <v>90</v>
      </c>
      <c r="B13" s="34">
        <f>61.5+20.9</f>
        <v>82.4</v>
      </c>
      <c r="C13" s="48">
        <v>0</v>
      </c>
      <c r="D13" s="48">
        <v>0</v>
      </c>
      <c r="E13" s="48">
        <v>6150</v>
      </c>
      <c r="F13" s="48">
        <v>152.1</v>
      </c>
      <c r="G13" s="49">
        <v>30.3</v>
      </c>
      <c r="H13" s="48">
        <v>37.1</v>
      </c>
      <c r="I13" s="48">
        <v>141.9</v>
      </c>
      <c r="J13" s="48">
        <v>2.4</v>
      </c>
      <c r="K13" s="34">
        <f>0.5</f>
        <v>0.5</v>
      </c>
      <c r="L13" s="33">
        <v>0</v>
      </c>
      <c r="M13" s="48">
        <v>1.1000000000000001</v>
      </c>
      <c r="N13" s="48">
        <v>131.80000000000001</v>
      </c>
      <c r="O13" s="48">
        <v>6.1</v>
      </c>
      <c r="P13" s="48">
        <v>2</v>
      </c>
      <c r="Q13" s="48">
        <v>5.3</v>
      </c>
      <c r="R13" s="48">
        <v>22.1</v>
      </c>
      <c r="S13" s="48">
        <v>2</v>
      </c>
      <c r="T13" s="48">
        <v>1.1000000000000001</v>
      </c>
      <c r="U13" s="48">
        <v>0.2</v>
      </c>
      <c r="V13" s="34">
        <f>52.3+30.2</f>
        <v>82.5</v>
      </c>
      <c r="W13" s="48">
        <v>10.6</v>
      </c>
      <c r="X13" s="48">
        <v>26.6</v>
      </c>
      <c r="Y13" s="34">
        <f>317.8+2.7+174+48.2+55.1</f>
        <v>597.80000000000007</v>
      </c>
      <c r="Z13" s="48">
        <v>3.5</v>
      </c>
      <c r="AA13" s="48">
        <v>3.2</v>
      </c>
      <c r="AB13" s="48">
        <v>0</v>
      </c>
      <c r="AC13" s="48">
        <v>1.6</v>
      </c>
      <c r="AD13" s="48">
        <v>190.1</v>
      </c>
      <c r="AE13" s="48">
        <v>50.8</v>
      </c>
      <c r="AF13" s="34">
        <f>120.1+41.2</f>
        <v>161.30000000000001</v>
      </c>
      <c r="AG13" s="48">
        <v>20.2</v>
      </c>
      <c r="AH13" s="48">
        <v>83.8</v>
      </c>
      <c r="AI13" s="48">
        <v>0.6</v>
      </c>
      <c r="AJ13" s="34">
        <f>6.4+18</f>
        <v>24.4</v>
      </c>
      <c r="AK13" s="34">
        <v>0</v>
      </c>
      <c r="AL13" s="48">
        <v>6.2</v>
      </c>
      <c r="AM13" s="48">
        <v>0</v>
      </c>
      <c r="AN13" s="48">
        <v>0</v>
      </c>
      <c r="AO13" s="48">
        <v>1.2</v>
      </c>
      <c r="AP13" s="48">
        <v>1.1000000000000001</v>
      </c>
      <c r="AQ13" s="48">
        <v>0.1</v>
      </c>
      <c r="AR13" s="48">
        <v>0</v>
      </c>
      <c r="AS13" s="48">
        <v>73.2</v>
      </c>
      <c r="AT13" s="48">
        <v>-14.6</v>
      </c>
      <c r="AU13" s="22">
        <f t="shared" si="0"/>
        <v>8031.6000000000031</v>
      </c>
    </row>
    <row r="14" spans="1:47" ht="60" x14ac:dyDescent="0.2">
      <c r="A14" s="15" t="s">
        <v>93</v>
      </c>
      <c r="B14" s="34">
        <f>11.3+0.9</f>
        <v>12.200000000000001</v>
      </c>
      <c r="C14" s="48">
        <v>0</v>
      </c>
      <c r="D14" s="48">
        <v>0</v>
      </c>
      <c r="E14" s="48">
        <v>0.1</v>
      </c>
      <c r="F14" s="48">
        <v>539.20000000000005</v>
      </c>
      <c r="G14" s="49">
        <v>78.2</v>
      </c>
      <c r="H14" s="48">
        <v>53.8</v>
      </c>
      <c r="I14" s="48">
        <v>396.1</v>
      </c>
      <c r="J14" s="48">
        <v>2.8</v>
      </c>
      <c r="K14" s="34">
        <f>19.7+10.5</f>
        <v>30.2</v>
      </c>
      <c r="L14" s="33">
        <v>0</v>
      </c>
      <c r="M14" s="48">
        <v>3.2</v>
      </c>
      <c r="N14" s="48">
        <v>20.7</v>
      </c>
      <c r="O14" s="48">
        <v>1.7</v>
      </c>
      <c r="P14" s="48">
        <v>2.8</v>
      </c>
      <c r="Q14" s="48">
        <v>4.8</v>
      </c>
      <c r="R14" s="48">
        <v>3.2</v>
      </c>
      <c r="S14" s="48">
        <v>1.5</v>
      </c>
      <c r="T14" s="48">
        <v>0.6</v>
      </c>
      <c r="U14" s="48">
        <v>0.5</v>
      </c>
      <c r="V14" s="34">
        <f>255.9+134.1</f>
        <v>390</v>
      </c>
      <c r="W14" s="48">
        <v>848.3</v>
      </c>
      <c r="X14" s="48">
        <v>801</v>
      </c>
      <c r="Y14" s="34">
        <f>295.2+974+907.2+327.5+153.3</f>
        <v>2657.2000000000003</v>
      </c>
      <c r="Z14" s="48">
        <v>1390.5</v>
      </c>
      <c r="AA14" s="48">
        <v>800.1</v>
      </c>
      <c r="AB14" s="48">
        <v>197.8</v>
      </c>
      <c r="AC14" s="48">
        <v>9.6999999999999993</v>
      </c>
      <c r="AD14" s="48">
        <v>595.1</v>
      </c>
      <c r="AE14" s="48">
        <v>216.6</v>
      </c>
      <c r="AF14" s="34">
        <f>66.2+113.4</f>
        <v>179.60000000000002</v>
      </c>
      <c r="AG14" s="48">
        <v>75.2</v>
      </c>
      <c r="AH14" s="48">
        <v>93.8</v>
      </c>
      <c r="AI14" s="48">
        <v>418.3</v>
      </c>
      <c r="AJ14" s="34">
        <f>106.5+249.3</f>
        <v>355.8</v>
      </c>
      <c r="AK14" s="34">
        <v>0</v>
      </c>
      <c r="AL14" s="48">
        <v>11837.5</v>
      </c>
      <c r="AM14" s="48">
        <v>0</v>
      </c>
      <c r="AN14" s="48">
        <v>0</v>
      </c>
      <c r="AO14" s="48">
        <v>244.1</v>
      </c>
      <c r="AP14" s="48">
        <v>3599.6</v>
      </c>
      <c r="AQ14" s="48">
        <v>148.6</v>
      </c>
      <c r="AR14" s="48">
        <v>219.5</v>
      </c>
      <c r="AS14" s="48">
        <v>380.6</v>
      </c>
      <c r="AT14" s="48">
        <v>-17148.7</v>
      </c>
      <c r="AU14" s="22">
        <f t="shared" si="0"/>
        <v>22018.1</v>
      </c>
    </row>
    <row r="15" spans="1:47" ht="84" x14ac:dyDescent="0.2">
      <c r="A15" s="15" t="s">
        <v>96</v>
      </c>
      <c r="B15" s="34">
        <f>0.5+0.1</f>
        <v>0.6</v>
      </c>
      <c r="C15" s="48">
        <v>0</v>
      </c>
      <c r="D15" s="48">
        <v>0</v>
      </c>
      <c r="E15" s="48">
        <v>0.2</v>
      </c>
      <c r="F15" s="48">
        <v>22.7</v>
      </c>
      <c r="G15" s="49">
        <v>642.5</v>
      </c>
      <c r="H15" s="48">
        <v>2.8</v>
      </c>
      <c r="I15" s="48">
        <v>30.9</v>
      </c>
      <c r="J15" s="48">
        <v>0.1</v>
      </c>
      <c r="K15" s="34">
        <f>0.7+0.3</f>
        <v>1</v>
      </c>
      <c r="L15" s="33">
        <v>0</v>
      </c>
      <c r="M15" s="48">
        <v>0.6</v>
      </c>
      <c r="N15" s="48">
        <v>2.5</v>
      </c>
      <c r="O15" s="48">
        <v>0.3</v>
      </c>
      <c r="P15" s="48">
        <v>0.3</v>
      </c>
      <c r="Q15" s="48">
        <v>0.6</v>
      </c>
      <c r="R15" s="48">
        <v>0.4</v>
      </c>
      <c r="S15" s="48">
        <v>0.8</v>
      </c>
      <c r="T15" s="48">
        <v>0.2</v>
      </c>
      <c r="U15" s="48">
        <v>0.7</v>
      </c>
      <c r="V15" s="34">
        <f>13.3+21</f>
        <v>34.299999999999997</v>
      </c>
      <c r="W15" s="48">
        <v>15.2</v>
      </c>
      <c r="X15" s="48">
        <v>320.39999999999998</v>
      </c>
      <c r="Y15" s="34">
        <f>129+151.7+110.9+152.1+80.8</f>
        <v>624.5</v>
      </c>
      <c r="Z15" s="48">
        <v>11.8</v>
      </c>
      <c r="AA15" s="48">
        <v>3.2</v>
      </c>
      <c r="AB15" s="48">
        <v>86.1</v>
      </c>
      <c r="AC15" s="48">
        <v>3.9</v>
      </c>
      <c r="AD15" s="48">
        <v>312.3</v>
      </c>
      <c r="AE15" s="48">
        <v>117.6</v>
      </c>
      <c r="AF15" s="34">
        <f>28.7+60.6</f>
        <v>89.3</v>
      </c>
      <c r="AG15" s="48">
        <v>35.200000000000003</v>
      </c>
      <c r="AH15" s="48">
        <v>23.1</v>
      </c>
      <c r="AI15" s="48">
        <v>32.299999999999997</v>
      </c>
      <c r="AJ15" s="34">
        <f>20+106.4</f>
        <v>126.4</v>
      </c>
      <c r="AK15" s="34">
        <v>0</v>
      </c>
      <c r="AL15" s="48">
        <v>9666.4</v>
      </c>
      <c r="AM15" s="48">
        <v>0</v>
      </c>
      <c r="AN15" s="48">
        <v>0</v>
      </c>
      <c r="AO15" s="48">
        <v>62.4</v>
      </c>
      <c r="AP15" s="48">
        <v>1918.5</v>
      </c>
      <c r="AQ15" s="48">
        <v>94</v>
      </c>
      <c r="AR15" s="48">
        <v>19.7</v>
      </c>
      <c r="AS15" s="48">
        <v>389.1</v>
      </c>
      <c r="AT15" s="48">
        <v>-11723.4</v>
      </c>
      <c r="AU15" s="22">
        <f t="shared" si="0"/>
        <v>12209.2</v>
      </c>
    </row>
    <row r="16" spans="1:47" ht="72" x14ac:dyDescent="0.2">
      <c r="A16" s="15" t="s">
        <v>98</v>
      </c>
      <c r="B16" s="34">
        <f>2+0.1</f>
        <v>2.1</v>
      </c>
      <c r="C16" s="48">
        <v>0</v>
      </c>
      <c r="D16" s="48">
        <v>0</v>
      </c>
      <c r="E16" s="48">
        <v>0.1</v>
      </c>
      <c r="F16" s="48">
        <v>25.5</v>
      </c>
      <c r="G16" s="49">
        <v>0.2</v>
      </c>
      <c r="H16" s="48">
        <v>0</v>
      </c>
      <c r="I16" s="48">
        <v>0.2</v>
      </c>
      <c r="J16" s="48">
        <v>0</v>
      </c>
      <c r="K16" s="34">
        <v>0.1</v>
      </c>
      <c r="L16" s="33">
        <v>0</v>
      </c>
      <c r="M16" s="48">
        <v>0.1</v>
      </c>
      <c r="N16" s="48">
        <v>0.9</v>
      </c>
      <c r="O16" s="48">
        <v>0.1</v>
      </c>
      <c r="P16" s="48">
        <v>0.1</v>
      </c>
      <c r="Q16" s="48">
        <v>0.2</v>
      </c>
      <c r="R16" s="48">
        <v>0.1</v>
      </c>
      <c r="S16" s="48">
        <v>0.2</v>
      </c>
      <c r="T16" s="48">
        <v>0.1</v>
      </c>
      <c r="U16" s="48">
        <v>0.1</v>
      </c>
      <c r="V16" s="34">
        <f>1.8+1.9</f>
        <v>3.7</v>
      </c>
      <c r="W16" s="48">
        <v>113.8</v>
      </c>
      <c r="X16" s="48">
        <v>12.2</v>
      </c>
      <c r="Y16" s="34">
        <f>19.9+83.6+12.7+34.4+3.1</f>
        <v>153.69999999999999</v>
      </c>
      <c r="Z16" s="48">
        <v>1.4</v>
      </c>
      <c r="AA16" s="48">
        <v>800.1</v>
      </c>
      <c r="AB16" s="48">
        <v>4.7</v>
      </c>
      <c r="AC16" s="48">
        <v>0</v>
      </c>
      <c r="AD16" s="48">
        <v>10.6</v>
      </c>
      <c r="AE16" s="48">
        <v>3.1</v>
      </c>
      <c r="AF16" s="34">
        <f>0.9+1.2</f>
        <v>2.1</v>
      </c>
      <c r="AG16" s="48">
        <v>1.1000000000000001</v>
      </c>
      <c r="AH16" s="48">
        <v>1.3</v>
      </c>
      <c r="AI16" s="48">
        <v>28.4</v>
      </c>
      <c r="AJ16" s="34">
        <f>2.3+3.6</f>
        <v>5.9</v>
      </c>
      <c r="AK16" s="34">
        <v>0</v>
      </c>
      <c r="AL16" s="48">
        <v>565.29999999999995</v>
      </c>
      <c r="AM16" s="48">
        <v>0</v>
      </c>
      <c r="AN16" s="48">
        <v>0</v>
      </c>
      <c r="AO16" s="48">
        <v>66.400000000000006</v>
      </c>
      <c r="AP16" s="48">
        <v>334.4</v>
      </c>
      <c r="AQ16" s="48">
        <v>6.2</v>
      </c>
      <c r="AR16" s="48">
        <v>0.2</v>
      </c>
      <c r="AS16" s="48">
        <v>26</v>
      </c>
      <c r="AT16" s="48">
        <v>-626.1</v>
      </c>
      <c r="AU16" s="22">
        <f t="shared" si="0"/>
        <v>1737.4999999999998</v>
      </c>
    </row>
    <row r="17" spans="1:47" ht="48" x14ac:dyDescent="0.2">
      <c r="A17" s="15" t="s">
        <v>101</v>
      </c>
      <c r="B17" s="34">
        <f>9.6+1</f>
        <v>10.6</v>
      </c>
      <c r="C17" s="48">
        <v>0</v>
      </c>
      <c r="D17" s="48">
        <v>0</v>
      </c>
      <c r="E17" s="48">
        <v>0.1</v>
      </c>
      <c r="F17" s="48">
        <v>751.4</v>
      </c>
      <c r="G17" s="49">
        <v>175.7</v>
      </c>
      <c r="H17" s="48">
        <v>5.3</v>
      </c>
      <c r="I17" s="48">
        <v>796.5</v>
      </c>
      <c r="J17" s="48">
        <v>0.3</v>
      </c>
      <c r="K17" s="34">
        <f>3.2+2.7</f>
        <v>5.9</v>
      </c>
      <c r="L17" s="33">
        <v>0</v>
      </c>
      <c r="M17" s="48">
        <v>10</v>
      </c>
      <c r="N17" s="48">
        <v>6</v>
      </c>
      <c r="O17" s="48">
        <v>0.8</v>
      </c>
      <c r="P17" s="48">
        <v>4.5</v>
      </c>
      <c r="Q17" s="48">
        <v>10</v>
      </c>
      <c r="R17" s="48">
        <v>3.4</v>
      </c>
      <c r="S17" s="48">
        <v>1.3</v>
      </c>
      <c r="T17" s="48">
        <v>0.3</v>
      </c>
      <c r="U17" s="48">
        <v>3.3</v>
      </c>
      <c r="V17" s="34">
        <f>16.3+20.7</f>
        <v>37</v>
      </c>
      <c r="W17" s="48">
        <v>449.8</v>
      </c>
      <c r="X17" s="48">
        <v>427.7</v>
      </c>
      <c r="Y17" s="34">
        <f>117.7+176.3+82.9+171.8+54.5</f>
        <v>603.20000000000005</v>
      </c>
      <c r="Z17" s="48">
        <v>5.2</v>
      </c>
      <c r="AA17" s="48">
        <v>3.2</v>
      </c>
      <c r="AB17" s="48">
        <v>59.7</v>
      </c>
      <c r="AC17" s="48">
        <v>2.7</v>
      </c>
      <c r="AD17" s="48">
        <v>351.9</v>
      </c>
      <c r="AE17" s="48">
        <v>89.7</v>
      </c>
      <c r="AF17" s="34">
        <f>24.6+29.4</f>
        <v>54</v>
      </c>
      <c r="AG17" s="48">
        <v>16.399999999999999</v>
      </c>
      <c r="AH17" s="48">
        <v>39.5</v>
      </c>
      <c r="AI17" s="48">
        <v>334</v>
      </c>
      <c r="AJ17" s="34">
        <f>24+41.4</f>
        <v>65.400000000000006</v>
      </c>
      <c r="AK17" s="34">
        <v>0</v>
      </c>
      <c r="AL17" s="48">
        <v>1557.3</v>
      </c>
      <c r="AM17" s="48">
        <v>0</v>
      </c>
      <c r="AN17" s="48">
        <v>0</v>
      </c>
      <c r="AO17" s="48">
        <v>18.8</v>
      </c>
      <c r="AP17" s="48">
        <v>234</v>
      </c>
      <c r="AQ17" s="48">
        <v>17</v>
      </c>
      <c r="AR17" s="48">
        <v>74.7</v>
      </c>
      <c r="AS17" s="48">
        <v>124.2</v>
      </c>
      <c r="AT17" s="48">
        <v>-1724.9</v>
      </c>
      <c r="AU17" s="22">
        <f t="shared" si="0"/>
        <v>5882.0999999999985</v>
      </c>
    </row>
    <row r="18" spans="1:47" ht="48" x14ac:dyDescent="0.2">
      <c r="A18" s="15" t="s">
        <v>103</v>
      </c>
      <c r="B18" s="34">
        <f>1+0.1</f>
        <v>1.1000000000000001</v>
      </c>
      <c r="C18" s="48">
        <v>0</v>
      </c>
      <c r="D18" s="48">
        <v>0</v>
      </c>
      <c r="E18" s="48">
        <v>15.7</v>
      </c>
      <c r="F18" s="48">
        <v>11.7</v>
      </c>
      <c r="G18" s="49">
        <v>3.1</v>
      </c>
      <c r="H18" s="48">
        <v>2.1</v>
      </c>
      <c r="I18" s="48">
        <v>11.4</v>
      </c>
      <c r="J18" s="48">
        <v>74.900000000000006</v>
      </c>
      <c r="K18" s="34">
        <f>119.6+20.8</f>
        <v>140.4</v>
      </c>
      <c r="L18" s="33">
        <v>0</v>
      </c>
      <c r="M18" s="48">
        <v>52.8</v>
      </c>
      <c r="N18" s="48">
        <v>667.4</v>
      </c>
      <c r="O18" s="48">
        <v>48.7</v>
      </c>
      <c r="P18" s="48">
        <v>4.8</v>
      </c>
      <c r="Q18" s="48">
        <v>15.9</v>
      </c>
      <c r="R18" s="48">
        <v>9.3000000000000007</v>
      </c>
      <c r="S18" s="48">
        <v>10.4</v>
      </c>
      <c r="T18" s="48">
        <v>3.5</v>
      </c>
      <c r="U18" s="48">
        <v>6.1</v>
      </c>
      <c r="V18" s="34">
        <f>84.7+55.8</f>
        <v>140.5</v>
      </c>
      <c r="W18" s="48">
        <v>4</v>
      </c>
      <c r="X18" s="48">
        <v>4405.8</v>
      </c>
      <c r="Y18" s="34">
        <f>293.6+671.7+606.3+737.5+45.6</f>
        <v>2354.6999999999998</v>
      </c>
      <c r="Z18" s="48">
        <v>15</v>
      </c>
      <c r="AA18" s="48">
        <v>800.1</v>
      </c>
      <c r="AB18" s="48">
        <v>40.700000000000003</v>
      </c>
      <c r="AC18" s="48">
        <v>3.9</v>
      </c>
      <c r="AD18" s="48">
        <v>535</v>
      </c>
      <c r="AE18" s="48">
        <v>134.4</v>
      </c>
      <c r="AF18" s="34">
        <f>23.7+97.7</f>
        <v>121.4</v>
      </c>
      <c r="AG18" s="48">
        <v>253.3</v>
      </c>
      <c r="AH18" s="48">
        <v>116.1</v>
      </c>
      <c r="AI18" s="48">
        <v>20.100000000000001</v>
      </c>
      <c r="AJ18" s="34">
        <f>29.2+62.4</f>
        <v>91.6</v>
      </c>
      <c r="AK18" s="34">
        <v>0</v>
      </c>
      <c r="AL18" s="48">
        <v>3345.6</v>
      </c>
      <c r="AM18" s="48">
        <v>0</v>
      </c>
      <c r="AN18" s="48">
        <v>0</v>
      </c>
      <c r="AO18" s="48">
        <v>12.6</v>
      </c>
      <c r="AP18" s="48">
        <v>1096.5999999999999</v>
      </c>
      <c r="AQ18" s="48">
        <v>63.2</v>
      </c>
      <c r="AR18" s="48">
        <v>69</v>
      </c>
      <c r="AS18" s="48">
        <v>33.1</v>
      </c>
      <c r="AT18" s="48">
        <v>-13543.9</v>
      </c>
      <c r="AU18" s="22">
        <f t="shared" si="0"/>
        <v>13461.5</v>
      </c>
    </row>
    <row r="19" spans="1:47" ht="60" x14ac:dyDescent="0.2">
      <c r="A19" s="15" t="s">
        <v>105</v>
      </c>
      <c r="B19" s="34">
        <f>2.1+0.1+0.1</f>
        <v>2.3000000000000003</v>
      </c>
      <c r="C19" s="42">
        <v>0</v>
      </c>
      <c r="D19" s="42">
        <v>0</v>
      </c>
      <c r="E19" s="42">
        <f>11.5+0.1</f>
        <v>11.6</v>
      </c>
      <c r="F19" s="34">
        <f>32.9+2.4</f>
        <v>35.299999999999997</v>
      </c>
      <c r="G19" s="34">
        <f>3.1+22</f>
        <v>25.1</v>
      </c>
      <c r="H19" s="34">
        <f>11.5+0.4</f>
        <v>11.9</v>
      </c>
      <c r="I19" s="34">
        <f>93.6+2.1</f>
        <v>95.699999999999989</v>
      </c>
      <c r="J19" s="34">
        <f>27.4+0.7</f>
        <v>28.099999999999998</v>
      </c>
      <c r="K19" s="34">
        <f>289.4+68.9+7.7+55.8</f>
        <v>421.79999999999995</v>
      </c>
      <c r="L19" s="33">
        <v>0</v>
      </c>
      <c r="M19" s="33">
        <f>76.4+1.6</f>
        <v>78</v>
      </c>
      <c r="N19" s="34">
        <f>197.6+667.4</f>
        <v>865</v>
      </c>
      <c r="O19" s="34">
        <f>18.5+0.5</f>
        <v>19</v>
      </c>
      <c r="P19" s="34">
        <f>37+1.5</f>
        <v>38.5</v>
      </c>
      <c r="Q19" s="33">
        <f>106.2+2.1</f>
        <v>108.3</v>
      </c>
      <c r="R19" s="34">
        <f>28.2+0.9</f>
        <v>29.099999999999998</v>
      </c>
      <c r="S19" s="33">
        <f>20.4+0.5</f>
        <v>20.9</v>
      </c>
      <c r="T19" s="33">
        <f>6.1+0.2</f>
        <v>6.3</v>
      </c>
      <c r="U19" s="34">
        <f>12.1+0.2</f>
        <v>12.299999999999999</v>
      </c>
      <c r="V19" s="34">
        <f>12.5+158.3+0.6+4.8</f>
        <v>176.20000000000002</v>
      </c>
      <c r="W19" s="34">
        <f>7+0.8</f>
        <v>7.8</v>
      </c>
      <c r="X19" s="34">
        <f>764.3+51</f>
        <v>815.3</v>
      </c>
      <c r="Y19" s="34">
        <f>16.8+34.7+30.3+104+13+0.9+2.9+2.9+4.9+1.1</f>
        <v>211.50000000000003</v>
      </c>
      <c r="Z19" s="34">
        <f>23.4+2</f>
        <v>25.4</v>
      </c>
      <c r="AA19" s="34">
        <f>68.6+1.7</f>
        <v>70.3</v>
      </c>
      <c r="AB19" s="34">
        <f>21.5+2</f>
        <v>23.5</v>
      </c>
      <c r="AC19" s="34">
        <f>1.7+0.1</f>
        <v>1.8</v>
      </c>
      <c r="AD19" s="34">
        <f>125.9+9.8</f>
        <v>135.70000000000002</v>
      </c>
      <c r="AE19" s="40">
        <f>54+2.7</f>
        <v>56.7</v>
      </c>
      <c r="AF19" s="34">
        <f>19.7+46.6+2.8+1.7</f>
        <v>70.8</v>
      </c>
      <c r="AG19" s="34">
        <f>78+14.6</f>
        <v>92.6</v>
      </c>
      <c r="AH19" s="34">
        <f>202.3+21.7</f>
        <v>224</v>
      </c>
      <c r="AI19" s="34">
        <f>87.8+75.7</f>
        <v>163.5</v>
      </c>
      <c r="AJ19" s="34">
        <f>79.1+9.8+267.1+12.6</f>
        <v>368.6</v>
      </c>
      <c r="AK19" s="34">
        <v>0</v>
      </c>
      <c r="AL19" s="34">
        <f>3025.1+1373.4</f>
        <v>4398.5</v>
      </c>
      <c r="AM19" s="33">
        <v>0</v>
      </c>
      <c r="AN19" s="42">
        <f>0.2+0.2</f>
        <v>0.4</v>
      </c>
      <c r="AO19" s="34">
        <f>127.2+30.4</f>
        <v>157.6</v>
      </c>
      <c r="AP19" s="33">
        <f>899.5+349.2</f>
        <v>1248.7</v>
      </c>
      <c r="AQ19" s="33">
        <f>23.6+18.4</f>
        <v>42</v>
      </c>
      <c r="AR19" s="33">
        <f>6.1+44.5</f>
        <v>50.6</v>
      </c>
      <c r="AS19" s="33">
        <f>333.9+161.6</f>
        <v>495.5</v>
      </c>
      <c r="AT19" s="33">
        <f>-6496.9-1813.5</f>
        <v>-8310.4</v>
      </c>
      <c r="AU19" s="36">
        <f t="shared" si="0"/>
        <v>8651.8000000000011</v>
      </c>
    </row>
    <row r="20" spans="1:47" ht="48" x14ac:dyDescent="0.2">
      <c r="A20" s="15" t="s">
        <v>107</v>
      </c>
      <c r="B20" s="34">
        <v>0.2</v>
      </c>
      <c r="C20" s="48">
        <v>0</v>
      </c>
      <c r="D20" s="48">
        <v>0</v>
      </c>
      <c r="E20" s="48">
        <v>1.4</v>
      </c>
      <c r="F20" s="48">
        <v>49.5</v>
      </c>
      <c r="G20" s="48">
        <v>5.7</v>
      </c>
      <c r="H20" s="48">
        <v>1.7</v>
      </c>
      <c r="I20" s="48">
        <v>21.7</v>
      </c>
      <c r="J20" s="48">
        <v>2.2999999999999998</v>
      </c>
      <c r="K20" s="34">
        <f>19.8+12.8</f>
        <v>32.6</v>
      </c>
      <c r="L20" s="33">
        <v>0</v>
      </c>
      <c r="M20" s="48">
        <v>15.7</v>
      </c>
      <c r="N20" s="48">
        <v>41.9</v>
      </c>
      <c r="O20" s="48">
        <v>7.3</v>
      </c>
      <c r="P20" s="48">
        <v>28.6</v>
      </c>
      <c r="Q20" s="48">
        <v>83.7</v>
      </c>
      <c r="R20" s="48">
        <v>30.4</v>
      </c>
      <c r="S20" s="48">
        <v>82.5</v>
      </c>
      <c r="T20" s="48">
        <v>15.9</v>
      </c>
      <c r="U20" s="48">
        <v>10.9</v>
      </c>
      <c r="V20" s="34">
        <f>2.4+34</f>
        <v>36.4</v>
      </c>
      <c r="W20" s="48">
        <v>2.4</v>
      </c>
      <c r="X20" s="48">
        <v>2002.7</v>
      </c>
      <c r="Y20" s="34">
        <f>17.9+2.3+2.4+14.1+3.3</f>
        <v>39.999999999999993</v>
      </c>
      <c r="Z20" s="48">
        <v>7</v>
      </c>
      <c r="AA20" s="48">
        <v>14.4</v>
      </c>
      <c r="AB20" s="48">
        <v>5</v>
      </c>
      <c r="AC20" s="48">
        <v>0.2</v>
      </c>
      <c r="AD20" s="48">
        <v>14.1</v>
      </c>
      <c r="AE20" s="48">
        <v>29.8</v>
      </c>
      <c r="AF20" s="34">
        <f>1.6+3.5</f>
        <v>5.0999999999999996</v>
      </c>
      <c r="AG20" s="48">
        <v>6.7</v>
      </c>
      <c r="AH20" s="48">
        <v>2.1</v>
      </c>
      <c r="AI20" s="48">
        <v>2.2000000000000002</v>
      </c>
      <c r="AJ20" s="34">
        <f>15.1+38.2</f>
        <v>53.300000000000004</v>
      </c>
      <c r="AK20" s="34">
        <v>0</v>
      </c>
      <c r="AL20" s="48">
        <v>326</v>
      </c>
      <c r="AM20" s="48">
        <v>0</v>
      </c>
      <c r="AN20" s="48">
        <v>0.1</v>
      </c>
      <c r="AO20" s="48">
        <v>43.5</v>
      </c>
      <c r="AP20" s="48">
        <v>40.4</v>
      </c>
      <c r="AQ20" s="48">
        <v>0.5</v>
      </c>
      <c r="AR20" s="48">
        <v>0</v>
      </c>
      <c r="AS20" s="48">
        <v>0</v>
      </c>
      <c r="AT20" s="48">
        <v>-3064</v>
      </c>
      <c r="AU20" s="22">
        <f t="shared" si="0"/>
        <v>2979.4999999999995</v>
      </c>
    </row>
    <row r="21" spans="1:47" ht="48" x14ac:dyDescent="0.2">
      <c r="A21" s="15" t="s">
        <v>108</v>
      </c>
      <c r="B21" s="43">
        <v>0.1</v>
      </c>
      <c r="C21" s="48">
        <v>0</v>
      </c>
      <c r="D21" s="48">
        <v>0</v>
      </c>
      <c r="E21" s="48">
        <v>4.4000000000000004</v>
      </c>
      <c r="F21" s="48">
        <v>41.4</v>
      </c>
      <c r="G21" s="49">
        <v>1.6</v>
      </c>
      <c r="H21" s="48">
        <v>1.4</v>
      </c>
      <c r="I21" s="48">
        <v>5.3</v>
      </c>
      <c r="J21" s="48">
        <v>14</v>
      </c>
      <c r="K21" s="34">
        <f>11.9+8.7</f>
        <v>20.6</v>
      </c>
      <c r="L21" s="33">
        <v>0</v>
      </c>
      <c r="M21" s="48">
        <v>402.6</v>
      </c>
      <c r="N21" s="48">
        <v>451.1</v>
      </c>
      <c r="O21" s="48">
        <v>42.1</v>
      </c>
      <c r="P21" s="48">
        <v>36.299999999999997</v>
      </c>
      <c r="Q21" s="48">
        <v>98.8</v>
      </c>
      <c r="R21" s="48">
        <v>19.8</v>
      </c>
      <c r="S21" s="48">
        <v>61.1</v>
      </c>
      <c r="T21" s="48">
        <v>18.399999999999999</v>
      </c>
      <c r="U21" s="48">
        <v>6</v>
      </c>
      <c r="V21" s="34">
        <f>5.3+32</f>
        <v>37.299999999999997</v>
      </c>
      <c r="W21" s="48">
        <v>58.7</v>
      </c>
      <c r="X21" s="48">
        <v>183.1</v>
      </c>
      <c r="Y21" s="34">
        <f>2.6+2.7+5+26+13.2</f>
        <v>49.5</v>
      </c>
      <c r="Z21" s="48">
        <v>3.2</v>
      </c>
      <c r="AA21" s="48">
        <v>12.2</v>
      </c>
      <c r="AB21" s="48">
        <v>35.799999999999997</v>
      </c>
      <c r="AC21" s="48">
        <v>0.4</v>
      </c>
      <c r="AD21" s="48">
        <v>61.3</v>
      </c>
      <c r="AE21" s="48">
        <v>22</v>
      </c>
      <c r="AF21" s="34">
        <f>3.9+7.9</f>
        <v>11.8</v>
      </c>
      <c r="AG21" s="48">
        <v>115.8</v>
      </c>
      <c r="AH21" s="48">
        <v>81.2</v>
      </c>
      <c r="AI21" s="48">
        <v>4.5999999999999996</v>
      </c>
      <c r="AJ21" s="34">
        <f>18.4+43.1</f>
        <v>61.5</v>
      </c>
      <c r="AK21" s="34">
        <v>0</v>
      </c>
      <c r="AL21" s="48">
        <v>672.5</v>
      </c>
      <c r="AM21" s="48">
        <v>0</v>
      </c>
      <c r="AN21" s="49">
        <v>0</v>
      </c>
      <c r="AO21" s="48">
        <v>49.4</v>
      </c>
      <c r="AP21" s="48">
        <v>165.7</v>
      </c>
      <c r="AQ21" s="48">
        <v>0.3</v>
      </c>
      <c r="AR21" s="48">
        <v>0</v>
      </c>
      <c r="AS21" s="48">
        <v>108.8</v>
      </c>
      <c r="AT21" s="48">
        <v>-1681.9</v>
      </c>
      <c r="AU21" s="22">
        <f t="shared" si="0"/>
        <v>2635.8999999999996</v>
      </c>
    </row>
    <row r="22" spans="1:47" ht="48" x14ac:dyDescent="0.2">
      <c r="A22" s="15" t="s">
        <v>109</v>
      </c>
      <c r="B22" s="43">
        <v>0.1</v>
      </c>
      <c r="C22" s="48">
        <v>0</v>
      </c>
      <c r="D22" s="48">
        <v>0</v>
      </c>
      <c r="E22" s="48">
        <v>5.3</v>
      </c>
      <c r="F22" s="48">
        <v>10.3</v>
      </c>
      <c r="G22" s="49">
        <v>0.9</v>
      </c>
      <c r="H22" s="48">
        <v>1.7</v>
      </c>
      <c r="I22" s="48">
        <v>8.6999999999999993</v>
      </c>
      <c r="J22" s="48">
        <v>5</v>
      </c>
      <c r="K22" s="34">
        <f>14.7+3.7</f>
        <v>18.399999999999999</v>
      </c>
      <c r="L22" s="33">
        <v>0</v>
      </c>
      <c r="M22" s="48">
        <v>31.6</v>
      </c>
      <c r="N22" s="48">
        <v>5839.2</v>
      </c>
      <c r="O22" s="48">
        <v>476</v>
      </c>
      <c r="P22" s="48">
        <v>110.9</v>
      </c>
      <c r="Q22" s="48">
        <v>489.7</v>
      </c>
      <c r="R22" s="48">
        <v>157.6</v>
      </c>
      <c r="S22" s="48">
        <v>52.9</v>
      </c>
      <c r="T22" s="48">
        <v>10.1</v>
      </c>
      <c r="U22" s="48">
        <v>37.9</v>
      </c>
      <c r="V22" s="34">
        <f>6.5+87.6</f>
        <v>94.1</v>
      </c>
      <c r="W22" s="48">
        <v>8.3000000000000007</v>
      </c>
      <c r="X22" s="48">
        <v>5508.3</v>
      </c>
      <c r="Y22" s="34">
        <f>5.3+13.1+10.3+50.1+2.9</f>
        <v>81.7</v>
      </c>
      <c r="Z22" s="48">
        <v>1.7</v>
      </c>
      <c r="AA22" s="48">
        <v>12.2</v>
      </c>
      <c r="AB22" s="48">
        <v>8.3000000000000007</v>
      </c>
      <c r="AC22" s="48">
        <v>0.7</v>
      </c>
      <c r="AD22" s="48">
        <v>62</v>
      </c>
      <c r="AE22" s="48">
        <v>41</v>
      </c>
      <c r="AF22" s="34">
        <f>7.7+5.2</f>
        <v>12.9</v>
      </c>
      <c r="AG22" s="48">
        <v>13.7</v>
      </c>
      <c r="AH22" s="48">
        <v>14.6</v>
      </c>
      <c r="AI22" s="48">
        <v>2.2999999999999998</v>
      </c>
      <c r="AJ22" s="34">
        <f>15.4+24.7</f>
        <v>40.1</v>
      </c>
      <c r="AK22" s="34">
        <v>0</v>
      </c>
      <c r="AL22" s="48">
        <v>158.6</v>
      </c>
      <c r="AM22" s="48">
        <v>0</v>
      </c>
      <c r="AN22" s="49">
        <v>0.1</v>
      </c>
      <c r="AO22" s="48">
        <v>263.3</v>
      </c>
      <c r="AP22" s="48">
        <v>295.39999999999998</v>
      </c>
      <c r="AQ22" s="48">
        <v>0.7</v>
      </c>
      <c r="AR22" s="48">
        <v>0</v>
      </c>
      <c r="AS22" s="48">
        <v>8466.2999999999993</v>
      </c>
      <c r="AT22" s="48">
        <v>-10834.1</v>
      </c>
      <c r="AU22" s="22">
        <f t="shared" si="0"/>
        <v>13316.900000000003</v>
      </c>
    </row>
    <row r="23" spans="1:47" ht="96" x14ac:dyDescent="0.2">
      <c r="A23" s="15" t="s">
        <v>111</v>
      </c>
      <c r="B23" s="43">
        <v>0.1</v>
      </c>
      <c r="C23" s="48">
        <v>0</v>
      </c>
      <c r="D23" s="48">
        <v>0</v>
      </c>
      <c r="E23" s="48">
        <v>3.9</v>
      </c>
      <c r="F23" s="48">
        <v>4.7</v>
      </c>
      <c r="G23" s="49">
        <v>0.9</v>
      </c>
      <c r="H23" s="48">
        <v>1.4</v>
      </c>
      <c r="I23" s="48">
        <v>3.2</v>
      </c>
      <c r="J23" s="48">
        <v>2.6</v>
      </c>
      <c r="K23" s="34">
        <f>4+1.7</f>
        <v>5.7</v>
      </c>
      <c r="L23" s="33">
        <v>0</v>
      </c>
      <c r="M23" s="48">
        <v>13</v>
      </c>
      <c r="N23" s="48">
        <v>275.8</v>
      </c>
      <c r="O23" s="48">
        <v>75.599999999999994</v>
      </c>
      <c r="P23" s="48">
        <v>24.8</v>
      </c>
      <c r="Q23" s="48">
        <v>81.599999999999994</v>
      </c>
      <c r="R23" s="48">
        <v>58.2</v>
      </c>
      <c r="S23" s="48">
        <v>32.299999999999997</v>
      </c>
      <c r="T23" s="48">
        <v>10.7</v>
      </c>
      <c r="U23" s="48">
        <v>10</v>
      </c>
      <c r="V23" s="34">
        <f>3.1+16.3</f>
        <v>19.400000000000002</v>
      </c>
      <c r="W23" s="48">
        <v>6.2</v>
      </c>
      <c r="X23" s="48">
        <v>2351.6</v>
      </c>
      <c r="Y23" s="34">
        <f>2.6+5+3.3+30+1.7</f>
        <v>42.6</v>
      </c>
      <c r="Z23" s="48">
        <v>1.6</v>
      </c>
      <c r="AA23" s="48">
        <v>6.1</v>
      </c>
      <c r="AB23" s="48">
        <v>6.9</v>
      </c>
      <c r="AC23" s="48">
        <v>0.6</v>
      </c>
      <c r="AD23" s="48">
        <v>32.200000000000003</v>
      </c>
      <c r="AE23" s="48">
        <v>31.1</v>
      </c>
      <c r="AF23" s="34">
        <f>4.4+10.3</f>
        <v>14.700000000000001</v>
      </c>
      <c r="AG23" s="48">
        <v>13.6</v>
      </c>
      <c r="AH23" s="48">
        <v>13.1</v>
      </c>
      <c r="AI23" s="48">
        <v>1.8</v>
      </c>
      <c r="AJ23" s="34">
        <f>9.7+14.1</f>
        <v>23.799999999999997</v>
      </c>
      <c r="AK23" s="34">
        <v>0</v>
      </c>
      <c r="AL23" s="48">
        <v>390.5</v>
      </c>
      <c r="AM23" s="48">
        <v>0</v>
      </c>
      <c r="AN23" s="49">
        <v>0</v>
      </c>
      <c r="AO23" s="48">
        <v>631.1</v>
      </c>
      <c r="AP23" s="48">
        <v>230.1</v>
      </c>
      <c r="AQ23" s="48">
        <v>0.5</v>
      </c>
      <c r="AR23" s="48">
        <v>0</v>
      </c>
      <c r="AS23" s="48">
        <v>335.3</v>
      </c>
      <c r="AT23" s="48">
        <v>-3551.3</v>
      </c>
      <c r="AU23" s="22">
        <f t="shared" si="0"/>
        <v>3560.2999999999993</v>
      </c>
    </row>
    <row r="24" spans="1:47" ht="60" x14ac:dyDescent="0.2">
      <c r="A24" s="15" t="s">
        <v>112</v>
      </c>
      <c r="B24" s="34">
        <v>0.1</v>
      </c>
      <c r="C24" s="48">
        <v>0</v>
      </c>
      <c r="D24" s="48">
        <v>0</v>
      </c>
      <c r="E24" s="48">
        <v>2</v>
      </c>
      <c r="F24" s="48">
        <v>3.9</v>
      </c>
      <c r="G24" s="49">
        <v>1.3</v>
      </c>
      <c r="H24" s="48">
        <v>0.4</v>
      </c>
      <c r="I24" s="48">
        <v>3.9</v>
      </c>
      <c r="J24" s="48">
        <v>2.9</v>
      </c>
      <c r="K24" s="34">
        <f>4.7+2.9</f>
        <v>7.6</v>
      </c>
      <c r="L24" s="33">
        <v>0</v>
      </c>
      <c r="M24" s="48">
        <v>3.9</v>
      </c>
      <c r="N24" s="48">
        <v>20</v>
      </c>
      <c r="O24" s="48">
        <v>4.4000000000000004</v>
      </c>
      <c r="P24" s="48">
        <v>384.8</v>
      </c>
      <c r="Q24" s="48">
        <v>160.80000000000001</v>
      </c>
      <c r="R24" s="48">
        <v>52.9</v>
      </c>
      <c r="S24" s="48">
        <v>26</v>
      </c>
      <c r="T24" s="48">
        <v>11.7</v>
      </c>
      <c r="U24" s="48">
        <v>9.6</v>
      </c>
      <c r="V24" s="34">
        <f>47.7+63</f>
        <v>110.7</v>
      </c>
      <c r="W24" s="48">
        <v>2.8</v>
      </c>
      <c r="X24" s="48">
        <v>11206.1</v>
      </c>
      <c r="Y24" s="34">
        <f>4.2+12.5+10.6+21.6+111.8</f>
        <v>160.69999999999999</v>
      </c>
      <c r="Z24" s="48">
        <v>3.3</v>
      </c>
      <c r="AA24" s="48">
        <v>134.69999999999999</v>
      </c>
      <c r="AB24" s="48">
        <v>1136.7</v>
      </c>
      <c r="AC24" s="48">
        <v>18.3</v>
      </c>
      <c r="AD24" s="48">
        <v>167.9</v>
      </c>
      <c r="AE24" s="48">
        <v>62.2</v>
      </c>
      <c r="AF24" s="34">
        <f>35.9+44.9</f>
        <v>80.8</v>
      </c>
      <c r="AG24" s="48">
        <v>72.900000000000006</v>
      </c>
      <c r="AH24" s="48">
        <v>101.3</v>
      </c>
      <c r="AI24" s="48">
        <v>7.3</v>
      </c>
      <c r="AJ24" s="34">
        <f>99.7+241.4</f>
        <v>341.1</v>
      </c>
      <c r="AK24" s="34">
        <v>0</v>
      </c>
      <c r="AL24" s="48">
        <v>9641.6</v>
      </c>
      <c r="AM24" s="48">
        <v>0</v>
      </c>
      <c r="AN24" s="49">
        <v>0.2</v>
      </c>
      <c r="AO24" s="48">
        <v>6253.5</v>
      </c>
      <c r="AP24" s="48">
        <v>29295.1</v>
      </c>
      <c r="AQ24" s="48">
        <v>28</v>
      </c>
      <c r="AR24" s="48">
        <v>0.1</v>
      </c>
      <c r="AS24" s="48">
        <v>1379.5</v>
      </c>
      <c r="AT24" s="48">
        <v>-59402.6</v>
      </c>
      <c r="AU24" s="22">
        <f t="shared" si="0"/>
        <v>23944.799999999999</v>
      </c>
    </row>
    <row r="25" spans="1:47" ht="36" x14ac:dyDescent="0.2">
      <c r="A25" s="15" t="s">
        <v>113</v>
      </c>
      <c r="B25" s="34">
        <v>0</v>
      </c>
      <c r="C25" s="48">
        <v>0</v>
      </c>
      <c r="D25" s="48">
        <v>0</v>
      </c>
      <c r="E25" s="48">
        <v>1.8</v>
      </c>
      <c r="F25" s="48">
        <v>3.2</v>
      </c>
      <c r="G25" s="49">
        <v>0.7</v>
      </c>
      <c r="H25" s="48">
        <v>0.5</v>
      </c>
      <c r="I25" s="48">
        <v>2.5</v>
      </c>
      <c r="J25" s="48">
        <v>2.5</v>
      </c>
      <c r="K25" s="34">
        <f>3.2+1.6</f>
        <v>4.8000000000000007</v>
      </c>
      <c r="L25" s="33">
        <v>0</v>
      </c>
      <c r="M25" s="48">
        <v>5.3</v>
      </c>
      <c r="N25" s="48">
        <v>42.3</v>
      </c>
      <c r="O25" s="48">
        <v>5.7</v>
      </c>
      <c r="P25" s="48">
        <v>127.1</v>
      </c>
      <c r="Q25" s="48">
        <v>580.4</v>
      </c>
      <c r="R25" s="48">
        <v>102.4</v>
      </c>
      <c r="S25" s="48">
        <v>48.3</v>
      </c>
      <c r="T25" s="48">
        <v>14.3</v>
      </c>
      <c r="U25" s="48">
        <v>13.2</v>
      </c>
      <c r="V25" s="34">
        <f>75.6+61</f>
        <v>136.6</v>
      </c>
      <c r="W25" s="48">
        <v>6.7</v>
      </c>
      <c r="X25" s="48">
        <v>8164.4</v>
      </c>
      <c r="Y25" s="34">
        <f>5.2+11.2+6+17.1+62.9</f>
        <v>102.4</v>
      </c>
      <c r="Z25" s="48">
        <v>2.2999999999999998</v>
      </c>
      <c r="AA25" s="48">
        <v>75</v>
      </c>
      <c r="AB25" s="48">
        <v>538.9</v>
      </c>
      <c r="AC25" s="48">
        <v>5</v>
      </c>
      <c r="AD25" s="48">
        <v>75.2</v>
      </c>
      <c r="AE25" s="48">
        <v>91</v>
      </c>
      <c r="AF25" s="34">
        <f>22.9+42.5</f>
        <v>65.400000000000006</v>
      </c>
      <c r="AG25" s="48">
        <v>37</v>
      </c>
      <c r="AH25" s="48">
        <v>46.3</v>
      </c>
      <c r="AI25" s="48">
        <v>3.2</v>
      </c>
      <c r="AJ25" s="34">
        <f>64.3+163.9</f>
        <v>228.2</v>
      </c>
      <c r="AK25" s="34">
        <v>0</v>
      </c>
      <c r="AL25" s="48">
        <v>4056.2</v>
      </c>
      <c r="AM25" s="48">
        <v>0</v>
      </c>
      <c r="AN25" s="49">
        <v>0.1</v>
      </c>
      <c r="AO25" s="48">
        <v>2029.2</v>
      </c>
      <c r="AP25" s="48">
        <v>1058.9000000000001</v>
      </c>
      <c r="AQ25" s="48">
        <v>11.8</v>
      </c>
      <c r="AR25" s="48">
        <v>2.4</v>
      </c>
      <c r="AS25" s="48">
        <v>342.1</v>
      </c>
      <c r="AT25" s="48">
        <v>-15322.5</v>
      </c>
      <c r="AU25" s="22">
        <f t="shared" si="0"/>
        <v>14588.9</v>
      </c>
    </row>
    <row r="26" spans="1:47" ht="60" x14ac:dyDescent="0.2">
      <c r="A26" s="15" t="s">
        <v>114</v>
      </c>
      <c r="B26" s="34">
        <v>0.3</v>
      </c>
      <c r="C26" s="48">
        <v>0</v>
      </c>
      <c r="D26" s="48">
        <v>0</v>
      </c>
      <c r="E26" s="48">
        <v>15.2</v>
      </c>
      <c r="F26" s="48">
        <v>14.4</v>
      </c>
      <c r="G26" s="49">
        <v>3.6</v>
      </c>
      <c r="H26" s="48">
        <v>2.6</v>
      </c>
      <c r="I26" s="48">
        <v>12.8</v>
      </c>
      <c r="J26" s="48">
        <v>5.9</v>
      </c>
      <c r="K26" s="34">
        <f>9.5+5.3</f>
        <v>14.8</v>
      </c>
      <c r="L26" s="33">
        <v>0</v>
      </c>
      <c r="M26" s="48">
        <v>29.5</v>
      </c>
      <c r="N26" s="48">
        <v>232.2</v>
      </c>
      <c r="O26" s="48">
        <v>39.9</v>
      </c>
      <c r="P26" s="48">
        <v>26.2</v>
      </c>
      <c r="Q26" s="48">
        <v>71.3</v>
      </c>
      <c r="R26" s="48">
        <v>237.1</v>
      </c>
      <c r="S26" s="48">
        <v>115.8</v>
      </c>
      <c r="T26" s="48">
        <v>39.9</v>
      </c>
      <c r="U26" s="48">
        <v>22.1</v>
      </c>
      <c r="V26" s="34">
        <f>12.3+20.7</f>
        <v>33</v>
      </c>
      <c r="W26" s="48">
        <v>3.2</v>
      </c>
      <c r="X26" s="48">
        <v>724.6</v>
      </c>
      <c r="Y26" s="34">
        <f>8.3+69.5+100.1+171.4+16.1</f>
        <v>365.4</v>
      </c>
      <c r="Z26" s="48">
        <v>3.7</v>
      </c>
      <c r="AA26" s="48">
        <v>10</v>
      </c>
      <c r="AB26" s="48">
        <v>34.5</v>
      </c>
      <c r="AC26" s="48">
        <v>0.4</v>
      </c>
      <c r="AD26" s="48">
        <v>251.5</v>
      </c>
      <c r="AE26" s="48">
        <v>61.5</v>
      </c>
      <c r="AF26" s="34">
        <f>2.8+8.4</f>
        <v>11.2</v>
      </c>
      <c r="AG26" s="48">
        <v>14</v>
      </c>
      <c r="AH26" s="48">
        <v>18.899999999999999</v>
      </c>
      <c r="AI26" s="48">
        <v>31.4</v>
      </c>
      <c r="AJ26" s="34">
        <f>13.1+20.5</f>
        <v>33.6</v>
      </c>
      <c r="AK26" s="34">
        <v>0</v>
      </c>
      <c r="AL26" s="48">
        <v>465.5</v>
      </c>
      <c r="AM26" s="48">
        <v>0</v>
      </c>
      <c r="AN26" s="49">
        <v>0.2</v>
      </c>
      <c r="AO26" s="48">
        <v>7163.9</v>
      </c>
      <c r="AP26" s="48">
        <v>1027.4000000000001</v>
      </c>
      <c r="AQ26" s="48">
        <v>0.8</v>
      </c>
      <c r="AR26" s="48">
        <v>0</v>
      </c>
      <c r="AS26" s="48">
        <v>912.5</v>
      </c>
      <c r="AT26" s="48">
        <v>-10813.8</v>
      </c>
      <c r="AU26" s="22">
        <f t="shared" si="0"/>
        <v>2946.2</v>
      </c>
    </row>
    <row r="27" spans="1:47" ht="60" x14ac:dyDescent="0.2">
      <c r="A27" s="15" t="s">
        <v>115</v>
      </c>
      <c r="B27" s="34">
        <v>0</v>
      </c>
      <c r="C27" s="48">
        <v>0</v>
      </c>
      <c r="D27" s="48">
        <v>0</v>
      </c>
      <c r="E27" s="48">
        <v>0.3</v>
      </c>
      <c r="F27" s="48">
        <v>0.6</v>
      </c>
      <c r="G27" s="49">
        <v>0.3</v>
      </c>
      <c r="H27" s="48">
        <v>0.1</v>
      </c>
      <c r="I27" s="48">
        <v>0.6</v>
      </c>
      <c r="J27" s="48">
        <v>0.2</v>
      </c>
      <c r="K27" s="34">
        <f>0.4+0.2</f>
        <v>0.60000000000000009</v>
      </c>
      <c r="L27" s="33">
        <v>0</v>
      </c>
      <c r="M27" s="48">
        <v>1.5</v>
      </c>
      <c r="N27" s="48">
        <v>6.9</v>
      </c>
      <c r="O27" s="48">
        <v>1.1000000000000001</v>
      </c>
      <c r="P27" s="48">
        <v>2.2000000000000002</v>
      </c>
      <c r="Q27" s="48">
        <v>6.3</v>
      </c>
      <c r="R27" s="48">
        <v>9.4</v>
      </c>
      <c r="S27" s="48">
        <v>186.9</v>
      </c>
      <c r="T27" s="48">
        <v>7.3</v>
      </c>
      <c r="U27" s="48">
        <v>1.3</v>
      </c>
      <c r="V27" s="34">
        <f>0.9+26.3</f>
        <v>27.2</v>
      </c>
      <c r="W27" s="48">
        <v>0.3</v>
      </c>
      <c r="X27" s="48">
        <v>468</v>
      </c>
      <c r="Y27" s="34">
        <f>24.1+24+17.4+5.7+17.8</f>
        <v>89</v>
      </c>
      <c r="Z27" s="48">
        <v>1</v>
      </c>
      <c r="AA27" s="48">
        <v>13.7</v>
      </c>
      <c r="AB27" s="48">
        <v>19.5</v>
      </c>
      <c r="AC27" s="48">
        <v>0.4</v>
      </c>
      <c r="AD27" s="48">
        <v>36</v>
      </c>
      <c r="AE27" s="48">
        <v>5.3</v>
      </c>
      <c r="AF27" s="34">
        <f>2.6+11.3</f>
        <v>13.9</v>
      </c>
      <c r="AG27" s="48">
        <v>40.799999999999997</v>
      </c>
      <c r="AH27" s="48">
        <v>1.6</v>
      </c>
      <c r="AI27" s="48">
        <v>1</v>
      </c>
      <c r="AJ27" s="34">
        <f>23.9+32.8</f>
        <v>56.699999999999996</v>
      </c>
      <c r="AK27" s="34">
        <v>0</v>
      </c>
      <c r="AL27" s="48">
        <v>1598</v>
      </c>
      <c r="AM27" s="48">
        <v>0</v>
      </c>
      <c r="AN27" s="49">
        <v>0.1</v>
      </c>
      <c r="AO27" s="48">
        <v>2196.8000000000002</v>
      </c>
      <c r="AP27" s="48">
        <v>701.9</v>
      </c>
      <c r="AQ27" s="48">
        <v>13.1</v>
      </c>
      <c r="AR27" s="48">
        <v>4.0999999999999996</v>
      </c>
      <c r="AS27" s="48">
        <v>45</v>
      </c>
      <c r="AT27" s="48">
        <v>-4090.8</v>
      </c>
      <c r="AU27" s="22">
        <f t="shared" si="0"/>
        <v>2598.1</v>
      </c>
    </row>
    <row r="28" spans="1:47" ht="36" x14ac:dyDescent="0.2">
      <c r="A28" s="15" t="s">
        <v>116</v>
      </c>
      <c r="B28" s="34">
        <v>0</v>
      </c>
      <c r="C28" s="48">
        <v>0</v>
      </c>
      <c r="D28" s="48">
        <v>0</v>
      </c>
      <c r="E28" s="48">
        <v>0.1</v>
      </c>
      <c r="F28" s="48">
        <v>0.4</v>
      </c>
      <c r="G28" s="49">
        <v>0.1</v>
      </c>
      <c r="H28" s="48">
        <v>0.1</v>
      </c>
      <c r="I28" s="48">
        <v>0.5</v>
      </c>
      <c r="J28" s="48">
        <v>0.2</v>
      </c>
      <c r="K28" s="34">
        <f>0.3+0.2</f>
        <v>0.5</v>
      </c>
      <c r="L28" s="33">
        <v>0</v>
      </c>
      <c r="M28" s="48">
        <v>1.1000000000000001</v>
      </c>
      <c r="N28" s="48">
        <v>5.5</v>
      </c>
      <c r="O28" s="48">
        <v>0.6</v>
      </c>
      <c r="P28" s="48">
        <v>1.1000000000000001</v>
      </c>
      <c r="Q28" s="48">
        <v>2.2000000000000002</v>
      </c>
      <c r="R28" s="48">
        <v>4.7</v>
      </c>
      <c r="S28" s="48">
        <v>199.1</v>
      </c>
      <c r="T28" s="48">
        <v>127.4</v>
      </c>
      <c r="U28" s="48">
        <v>4.5999999999999996</v>
      </c>
      <c r="V28" s="34">
        <f>0.3+21.1</f>
        <v>21.400000000000002</v>
      </c>
      <c r="W28" s="48">
        <v>0.2</v>
      </c>
      <c r="X28" s="48">
        <v>475.7</v>
      </c>
      <c r="Y28" s="34">
        <f>17.1+53.5+83.6+5.8+13.3</f>
        <v>173.3</v>
      </c>
      <c r="Z28" s="48">
        <v>0.8</v>
      </c>
      <c r="AA28" s="48">
        <v>21.1</v>
      </c>
      <c r="AB28" s="48">
        <v>10.4</v>
      </c>
      <c r="AC28" s="48">
        <v>0.3</v>
      </c>
      <c r="AD28" s="48">
        <v>52.1</v>
      </c>
      <c r="AE28" s="48">
        <v>4</v>
      </c>
      <c r="AF28" s="34">
        <f>4.4+8</f>
        <v>12.4</v>
      </c>
      <c r="AG28" s="48">
        <v>91.9</v>
      </c>
      <c r="AH28" s="48">
        <v>1.1000000000000001</v>
      </c>
      <c r="AI28" s="48">
        <v>0.7</v>
      </c>
      <c r="AJ28" s="34">
        <f>27.3+40.4</f>
        <v>67.7</v>
      </c>
      <c r="AK28" s="34">
        <v>0</v>
      </c>
      <c r="AL28" s="48">
        <v>916.2</v>
      </c>
      <c r="AM28" s="48">
        <v>0</v>
      </c>
      <c r="AN28" s="49">
        <v>0</v>
      </c>
      <c r="AO28" s="48">
        <v>4989.8</v>
      </c>
      <c r="AP28" s="48">
        <v>1071.4000000000001</v>
      </c>
      <c r="AQ28" s="48">
        <v>0.3</v>
      </c>
      <c r="AR28" s="48">
        <v>0</v>
      </c>
      <c r="AS28" s="48">
        <v>30.6</v>
      </c>
      <c r="AT28" s="48">
        <v>-7770.4</v>
      </c>
      <c r="AU28" s="22">
        <f t="shared" si="0"/>
        <v>2197.5</v>
      </c>
    </row>
    <row r="29" spans="1:47" ht="96" x14ac:dyDescent="0.2">
      <c r="A29" s="15" t="s">
        <v>117</v>
      </c>
      <c r="B29" s="34">
        <f>0.3+0.1</f>
        <v>0.4</v>
      </c>
      <c r="C29" s="48">
        <v>0</v>
      </c>
      <c r="D29" s="48">
        <v>0</v>
      </c>
      <c r="E29" s="48">
        <v>1.2</v>
      </c>
      <c r="F29" s="48">
        <v>9.5</v>
      </c>
      <c r="G29" s="49">
        <v>2.4</v>
      </c>
      <c r="H29" s="48">
        <v>1.4</v>
      </c>
      <c r="I29" s="48">
        <v>12.9</v>
      </c>
      <c r="J29" s="48">
        <v>0.3</v>
      </c>
      <c r="K29" s="34">
        <f>0.8+0.7</f>
        <v>1.5</v>
      </c>
      <c r="L29" s="33">
        <v>0</v>
      </c>
      <c r="M29" s="48">
        <v>1.6</v>
      </c>
      <c r="N29" s="48">
        <v>31.2</v>
      </c>
      <c r="O29" s="48">
        <v>4.8</v>
      </c>
      <c r="P29" s="48">
        <v>2.7</v>
      </c>
      <c r="Q29" s="48">
        <v>4.2</v>
      </c>
      <c r="R29" s="48">
        <v>2.9</v>
      </c>
      <c r="S29" s="48">
        <v>5.5</v>
      </c>
      <c r="T29" s="48">
        <v>2.9</v>
      </c>
      <c r="U29" s="48">
        <v>3.1</v>
      </c>
      <c r="V29" s="34">
        <f>13.8+16.7</f>
        <v>30.5</v>
      </c>
      <c r="W29" s="48">
        <v>27.5</v>
      </c>
      <c r="X29" s="48">
        <v>362.7</v>
      </c>
      <c r="Y29" s="34">
        <f>33.7+59.1+91.5+52.2+10</f>
        <v>246.5</v>
      </c>
      <c r="Z29" s="48">
        <v>9.8000000000000007</v>
      </c>
      <c r="AA29" s="48">
        <v>11.1</v>
      </c>
      <c r="AB29" s="48">
        <v>31.8</v>
      </c>
      <c r="AC29" s="48">
        <v>1.1000000000000001</v>
      </c>
      <c r="AD29" s="48">
        <v>342.2</v>
      </c>
      <c r="AE29" s="48">
        <v>93.4</v>
      </c>
      <c r="AF29" s="34">
        <f>5.9+26</f>
        <v>31.9</v>
      </c>
      <c r="AG29" s="48">
        <v>42.3</v>
      </c>
      <c r="AH29" s="48">
        <v>37.9</v>
      </c>
      <c r="AI29" s="48">
        <v>17.600000000000001</v>
      </c>
      <c r="AJ29" s="34">
        <f>29.7+22.7</f>
        <v>52.4</v>
      </c>
      <c r="AK29" s="34">
        <v>0</v>
      </c>
      <c r="AL29" s="48">
        <v>1011.7</v>
      </c>
      <c r="AM29" s="48">
        <v>0</v>
      </c>
      <c r="AN29" s="49">
        <v>0.1</v>
      </c>
      <c r="AO29" s="48">
        <v>353.7</v>
      </c>
      <c r="AP29" s="48">
        <v>8436.5</v>
      </c>
      <c r="AQ29" s="48">
        <v>82.2</v>
      </c>
      <c r="AR29" s="48">
        <v>0</v>
      </c>
      <c r="AS29" s="48">
        <v>317.39999999999998</v>
      </c>
      <c r="AT29" s="48">
        <v>-10821.1</v>
      </c>
      <c r="AU29" s="22">
        <f t="shared" si="0"/>
        <v>2439.0000000000005</v>
      </c>
    </row>
    <row r="30" spans="1:47" ht="96" x14ac:dyDescent="0.2">
      <c r="A30" s="15" t="s">
        <v>118</v>
      </c>
      <c r="B30" s="34">
        <f>0.8+0.8+0.1</f>
        <v>1.7000000000000002</v>
      </c>
      <c r="C30" s="42">
        <v>0</v>
      </c>
      <c r="D30" s="42">
        <v>0</v>
      </c>
      <c r="E30" s="33">
        <f>0.9+0.1</f>
        <v>1</v>
      </c>
      <c r="F30" s="33">
        <f>101.8+46.8</f>
        <v>148.6</v>
      </c>
      <c r="G30" s="33">
        <f>13.8+8.9</f>
        <v>22.700000000000003</v>
      </c>
      <c r="H30" s="34">
        <f>9.4+6.5</f>
        <v>15.9</v>
      </c>
      <c r="I30" s="34">
        <f>75.2+60.3</f>
        <v>135.5</v>
      </c>
      <c r="J30" s="34">
        <f>0.2+0.1</f>
        <v>0.30000000000000004</v>
      </c>
      <c r="K30" s="34">
        <f>0.7+0.2+0.3+0.1</f>
        <v>1.3</v>
      </c>
      <c r="L30" s="33">
        <v>0</v>
      </c>
      <c r="M30" s="34">
        <f>0.7+0.3</f>
        <v>1</v>
      </c>
      <c r="N30" s="34">
        <f>7.2+7.3</f>
        <v>14.5</v>
      </c>
      <c r="O30" s="34">
        <f>0.4+0.4</f>
        <v>0.8</v>
      </c>
      <c r="P30" s="34">
        <f>0.2+0.2</f>
        <v>0.4</v>
      </c>
      <c r="Q30" s="34">
        <f>0.5+0.4</f>
        <v>0.9</v>
      </c>
      <c r="R30" s="34">
        <f>0.3+0.3</f>
        <v>0.6</v>
      </c>
      <c r="S30" s="33">
        <f>0.2+0.3</f>
        <v>0.5</v>
      </c>
      <c r="T30" s="33">
        <f>0.1+0.1</f>
        <v>0.2</v>
      </c>
      <c r="U30" s="34">
        <f>0.4+0.1</f>
        <v>0.5</v>
      </c>
      <c r="V30" s="34">
        <f>309.3+91.3+68.3+324.7</f>
        <v>793.6</v>
      </c>
      <c r="W30" s="34">
        <f>41+54.5</f>
        <v>95.5</v>
      </c>
      <c r="X30" s="34">
        <f>392.8+637.4</f>
        <v>1030.2</v>
      </c>
      <c r="Y30" s="34">
        <f>127.5+49.2+72.4+374.1+17.8+64.4+58.5+53.5+159.9+51.6</f>
        <v>1028.8999999999999</v>
      </c>
      <c r="Z30" s="34">
        <f>396.2+147.3</f>
        <v>543.5</v>
      </c>
      <c r="AA30" s="34">
        <f>68.5+27</f>
        <v>95.5</v>
      </c>
      <c r="AB30" s="34">
        <f>102.3+95.6</f>
        <v>197.89999999999998</v>
      </c>
      <c r="AC30" s="34">
        <f>3.9+5.8</f>
        <v>9.6999999999999993</v>
      </c>
      <c r="AD30" s="34">
        <f>492.5+512.9</f>
        <v>1005.4</v>
      </c>
      <c r="AE30" s="40">
        <f>1271.9+1084</f>
        <v>2355.9</v>
      </c>
      <c r="AF30" s="34">
        <f>23.1+25.5+32.5+67.5</f>
        <v>148.6</v>
      </c>
      <c r="AG30" s="34">
        <f>154.8+97.2</f>
        <v>252</v>
      </c>
      <c r="AH30" s="34">
        <f>127.8+62.5</f>
        <v>190.3</v>
      </c>
      <c r="AI30" s="34">
        <f>202.9+80.2</f>
        <v>283.10000000000002</v>
      </c>
      <c r="AJ30" s="34">
        <f>115.3+120.8+55.8+107.4</f>
        <v>399.29999999999995</v>
      </c>
      <c r="AK30" s="34">
        <v>0</v>
      </c>
      <c r="AL30" s="34">
        <f>1356.2+1142.3</f>
        <v>2498.5</v>
      </c>
      <c r="AM30" s="33">
        <f>2.4+29.9</f>
        <v>32.299999999999997</v>
      </c>
      <c r="AN30" s="34">
        <v>0</v>
      </c>
      <c r="AO30" s="34">
        <f>2.2+108.1</f>
        <v>110.3</v>
      </c>
      <c r="AP30" s="33">
        <f>3.8+8.5</f>
        <v>12.3</v>
      </c>
      <c r="AQ30" s="33">
        <f>0.4+0.2</f>
        <v>0.60000000000000009</v>
      </c>
      <c r="AR30" s="33">
        <v>0</v>
      </c>
      <c r="AS30" s="33">
        <f>39.5</f>
        <v>39.5</v>
      </c>
      <c r="AT30" s="33">
        <f>-915.6+-26.6</f>
        <v>-942.2</v>
      </c>
      <c r="AU30" s="36">
        <f t="shared" si="0"/>
        <v>11306.599999999997</v>
      </c>
    </row>
    <row r="31" spans="1:47" ht="24" x14ac:dyDescent="0.2">
      <c r="A31" s="15" t="s">
        <v>120</v>
      </c>
      <c r="B31" s="34">
        <v>0.8</v>
      </c>
      <c r="C31" s="48">
        <v>0</v>
      </c>
      <c r="D31" s="48">
        <v>0</v>
      </c>
      <c r="E31" s="48">
        <v>0.5</v>
      </c>
      <c r="F31" s="48">
        <v>7.4</v>
      </c>
      <c r="G31" s="48">
        <v>0.6</v>
      </c>
      <c r="H31" s="48">
        <v>0.4</v>
      </c>
      <c r="I31" s="48">
        <v>2.2999999999999998</v>
      </c>
      <c r="J31" s="48">
        <v>0</v>
      </c>
      <c r="K31" s="34">
        <f>0.1+0.1</f>
        <v>0.2</v>
      </c>
      <c r="L31" s="33">
        <v>0</v>
      </c>
      <c r="M31" s="48">
        <v>0.4</v>
      </c>
      <c r="N31" s="48">
        <v>2.1</v>
      </c>
      <c r="O31" s="48">
        <v>0.2</v>
      </c>
      <c r="P31" s="48">
        <v>0.2</v>
      </c>
      <c r="Q31" s="48">
        <v>0.4</v>
      </c>
      <c r="R31" s="48">
        <v>0.2</v>
      </c>
      <c r="S31" s="48">
        <v>0.2</v>
      </c>
      <c r="T31" s="48">
        <v>0.1</v>
      </c>
      <c r="U31" s="48">
        <v>0.1</v>
      </c>
      <c r="V31" s="34">
        <f>5+5.5</f>
        <v>10.5</v>
      </c>
      <c r="W31" s="48">
        <v>6417</v>
      </c>
      <c r="X31" s="48">
        <v>31.4</v>
      </c>
      <c r="Y31" s="34">
        <f>22.1+14.8+63.3+24.6+3.4</f>
        <v>128.20000000000002</v>
      </c>
      <c r="Z31" s="48">
        <v>10.7</v>
      </c>
      <c r="AA31" s="48">
        <v>3.2</v>
      </c>
      <c r="AB31" s="48">
        <v>11.3</v>
      </c>
      <c r="AC31" s="48">
        <v>0.3</v>
      </c>
      <c r="AD31" s="48">
        <v>32.5</v>
      </c>
      <c r="AE31" s="48">
        <v>325.89999999999998</v>
      </c>
      <c r="AF31" s="34">
        <f>2.6+2.8</f>
        <v>5.4</v>
      </c>
      <c r="AG31" s="48">
        <v>352.5</v>
      </c>
      <c r="AH31" s="48">
        <v>22.6</v>
      </c>
      <c r="AI31" s="48">
        <v>23</v>
      </c>
      <c r="AJ31" s="34">
        <f>5.8+8.4</f>
        <v>14.2</v>
      </c>
      <c r="AK31" s="34">
        <v>0</v>
      </c>
      <c r="AL31" s="48">
        <v>13.2</v>
      </c>
      <c r="AM31" s="48">
        <v>0</v>
      </c>
      <c r="AN31" s="48">
        <v>0</v>
      </c>
      <c r="AO31" s="48">
        <v>20315.099999999999</v>
      </c>
      <c r="AP31" s="48">
        <v>9.6999999999999993</v>
      </c>
      <c r="AQ31" s="48">
        <v>1.6</v>
      </c>
      <c r="AR31" s="48">
        <v>0</v>
      </c>
      <c r="AS31" s="48">
        <v>0</v>
      </c>
      <c r="AT31" s="48">
        <v>-55</v>
      </c>
      <c r="AU31" s="22">
        <f t="shared" si="0"/>
        <v>7417.9999999999991</v>
      </c>
    </row>
    <row r="32" spans="1:47" ht="72" x14ac:dyDescent="0.2">
      <c r="A32" s="15" t="s">
        <v>121</v>
      </c>
      <c r="B32" s="34">
        <f>130.8+6.8</f>
        <v>137.60000000000002</v>
      </c>
      <c r="C32" s="48">
        <v>0</v>
      </c>
      <c r="D32" s="48">
        <v>0</v>
      </c>
      <c r="E32" s="48">
        <v>1505.9</v>
      </c>
      <c r="F32" s="48">
        <v>2412.6999999999998</v>
      </c>
      <c r="G32" s="48">
        <v>1050.7</v>
      </c>
      <c r="H32" s="48">
        <v>192.3</v>
      </c>
      <c r="I32" s="48">
        <v>1563.4</v>
      </c>
      <c r="J32" s="48">
        <v>172.2</v>
      </c>
      <c r="K32" s="34">
        <f>544.1+216.9</f>
        <v>761</v>
      </c>
      <c r="L32" s="33">
        <v>0</v>
      </c>
      <c r="M32" s="49">
        <v>461.7</v>
      </c>
      <c r="N32" s="49">
        <v>2750.3</v>
      </c>
      <c r="O32" s="49">
        <v>317</v>
      </c>
      <c r="P32" s="48">
        <v>521.1</v>
      </c>
      <c r="Q32" s="48">
        <v>757.5</v>
      </c>
      <c r="R32" s="48">
        <v>357.4</v>
      </c>
      <c r="S32" s="48">
        <v>470.6</v>
      </c>
      <c r="T32" s="48">
        <v>189.1</v>
      </c>
      <c r="U32" s="48">
        <v>529.4</v>
      </c>
      <c r="V32" s="34">
        <f>1129.9+873.3</f>
        <v>2003.2</v>
      </c>
      <c r="W32" s="48">
        <v>2384.1999999999998</v>
      </c>
      <c r="X32" s="48">
        <v>31331.200000000001</v>
      </c>
      <c r="Y32" s="34">
        <f>1651.4+3322.3+3587.6+4514.6+589.3</f>
        <v>13665.2</v>
      </c>
      <c r="Z32" s="48">
        <v>3055.2</v>
      </c>
      <c r="AA32" s="48">
        <v>800.1</v>
      </c>
      <c r="AB32" s="48">
        <v>1862.5</v>
      </c>
      <c r="AC32" s="48">
        <v>71.599999999999994</v>
      </c>
      <c r="AD32" s="48">
        <v>4045.9</v>
      </c>
      <c r="AE32" s="48">
        <v>1503.6</v>
      </c>
      <c r="AF32" s="34">
        <f>376.4+934.6</f>
        <v>1311</v>
      </c>
      <c r="AG32" s="48">
        <v>985.7</v>
      </c>
      <c r="AH32" s="49">
        <v>1037.5</v>
      </c>
      <c r="AI32" s="48">
        <v>1582.7</v>
      </c>
      <c r="AJ32" s="34">
        <f>721.8+1395.5</f>
        <v>2117.3000000000002</v>
      </c>
      <c r="AK32" s="34">
        <v>0</v>
      </c>
      <c r="AL32" s="48">
        <v>60617</v>
      </c>
      <c r="AM32" s="48">
        <v>1.7</v>
      </c>
      <c r="AN32" s="48">
        <v>0.5</v>
      </c>
      <c r="AO32" s="48">
        <v>16654.3</v>
      </c>
      <c r="AP32" s="49">
        <v>5580.1</v>
      </c>
      <c r="AQ32" s="48">
        <v>108.4</v>
      </c>
      <c r="AR32" s="48">
        <v>467.9</v>
      </c>
      <c r="AS32" s="48">
        <v>37109.9</v>
      </c>
      <c r="AT32" s="48">
        <v>-23738.3</v>
      </c>
      <c r="AU32" s="22">
        <f t="shared" si="0"/>
        <v>142526</v>
      </c>
    </row>
    <row r="33" spans="1:47" ht="36" x14ac:dyDescent="0.2">
      <c r="A33" s="15" t="s">
        <v>122</v>
      </c>
      <c r="B33" s="34">
        <f>4.8+0.4+1.1+0.1+1+0.1+2.6+0.2+0.3</f>
        <v>10.6</v>
      </c>
      <c r="C33" s="42">
        <v>0</v>
      </c>
      <c r="D33" s="42">
        <v>0</v>
      </c>
      <c r="E33" s="33">
        <f>28+6.5+5.1+15.3+0.1</f>
        <v>55.000000000000007</v>
      </c>
      <c r="F33" s="33">
        <f>120.7+89.2+59.6+57.8+33.8</f>
        <v>361.1</v>
      </c>
      <c r="G33" s="42">
        <f>60.7+27.5+20.2+28.1+9.1</f>
        <v>145.6</v>
      </c>
      <c r="H33" s="34">
        <f>7.7+9.6+5.4+3.8+4</f>
        <v>30.500000000000004</v>
      </c>
      <c r="I33" s="34">
        <f>11.6+2.3+2.1+6.5</f>
        <v>22.5</v>
      </c>
      <c r="J33" s="34">
        <f>11.6+2.3+2.1+6.5</f>
        <v>22.5</v>
      </c>
      <c r="K33" s="34">
        <f>33.8+12.3+6.6+2.3+6+2.1+18.7+6.6+0.1+0.1</f>
        <v>88.59999999999998</v>
      </c>
      <c r="L33" s="33">
        <v>0</v>
      </c>
      <c r="M33" s="34">
        <f>45.3+8.2+7.4+23.2+0.1</f>
        <v>84.199999999999989</v>
      </c>
      <c r="N33" s="34">
        <f>260.9+44.3+37.7+121.5+0.4</f>
        <v>464.79999999999995</v>
      </c>
      <c r="O33" s="34">
        <f>30.3+5.3+4.6+14.7+0.1</f>
        <v>55.000000000000007</v>
      </c>
      <c r="P33" s="34">
        <f>41.9+7.6+7+21.6+0.1</f>
        <v>78.199999999999989</v>
      </c>
      <c r="Q33" s="34">
        <f>69.7+11.4+10.3+32.4+0.2</f>
        <v>124.00000000000001</v>
      </c>
      <c r="R33" s="34">
        <f>31.7+5.4+4.8+14.9+0.2</f>
        <v>57</v>
      </c>
      <c r="S33" s="33">
        <f>33.3+5.9+5.3+16.4+0.1</f>
        <v>60.999999999999993</v>
      </c>
      <c r="T33" s="33">
        <f>14.4+2.6+2.4+7.3</f>
        <v>26.7</v>
      </c>
      <c r="U33" s="34">
        <f>7.6+1.6+1+3.8</f>
        <v>14</v>
      </c>
      <c r="V33" s="34">
        <f>50.8+52+14.2+24.8+11.6+13.7+26.4+25.6+8.2+18.6</f>
        <v>245.89999999999998</v>
      </c>
      <c r="W33" s="34">
        <f>82.1+84.9+61.7+43.9+17.7</f>
        <v>290.29999999999995</v>
      </c>
      <c r="X33" s="34">
        <f>1955.1+2124.8+1373.8+966.9+723.7</f>
        <v>7144.2999999999993</v>
      </c>
      <c r="Y33" s="34">
        <f>234.5+231.6+186.9+479.2+43.7+85.8+3781.7+1973.5+1578.4+647.4+56+2183+1169+551.6+397.6+44.5+93.7+96.4+244.7+20.4+32.2+417.1+55.5+73.2+736.5</f>
        <v>15414.100000000002</v>
      </c>
      <c r="Z33" s="34">
        <f>188.3+59.4+44.5+90.6+22.1</f>
        <v>404.90000000000009</v>
      </c>
      <c r="AA33" s="34">
        <f>41.3+22.6+23.8+20.5+34.4</f>
        <v>142.6</v>
      </c>
      <c r="AB33" s="34">
        <f>135.5+599.9+351.4+69.2+459.7</f>
        <v>1615.7</v>
      </c>
      <c r="AC33" s="34">
        <f>4.5+9+7.1+1.9+7.6</f>
        <v>30.1</v>
      </c>
      <c r="AD33" s="34">
        <f>292.9+1034.6+547.4+102.6+992.6</f>
        <v>2970.1</v>
      </c>
      <c r="AE33" s="40">
        <f>84.7+73.1+46.8+38.1+205.7</f>
        <v>448.4</v>
      </c>
      <c r="AF33" s="34">
        <f>25+57.2+49.8+151.2+36.3+83.7+10.4+24.7+40.6+67</f>
        <v>545.9</v>
      </c>
      <c r="AG33" s="34">
        <f>63.3+40.3+28.1+32.7+60.3</f>
        <v>224.7</v>
      </c>
      <c r="AH33" s="34">
        <f>63.3+35.8+25+32.3+30.2</f>
        <v>186.59999999999997</v>
      </c>
      <c r="AI33" s="34">
        <f>70.8+44.9+31.4+34.2+34.3</f>
        <v>215.60000000000002</v>
      </c>
      <c r="AJ33" s="34">
        <f>40.9+95.6+30+120.9+20.5+65.2+20+45.1+30.9+76.8</f>
        <v>545.9</v>
      </c>
      <c r="AK33" s="34">
        <v>0</v>
      </c>
      <c r="AL33" s="34">
        <f>3927.6+1996.7+1249+1753+279.6</f>
        <v>9205.9</v>
      </c>
      <c r="AM33" s="33">
        <f>0.3+0.1+0.1+0.2+7.1</f>
        <v>7.8</v>
      </c>
      <c r="AN33" s="34">
        <v>0.1</v>
      </c>
      <c r="AO33" s="34">
        <f>1191.2+231+202.6+598.2+308.9</f>
        <v>2531.9</v>
      </c>
      <c r="AP33" s="33">
        <f>-1034+276.2+332.1+654.1+87.6</f>
        <v>316.00000000000011</v>
      </c>
      <c r="AQ33" s="33">
        <f>374.1+68.8+181+6.8+5.4</f>
        <v>636.1</v>
      </c>
      <c r="AR33" s="33">
        <f>4706.2+1724.6+1965.7+14.2+67.5</f>
        <v>8478.2000000000007</v>
      </c>
      <c r="AS33" s="33">
        <f>2393.5+2708.3+11912.4+13749.2+1316.9</f>
        <v>32080.300000000003</v>
      </c>
      <c r="AT33" s="33">
        <f>-4656.3+-1227.2+-1495+-1421.5+-1087</f>
        <v>-9887</v>
      </c>
      <c r="AU33" s="36">
        <f t="shared" si="0"/>
        <v>41340.200000000004</v>
      </c>
    </row>
    <row r="34" spans="1:47" ht="48" x14ac:dyDescent="0.2">
      <c r="A34" s="15" t="s">
        <v>123</v>
      </c>
      <c r="B34" s="34">
        <v>0.2</v>
      </c>
      <c r="C34" s="48">
        <v>0</v>
      </c>
      <c r="D34" s="48">
        <v>0</v>
      </c>
      <c r="E34" s="41">
        <v>0.1</v>
      </c>
      <c r="F34" s="48">
        <v>9.6999999999999993</v>
      </c>
      <c r="G34" s="48">
        <v>2.7</v>
      </c>
      <c r="H34" s="48">
        <v>1.3</v>
      </c>
      <c r="I34" s="48">
        <v>5.5</v>
      </c>
      <c r="J34" s="48">
        <v>0</v>
      </c>
      <c r="K34" s="34">
        <v>0.1</v>
      </c>
      <c r="L34" s="33">
        <v>0</v>
      </c>
      <c r="M34" s="48">
        <v>0.1</v>
      </c>
      <c r="N34" s="48">
        <v>0.2</v>
      </c>
      <c r="O34" s="48">
        <v>0</v>
      </c>
      <c r="P34" s="48">
        <v>0</v>
      </c>
      <c r="Q34" s="48">
        <v>0.1</v>
      </c>
      <c r="R34" s="48">
        <v>0.1</v>
      </c>
      <c r="S34" s="48">
        <v>0</v>
      </c>
      <c r="T34" s="48">
        <v>0</v>
      </c>
      <c r="U34" s="48">
        <v>0.1</v>
      </c>
      <c r="V34" s="34">
        <f>4.9+7.3</f>
        <v>12.2</v>
      </c>
      <c r="W34" s="48">
        <v>11.7</v>
      </c>
      <c r="X34" s="48">
        <v>129.30000000000001</v>
      </c>
      <c r="Y34" s="34">
        <f>16.5+44.3+11.1+33.1+10.7</f>
        <v>115.7</v>
      </c>
      <c r="Z34" s="48">
        <v>72.5</v>
      </c>
      <c r="AA34" s="48">
        <v>16.899999999999999</v>
      </c>
      <c r="AB34" s="48">
        <v>32.9</v>
      </c>
      <c r="AC34" s="48">
        <v>2.5</v>
      </c>
      <c r="AD34" s="48">
        <v>214.8</v>
      </c>
      <c r="AE34" s="48">
        <v>96.2</v>
      </c>
      <c r="AF34" s="34">
        <f>10.3+16.5</f>
        <v>26.8</v>
      </c>
      <c r="AG34" s="48">
        <v>14</v>
      </c>
      <c r="AH34" s="48">
        <v>33.1</v>
      </c>
      <c r="AI34" s="48">
        <v>19.899999999999999</v>
      </c>
      <c r="AJ34" s="34" t="s">
        <v>209</v>
      </c>
      <c r="AK34" s="34">
        <v>0</v>
      </c>
      <c r="AL34" s="48">
        <v>4944.8999999999996</v>
      </c>
      <c r="AM34" s="48">
        <v>0</v>
      </c>
      <c r="AN34" s="48">
        <v>0</v>
      </c>
      <c r="AO34" s="48">
        <v>25.5</v>
      </c>
      <c r="AP34" s="48">
        <v>4.5999999999999996</v>
      </c>
      <c r="AQ34" s="48">
        <v>1302.9000000000001</v>
      </c>
      <c r="AR34" s="48">
        <v>14832.2</v>
      </c>
      <c r="AS34" s="48">
        <v>0</v>
      </c>
      <c r="AT34" s="48">
        <v>-1329.3</v>
      </c>
      <c r="AU34" s="22">
        <f t="shared" si="0"/>
        <v>5763.5999999999995</v>
      </c>
    </row>
    <row r="35" spans="1:47" ht="72" x14ac:dyDescent="0.2">
      <c r="A35" s="15" t="s">
        <v>124</v>
      </c>
      <c r="B35" s="34">
        <f>2.1+0.2</f>
        <v>2.3000000000000003</v>
      </c>
      <c r="C35" s="49">
        <v>0</v>
      </c>
      <c r="D35" s="49">
        <v>0</v>
      </c>
      <c r="E35" s="41">
        <v>0.1</v>
      </c>
      <c r="F35" s="48">
        <v>56.1</v>
      </c>
      <c r="G35" s="48">
        <v>15.6</v>
      </c>
      <c r="H35" s="48">
        <v>1.4</v>
      </c>
      <c r="I35" s="48">
        <v>21.5</v>
      </c>
      <c r="J35" s="48">
        <v>0.2</v>
      </c>
      <c r="K35" s="34">
        <f>0.6+0.3</f>
        <v>0.89999999999999991</v>
      </c>
      <c r="L35" s="33">
        <v>0</v>
      </c>
      <c r="M35" s="48">
        <v>0.8</v>
      </c>
      <c r="N35" s="48">
        <v>2.2000000000000002</v>
      </c>
      <c r="O35" s="48">
        <v>0.2</v>
      </c>
      <c r="P35" s="48">
        <v>1</v>
      </c>
      <c r="Q35" s="48">
        <v>1.6</v>
      </c>
      <c r="R35" s="48">
        <v>0.7</v>
      </c>
      <c r="S35" s="48">
        <v>0.4</v>
      </c>
      <c r="T35" s="48">
        <v>0.1</v>
      </c>
      <c r="U35" s="48">
        <v>0.3</v>
      </c>
      <c r="V35" s="34">
        <f>12.2+7.8</f>
        <v>20</v>
      </c>
      <c r="W35" s="48">
        <v>78</v>
      </c>
      <c r="X35" s="48">
        <v>430.3</v>
      </c>
      <c r="Y35" s="34">
        <f>44.5+66.3+69.3+70.6+19.6</f>
        <v>270.3</v>
      </c>
      <c r="Z35" s="48">
        <v>28.3</v>
      </c>
      <c r="AA35" s="48">
        <v>431.7</v>
      </c>
      <c r="AB35" s="49">
        <v>136.5</v>
      </c>
      <c r="AC35" s="48">
        <v>4.5999999999999996</v>
      </c>
      <c r="AD35" s="48">
        <v>460.8</v>
      </c>
      <c r="AE35" s="48">
        <v>258.3</v>
      </c>
      <c r="AF35" s="34">
        <f>62.1+21.2</f>
        <v>83.3</v>
      </c>
      <c r="AG35" s="48">
        <v>22.2</v>
      </c>
      <c r="AH35" s="48">
        <v>37.5</v>
      </c>
      <c r="AI35" s="48">
        <v>111</v>
      </c>
      <c r="AJ35" s="34">
        <f>74.7+36.6</f>
        <v>111.30000000000001</v>
      </c>
      <c r="AK35" s="34">
        <v>0</v>
      </c>
      <c r="AL35" s="48">
        <v>1190.7</v>
      </c>
      <c r="AM35" s="48">
        <v>4.0999999999999996</v>
      </c>
      <c r="AN35" s="48">
        <v>0.1</v>
      </c>
      <c r="AO35" s="48">
        <v>194.9</v>
      </c>
      <c r="AP35" s="48">
        <v>12.9</v>
      </c>
      <c r="AQ35" s="48">
        <v>21.7</v>
      </c>
      <c r="AR35" s="48">
        <v>114.3</v>
      </c>
      <c r="AS35" s="48">
        <v>3613.2</v>
      </c>
      <c r="AT35" s="48">
        <v>-1908.6</v>
      </c>
      <c r="AU35" s="22">
        <f t="shared" si="0"/>
        <v>3784.3999999999996</v>
      </c>
    </row>
    <row r="36" spans="1:47" ht="36" x14ac:dyDescent="0.2">
      <c r="A36" s="15" t="s">
        <v>125</v>
      </c>
      <c r="B36" s="34">
        <f>0.7+0.1</f>
        <v>0.79999999999999993</v>
      </c>
      <c r="C36" s="49">
        <v>0</v>
      </c>
      <c r="D36" s="49">
        <v>0</v>
      </c>
      <c r="E36" s="41">
        <v>0.1</v>
      </c>
      <c r="F36" s="48">
        <v>68.7</v>
      </c>
      <c r="G36" s="48">
        <v>20.399999999999999</v>
      </c>
      <c r="H36" s="48">
        <v>9.9</v>
      </c>
      <c r="I36" s="48">
        <v>40.1</v>
      </c>
      <c r="J36" s="48">
        <v>0</v>
      </c>
      <c r="K36" s="34">
        <f>0.2+0.2</f>
        <v>0.4</v>
      </c>
      <c r="L36" s="33">
        <v>0</v>
      </c>
      <c r="M36" s="48">
        <v>0.2</v>
      </c>
      <c r="N36" s="48">
        <v>1.4</v>
      </c>
      <c r="O36" s="48">
        <v>0.2</v>
      </c>
      <c r="P36" s="48">
        <v>0.4</v>
      </c>
      <c r="Q36" s="48">
        <v>0.5</v>
      </c>
      <c r="R36" s="48">
        <v>0.4</v>
      </c>
      <c r="S36" s="48">
        <v>0.2</v>
      </c>
      <c r="T36" s="48">
        <v>0.1</v>
      </c>
      <c r="U36" s="48">
        <v>0.1</v>
      </c>
      <c r="V36" s="34">
        <f>16.5+38.6</f>
        <v>55.1</v>
      </c>
      <c r="W36" s="48">
        <v>62.8</v>
      </c>
      <c r="X36" s="48">
        <v>1284.0999999999999</v>
      </c>
      <c r="Y36" s="34">
        <f>84.6+1281+185.3+159.5+60.6</f>
        <v>1770.9999999999998</v>
      </c>
      <c r="Z36" s="48">
        <v>95.1</v>
      </c>
      <c r="AA36" s="48">
        <v>134.6</v>
      </c>
      <c r="AB36" s="49">
        <v>1340.8</v>
      </c>
      <c r="AC36" s="48">
        <v>31.5</v>
      </c>
      <c r="AD36" s="48">
        <v>2217.1999999999998</v>
      </c>
      <c r="AE36" s="48">
        <v>567.70000000000005</v>
      </c>
      <c r="AF36" s="34">
        <f>104.5+145.6</f>
        <v>250.1</v>
      </c>
      <c r="AG36" s="48">
        <v>119.1</v>
      </c>
      <c r="AH36" s="48">
        <v>76.900000000000006</v>
      </c>
      <c r="AI36" s="48">
        <v>111</v>
      </c>
      <c r="AJ36" s="34">
        <f>87.3+149.7</f>
        <v>237</v>
      </c>
      <c r="AK36" s="34">
        <v>0</v>
      </c>
      <c r="AL36" s="48">
        <v>1842.2</v>
      </c>
      <c r="AM36" s="48">
        <v>7.9</v>
      </c>
      <c r="AN36" s="48">
        <v>0</v>
      </c>
      <c r="AO36" s="48">
        <v>306.2</v>
      </c>
      <c r="AP36" s="48">
        <v>161.69999999999999</v>
      </c>
      <c r="AQ36" s="48">
        <v>84.7</v>
      </c>
      <c r="AR36" s="48">
        <v>1251</v>
      </c>
      <c r="AS36" s="48">
        <v>4880.8999999999996</v>
      </c>
      <c r="AT36" s="48">
        <v>-352.5</v>
      </c>
      <c r="AU36" s="22">
        <f t="shared" si="0"/>
        <v>10348</v>
      </c>
    </row>
    <row r="37" spans="1:47" ht="48" x14ac:dyDescent="0.2">
      <c r="A37" s="15" t="s">
        <v>126</v>
      </c>
      <c r="B37" s="34">
        <v>0.4</v>
      </c>
      <c r="C37" s="49">
        <v>0</v>
      </c>
      <c r="D37" s="49">
        <v>0</v>
      </c>
      <c r="E37" s="41">
        <v>0.1</v>
      </c>
      <c r="F37" s="48">
        <v>35.200000000000003</v>
      </c>
      <c r="G37" s="48">
        <v>12.2</v>
      </c>
      <c r="H37" s="48">
        <v>4.7</v>
      </c>
      <c r="I37" s="48">
        <v>26.1</v>
      </c>
      <c r="J37" s="48">
        <v>0</v>
      </c>
      <c r="K37" s="34">
        <f>0.3+0.2</f>
        <v>0.5</v>
      </c>
      <c r="L37" s="33">
        <v>0</v>
      </c>
      <c r="M37" s="48">
        <v>0.2</v>
      </c>
      <c r="N37" s="48">
        <v>2.6</v>
      </c>
      <c r="O37" s="48">
        <v>0.2</v>
      </c>
      <c r="P37" s="48">
        <v>0.5</v>
      </c>
      <c r="Q37" s="48">
        <v>0.7</v>
      </c>
      <c r="R37" s="48">
        <v>0.3</v>
      </c>
      <c r="S37" s="48">
        <v>0.4</v>
      </c>
      <c r="T37" s="48">
        <v>0.2</v>
      </c>
      <c r="U37" s="48">
        <v>0.1</v>
      </c>
      <c r="V37" s="34">
        <f>8.3+10.2</f>
        <v>18.5</v>
      </c>
      <c r="W37" s="48">
        <v>24</v>
      </c>
      <c r="X37" s="48">
        <v>567.6</v>
      </c>
      <c r="Y37" s="50">
        <f>43.7+37.6+70+84.4+37.7</f>
        <v>273.40000000000003</v>
      </c>
      <c r="Z37" s="41">
        <v>34.799999999999997</v>
      </c>
      <c r="AA37" s="48">
        <v>42.4</v>
      </c>
      <c r="AB37" s="49">
        <v>217.3</v>
      </c>
      <c r="AC37" s="48">
        <v>25.1</v>
      </c>
      <c r="AD37" s="48">
        <v>966.5</v>
      </c>
      <c r="AE37" s="48">
        <v>233.6</v>
      </c>
      <c r="AF37" s="34">
        <f>24.4+17.6</f>
        <v>42</v>
      </c>
      <c r="AG37" s="48">
        <v>79.8</v>
      </c>
      <c r="AH37" s="48">
        <v>42</v>
      </c>
      <c r="AI37" s="48">
        <v>35.1</v>
      </c>
      <c r="AJ37" s="34">
        <f>23.9+34.1</f>
        <v>58</v>
      </c>
      <c r="AK37" s="34">
        <v>0</v>
      </c>
      <c r="AL37" s="48">
        <v>98.2</v>
      </c>
      <c r="AM37" s="48">
        <v>0</v>
      </c>
      <c r="AN37" s="48">
        <v>0.1</v>
      </c>
      <c r="AO37" s="48">
        <v>408.3</v>
      </c>
      <c r="AP37" s="48">
        <v>70.099999999999994</v>
      </c>
      <c r="AQ37" s="48">
        <v>1.9</v>
      </c>
      <c r="AR37" s="48">
        <v>15.6</v>
      </c>
      <c r="AS37" s="48">
        <v>2128.6</v>
      </c>
      <c r="AT37" s="48">
        <v>-921.1</v>
      </c>
      <c r="AU37" s="22">
        <f t="shared" si="0"/>
        <v>2842.7999999999997</v>
      </c>
    </row>
    <row r="38" spans="1:47" ht="48" x14ac:dyDescent="0.2">
      <c r="A38" s="15" t="s">
        <v>127</v>
      </c>
      <c r="B38" s="34">
        <f>1.1+0.1</f>
        <v>1.2000000000000002</v>
      </c>
      <c r="C38" s="49">
        <v>0</v>
      </c>
      <c r="D38" s="49">
        <v>0</v>
      </c>
      <c r="E38" s="41">
        <v>0.1</v>
      </c>
      <c r="F38" s="48">
        <v>421.4</v>
      </c>
      <c r="G38" s="48">
        <v>108.9</v>
      </c>
      <c r="H38" s="48">
        <v>45.3</v>
      </c>
      <c r="I38" s="48">
        <v>350.3</v>
      </c>
      <c r="J38" s="48">
        <v>0.4</v>
      </c>
      <c r="K38" s="34">
        <f>1.1+0.6</f>
        <v>1.7000000000000002</v>
      </c>
      <c r="L38" s="33">
        <v>0</v>
      </c>
      <c r="M38" s="48">
        <v>1.3</v>
      </c>
      <c r="N38" s="48">
        <v>12</v>
      </c>
      <c r="O38" s="48">
        <v>1.2</v>
      </c>
      <c r="P38" s="48">
        <v>1</v>
      </c>
      <c r="Q38" s="48">
        <v>2</v>
      </c>
      <c r="R38" s="48">
        <v>1.2</v>
      </c>
      <c r="S38" s="48">
        <v>0.8</v>
      </c>
      <c r="T38" s="48">
        <v>0.3</v>
      </c>
      <c r="U38" s="48">
        <v>0.6</v>
      </c>
      <c r="V38" s="34">
        <f>286.1+238.2</f>
        <v>524.29999999999995</v>
      </c>
      <c r="W38" s="48">
        <v>253.9</v>
      </c>
      <c r="X38" s="48">
        <v>6839.4</v>
      </c>
      <c r="Y38" s="34">
        <f>629.2+920.9+301+1126+208.2</f>
        <v>3185.2999999999997</v>
      </c>
      <c r="Z38" s="48">
        <v>434.6</v>
      </c>
      <c r="AA38" s="48">
        <v>258.3</v>
      </c>
      <c r="AB38" s="49">
        <v>654.5</v>
      </c>
      <c r="AC38" s="48">
        <v>66.3</v>
      </c>
      <c r="AD38" s="48">
        <v>25577.599999999999</v>
      </c>
      <c r="AE38" s="48">
        <v>12634.4</v>
      </c>
      <c r="AF38" s="34">
        <f>355.7+731.7</f>
        <v>1087.4000000000001</v>
      </c>
      <c r="AG38" s="48">
        <v>176.8</v>
      </c>
      <c r="AH38" s="48">
        <v>466.3</v>
      </c>
      <c r="AI38" s="48">
        <v>330.2</v>
      </c>
      <c r="AJ38" s="34">
        <f>328.9+836.1</f>
        <v>1165</v>
      </c>
      <c r="AK38" s="34">
        <v>0</v>
      </c>
      <c r="AL38" s="48">
        <v>22484.799999999999</v>
      </c>
      <c r="AM38" s="48">
        <v>0</v>
      </c>
      <c r="AN38" s="48">
        <v>371.8</v>
      </c>
      <c r="AO38" s="48">
        <v>497.7</v>
      </c>
      <c r="AP38" s="48">
        <v>4729.6000000000004</v>
      </c>
      <c r="AQ38" s="48">
        <v>70.5</v>
      </c>
      <c r="AR38" s="48">
        <v>1071.5999999999999</v>
      </c>
      <c r="AS38" s="48">
        <v>41690.400000000001</v>
      </c>
      <c r="AT38" s="48">
        <v>-2972.6</v>
      </c>
      <c r="AU38" s="22">
        <f t="shared" si="0"/>
        <v>77460.600000000006</v>
      </c>
    </row>
    <row r="39" spans="1:47" ht="36" x14ac:dyDescent="0.2">
      <c r="A39" s="15" t="s">
        <v>128</v>
      </c>
      <c r="B39" s="34">
        <f>1.2+0.1</f>
        <v>1.3</v>
      </c>
      <c r="C39" s="49">
        <v>0</v>
      </c>
      <c r="D39" s="49">
        <v>0</v>
      </c>
      <c r="E39" s="41">
        <v>0.1</v>
      </c>
      <c r="F39" s="48">
        <v>90.6</v>
      </c>
      <c r="G39" s="48">
        <v>44</v>
      </c>
      <c r="H39" s="48">
        <v>13.3</v>
      </c>
      <c r="I39" s="48">
        <v>76</v>
      </c>
      <c r="J39" s="48">
        <v>0.1</v>
      </c>
      <c r="K39" s="34">
        <f>0.2+0.1</f>
        <v>0.30000000000000004</v>
      </c>
      <c r="L39" s="33">
        <v>0</v>
      </c>
      <c r="M39" s="48">
        <v>0.6</v>
      </c>
      <c r="N39" s="48">
        <v>4.2</v>
      </c>
      <c r="O39" s="48">
        <v>0.6</v>
      </c>
      <c r="P39" s="48">
        <v>0.7</v>
      </c>
      <c r="Q39" s="48">
        <v>1.2</v>
      </c>
      <c r="R39" s="48">
        <v>0.8</v>
      </c>
      <c r="S39" s="48">
        <v>0.6</v>
      </c>
      <c r="T39" s="48">
        <v>0.2</v>
      </c>
      <c r="U39" s="48">
        <v>0.4</v>
      </c>
      <c r="V39" s="34">
        <f>95.1+305.7</f>
        <v>400.79999999999995</v>
      </c>
      <c r="W39" s="48">
        <v>185.2</v>
      </c>
      <c r="X39" s="48">
        <v>6898.8</v>
      </c>
      <c r="Y39" s="34">
        <f>278.5+170+219.5+2384+104.5</f>
        <v>3156.5</v>
      </c>
      <c r="Z39" s="48">
        <v>1391.8</v>
      </c>
      <c r="AA39" s="48">
        <v>403</v>
      </c>
      <c r="AB39" s="49">
        <v>392.3</v>
      </c>
      <c r="AC39" s="48">
        <v>58.3</v>
      </c>
      <c r="AD39" s="48">
        <v>4381.8</v>
      </c>
      <c r="AE39" s="48">
        <v>4338.3</v>
      </c>
      <c r="AF39" s="34">
        <f>281.5+509.8</f>
        <v>791.3</v>
      </c>
      <c r="AG39" s="48">
        <v>77.7</v>
      </c>
      <c r="AH39" s="48">
        <v>303.2</v>
      </c>
      <c r="AI39" s="48">
        <v>524.70000000000005</v>
      </c>
      <c r="AJ39" s="34">
        <f>616.5+1577.2</f>
        <v>2193.6999999999998</v>
      </c>
      <c r="AK39" s="34">
        <v>0</v>
      </c>
      <c r="AL39" s="48">
        <v>45769.3</v>
      </c>
      <c r="AM39" s="48">
        <v>0</v>
      </c>
      <c r="AN39" s="48">
        <v>0.1</v>
      </c>
      <c r="AO39" s="48">
        <v>6134.7</v>
      </c>
      <c r="AP39" s="48">
        <v>4.7</v>
      </c>
      <c r="AQ39" s="48">
        <v>229.3</v>
      </c>
      <c r="AR39" s="48">
        <v>3510.3</v>
      </c>
      <c r="AS39" s="48">
        <v>41.9</v>
      </c>
      <c r="AT39" s="48">
        <v>-395.1</v>
      </c>
      <c r="AU39" s="22">
        <f t="shared" si="0"/>
        <v>71501.8</v>
      </c>
    </row>
    <row r="40" spans="1:47" ht="60" x14ac:dyDescent="0.2">
      <c r="A40" s="15" t="s">
        <v>129</v>
      </c>
      <c r="B40" s="34">
        <f>3.1+0.3+1.1+0.1</f>
        <v>4.5999999999999996</v>
      </c>
      <c r="C40" s="42">
        <v>0</v>
      </c>
      <c r="D40" s="42">
        <v>0</v>
      </c>
      <c r="E40" s="33">
        <f>4.6+1.4</f>
        <v>6</v>
      </c>
      <c r="F40" s="33">
        <f>207.4+63.2</f>
        <v>270.60000000000002</v>
      </c>
      <c r="G40" s="33">
        <f>58.1+17.2</f>
        <v>75.3</v>
      </c>
      <c r="H40" s="34">
        <f>36.2+13.2</f>
        <v>49.400000000000006</v>
      </c>
      <c r="I40" s="34">
        <f>183.2+59.5</f>
        <v>242.7</v>
      </c>
      <c r="J40" s="34">
        <f>0.2+0.1</f>
        <v>0.30000000000000004</v>
      </c>
      <c r="K40" s="34">
        <f>1+1.2+0.3+0.2</f>
        <v>2.7</v>
      </c>
      <c r="L40" s="33">
        <v>0</v>
      </c>
      <c r="M40" s="34">
        <f>0.6+0.2</f>
        <v>0.8</v>
      </c>
      <c r="N40" s="34">
        <f>4.4+1.9</f>
        <v>6.3000000000000007</v>
      </c>
      <c r="O40" s="34">
        <f>0.5+0.2</f>
        <v>0.7</v>
      </c>
      <c r="P40" s="34">
        <f>1.4+0.3</f>
        <v>1.7</v>
      </c>
      <c r="Q40" s="34">
        <f>2.7+0.6</f>
        <v>3.3000000000000003</v>
      </c>
      <c r="R40" s="34">
        <f>1.7+0.4</f>
        <v>2.1</v>
      </c>
      <c r="S40" s="33">
        <f>1.8+0.4</f>
        <v>2.2000000000000002</v>
      </c>
      <c r="T40" s="33">
        <f>0.6+0.1</f>
        <v>0.7</v>
      </c>
      <c r="U40" s="34">
        <f>1.1+0.8</f>
        <v>1.9000000000000001</v>
      </c>
      <c r="V40" s="34">
        <f>45.7+82.8+14.6+37.6</f>
        <v>180.7</v>
      </c>
      <c r="W40" s="34">
        <f>238.6+62</f>
        <v>300.60000000000002</v>
      </c>
      <c r="X40" s="34">
        <f>3920.9+1506.9</f>
        <v>5427.8</v>
      </c>
      <c r="Y40" s="34">
        <f>220.2+208.5+279.9+399.6+112.8+167.2+212+252.5+245.6+113.4</f>
        <v>2211.6999999999998</v>
      </c>
      <c r="Z40" s="34">
        <f>210.5+86.1</f>
        <v>296.60000000000002</v>
      </c>
      <c r="AA40" s="34">
        <f>169.2+122.1</f>
        <v>291.29999999999995</v>
      </c>
      <c r="AB40" s="34">
        <f>599.6+346.7</f>
        <v>946.3</v>
      </c>
      <c r="AC40" s="34">
        <f>46.3+16.6</f>
        <v>62.9</v>
      </c>
      <c r="AD40" s="34">
        <f>3109.4+1132.7</f>
        <v>4242.1000000000004</v>
      </c>
      <c r="AE40" s="40">
        <f>1710+694.3</f>
        <v>2404.3000000000002</v>
      </c>
      <c r="AF40" s="34">
        <f>488.7+96.2</f>
        <v>584.9</v>
      </c>
      <c r="AG40" s="34">
        <f>409.8+124.8</f>
        <v>534.6</v>
      </c>
      <c r="AH40" s="34">
        <f>209.1+95.6</f>
        <v>304.7</v>
      </c>
      <c r="AI40" s="34">
        <f>301.4+152.1</f>
        <v>453.5</v>
      </c>
      <c r="AJ40" s="34">
        <f>167.1+235+87.6+88</f>
        <v>577.70000000000005</v>
      </c>
      <c r="AK40" s="34">
        <v>0</v>
      </c>
      <c r="AL40" s="34">
        <f>525.5+187.8</f>
        <v>713.3</v>
      </c>
      <c r="AM40" s="33">
        <f>7.8</f>
        <v>7.8</v>
      </c>
      <c r="AN40" s="42">
        <f>348.2+0.1</f>
        <v>348.3</v>
      </c>
      <c r="AO40" s="34">
        <f>2565+91</f>
        <v>2656</v>
      </c>
      <c r="AP40" s="33">
        <f>97.9+59.5</f>
        <v>157.4</v>
      </c>
      <c r="AQ40" s="33">
        <f>32.9+73</f>
        <v>105.9</v>
      </c>
      <c r="AR40" s="33">
        <f>541.9+1088.8</f>
        <v>1630.6999999999998</v>
      </c>
      <c r="AS40" s="33">
        <f>2254.3+1482.5</f>
        <v>3736.8</v>
      </c>
      <c r="AT40" s="33">
        <f>-967+-91.6</f>
        <v>-1058.5999999999999</v>
      </c>
      <c r="AU40" s="36">
        <f t="shared" si="0"/>
        <v>20560.399999999998</v>
      </c>
    </row>
    <row r="41" spans="1:47" ht="72" x14ac:dyDescent="0.2">
      <c r="A41" s="15" t="s">
        <v>130</v>
      </c>
      <c r="B41" s="34">
        <v>0.1</v>
      </c>
      <c r="C41" s="45">
        <v>0</v>
      </c>
      <c r="D41" s="45">
        <v>0</v>
      </c>
      <c r="E41" s="41">
        <v>0.1</v>
      </c>
      <c r="F41" s="48">
        <v>14</v>
      </c>
      <c r="G41" s="48">
        <v>3.3</v>
      </c>
      <c r="H41" s="48">
        <v>2</v>
      </c>
      <c r="I41" s="48">
        <v>7.1</v>
      </c>
      <c r="J41" s="48">
        <v>0</v>
      </c>
      <c r="K41" s="34">
        <f>0.2+0.1</f>
        <v>0.30000000000000004</v>
      </c>
      <c r="L41" s="33">
        <v>0</v>
      </c>
      <c r="M41" s="48">
        <v>0.1</v>
      </c>
      <c r="N41" s="48">
        <v>2.1</v>
      </c>
      <c r="O41" s="48">
        <v>0.2</v>
      </c>
      <c r="P41" s="48">
        <v>0.2</v>
      </c>
      <c r="Q41" s="48">
        <v>0.4</v>
      </c>
      <c r="R41" s="48">
        <v>0.2</v>
      </c>
      <c r="S41" s="48">
        <v>0.2</v>
      </c>
      <c r="T41" s="48">
        <v>0.1</v>
      </c>
      <c r="U41" s="48">
        <v>0.1</v>
      </c>
      <c r="V41" s="34">
        <f>6.2+13.4</f>
        <v>19.600000000000001</v>
      </c>
      <c r="W41" s="48">
        <v>67.7</v>
      </c>
      <c r="X41" s="48">
        <v>297.89999999999998</v>
      </c>
      <c r="Y41" s="34">
        <f>25.8+40.5+196.3+101.2+14.3</f>
        <v>378.1</v>
      </c>
      <c r="Z41" s="48">
        <v>42.9</v>
      </c>
      <c r="AA41" s="48">
        <v>17.600000000000001</v>
      </c>
      <c r="AB41" s="48">
        <v>38.9</v>
      </c>
      <c r="AC41" s="48">
        <v>2.7</v>
      </c>
      <c r="AD41" s="48">
        <v>310.39999999999998</v>
      </c>
      <c r="AE41" s="48">
        <v>91</v>
      </c>
      <c r="AF41" s="34">
        <f>19.3+28.4</f>
        <v>47.7</v>
      </c>
      <c r="AG41" s="48">
        <v>309.8</v>
      </c>
      <c r="AH41" s="48">
        <v>31.6</v>
      </c>
      <c r="AI41" s="48">
        <v>25.1</v>
      </c>
      <c r="AJ41" s="34">
        <f>23.3+40.8</f>
        <v>64.099999999999994</v>
      </c>
      <c r="AK41" s="34">
        <v>0</v>
      </c>
      <c r="AL41" s="48">
        <v>2023.7</v>
      </c>
      <c r="AM41" s="48">
        <v>0</v>
      </c>
      <c r="AN41" s="48">
        <v>21947.8</v>
      </c>
      <c r="AO41" s="48">
        <v>47.4</v>
      </c>
      <c r="AP41" s="48">
        <v>12</v>
      </c>
      <c r="AQ41" s="48">
        <v>4.7</v>
      </c>
      <c r="AR41" s="48">
        <v>0</v>
      </c>
      <c r="AS41" s="48">
        <v>0</v>
      </c>
      <c r="AT41" s="48">
        <v>-91.6</v>
      </c>
      <c r="AU41" s="22">
        <f t="shared" si="0"/>
        <v>25747.1</v>
      </c>
    </row>
    <row r="42" spans="1:47" ht="24" x14ac:dyDescent="0.2">
      <c r="A42" s="15" t="s">
        <v>131</v>
      </c>
      <c r="B42" s="34">
        <v>0.5</v>
      </c>
      <c r="C42" s="45">
        <v>0</v>
      </c>
      <c r="D42" s="45">
        <v>0</v>
      </c>
      <c r="E42" s="41">
        <v>0</v>
      </c>
      <c r="F42" s="48">
        <v>38.1</v>
      </c>
      <c r="G42" s="48">
        <v>9.3000000000000007</v>
      </c>
      <c r="H42" s="48">
        <v>6.1</v>
      </c>
      <c r="I42" s="48">
        <v>34</v>
      </c>
      <c r="J42" s="48">
        <v>0</v>
      </c>
      <c r="K42" s="34">
        <f>0.1+0.1</f>
        <v>0.2</v>
      </c>
      <c r="L42" s="33">
        <v>0</v>
      </c>
      <c r="M42" s="48">
        <v>0.2</v>
      </c>
      <c r="N42" s="48">
        <v>1.2</v>
      </c>
      <c r="O42" s="48">
        <v>0.1</v>
      </c>
      <c r="P42" s="48">
        <v>0.1</v>
      </c>
      <c r="Q42" s="48">
        <v>0.2</v>
      </c>
      <c r="R42" s="48">
        <v>0.2</v>
      </c>
      <c r="S42" s="48">
        <v>0.2</v>
      </c>
      <c r="T42" s="48">
        <v>0.1</v>
      </c>
      <c r="U42" s="48">
        <v>0.1</v>
      </c>
      <c r="V42" s="34">
        <f>12.8+20.4</f>
        <v>33.200000000000003</v>
      </c>
      <c r="W42" s="48">
        <v>45.6</v>
      </c>
      <c r="X42" s="49">
        <v>627.70000000000005</v>
      </c>
      <c r="Y42" s="34">
        <f>57.7+62.4+67.9+123.9+31.9</f>
        <v>343.79999999999995</v>
      </c>
      <c r="Z42" s="48">
        <v>46.8</v>
      </c>
      <c r="AA42" s="45">
        <v>30.5</v>
      </c>
      <c r="AB42" s="48">
        <v>128.9</v>
      </c>
      <c r="AC42" s="48">
        <v>13.9</v>
      </c>
      <c r="AD42" s="48">
        <v>711.7</v>
      </c>
      <c r="AE42" s="48">
        <v>301.3</v>
      </c>
      <c r="AF42" s="34">
        <f>57.6+63.5</f>
        <v>121.1</v>
      </c>
      <c r="AG42" s="48">
        <v>163.30000000000001</v>
      </c>
      <c r="AH42" s="48">
        <v>469.4</v>
      </c>
      <c r="AI42" s="48">
        <v>89.2</v>
      </c>
      <c r="AJ42" s="34">
        <f>34.4+87.7</f>
        <v>122.1</v>
      </c>
      <c r="AK42" s="34">
        <v>0</v>
      </c>
      <c r="AL42" s="48">
        <v>2924.9</v>
      </c>
      <c r="AM42" s="48">
        <v>9128.7000000000007</v>
      </c>
      <c r="AN42" s="48">
        <v>2620.8000000000002</v>
      </c>
      <c r="AO42" s="48">
        <v>233</v>
      </c>
      <c r="AP42" s="48">
        <v>5.3</v>
      </c>
      <c r="AQ42" s="48">
        <v>135.5</v>
      </c>
      <c r="AR42" s="48">
        <v>1707.7</v>
      </c>
      <c r="AS42" s="48">
        <v>0</v>
      </c>
      <c r="AT42" s="48">
        <v>-157</v>
      </c>
      <c r="AU42" s="22">
        <f t="shared" si="0"/>
        <v>18013.5</v>
      </c>
    </row>
    <row r="43" spans="1:47" ht="48" x14ac:dyDescent="0.2">
      <c r="A43" s="15" t="s">
        <v>132</v>
      </c>
      <c r="B43" s="34">
        <v>0</v>
      </c>
      <c r="C43" s="45">
        <v>0</v>
      </c>
      <c r="D43" s="45">
        <v>0</v>
      </c>
      <c r="E43" s="41">
        <v>0.1</v>
      </c>
      <c r="F43" s="48">
        <v>8.4</v>
      </c>
      <c r="G43" s="48">
        <v>4.2</v>
      </c>
      <c r="H43" s="48">
        <v>1</v>
      </c>
      <c r="I43" s="48">
        <v>4.0999999999999996</v>
      </c>
      <c r="J43" s="48">
        <v>0.1</v>
      </c>
      <c r="K43" s="34">
        <f>0.2+0.1</f>
        <v>0.30000000000000004</v>
      </c>
      <c r="L43" s="33">
        <v>0</v>
      </c>
      <c r="M43" s="48">
        <v>0.1</v>
      </c>
      <c r="N43" s="48">
        <v>0.8</v>
      </c>
      <c r="O43" s="48">
        <v>0.1</v>
      </c>
      <c r="P43" s="48">
        <v>0.2</v>
      </c>
      <c r="Q43" s="48">
        <v>0.3</v>
      </c>
      <c r="R43" s="48">
        <v>0.1</v>
      </c>
      <c r="S43" s="48">
        <v>0.1</v>
      </c>
      <c r="T43" s="48">
        <v>0</v>
      </c>
      <c r="U43" s="48">
        <v>0</v>
      </c>
      <c r="V43" s="34">
        <f>4.1+5.7</f>
        <v>9.8000000000000007</v>
      </c>
      <c r="W43" s="48">
        <v>10.199999999999999</v>
      </c>
      <c r="X43" s="49">
        <v>141.1</v>
      </c>
      <c r="Y43" s="34">
        <f>17+48.8+8+41.2+8.8</f>
        <v>123.8</v>
      </c>
      <c r="Z43" s="48">
        <v>17.100000000000001</v>
      </c>
      <c r="AA43" s="45">
        <v>5</v>
      </c>
      <c r="AB43" s="48">
        <v>17.100000000000001</v>
      </c>
      <c r="AC43" s="48">
        <v>1.2</v>
      </c>
      <c r="AD43" s="48">
        <v>218.2</v>
      </c>
      <c r="AE43" s="48">
        <v>86.8</v>
      </c>
      <c r="AF43" s="34">
        <f>11.2+18.8</f>
        <v>30</v>
      </c>
      <c r="AG43" s="48">
        <v>9</v>
      </c>
      <c r="AH43" s="48">
        <v>35.4</v>
      </c>
      <c r="AI43" s="48">
        <v>258.2</v>
      </c>
      <c r="AJ43" s="34">
        <f>15.8+25.5</f>
        <v>41.3</v>
      </c>
      <c r="AK43" s="34">
        <v>0</v>
      </c>
      <c r="AL43" s="48">
        <v>6137.2</v>
      </c>
      <c r="AM43" s="48">
        <v>1571</v>
      </c>
      <c r="AN43" s="48">
        <v>10648</v>
      </c>
      <c r="AO43" s="48">
        <v>29.8</v>
      </c>
      <c r="AP43" s="48">
        <v>17.100000000000001</v>
      </c>
      <c r="AQ43" s="48">
        <v>58.1</v>
      </c>
      <c r="AR43" s="48">
        <v>843.7</v>
      </c>
      <c r="AS43" s="48">
        <v>0</v>
      </c>
      <c r="AT43" s="48">
        <v>-117.5</v>
      </c>
      <c r="AU43" s="22">
        <f t="shared" si="0"/>
        <v>19380.3</v>
      </c>
    </row>
    <row r="44" spans="1:47" ht="84" x14ac:dyDescent="0.2">
      <c r="A44" s="15" t="s">
        <v>133</v>
      </c>
      <c r="B44" s="34">
        <f>0.5+0.1+3.5+0.5</f>
        <v>4.5999999999999996</v>
      </c>
      <c r="C44" s="42">
        <v>0</v>
      </c>
      <c r="D44" s="42">
        <v>0</v>
      </c>
      <c r="E44" s="42">
        <f>0.2</f>
        <v>0.2</v>
      </c>
      <c r="F44" s="33">
        <f>18.8+146.4</f>
        <v>165.20000000000002</v>
      </c>
      <c r="G44" s="33">
        <f>3+53.2</f>
        <v>56.2</v>
      </c>
      <c r="H44" s="34">
        <f>1.2+16.1</f>
        <v>17.3</v>
      </c>
      <c r="I44" s="34">
        <f>12.6+96</f>
        <v>108.6</v>
      </c>
      <c r="J44" s="34">
        <f>1</f>
        <v>1</v>
      </c>
      <c r="K44" s="34">
        <f>0.1+0.1+3+2.3</f>
        <v>5.5</v>
      </c>
      <c r="L44" s="33">
        <v>0</v>
      </c>
      <c r="M44" s="34">
        <f>2.6</f>
        <v>2.6</v>
      </c>
      <c r="N44" s="34">
        <f>0.4+19.2</f>
        <v>19.599999999999998</v>
      </c>
      <c r="O44" s="34">
        <f>2.5</f>
        <v>2.5</v>
      </c>
      <c r="P44" s="34">
        <f>0.1+4</f>
        <v>4.0999999999999996</v>
      </c>
      <c r="Q44" s="34">
        <f>0.1+6.7</f>
        <v>6.8</v>
      </c>
      <c r="R44" s="34">
        <f>0.1+3.8</f>
        <v>3.9</v>
      </c>
      <c r="S44" s="33">
        <f>0.1+9.9</f>
        <v>10</v>
      </c>
      <c r="T44" s="33">
        <v>3.4</v>
      </c>
      <c r="U44" s="34">
        <v>0.5</v>
      </c>
      <c r="V44" s="34">
        <f>7.3+11.1+65.7+72.1</f>
        <v>156.19999999999999</v>
      </c>
      <c r="W44" s="34">
        <f>14.6+121.8</f>
        <v>136.4</v>
      </c>
      <c r="X44" s="34">
        <f>250.6+1184</f>
        <v>1434.6</v>
      </c>
      <c r="Y44" s="34">
        <f>24.2502+42.6+58.3+28.2+126.7+137.8+220.3+176.9+78</f>
        <v>893.05020000000002</v>
      </c>
      <c r="Z44" s="34">
        <f>22.7+208.2</f>
        <v>230.89999999999998</v>
      </c>
      <c r="AA44" s="34">
        <f>169.2+122.1</f>
        <v>291.29999999999995</v>
      </c>
      <c r="AB44" s="34">
        <f>73.2+175.1</f>
        <v>248.3</v>
      </c>
      <c r="AC44" s="34">
        <f>3.3+14</f>
        <v>17.3</v>
      </c>
      <c r="AD44" s="34">
        <f>499.7+1244</f>
        <v>1743.7</v>
      </c>
      <c r="AE44" s="40">
        <f>360.9+773.1</f>
        <v>1134</v>
      </c>
      <c r="AF44" s="34">
        <f>43.7+57.6+90.1+133.1</f>
        <v>324.5</v>
      </c>
      <c r="AG44" s="34">
        <f>32.5+87.7</f>
        <v>120.2</v>
      </c>
      <c r="AH44" s="34">
        <f>45.2+80.8</f>
        <v>126</v>
      </c>
      <c r="AI44" s="34">
        <f>36.9+163.7</f>
        <v>200.6</v>
      </c>
      <c r="AJ44" s="34">
        <f>766.6+114.1+163.2+499.5</f>
        <v>1543.4</v>
      </c>
      <c r="AK44" s="34">
        <v>0</v>
      </c>
      <c r="AL44" s="34">
        <f>1641.3+4507.2</f>
        <v>6148.5</v>
      </c>
      <c r="AM44" s="33">
        <f>62.3+346</f>
        <v>408.3</v>
      </c>
      <c r="AN44" s="34">
        <v>0</v>
      </c>
      <c r="AO44" s="34">
        <f>167+611.6</f>
        <v>778.6</v>
      </c>
      <c r="AP44" s="33">
        <f>-0.9+19.3</f>
        <v>18.400000000000002</v>
      </c>
      <c r="AQ44" s="33">
        <f>132.4+78.3</f>
        <v>210.7</v>
      </c>
      <c r="AR44" s="33">
        <f>2089.6+1116.4</f>
        <v>3206</v>
      </c>
      <c r="AS44" s="33">
        <v>318</v>
      </c>
      <c r="AT44" s="33">
        <f>-337.8+-150.2</f>
        <v>-488</v>
      </c>
      <c r="AU44" s="36">
        <f t="shared" si="0"/>
        <v>15569.2502</v>
      </c>
    </row>
    <row r="45" spans="1:47" ht="72" x14ac:dyDescent="0.2">
      <c r="A45" s="15" t="s">
        <v>134</v>
      </c>
      <c r="B45" s="33">
        <v>0</v>
      </c>
      <c r="C45" s="45">
        <v>0</v>
      </c>
      <c r="D45" s="45">
        <v>0</v>
      </c>
      <c r="E45" s="41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33">
        <v>0</v>
      </c>
      <c r="L45" s="33">
        <v>0</v>
      </c>
      <c r="M45" s="48">
        <v>0</v>
      </c>
      <c r="N45" s="48">
        <v>0</v>
      </c>
      <c r="O45" s="48">
        <v>0</v>
      </c>
      <c r="P45" s="45">
        <v>0</v>
      </c>
      <c r="Q45" s="45">
        <v>0</v>
      </c>
      <c r="R45" s="45">
        <v>0</v>
      </c>
      <c r="S45" s="48">
        <v>0</v>
      </c>
      <c r="T45" s="45">
        <v>0</v>
      </c>
      <c r="U45" s="48">
        <v>0</v>
      </c>
      <c r="V45" s="33">
        <v>0</v>
      </c>
      <c r="W45" s="45">
        <v>0</v>
      </c>
      <c r="X45" s="48">
        <v>0</v>
      </c>
      <c r="Y45" s="33">
        <v>0</v>
      </c>
      <c r="Z45" s="48">
        <v>0</v>
      </c>
      <c r="AA45" s="45">
        <v>0</v>
      </c>
      <c r="AB45" s="45">
        <v>0</v>
      </c>
      <c r="AC45" s="45">
        <v>0</v>
      </c>
      <c r="AD45" s="48">
        <v>0</v>
      </c>
      <c r="AE45" s="45">
        <v>0</v>
      </c>
      <c r="AF45" s="33">
        <v>0</v>
      </c>
      <c r="AG45" s="45">
        <v>0</v>
      </c>
      <c r="AH45" s="45">
        <v>0</v>
      </c>
      <c r="AI45" s="45">
        <v>0</v>
      </c>
      <c r="AJ45" s="33">
        <v>0</v>
      </c>
      <c r="AK45" s="33">
        <v>0</v>
      </c>
      <c r="AL45" s="45">
        <v>4665</v>
      </c>
      <c r="AM45" s="45">
        <v>0</v>
      </c>
      <c r="AN45" s="45">
        <v>0</v>
      </c>
      <c r="AO45" s="48">
        <v>0</v>
      </c>
      <c r="AP45" s="45">
        <v>0</v>
      </c>
      <c r="AQ45" s="45">
        <v>0</v>
      </c>
      <c r="AR45" s="45">
        <v>0</v>
      </c>
      <c r="AS45" s="45">
        <v>0</v>
      </c>
      <c r="AT45" s="45">
        <v>0</v>
      </c>
      <c r="AU45" s="22">
        <f t="shared" si="0"/>
        <v>4665</v>
      </c>
    </row>
    <row r="46" spans="1:47" ht="96" x14ac:dyDescent="0.2">
      <c r="A46" s="15" t="s">
        <v>135</v>
      </c>
      <c r="B46" s="33">
        <v>0</v>
      </c>
      <c r="C46" s="46">
        <v>0</v>
      </c>
      <c r="D46" s="46">
        <v>0</v>
      </c>
      <c r="E46" s="41">
        <v>0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33">
        <v>0</v>
      </c>
      <c r="L46" s="33">
        <v>0</v>
      </c>
      <c r="M46" s="48">
        <v>0</v>
      </c>
      <c r="N46" s="49">
        <v>0</v>
      </c>
      <c r="O46" s="48">
        <v>0</v>
      </c>
      <c r="P46" s="45">
        <v>0</v>
      </c>
      <c r="Q46" s="45">
        <v>0</v>
      </c>
      <c r="R46" s="45">
        <v>0</v>
      </c>
      <c r="S46" s="48">
        <v>0</v>
      </c>
      <c r="T46" s="45">
        <v>0</v>
      </c>
      <c r="U46" s="45">
        <v>0</v>
      </c>
      <c r="V46" s="33">
        <v>0</v>
      </c>
      <c r="W46" s="45">
        <v>0</v>
      </c>
      <c r="X46" s="45">
        <v>0</v>
      </c>
      <c r="Y46" s="33">
        <f>-0.1</f>
        <v>-0.1</v>
      </c>
      <c r="Z46" s="45">
        <v>-0.1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33">
        <v>0</v>
      </c>
      <c r="AG46" s="45">
        <v>0</v>
      </c>
      <c r="AH46" s="45">
        <v>0</v>
      </c>
      <c r="AI46" s="45">
        <v>0</v>
      </c>
      <c r="AJ46" s="33">
        <v>0</v>
      </c>
      <c r="AK46" s="33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57.3</v>
      </c>
      <c r="AR46" s="45">
        <v>0</v>
      </c>
      <c r="AS46" s="45">
        <v>0</v>
      </c>
      <c r="AT46" s="45">
        <v>-57.1</v>
      </c>
      <c r="AU46" s="22">
        <f t="shared" si="0"/>
        <v>-0.2</v>
      </c>
    </row>
    <row r="47" spans="1:47" ht="132" x14ac:dyDescent="0.2">
      <c r="A47" s="15" t="s">
        <v>136</v>
      </c>
      <c r="B47" s="33">
        <f>2.8+0.2</f>
        <v>3</v>
      </c>
      <c r="C47" s="46">
        <v>0</v>
      </c>
      <c r="D47" s="46">
        <v>0</v>
      </c>
      <c r="E47" s="41">
        <v>35.799999999999997</v>
      </c>
      <c r="F47" s="48">
        <v>64.3</v>
      </c>
      <c r="G47" s="48">
        <v>31.4</v>
      </c>
      <c r="H47" s="48">
        <v>7</v>
      </c>
      <c r="I47" s="48">
        <v>47.9</v>
      </c>
      <c r="J47" s="48">
        <v>17.5</v>
      </c>
      <c r="K47" s="33">
        <f>30.7+8.5</f>
        <v>39.200000000000003</v>
      </c>
      <c r="L47" s="33">
        <v>0</v>
      </c>
      <c r="M47" s="48">
        <v>20</v>
      </c>
      <c r="N47" s="49">
        <v>162.69999999999999</v>
      </c>
      <c r="O47" s="48">
        <v>14.4</v>
      </c>
      <c r="P47" s="45">
        <v>34.1</v>
      </c>
      <c r="Q47" s="45">
        <v>27.1</v>
      </c>
      <c r="R47" s="45">
        <v>12.1</v>
      </c>
      <c r="S47" s="48">
        <v>26.6</v>
      </c>
      <c r="T47" s="45">
        <v>4.8</v>
      </c>
      <c r="U47" s="45">
        <v>13.7</v>
      </c>
      <c r="V47" s="33">
        <f>55.6+61.1</f>
        <v>116.7</v>
      </c>
      <c r="W47" s="45">
        <v>231.5</v>
      </c>
      <c r="X47" s="45">
        <v>2799.5</v>
      </c>
      <c r="Y47" s="33">
        <f>104.9+350.7+239.3+392.1+67.7</f>
        <v>1154.7</v>
      </c>
      <c r="Z47" s="45">
        <v>117.8</v>
      </c>
      <c r="AA47" s="45">
        <v>84.1</v>
      </c>
      <c r="AB47" s="45">
        <v>263</v>
      </c>
      <c r="AC47" s="45">
        <v>10.4</v>
      </c>
      <c r="AD47" s="45">
        <v>1344.4</v>
      </c>
      <c r="AE47" s="45">
        <v>635.29999999999995</v>
      </c>
      <c r="AF47" s="33">
        <f>51.8+99.6</f>
        <v>151.39999999999998</v>
      </c>
      <c r="AG47" s="45">
        <v>123.1</v>
      </c>
      <c r="AH47" s="45">
        <v>94.8</v>
      </c>
      <c r="AI47" s="45">
        <v>77.099999999999994</v>
      </c>
      <c r="AJ47" s="33">
        <f>113.3+162.8</f>
        <v>276.10000000000002</v>
      </c>
      <c r="AK47" s="33">
        <v>0</v>
      </c>
      <c r="AL47" s="45">
        <v>3739.1</v>
      </c>
      <c r="AM47" s="45">
        <v>29.6</v>
      </c>
      <c r="AN47" s="45">
        <v>-29.4</v>
      </c>
      <c r="AO47" s="45">
        <v>1750.4</v>
      </c>
      <c r="AP47" s="45">
        <v>0</v>
      </c>
      <c r="AQ47" s="45">
        <v>0</v>
      </c>
      <c r="AR47" s="45">
        <v>-42.9</v>
      </c>
      <c r="AS47" s="45">
        <v>0</v>
      </c>
      <c r="AT47" s="45">
        <v>0</v>
      </c>
      <c r="AU47" s="22">
        <f t="shared" si="0"/>
        <v>11780.800000000003</v>
      </c>
    </row>
    <row r="48" spans="1:47" ht="72" x14ac:dyDescent="0.2">
      <c r="A48" s="15" t="s">
        <v>137</v>
      </c>
      <c r="B48" s="33">
        <f>269.5+34.7</f>
        <v>304.2</v>
      </c>
      <c r="C48" s="46">
        <v>0</v>
      </c>
      <c r="D48" s="46">
        <v>0</v>
      </c>
      <c r="E48" s="41">
        <v>8028.3</v>
      </c>
      <c r="F48" s="48">
        <v>6194.7</v>
      </c>
      <c r="G48" s="48">
        <v>2727.5</v>
      </c>
      <c r="H48" s="48">
        <v>532.4</v>
      </c>
      <c r="I48" s="48">
        <v>4555.6000000000004</v>
      </c>
      <c r="J48" s="48">
        <v>377.9</v>
      </c>
      <c r="K48" s="33">
        <f>1159.8+452</f>
        <v>1611.8</v>
      </c>
      <c r="L48" s="33">
        <v>0</v>
      </c>
      <c r="M48" s="48">
        <v>1228.3</v>
      </c>
      <c r="N48" s="49">
        <v>11480.1</v>
      </c>
      <c r="O48" s="48">
        <v>1130.5999999999999</v>
      </c>
      <c r="P48" s="45">
        <v>1446.5</v>
      </c>
      <c r="Q48" s="45">
        <v>2665.6</v>
      </c>
      <c r="R48" s="45">
        <v>1189.9000000000001</v>
      </c>
      <c r="S48" s="48">
        <v>1424.9</v>
      </c>
      <c r="T48" s="45">
        <v>499</v>
      </c>
      <c r="U48" s="45">
        <v>715.8</v>
      </c>
      <c r="V48" s="33">
        <f>2971.3+3200.1</f>
        <v>6171.4</v>
      </c>
      <c r="W48" s="45">
        <v>12195.5</v>
      </c>
      <c r="X48" s="45">
        <v>104745.4</v>
      </c>
      <c r="Y48" s="33">
        <f>5658.2+16315.8+12040.1+17264.4+4079.3</f>
        <v>55357.8</v>
      </c>
      <c r="Z48" s="45">
        <v>8861.7000000000007</v>
      </c>
      <c r="AA48" s="45">
        <v>3649.8</v>
      </c>
      <c r="AB48" s="45">
        <v>10369.200000000001</v>
      </c>
      <c r="AC48" s="45">
        <v>464.7</v>
      </c>
      <c r="AD48" s="45">
        <v>53727.3</v>
      </c>
      <c r="AE48" s="45">
        <v>28542.2</v>
      </c>
      <c r="AF48" s="33">
        <f>2707.8+4500.8</f>
        <v>7208.6</v>
      </c>
      <c r="AG48" s="45">
        <v>4524.5</v>
      </c>
      <c r="AH48" s="45">
        <v>4403.8</v>
      </c>
      <c r="AI48" s="45">
        <v>5448</v>
      </c>
      <c r="AJ48" s="33">
        <f>4177.3+7398.2</f>
        <v>11575.5</v>
      </c>
      <c r="AK48" s="33">
        <v>0</v>
      </c>
      <c r="AL48" s="45">
        <v>230751.9</v>
      </c>
      <c r="AM48" s="45">
        <v>11199.9</v>
      </c>
      <c r="AN48" s="45">
        <v>35909.800000000003</v>
      </c>
      <c r="AO48" s="45">
        <v>77220.899999999994</v>
      </c>
      <c r="AP48" s="45">
        <v>61910.2</v>
      </c>
      <c r="AQ48" s="45">
        <v>3576.1</v>
      </c>
      <c r="AR48" s="45">
        <v>37530.199999999997</v>
      </c>
      <c r="AS48" s="45">
        <v>139110.70000000001</v>
      </c>
      <c r="AT48" s="45">
        <v>-235559.1</v>
      </c>
      <c r="AU48" s="22">
        <f t="shared" si="0"/>
        <v>641220.10000000009</v>
      </c>
    </row>
    <row r="49" spans="1:47" ht="36" x14ac:dyDescent="0.2">
      <c r="A49" s="15" t="s">
        <v>139</v>
      </c>
      <c r="B49" s="33">
        <f>179.8+30.3</f>
        <v>210.10000000000002</v>
      </c>
      <c r="C49" s="46">
        <v>0</v>
      </c>
      <c r="D49" s="46">
        <v>0</v>
      </c>
      <c r="E49" s="41">
        <v>76.3</v>
      </c>
      <c r="F49" s="48">
        <v>2573.5</v>
      </c>
      <c r="G49" s="48">
        <v>265.2</v>
      </c>
      <c r="H49" s="48">
        <v>213.6</v>
      </c>
      <c r="I49" s="48">
        <v>133.1</v>
      </c>
      <c r="J49" s="48">
        <v>35.299999999999997</v>
      </c>
      <c r="K49" s="33">
        <f>38+22.9</f>
        <v>60.9</v>
      </c>
      <c r="L49" s="33">
        <v>0</v>
      </c>
      <c r="M49" s="48">
        <v>50</v>
      </c>
      <c r="N49" s="49">
        <v>28.2</v>
      </c>
      <c r="O49" s="48">
        <v>75.599999999999994</v>
      </c>
      <c r="P49" s="45">
        <v>51.7</v>
      </c>
      <c r="Q49" s="45">
        <v>45.3</v>
      </c>
      <c r="R49" s="45">
        <v>47.2</v>
      </c>
      <c r="S49" s="48">
        <v>43.4</v>
      </c>
      <c r="T49" s="45">
        <v>20.399999999999999</v>
      </c>
      <c r="U49" s="45">
        <v>92</v>
      </c>
      <c r="V49" s="33">
        <f>2341.9+2023.8</f>
        <v>4365.7</v>
      </c>
      <c r="W49" s="45">
        <v>15493.8</v>
      </c>
      <c r="X49" s="45">
        <v>73962.899999999994</v>
      </c>
      <c r="Y49" s="33">
        <f>6622.9+2366.9+9657.3+606.9+1122.7</f>
        <v>20376.7</v>
      </c>
      <c r="Z49" s="45">
        <v>11770.9</v>
      </c>
      <c r="AA49" s="45">
        <v>2182.6</v>
      </c>
      <c r="AB49" s="45">
        <v>6311.7</v>
      </c>
      <c r="AC49" s="45">
        <v>4091.6</v>
      </c>
      <c r="AD49" s="45">
        <v>68821.600000000006</v>
      </c>
      <c r="AE49" s="45">
        <v>52485.599999999999</v>
      </c>
      <c r="AF49" s="33">
        <f>16474.7+3558.1</f>
        <v>20032.8</v>
      </c>
      <c r="AG49" s="45">
        <v>21195.1</v>
      </c>
      <c r="AH49" s="45">
        <v>15533.9</v>
      </c>
      <c r="AI49" s="45">
        <v>14763.2</v>
      </c>
      <c r="AJ49" s="33">
        <f>2644.6+5442.6</f>
        <v>8087.2000000000007</v>
      </c>
      <c r="AK49" s="48">
        <v>4665</v>
      </c>
      <c r="AL49" s="45">
        <v>0</v>
      </c>
      <c r="AM49" s="45">
        <v>0</v>
      </c>
      <c r="AN49" s="45">
        <v>0</v>
      </c>
      <c r="AO49" s="45">
        <v>0</v>
      </c>
      <c r="AP49" s="45">
        <v>0</v>
      </c>
      <c r="AQ49" s="45">
        <v>0</v>
      </c>
      <c r="AR49" s="45">
        <v>0</v>
      </c>
      <c r="AS49" s="45">
        <v>0</v>
      </c>
      <c r="AT49" s="45">
        <v>0</v>
      </c>
      <c r="AU49" s="22">
        <f t="shared" si="0"/>
        <v>348162.10000000003</v>
      </c>
    </row>
    <row r="50" spans="1:47" ht="36" x14ac:dyDescent="0.2">
      <c r="A50" s="15" t="s">
        <v>141</v>
      </c>
      <c r="B50" s="33">
        <f>449.3+65</f>
        <v>514.29999999999995</v>
      </c>
      <c r="C50" s="46">
        <v>0</v>
      </c>
      <c r="D50" s="46">
        <v>0</v>
      </c>
      <c r="E50" s="41">
        <v>8104.5</v>
      </c>
      <c r="F50" s="48">
        <v>8768.1</v>
      </c>
      <c r="G50" s="48">
        <v>2992.7</v>
      </c>
      <c r="H50" s="48">
        <v>746</v>
      </c>
      <c r="I50" s="48">
        <v>4688.8</v>
      </c>
      <c r="J50" s="48">
        <v>413.2</v>
      </c>
      <c r="K50" s="33">
        <f>1197+474.8</f>
        <v>1671.8</v>
      </c>
      <c r="L50" s="33">
        <v>0</v>
      </c>
      <c r="M50" s="48">
        <v>1278.3</v>
      </c>
      <c r="N50" s="49">
        <v>11508.3</v>
      </c>
      <c r="O50" s="48">
        <v>1206.2</v>
      </c>
      <c r="P50" s="45">
        <v>1498.2</v>
      </c>
      <c r="Q50" s="45">
        <v>2710.9</v>
      </c>
      <c r="R50" s="45">
        <v>1237.0999999999999</v>
      </c>
      <c r="S50" s="48">
        <v>1468.2</v>
      </c>
      <c r="T50" s="45">
        <v>519.5</v>
      </c>
      <c r="U50" s="45">
        <v>807.8</v>
      </c>
      <c r="V50" s="33">
        <f>5313.3+5223.9</f>
        <v>10537.2</v>
      </c>
      <c r="W50" s="45">
        <v>27689.4</v>
      </c>
      <c r="X50" s="45">
        <v>178708.3</v>
      </c>
      <c r="Y50" s="33">
        <f>12281.1+18682.6+21697.4+17871.3+5202</f>
        <v>75734.399999999994</v>
      </c>
      <c r="Z50" s="45">
        <v>20632.5</v>
      </c>
      <c r="AA50" s="45">
        <v>5832.4</v>
      </c>
      <c r="AB50" s="45">
        <v>16680.900000000001</v>
      </c>
      <c r="AC50" s="45">
        <v>4556.3</v>
      </c>
      <c r="AD50" s="45">
        <v>122548.9</v>
      </c>
      <c r="AE50" s="45">
        <v>81027.8</v>
      </c>
      <c r="AF50" s="33">
        <f>19182.5+8058.9</f>
        <v>27241.4</v>
      </c>
      <c r="AG50" s="45">
        <v>25719.599999999999</v>
      </c>
      <c r="AH50" s="45">
        <v>19937.7</v>
      </c>
      <c r="AI50" s="45">
        <v>20211.2</v>
      </c>
      <c r="AJ50" s="33">
        <f>6821.9+12840.8</f>
        <v>19662.699999999997</v>
      </c>
      <c r="AK50" s="48">
        <v>4665</v>
      </c>
      <c r="AL50" s="45">
        <v>0</v>
      </c>
      <c r="AM50" s="45">
        <v>0</v>
      </c>
      <c r="AN50" s="45">
        <v>0</v>
      </c>
      <c r="AO50" s="45">
        <v>0</v>
      </c>
      <c r="AP50" s="45">
        <v>0</v>
      </c>
      <c r="AQ50" s="45">
        <v>0</v>
      </c>
      <c r="AR50" s="45">
        <v>0</v>
      </c>
      <c r="AS50" s="45">
        <v>0</v>
      </c>
      <c r="AT50" s="45">
        <v>0</v>
      </c>
      <c r="AU50" s="22">
        <f t="shared" si="0"/>
        <v>711519.59999999986</v>
      </c>
    </row>
    <row r="51" spans="1:47" x14ac:dyDescent="0.2">
      <c r="A51" s="17" t="s">
        <v>210</v>
      </c>
      <c r="C51" s="32"/>
      <c r="D51" s="32"/>
      <c r="AU51" s="22">
        <f t="shared" ref="AU51" si="1">SUM(B51:AN51)</f>
        <v>0</v>
      </c>
    </row>
  </sheetData>
  <mergeCells count="4">
    <mergeCell ref="B4:AT4"/>
    <mergeCell ref="B5:AT5"/>
    <mergeCell ref="B6:AT6"/>
    <mergeCell ref="B7:AT7"/>
  </mergeCells>
  <hyperlinks>
    <hyperlink ref="B4" r:id="rId1" display="http://stats.oecd.org/OECDStat_Metadata/ShowMetadata.ashx?Dataset=IOTSI4_2018&amp;Coords=[VAR].[TTL]&amp;ShowOnWeb=true&amp;Lang=en" xr:uid="{8D9ED8E9-36A6-0341-A3E1-D0495C3C1F41}"/>
    <hyperlink ref="A51" r:id="rId2" display="https://stats-2.oecd.org/index.aspx?DatasetCode=IOTSI4_2018" xr:uid="{CB208360-9FCC-3443-94E8-E4CEA7F3B6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54"/>
  <sheetViews>
    <sheetView topLeftCell="D2" zoomScale="117" zoomScaleNormal="316" workbookViewId="0">
      <pane xSplit="1" ySplit="7" topLeftCell="E9" activePane="bottomRight" state="frozen"/>
      <selection pane="topRight" activeCell="E2" sqref="E2"/>
      <selection pane="bottomLeft" activeCell="D9" sqref="D9"/>
      <selection pane="bottomRight" activeCell="E6" sqref="E6:AW6"/>
    </sheetView>
  </sheetViews>
  <sheetFormatPr baseColWidth="10" defaultColWidth="9.1640625" defaultRowHeight="15" x14ac:dyDescent="0.2"/>
  <cols>
    <col min="1" max="1" width="34.83203125" bestFit="1" customWidth="1"/>
    <col min="4" max="4" width="27.5" customWidth="1"/>
    <col min="5" max="49" width="12.5" customWidth="1"/>
    <col min="50" max="50" width="11.83203125" customWidth="1"/>
  </cols>
  <sheetData>
    <row r="1" spans="1:50" hidden="1" x14ac:dyDescent="0.2">
      <c r="D1" s="11" t="e">
        <f ca="1">DotStatQuery(#REF!)</f>
        <v>#NAME?</v>
      </c>
    </row>
    <row r="2" spans="1:50" ht="42" x14ac:dyDescent="0.2">
      <c r="D2" s="25" t="s">
        <v>196</v>
      </c>
      <c r="E2" s="19" t="str">
        <f>INDEX('OECD Crosswalk'!$B$2:$B$90,MATCH('OECD Data IO Table - Total (USD'!E8,'OECD Crosswalk'!$A$2:$A$90,0),1)</f>
        <v>nonenergy industries</v>
      </c>
      <c r="F2" s="19" t="str">
        <f>INDEX('OECD Crosswalk'!$B$2:$B$90,MATCH('OECD Data IO Table - Total (USD'!F8,'OECD Crosswalk'!$A$2:$A$90,0),1)</f>
        <v>natural gas and petroleum suppliers</v>
      </c>
      <c r="G2" s="19" t="str">
        <f>INDEX('OECD Crosswalk'!$B$2:$B$90,MATCH('OECD Data IO Table - Total (USD'!G8,'OECD Crosswalk'!$A$2:$A$90,0),1)</f>
        <v>nonenergy industries</v>
      </c>
      <c r="H2" s="19" t="str">
        <f>INDEX('OECD Crosswalk'!$B$2:$B$90,MATCH('OECD Data IO Table - Total (USD'!H8,'OECD Crosswalk'!$A$2:$A$90,0),1)</f>
        <v>nonenergy industries</v>
      </c>
      <c r="I2" s="19" t="str">
        <f>INDEX('OECD Crosswalk'!$B$2:$B$90,MATCH('OECD Data IO Table - Total (USD'!I8,'OECD Crosswalk'!$A$2:$A$90,0),1)</f>
        <v>nonenergy industries</v>
      </c>
      <c r="J2" s="19" t="str">
        <f>INDEX('OECD Crosswalk'!$B$2:$B$90,MATCH('OECD Data IO Table - Total (USD'!J8,'OECD Crosswalk'!$A$2:$A$90,0),1)</f>
        <v>nonenergy industries</v>
      </c>
      <c r="K2" s="19" t="str">
        <f>INDEX('OECD Crosswalk'!$B$2:$B$90,MATCH('OECD Data IO Table - Total (USD'!K8,'OECD Crosswalk'!$A$2:$A$90,0),1)</f>
        <v>nonenergy industries</v>
      </c>
      <c r="L2" s="19" t="str">
        <f>INDEX('OECD Crosswalk'!$B$2:$B$90,MATCH('OECD Data IO Table - Total (USD'!L8,'OECD Crosswalk'!$A$2:$A$90,0),1)</f>
        <v>nonenergy industries</v>
      </c>
      <c r="M2" s="19" t="str">
        <f>INDEX('OECD Crosswalk'!$B$2:$B$90,MATCH('OECD Data IO Table - Total (USD'!M8,'OECD Crosswalk'!$A$2:$A$90,0),1)</f>
        <v>natural gas and petroleum suppliers</v>
      </c>
      <c r="N2" s="19" t="str">
        <f>INDEX('OECD Crosswalk'!$B$2:$B$90,MATCH('OECD Data IO Table - Total (USD'!N8,'OECD Crosswalk'!$A$2:$A$90,0),1)</f>
        <v>nonenergy industries</v>
      </c>
      <c r="O2" s="19" t="str">
        <f>INDEX('OECD Crosswalk'!$B$2:$B$90,MATCH('OECD Data IO Table - Total (USD'!O8,'OECD Crosswalk'!$A$2:$A$90,0),1)</f>
        <v>nonenergy industries</v>
      </c>
      <c r="P2" s="19" t="str">
        <f>INDEX('OECD Crosswalk'!$B$2:$B$90,MATCH('OECD Data IO Table - Total (USD'!P8,'OECD Crosswalk'!$A$2:$A$90,0),1)</f>
        <v>nonenergy industries</v>
      </c>
      <c r="Q2" s="19" t="str">
        <f>INDEX('OECD Crosswalk'!$B$2:$B$90,MATCH('OECD Data IO Table - Total (USD'!Q8,'OECD Crosswalk'!$A$2:$A$90,0),1)</f>
        <v>nonenergy industries</v>
      </c>
      <c r="R2" s="19" t="str">
        <f>INDEX('OECD Crosswalk'!$B$2:$B$90,MATCH('OECD Data IO Table - Total (USD'!R8,'OECD Crosswalk'!$A$2:$A$90,0),1)</f>
        <v>nonenergy industries</v>
      </c>
      <c r="S2" s="19" t="str">
        <f>INDEX('OECD Crosswalk'!$B$2:$B$90,MATCH('OECD Data IO Table - Total (USD'!S8,'OECD Crosswalk'!$A$2:$A$90,0),1)</f>
        <v>nonenergy industries</v>
      </c>
      <c r="T2" s="19" t="str">
        <f>INDEX('OECD Crosswalk'!$B$2:$B$90,MATCH('OECD Data IO Table - Total (USD'!T8,'OECD Crosswalk'!$A$2:$A$90,0),1)</f>
        <v>nonenergy industries</v>
      </c>
      <c r="U2" s="19" t="str">
        <f>INDEX('OECD Crosswalk'!$B$2:$B$90,MATCH('OECD Data IO Table - Total (USD'!U8,'OECD Crosswalk'!$A$2:$A$90,0),1)</f>
        <v>nonenergy industries</v>
      </c>
      <c r="V2" s="19" t="str">
        <f>INDEX('OECD Crosswalk'!$B$2:$B$90,MATCH('OECD Data IO Table - Total (USD'!V8,'OECD Crosswalk'!$A$2:$A$90,0),1)</f>
        <v>nonenergy industries</v>
      </c>
      <c r="W2" s="19" t="str">
        <f>INDEX('OECD Crosswalk'!$B$2:$B$90,MATCH('OECD Data IO Table - Total (USD'!W8,'OECD Crosswalk'!$A$2:$A$90,0),1)</f>
        <v>nonenergy industries</v>
      </c>
      <c r="X2" s="19" t="str">
        <f>INDEX('OECD Crosswalk'!$B$2:$B$90,MATCH('OECD Data IO Table - Total (USD'!X8,'OECD Crosswalk'!$A$2:$A$90,0),1)</f>
        <v>nonenergy industries</v>
      </c>
      <c r="Y2" s="19" t="str">
        <f>INDEX('OECD Crosswalk'!$B$2:$B$90,MATCH('OECD Data IO Table - Total (USD'!Y8,'OECD Crosswalk'!$A$2:$A$90,0),1)</f>
        <v>energy suppliers</v>
      </c>
      <c r="Z2" s="19" t="str">
        <f>INDEX('OECD Crosswalk'!$B$2:$B$90,MATCH('OECD Data IO Table - Total (USD'!Z8,'OECD Crosswalk'!$A$2:$A$90,0),1)</f>
        <v>nonenergy industries</v>
      </c>
      <c r="AA2" s="19" t="str">
        <f>INDEX('OECD Crosswalk'!$B$2:$B$90,MATCH('OECD Data IO Table - Total (USD'!AA8,'OECD Crosswalk'!$A$2:$A$90,0),1)</f>
        <v>nonenergy industries</v>
      </c>
      <c r="AB2" s="19" t="str">
        <f>INDEX('OECD Crosswalk'!$B$2:$B$90,MATCH('OECD Data IO Table - Total (USD'!AB8,'OECD Crosswalk'!$A$2:$A$90,0),1)</f>
        <v>nonenergy industries</v>
      </c>
      <c r="AC2" s="19" t="str">
        <f>INDEX('OECD Crosswalk'!$B$2:$B$90,MATCH('OECD Data IO Table - Total (USD'!AC8,'OECD Crosswalk'!$A$2:$A$90,0),1)</f>
        <v>nonenergy industries</v>
      </c>
      <c r="AD2" s="19" t="str">
        <f>INDEX('OECD Crosswalk'!$B$2:$B$90,MATCH('OECD Data IO Table - Total (USD'!AD8,'OECD Crosswalk'!$A$2:$A$90,0),1)</f>
        <v>nonenergy industries</v>
      </c>
      <c r="AE2" s="19" t="str">
        <f>INDEX('OECD Crosswalk'!$B$2:$B$90,MATCH('OECD Data IO Table - Total (USD'!AE8,'OECD Crosswalk'!$A$2:$A$90,0),1)</f>
        <v>nonenergy industries</v>
      </c>
      <c r="AF2" s="19" t="str">
        <f>INDEX('OECD Crosswalk'!$B$2:$B$90,MATCH('OECD Data IO Table - Total (USD'!AF8,'OECD Crosswalk'!$A$2:$A$90,0),1)</f>
        <v>nonenergy industries</v>
      </c>
      <c r="AG2" s="19" t="str">
        <f>INDEX('OECD Crosswalk'!$B$2:$B$90,MATCH('OECD Data IO Table - Total (USD'!AG8,'OECD Crosswalk'!$A$2:$A$90,0),1)</f>
        <v>nonenergy industries</v>
      </c>
      <c r="AH2" s="19" t="str">
        <f>INDEX('OECD Crosswalk'!$B$2:$B$90,MATCH('OECD Data IO Table - Total (USD'!AH8,'OECD Crosswalk'!$A$2:$A$90,0),1)</f>
        <v>nonenergy industries</v>
      </c>
      <c r="AI2" s="19" t="str">
        <f>INDEX('OECD Crosswalk'!$B$2:$B$90,MATCH('OECD Data IO Table - Total (USD'!AI8,'OECD Crosswalk'!$A$2:$A$90,0),1)</f>
        <v>nonenergy industries</v>
      </c>
      <c r="AJ2" s="19" t="str">
        <f>INDEX('OECD Crosswalk'!$B$2:$B$90,MATCH('OECD Data IO Table - Total (USD'!AJ8,'OECD Crosswalk'!$A$2:$A$90,0),1)</f>
        <v>government</v>
      </c>
      <c r="AK2" s="19" t="str">
        <f>INDEX('OECD Crosswalk'!$B$2:$B$90,MATCH('OECD Data IO Table - Total (USD'!AK8,'OECD Crosswalk'!$A$2:$A$90,0),1)</f>
        <v>nonenergy industries</v>
      </c>
      <c r="AL2" s="19" t="str">
        <f>INDEX('OECD Crosswalk'!$B$2:$B$90,MATCH('OECD Data IO Table - Total (USD'!AL8,'OECD Crosswalk'!$A$2:$A$90,0),1)</f>
        <v>nonenergy industries</v>
      </c>
      <c r="AM2" s="19" t="str">
        <f>INDEX('OECD Crosswalk'!$B$2:$B$90,MATCH('OECD Data IO Table - Total (USD'!AM8,'OECD Crosswalk'!$A$2:$A$90,0),1)</f>
        <v>nonenergy industries</v>
      </c>
      <c r="AN2" s="19" t="str">
        <f>INDEX('OECD Crosswalk'!$B$2:$B$90,MATCH('OECD Data IO Table - Total (USD'!AN8,'OECD Crosswalk'!$A$2:$A$90,0),1)</f>
        <v>labor and consumers</v>
      </c>
      <c r="AO2" s="19" t="str">
        <f>INDEX('OECD Crosswalk'!$B$2:$B$90,MATCH('OECD Data IO Table - Total (USD'!AO8,'OECD Crosswalk'!$A$2:$A$90,0),1)</f>
        <v>labor and consumers</v>
      </c>
      <c r="AP2" s="19" t="str">
        <f>INDEX('OECD Crosswalk'!$B$2:$B$90,MATCH('OECD Data IO Table - Total (USD'!AP8,'OECD Crosswalk'!$A$2:$A$90,0),1)</f>
        <v>nonenergy industries</v>
      </c>
      <c r="AQ2" s="19" t="str">
        <f>INDEX('OECD Crosswalk'!$B$2:$B$90,MATCH('OECD Data IO Table - Total (USD'!AQ8,'OECD Crosswalk'!$A$2:$A$90,0),1)</f>
        <v>government</v>
      </c>
      <c r="AR2" s="19" t="str">
        <f>INDEX('OECD Crosswalk'!$B$2:$B$90,MATCH('OECD Data IO Table - Total (USD'!AR8,'OECD Crosswalk'!$A$2:$A$90,0),1)</f>
        <v>capital formation</v>
      </c>
      <c r="AS2" s="19" t="str">
        <f>INDEX('OECD Crosswalk'!$B$2:$B$90,MATCH('OECD Data IO Table - Total (USD'!AS8,'OECD Crosswalk'!$A$2:$A$90,0),1)</f>
        <v>inventory</v>
      </c>
      <c r="AT2" s="19" t="str">
        <f>INDEX('OECD Crosswalk'!$B$2:$B$90,MATCH('OECD Data IO Table - Total (USD'!AT8,'OECD Crosswalk'!$A$2:$A$90,0),1)</f>
        <v>imports</v>
      </c>
      <c r="AU2" s="19" t="str">
        <f>INDEX('OECD Crosswalk'!$B$2:$B$90,MATCH('OECD Data IO Table - Total (USD'!AU8,'OECD Crosswalk'!$A$2:$A$90,0),1)</f>
        <v>foreign entities</v>
      </c>
      <c r="AV2" s="19" t="str">
        <f>INDEX('OECD Crosswalk'!$B$2:$B$90,MATCH('OECD Data IO Table - Total (USD'!AV8,'OECD Crosswalk'!$A$2:$A$90,0),1)</f>
        <v>foreign entities</v>
      </c>
      <c r="AW2" s="19" t="str">
        <f>INDEX('OECD Crosswalk'!$B$2:$B$90,MATCH('OECD Data IO Table - Total (USD'!AW8,'OECD Crosswalk'!$A$2:$A$90,0),1)</f>
        <v>imports</v>
      </c>
    </row>
    <row r="3" spans="1:50" ht="42" x14ac:dyDescent="0.2">
      <c r="D3" s="25" t="s">
        <v>197</v>
      </c>
      <c r="E3" s="19" t="str">
        <f>INDEX('OECD Crosswalk'!$C$2:$C$90,MATCH('OECD Data IO Table - Total (USD'!E8,'OECD Crosswalk'!$A$2:$A$90,0),1)</f>
        <v>agriculture</v>
      </c>
      <c r="F3" s="19" t="str">
        <f>INDEX('OECD Crosswalk'!$C$2:$C$90,MATCH('OECD Data IO Table - Total (USD'!F8,'OECD Crosswalk'!$A$2:$A$90,0),1)</f>
        <v>other industries</v>
      </c>
      <c r="G3" s="19" t="str">
        <f>INDEX('OECD Crosswalk'!$C$2:$C$90,MATCH('OECD Data IO Table - Total (USD'!G8,'OECD Crosswalk'!$A$2:$A$90,0),1)</f>
        <v>other industries</v>
      </c>
      <c r="H3" s="19" t="str">
        <f>INDEX('OECD Crosswalk'!$C$2:$C$90,MATCH('OECD Data IO Table - Total (USD'!H8,'OECD Crosswalk'!$A$2:$A$90,0),1)</f>
        <v>other industries</v>
      </c>
      <c r="I3" s="19" t="str">
        <f>INDEX('OECD Crosswalk'!$C$2:$C$90,MATCH('OECD Data IO Table - Total (USD'!I8,'OECD Crosswalk'!$A$2:$A$90,0),1)</f>
        <v>other industries</v>
      </c>
      <c r="J3" s="19" t="str">
        <f>INDEX('OECD Crosswalk'!$C$2:$C$90,MATCH('OECD Data IO Table - Total (USD'!J8,'OECD Crosswalk'!$A$2:$A$90,0),1)</f>
        <v>other industries</v>
      </c>
      <c r="K3" s="19" t="str">
        <f>INDEX('OECD Crosswalk'!$C$2:$C$90,MATCH('OECD Data IO Table - Total (USD'!K8,'OECD Crosswalk'!$A$2:$A$90,0),1)</f>
        <v>other industries</v>
      </c>
      <c r="L3" s="19" t="str">
        <f>INDEX('OECD Crosswalk'!$C$2:$C$90,MATCH('OECD Data IO Table - Total (USD'!L8,'OECD Crosswalk'!$A$2:$A$90,0),1)</f>
        <v>other industries</v>
      </c>
      <c r="M3" s="19" t="str">
        <f>INDEX('OECD Crosswalk'!$C$2:$C$90,MATCH('OECD Data IO Table - Total (USD'!M8,'OECD Crosswalk'!$A$2:$A$90,0),1)</f>
        <v>natural gas and petroleum systems</v>
      </c>
      <c r="N3" s="19" t="str">
        <f>INDEX('OECD Crosswalk'!$C$2:$C$90,MATCH('OECD Data IO Table - Total (USD'!N8,'OECD Crosswalk'!$A$2:$A$90,0),1)</f>
        <v>chemicals</v>
      </c>
      <c r="O3" s="19" t="str">
        <f>INDEX('OECD Crosswalk'!$C$2:$C$90,MATCH('OECD Data IO Table - Total (USD'!O8,'OECD Crosswalk'!$A$2:$A$90,0),1)</f>
        <v>other industries</v>
      </c>
      <c r="P3" s="19" t="str">
        <f>INDEX('OECD Crosswalk'!$C$2:$C$90,MATCH('OECD Data IO Table - Total (USD'!P8,'OECD Crosswalk'!$A$2:$A$90,0),1)</f>
        <v>Cement and other carbonate use</v>
      </c>
      <c r="Q3" s="19" t="str">
        <f>INDEX('OECD Crosswalk'!$C$2:$C$90,MATCH('OECD Data IO Table - Total (USD'!Q8,'OECD Crosswalk'!$A$2:$A$90,0),1)</f>
        <v>iron and steel</v>
      </c>
      <c r="R3" s="19" t="str">
        <f>INDEX('OECD Crosswalk'!$C$2:$C$90,MATCH('OECD Data IO Table - Total (USD'!R8,'OECD Crosswalk'!$A$2:$A$90,0),1)</f>
        <v>other industries</v>
      </c>
      <c r="S3" s="19" t="str">
        <f>INDEX('OECD Crosswalk'!$C$2:$C$90,MATCH('OECD Data IO Table - Total (USD'!S8,'OECD Crosswalk'!$A$2:$A$90,0),1)</f>
        <v>other industries</v>
      </c>
      <c r="T3" s="19" t="str">
        <f>INDEX('OECD Crosswalk'!$C$2:$C$90,MATCH('OECD Data IO Table - Total (USD'!T8,'OECD Crosswalk'!$A$2:$A$90,0),1)</f>
        <v>other industries</v>
      </c>
      <c r="U3" s="19" t="str">
        <f>INDEX('OECD Crosswalk'!$C$2:$C$90,MATCH('OECD Data IO Table - Total (USD'!U8,'OECD Crosswalk'!$A$2:$A$90,0),1)</f>
        <v>other industries</v>
      </c>
      <c r="V3" s="19" t="str">
        <f>INDEX('OECD Crosswalk'!$C$2:$C$90,MATCH('OECD Data IO Table - Total (USD'!V8,'OECD Crosswalk'!$A$2:$A$90,0),1)</f>
        <v>other industries</v>
      </c>
      <c r="W3" s="19" t="str">
        <f>INDEX('OECD Crosswalk'!$C$2:$C$90,MATCH('OECD Data IO Table - Total (USD'!W8,'OECD Crosswalk'!$A$2:$A$90,0),1)</f>
        <v>other industries</v>
      </c>
      <c r="X3" s="19" t="str">
        <f>INDEX('OECD Crosswalk'!$C$2:$C$90,MATCH('OECD Data IO Table - Total (USD'!X8,'OECD Crosswalk'!$A$2:$A$90,0),1)</f>
        <v>other industries</v>
      </c>
      <c r="Y3" s="19" t="str">
        <f>INDEX('OECD Crosswalk'!$C$2:$C$90,MATCH('OECD Data IO Table - Total (USD'!Y8,'OECD Crosswalk'!$A$2:$A$90,0),1)</f>
        <v>energy suppliers</v>
      </c>
      <c r="Z3" s="19">
        <f>INDEX('OECD Crosswalk'!$C$2:$C$90,MATCH('OECD Data IO Table - Total (USD'!Z8,'OECD Crosswalk'!$A$2:$A$90,0),1)</f>
        <v>0</v>
      </c>
      <c r="AA3" s="19">
        <f>INDEX('OECD Crosswalk'!$C$2:$C$90,MATCH('OECD Data IO Table - Total (USD'!AA8,'OECD Crosswalk'!$A$2:$A$90,0),1)</f>
        <v>0</v>
      </c>
      <c r="AB3" s="19">
        <f>INDEX('OECD Crosswalk'!$C$2:$C$90,MATCH('OECD Data IO Table - Total (USD'!AB8,'OECD Crosswalk'!$A$2:$A$90,0),1)</f>
        <v>0</v>
      </c>
      <c r="AC3" s="19">
        <f>INDEX('OECD Crosswalk'!$C$2:$C$90,MATCH('OECD Data IO Table - Total (USD'!AC8,'OECD Crosswalk'!$A$2:$A$90,0),1)</f>
        <v>0</v>
      </c>
      <c r="AD3" s="19">
        <f>INDEX('OECD Crosswalk'!$C$2:$C$90,MATCH('OECD Data IO Table - Total (USD'!AD8,'OECD Crosswalk'!$A$2:$A$90,0),1)</f>
        <v>0</v>
      </c>
      <c r="AE3" s="19">
        <f>INDEX('OECD Crosswalk'!$C$2:$C$90,MATCH('OECD Data IO Table - Total (USD'!AE8,'OECD Crosswalk'!$A$2:$A$90,0),1)</f>
        <v>0</v>
      </c>
      <c r="AF3" s="19">
        <f>INDEX('OECD Crosswalk'!$C$2:$C$90,MATCH('OECD Data IO Table - Total (USD'!AF8,'OECD Crosswalk'!$A$2:$A$90,0),1)</f>
        <v>0</v>
      </c>
      <c r="AG3" s="19">
        <f>INDEX('OECD Crosswalk'!$C$2:$C$90,MATCH('OECD Data IO Table - Total (USD'!AG8,'OECD Crosswalk'!$A$2:$A$90,0),1)</f>
        <v>0</v>
      </c>
      <c r="AH3" s="19">
        <f>INDEX('OECD Crosswalk'!$C$2:$C$90,MATCH('OECD Data IO Table - Total (USD'!AH8,'OECD Crosswalk'!$A$2:$A$90,0),1)</f>
        <v>0</v>
      </c>
      <c r="AI3" s="19">
        <f>INDEX('OECD Crosswalk'!$C$2:$C$90,MATCH('OECD Data IO Table - Total (USD'!AI8,'OECD Crosswalk'!$A$2:$A$90,0),1)</f>
        <v>0</v>
      </c>
      <c r="AJ3" s="19">
        <f>INDEX('OECD Crosswalk'!$C$2:$C$90,MATCH('OECD Data IO Table - Total (USD'!AJ8,'OECD Crosswalk'!$A$2:$A$90,0),1)</f>
        <v>0</v>
      </c>
      <c r="AK3" s="19">
        <f>INDEX('OECD Crosswalk'!$C$2:$C$90,MATCH('OECD Data IO Table - Total (USD'!AK8,'OECD Crosswalk'!$A$2:$A$90,0),1)</f>
        <v>0</v>
      </c>
      <c r="AL3" s="19">
        <f>INDEX('OECD Crosswalk'!$C$2:$C$90,MATCH('OECD Data IO Table - Total (USD'!AL8,'OECD Crosswalk'!$A$2:$A$90,0),1)</f>
        <v>0</v>
      </c>
      <c r="AM3" s="19">
        <f>INDEX('OECD Crosswalk'!$C$2:$C$90,MATCH('OECD Data IO Table - Total (USD'!AM8,'OECD Crosswalk'!$A$2:$A$90,0),1)</f>
        <v>0</v>
      </c>
      <c r="AN3" s="19">
        <f>INDEX('OECD Crosswalk'!$C$2:$C$90,MATCH('OECD Data IO Table - Total (USD'!AN8,'OECD Crosswalk'!$A$2:$A$90,0),1)</f>
        <v>0</v>
      </c>
      <c r="AO3" s="19">
        <f>INDEX('OECD Crosswalk'!$C$2:$C$90,MATCH('OECD Data IO Table - Total (USD'!AO8,'OECD Crosswalk'!$A$2:$A$90,0),1)</f>
        <v>0</v>
      </c>
      <c r="AP3" s="19">
        <f>INDEX('OECD Crosswalk'!$C$2:$C$90,MATCH('OECD Data IO Table - Total (USD'!AP8,'OECD Crosswalk'!$A$2:$A$90,0),1)</f>
        <v>0</v>
      </c>
      <c r="AQ3" s="19">
        <f>INDEX('OECD Crosswalk'!$C$2:$C$90,MATCH('OECD Data IO Table - Total (USD'!AQ8,'OECD Crosswalk'!$A$2:$A$90,0),1)</f>
        <v>0</v>
      </c>
      <c r="AR3" s="19">
        <f>INDEX('OECD Crosswalk'!$C$2:$C$90,MATCH('OECD Data IO Table - Total (USD'!AR8,'OECD Crosswalk'!$A$2:$A$90,0),1)</f>
        <v>0</v>
      </c>
      <c r="AS3" s="19">
        <f>INDEX('OECD Crosswalk'!$C$2:$C$90,MATCH('OECD Data IO Table - Total (USD'!AS8,'OECD Crosswalk'!$A$2:$A$90,0),1)</f>
        <v>0</v>
      </c>
      <c r="AT3" s="19">
        <f>INDEX('OECD Crosswalk'!$C$2:$C$90,MATCH('OECD Data IO Table - Total (USD'!AT8,'OECD Crosswalk'!$A$2:$A$90,0),1)</f>
        <v>0</v>
      </c>
      <c r="AU3" s="19">
        <f>INDEX('OECD Crosswalk'!$C$2:$C$90,MATCH('OECD Data IO Table - Total (USD'!AU8,'OECD Crosswalk'!$A$2:$A$90,0),1)</f>
        <v>0</v>
      </c>
      <c r="AV3" s="19">
        <f>INDEX('OECD Crosswalk'!$C$2:$C$90,MATCH('OECD Data IO Table - Total (USD'!AV8,'OECD Crosswalk'!$A$2:$A$90,0),1)</f>
        <v>0</v>
      </c>
      <c r="AW3" s="19">
        <f>INDEX('OECD Crosswalk'!$C$2:$C$90,MATCH('OECD Data IO Table - Total (USD'!AW8,'OECD Crosswalk'!$A$2:$A$90,0),1)</f>
        <v>0</v>
      </c>
    </row>
    <row r="4" spans="1:50" x14ac:dyDescent="0.2">
      <c r="D4" s="29" t="s">
        <v>198</v>
      </c>
      <c r="E4" s="61" t="s">
        <v>199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3"/>
    </row>
    <row r="5" spans="1:50" ht="15" customHeight="1" x14ac:dyDescent="0.2">
      <c r="D5" s="29" t="s">
        <v>200</v>
      </c>
      <c r="E5" s="64" t="s">
        <v>201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6"/>
    </row>
    <row r="6" spans="1:50" x14ac:dyDescent="0.2">
      <c r="D6" s="29" t="s">
        <v>202</v>
      </c>
      <c r="E6" s="67">
        <v>2021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9"/>
    </row>
    <row r="7" spans="1:50" ht="15" customHeight="1" x14ac:dyDescent="0.2">
      <c r="D7" s="29" t="s">
        <v>203</v>
      </c>
      <c r="E7" s="64" t="s">
        <v>204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6"/>
    </row>
    <row r="8" spans="1:50" ht="84" x14ac:dyDescent="0.2">
      <c r="D8" s="30" t="s">
        <v>205</v>
      </c>
      <c r="E8" s="12" t="s">
        <v>143</v>
      </c>
      <c r="F8" s="12" t="s">
        <v>144</v>
      </c>
      <c r="G8" s="12" t="s">
        <v>145</v>
      </c>
      <c r="H8" s="12" t="s">
        <v>146</v>
      </c>
      <c r="I8" s="12" t="s">
        <v>147</v>
      </c>
      <c r="J8" s="12" t="s">
        <v>148</v>
      </c>
      <c r="K8" s="12" t="s">
        <v>149</v>
      </c>
      <c r="L8" s="12" t="s">
        <v>150</v>
      </c>
      <c r="M8" s="12" t="s">
        <v>151</v>
      </c>
      <c r="N8" s="12" t="s">
        <v>152</v>
      </c>
      <c r="O8" s="12" t="s">
        <v>153</v>
      </c>
      <c r="P8" s="12" t="s">
        <v>154</v>
      </c>
      <c r="Q8" s="12" t="s">
        <v>155</v>
      </c>
      <c r="R8" s="12" t="s">
        <v>156</v>
      </c>
      <c r="S8" s="12" t="s">
        <v>157</v>
      </c>
      <c r="T8" s="12" t="s">
        <v>158</v>
      </c>
      <c r="U8" s="12" t="s">
        <v>159</v>
      </c>
      <c r="V8" s="12" t="s">
        <v>160</v>
      </c>
      <c r="W8" s="12" t="s">
        <v>161</v>
      </c>
      <c r="X8" s="12" t="s">
        <v>162</v>
      </c>
      <c r="Y8" s="12" t="s">
        <v>163</v>
      </c>
      <c r="Z8" s="12" t="s">
        <v>164</v>
      </c>
      <c r="AA8" s="12" t="s">
        <v>165</v>
      </c>
      <c r="AB8" s="12" t="s">
        <v>166</v>
      </c>
      <c r="AC8" s="38" t="s">
        <v>167</v>
      </c>
      <c r="AD8" s="12" t="s">
        <v>168</v>
      </c>
      <c r="AE8" s="12" t="s">
        <v>169</v>
      </c>
      <c r="AF8" s="12" t="s">
        <v>170</v>
      </c>
      <c r="AG8" s="12" t="s">
        <v>171</v>
      </c>
      <c r="AH8" s="12" t="s">
        <v>172</v>
      </c>
      <c r="AI8" s="12" t="s">
        <v>173</v>
      </c>
      <c r="AJ8" s="12" t="s">
        <v>174</v>
      </c>
      <c r="AK8" s="12" t="s">
        <v>175</v>
      </c>
      <c r="AL8" s="12" t="s">
        <v>176</v>
      </c>
      <c r="AM8" s="12" t="s">
        <v>177</v>
      </c>
      <c r="AN8" s="12" t="s">
        <v>178</v>
      </c>
      <c r="AO8" s="38" t="s">
        <v>179</v>
      </c>
      <c r="AP8" s="12" t="s">
        <v>180</v>
      </c>
      <c r="AQ8" s="12" t="s">
        <v>181</v>
      </c>
      <c r="AR8" s="12" t="s">
        <v>182</v>
      </c>
      <c r="AS8" s="12" t="s">
        <v>184</v>
      </c>
      <c r="AT8" s="12" t="s">
        <v>186</v>
      </c>
      <c r="AU8" s="12" t="s">
        <v>188</v>
      </c>
      <c r="AV8" s="12" t="s">
        <v>189</v>
      </c>
      <c r="AW8" s="12" t="s">
        <v>190</v>
      </c>
      <c r="AX8" s="27" t="s">
        <v>206</v>
      </c>
    </row>
    <row r="9" spans="1:50" x14ac:dyDescent="0.2">
      <c r="A9" s="25" t="s">
        <v>197</v>
      </c>
      <c r="B9" s="25" t="s">
        <v>196</v>
      </c>
      <c r="D9" s="13" t="s">
        <v>207</v>
      </c>
      <c r="E9" s="14" t="s">
        <v>208</v>
      </c>
      <c r="F9" s="14" t="s">
        <v>208</v>
      </c>
      <c r="G9" s="14" t="s">
        <v>208</v>
      </c>
      <c r="H9" s="14" t="s">
        <v>208</v>
      </c>
      <c r="I9" s="14" t="s">
        <v>208</v>
      </c>
      <c r="J9" s="14" t="s">
        <v>208</v>
      </c>
      <c r="K9" s="14" t="s">
        <v>208</v>
      </c>
      <c r="L9" s="14"/>
      <c r="M9" s="14" t="s">
        <v>208</v>
      </c>
      <c r="N9" s="14" t="s">
        <v>208</v>
      </c>
      <c r="O9" s="14" t="s">
        <v>208</v>
      </c>
      <c r="P9" s="14" t="s">
        <v>208</v>
      </c>
      <c r="Q9" s="14" t="s">
        <v>208</v>
      </c>
      <c r="R9" s="14" t="s">
        <v>208</v>
      </c>
      <c r="S9" s="14" t="s">
        <v>208</v>
      </c>
      <c r="T9" s="14" t="s">
        <v>208</v>
      </c>
      <c r="U9" s="14" t="s">
        <v>208</v>
      </c>
      <c r="V9" s="14" t="s">
        <v>208</v>
      </c>
      <c r="W9" s="14" t="s">
        <v>208</v>
      </c>
      <c r="X9" s="14" t="s">
        <v>208</v>
      </c>
      <c r="Y9" s="14" t="s">
        <v>208</v>
      </c>
      <c r="Z9" s="14" t="s">
        <v>208</v>
      </c>
      <c r="AA9" s="14" t="s">
        <v>208</v>
      </c>
      <c r="AB9" s="14" t="s">
        <v>208</v>
      </c>
      <c r="AC9" s="39" t="s">
        <v>208</v>
      </c>
      <c r="AD9" s="14" t="s">
        <v>208</v>
      </c>
      <c r="AE9" s="14" t="s">
        <v>208</v>
      </c>
      <c r="AF9" s="14" t="s">
        <v>208</v>
      </c>
      <c r="AG9" s="14" t="s">
        <v>208</v>
      </c>
      <c r="AH9" s="14" t="s">
        <v>208</v>
      </c>
      <c r="AI9" s="14" t="s">
        <v>208</v>
      </c>
      <c r="AJ9" s="14" t="s">
        <v>208</v>
      </c>
      <c r="AK9" s="14" t="s">
        <v>208</v>
      </c>
      <c r="AL9" s="14" t="s">
        <v>208</v>
      </c>
      <c r="AM9" s="14" t="s">
        <v>208</v>
      </c>
      <c r="AN9" s="14" t="s">
        <v>208</v>
      </c>
      <c r="AO9" s="39" t="s">
        <v>208</v>
      </c>
      <c r="AP9" s="14" t="s">
        <v>208</v>
      </c>
      <c r="AQ9" s="14" t="s">
        <v>208</v>
      </c>
      <c r="AR9" s="37" t="s">
        <v>208</v>
      </c>
      <c r="AS9" s="14" t="s">
        <v>208</v>
      </c>
      <c r="AT9" s="14" t="s">
        <v>208</v>
      </c>
      <c r="AU9" s="14" t="s">
        <v>208</v>
      </c>
      <c r="AV9" s="14" t="s">
        <v>208</v>
      </c>
      <c r="AW9" s="14" t="s">
        <v>208</v>
      </c>
    </row>
    <row r="10" spans="1:50" ht="24" x14ac:dyDescent="0.2">
      <c r="A10" s="26" t="str">
        <f>INDEX('OECD Crosswalk'!$C$2:$C$90,MATCH('OECD Data IO Table - Total (USD'!D10,'OECD Crosswalk'!$A$2:$A$90,0),1)</f>
        <v>agriculture</v>
      </c>
      <c r="B10" s="26" t="str">
        <f>INDEX('OECD Crosswalk'!$B$2:$B$90,MATCH('OECD Data IO Table - Total (USD'!D10,'OECD Crosswalk'!$A$2:$A$90,0),1)</f>
        <v>nonenergy industries</v>
      </c>
      <c r="D10" s="15" t="s">
        <v>78</v>
      </c>
      <c r="E10" s="34">
        <f>0.9+0.1+0.1</f>
        <v>1.1000000000000001</v>
      </c>
      <c r="F10" s="42">
        <v>0</v>
      </c>
      <c r="G10" s="42">
        <v>0</v>
      </c>
      <c r="H10" s="42">
        <v>1.2333592481749999E-3</v>
      </c>
      <c r="I10" s="34">
        <f>154.9+4.4</f>
        <v>159.30000000000001</v>
      </c>
      <c r="J10" s="34">
        <f>1.6+0.2</f>
        <v>1.8</v>
      </c>
      <c r="K10" s="34">
        <f>0.5+0.1</f>
        <v>0.6</v>
      </c>
      <c r="L10" s="34">
        <f>2.5+0.6</f>
        <v>3.1</v>
      </c>
      <c r="M10" s="33">
        <v>0</v>
      </c>
      <c r="N10" s="34">
        <f>0.3+0.2</f>
        <v>0.5</v>
      </c>
      <c r="O10" s="33">
        <v>0</v>
      </c>
      <c r="P10" s="42">
        <v>0.1</v>
      </c>
      <c r="Q10" s="34">
        <v>0.4</v>
      </c>
      <c r="R10" s="44">
        <v>0</v>
      </c>
      <c r="S10" s="34">
        <v>0.1</v>
      </c>
      <c r="T10" s="33">
        <v>0.1</v>
      </c>
      <c r="U10" s="34">
        <v>0.1</v>
      </c>
      <c r="V10" s="33">
        <v>0.1</v>
      </c>
      <c r="W10" s="42">
        <v>1.6348852007582799E-5</v>
      </c>
      <c r="X10" s="34">
        <v>0</v>
      </c>
      <c r="Y10" s="34">
        <f>43.7+16.7+5.3+2.2</f>
        <v>67.900000000000006</v>
      </c>
      <c r="Z10" s="34">
        <f>7.9+1.3</f>
        <v>9.2000000000000011</v>
      </c>
      <c r="AA10" s="34">
        <f>44.4+3.5</f>
        <v>47.9</v>
      </c>
      <c r="AB10" s="34">
        <f>34.6+141.9+255+6.8+4+4.4+37.6+62.6+1.3+1.1</f>
        <v>549.29999999999995</v>
      </c>
      <c r="AC10" s="34">
        <f>453.1+91.4</f>
        <v>544.5</v>
      </c>
      <c r="AD10" s="34">
        <f>3.6+1</f>
        <v>4.5999999999999996</v>
      </c>
      <c r="AE10" s="34">
        <f>8.3+1.8</f>
        <v>10.100000000000001</v>
      </c>
      <c r="AF10" s="34">
        <v>0.2</v>
      </c>
      <c r="AG10" s="34">
        <f>8.6+1.5</f>
        <v>10.1</v>
      </c>
      <c r="AH10" s="40">
        <f>2.9+0.4</f>
        <v>3.3</v>
      </c>
      <c r="AI10" s="34">
        <f>2+5.2+0.3+0.6</f>
        <v>8.1</v>
      </c>
      <c r="AJ10" s="34">
        <f>7.1+0.7</f>
        <v>7.8</v>
      </c>
      <c r="AK10" s="34">
        <f>11.8+1.3</f>
        <v>13.100000000000001</v>
      </c>
      <c r="AL10" s="34">
        <f>19.4+1.6</f>
        <v>21</v>
      </c>
      <c r="AM10" s="34">
        <f>13+2.4+19.7+3.5</f>
        <v>38.6</v>
      </c>
      <c r="AN10" s="34">
        <v>0</v>
      </c>
      <c r="AO10" s="34">
        <f>4367.1+711.7</f>
        <v>5078.8</v>
      </c>
      <c r="AP10" s="33">
        <v>0.1</v>
      </c>
      <c r="AQ10" s="34">
        <v>0</v>
      </c>
      <c r="AR10" s="34">
        <f>3.2+0.3</f>
        <v>3.5</v>
      </c>
      <c r="AS10" s="33">
        <f>10.3+0.3</f>
        <v>10.600000000000001</v>
      </c>
      <c r="AT10" s="33">
        <f>33.6+2.6</f>
        <v>36.200000000000003</v>
      </c>
      <c r="AU10" s="33">
        <f>1.1+2.5</f>
        <v>3.6</v>
      </c>
      <c r="AV10" s="33">
        <f>4.5+7.5</f>
        <v>12</v>
      </c>
      <c r="AW10" s="33">
        <f>-5242.7+-891.3</f>
        <v>-6134</v>
      </c>
      <c r="AX10" s="22">
        <f>SUM(E10:AQ10)</f>
        <v>6581.9012497081003</v>
      </c>
    </row>
    <row r="11" spans="1:50" ht="24" x14ac:dyDescent="0.2">
      <c r="A11" s="26" t="str">
        <f>INDEX('OECD Crosswalk'!$C$2:$C$90,MATCH('OECD Data IO Table - Total (USD'!D11,'OECD Crosswalk'!$A$2:$A$90,0),1)</f>
        <v>other industries</v>
      </c>
      <c r="B11" s="26" t="str">
        <f>INDEX('OECD Crosswalk'!$B$2:$B$90,MATCH('OECD Data IO Table - Total (USD'!D11,'OECD Crosswalk'!$A$2:$A$90,0),1)</f>
        <v>natural gas and petroleum suppliers</v>
      </c>
      <c r="D11" s="15" t="s">
        <v>82</v>
      </c>
      <c r="E11" s="34">
        <f>15.7+1.5</f>
        <v>17.2</v>
      </c>
      <c r="F11" s="48">
        <v>0</v>
      </c>
      <c r="G11" s="48">
        <v>0</v>
      </c>
      <c r="H11" s="48">
        <v>169.3</v>
      </c>
      <c r="I11" s="48">
        <v>167.3</v>
      </c>
      <c r="J11" s="48">
        <v>136.5</v>
      </c>
      <c r="K11" s="48">
        <v>8.6999999999999993</v>
      </c>
      <c r="L11" s="48">
        <v>91.6</v>
      </c>
      <c r="M11" s="48">
        <v>18.100000000000001</v>
      </c>
      <c r="N11" s="34">
        <f>0.6+0.1</f>
        <v>0.7</v>
      </c>
      <c r="O11" s="33">
        <v>0</v>
      </c>
      <c r="P11" s="48">
        <v>1.4</v>
      </c>
      <c r="Q11" s="48">
        <v>43.7</v>
      </c>
      <c r="R11" s="48">
        <v>2.2000000000000002</v>
      </c>
      <c r="S11" s="48">
        <v>4.0999999999999996</v>
      </c>
      <c r="T11" s="48">
        <v>11.9</v>
      </c>
      <c r="U11" s="48">
        <v>8.1</v>
      </c>
      <c r="V11" s="48">
        <v>2.6</v>
      </c>
      <c r="W11" s="48">
        <v>1.7</v>
      </c>
      <c r="X11" s="48">
        <v>9.6999999999999993</v>
      </c>
      <c r="Y11" s="34">
        <f>54.1+30.2</f>
        <v>84.3</v>
      </c>
      <c r="Z11" s="48">
        <v>3.8</v>
      </c>
      <c r="AA11" s="48">
        <v>22.3</v>
      </c>
      <c r="AB11" s="34">
        <f>129.4+1.9+39.4+1601.3+9.5</f>
        <v>1781.5</v>
      </c>
      <c r="AC11" s="48">
        <v>6</v>
      </c>
      <c r="AD11" s="48">
        <v>3.2</v>
      </c>
      <c r="AE11" s="48">
        <v>12.7</v>
      </c>
      <c r="AF11" s="48">
        <v>4.0999999999999996</v>
      </c>
      <c r="AG11" s="48">
        <v>44.4</v>
      </c>
      <c r="AH11" s="48">
        <v>11.6</v>
      </c>
      <c r="AI11" s="34">
        <f>27.1+84.5</f>
        <v>111.6</v>
      </c>
      <c r="AJ11" s="48">
        <v>7.7</v>
      </c>
      <c r="AK11" s="48">
        <v>30.2</v>
      </c>
      <c r="AL11" s="48">
        <v>16.2</v>
      </c>
      <c r="AM11" s="34">
        <f>14.1+22.3</f>
        <v>36.4</v>
      </c>
      <c r="AN11" s="34">
        <v>0</v>
      </c>
      <c r="AO11" s="48">
        <v>37.1</v>
      </c>
      <c r="AP11" s="48">
        <v>0.6</v>
      </c>
      <c r="AQ11" s="48">
        <v>0</v>
      </c>
      <c r="AR11" s="48">
        <v>3.7</v>
      </c>
      <c r="AS11" s="48">
        <v>31.4</v>
      </c>
      <c r="AT11" s="48">
        <v>0.4</v>
      </c>
      <c r="AU11" s="48">
        <v>0</v>
      </c>
      <c r="AV11" s="48">
        <v>0</v>
      </c>
      <c r="AW11" s="48">
        <v>-2952.4</v>
      </c>
      <c r="AX11" s="22">
        <f t="shared" ref="AX11:AX50" si="0">SUM(E11:AQ11)</f>
        <v>2908.4999999999991</v>
      </c>
    </row>
    <row r="12" spans="1:50" ht="24" x14ac:dyDescent="0.2">
      <c r="A12" s="26" t="str">
        <f>INDEX('OECD Crosswalk'!$C$2:$C$90,MATCH('OECD Data IO Table - Total (USD'!D12,'OECD Crosswalk'!$A$2:$A$90,0),1)</f>
        <v>other industries</v>
      </c>
      <c r="B12" s="26" t="str">
        <f>INDEX('OECD Crosswalk'!$B$2:$B$90,MATCH('OECD Data IO Table - Total (USD'!D12,'OECD Crosswalk'!$A$2:$A$90,0),1)</f>
        <v>nonenergy industries</v>
      </c>
      <c r="D12" s="15" t="s">
        <v>87</v>
      </c>
      <c r="E12" s="34">
        <f>3.1+0.4</f>
        <v>3.5</v>
      </c>
      <c r="F12" s="48">
        <v>0</v>
      </c>
      <c r="G12" s="48">
        <v>0</v>
      </c>
      <c r="H12" s="48">
        <v>38.700000000000003</v>
      </c>
      <c r="I12" s="48">
        <v>20.2</v>
      </c>
      <c r="J12" s="49">
        <v>17.399999999999999</v>
      </c>
      <c r="K12" s="48">
        <v>1.3</v>
      </c>
      <c r="L12" s="48">
        <v>9.9</v>
      </c>
      <c r="M12" s="48">
        <v>0.5</v>
      </c>
      <c r="N12" s="34">
        <f>0.2+0.1</f>
        <v>0.30000000000000004</v>
      </c>
      <c r="O12" s="33">
        <v>0</v>
      </c>
      <c r="P12" s="48">
        <v>0.9</v>
      </c>
      <c r="Q12" s="48">
        <v>10.1</v>
      </c>
      <c r="R12" s="48">
        <v>0.6</v>
      </c>
      <c r="S12" s="48">
        <v>0.7</v>
      </c>
      <c r="T12" s="48">
        <v>2.4</v>
      </c>
      <c r="U12" s="48">
        <v>1.6</v>
      </c>
      <c r="V12" s="48">
        <v>0.4</v>
      </c>
      <c r="W12" s="48">
        <v>0.3</v>
      </c>
      <c r="X12" s="48">
        <v>1.7</v>
      </c>
      <c r="Y12" s="34">
        <f>4.2+4</f>
        <v>8.1999999999999993</v>
      </c>
      <c r="Z12" s="48">
        <v>2.1</v>
      </c>
      <c r="AA12" s="48">
        <v>3.7</v>
      </c>
      <c r="AB12" s="34">
        <f>18.8+0.2+4.8+288.2+0.9</f>
        <v>312.89999999999998</v>
      </c>
      <c r="AC12" s="48">
        <v>0.8</v>
      </c>
      <c r="AD12" s="48">
        <v>800.1</v>
      </c>
      <c r="AE12" s="48">
        <v>1.6</v>
      </c>
      <c r="AF12" s="48">
        <v>0.5</v>
      </c>
      <c r="AG12" s="48">
        <v>4.7</v>
      </c>
      <c r="AH12" s="48">
        <v>1.8</v>
      </c>
      <c r="AI12" s="34">
        <f>5.7+10.8</f>
        <v>16.5</v>
      </c>
      <c r="AJ12" s="48">
        <v>1.3</v>
      </c>
      <c r="AK12" s="48">
        <v>3.1</v>
      </c>
      <c r="AL12" s="48">
        <v>1.7</v>
      </c>
      <c r="AM12" s="34">
        <f>1.9+3</f>
        <v>4.9000000000000004</v>
      </c>
      <c r="AN12" s="34">
        <v>0</v>
      </c>
      <c r="AO12" s="48">
        <v>6.1</v>
      </c>
      <c r="AP12" s="48">
        <v>0</v>
      </c>
      <c r="AQ12" s="48">
        <v>0</v>
      </c>
      <c r="AR12" s="48">
        <v>1</v>
      </c>
      <c r="AS12" s="48">
        <v>1.1000000000000001</v>
      </c>
      <c r="AT12" s="48">
        <v>0.4</v>
      </c>
      <c r="AU12" s="48">
        <v>0</v>
      </c>
      <c r="AV12" s="48">
        <v>0</v>
      </c>
      <c r="AW12" s="48">
        <v>-481.4</v>
      </c>
      <c r="AX12" s="22">
        <f t="shared" si="0"/>
        <v>1280.4999999999998</v>
      </c>
    </row>
    <row r="13" spans="1:50" ht="24" x14ac:dyDescent="0.2">
      <c r="A13" s="26" t="str">
        <f>INDEX('OECD Crosswalk'!$C$2:$C$90,MATCH('OECD Data IO Table - Total (USD'!D13,'OECD Crosswalk'!$A$2:$A$90,0),1)</f>
        <v>other industries</v>
      </c>
      <c r="B13" s="26" t="str">
        <f>INDEX('OECD Crosswalk'!$B$2:$B$90,MATCH('OECD Data IO Table - Total (USD'!D13,'OECD Crosswalk'!$A$2:$A$90,0),1)</f>
        <v>nonenergy industries</v>
      </c>
      <c r="D13" s="15" t="s">
        <v>90</v>
      </c>
      <c r="E13" s="34">
        <f>61.5+20.9</f>
        <v>82.4</v>
      </c>
      <c r="F13" s="48">
        <v>0</v>
      </c>
      <c r="G13" s="48">
        <v>0</v>
      </c>
      <c r="H13" s="48">
        <v>6150</v>
      </c>
      <c r="I13" s="48">
        <v>152.1</v>
      </c>
      <c r="J13" s="49">
        <v>30.3</v>
      </c>
      <c r="K13" s="48">
        <v>37.1</v>
      </c>
      <c r="L13" s="48">
        <v>141.9</v>
      </c>
      <c r="M13" s="48">
        <v>2.4</v>
      </c>
      <c r="N13" s="34">
        <f>0.5</f>
        <v>0.5</v>
      </c>
      <c r="O13" s="33">
        <v>0</v>
      </c>
      <c r="P13" s="48">
        <v>1.1000000000000001</v>
      </c>
      <c r="Q13" s="48">
        <v>131.80000000000001</v>
      </c>
      <c r="R13" s="48">
        <v>6.1</v>
      </c>
      <c r="S13" s="48">
        <v>2</v>
      </c>
      <c r="T13" s="48">
        <v>5.3</v>
      </c>
      <c r="U13" s="48">
        <v>22.1</v>
      </c>
      <c r="V13" s="48">
        <v>2</v>
      </c>
      <c r="W13" s="48">
        <v>1.1000000000000001</v>
      </c>
      <c r="X13" s="48">
        <v>0.2</v>
      </c>
      <c r="Y13" s="34">
        <f>52.3+30.2</f>
        <v>82.5</v>
      </c>
      <c r="Z13" s="48">
        <v>10.6</v>
      </c>
      <c r="AA13" s="48">
        <v>26.6</v>
      </c>
      <c r="AB13" s="34">
        <f>317.8+2.7+174+48.2+55.1</f>
        <v>597.80000000000007</v>
      </c>
      <c r="AC13" s="48">
        <v>3.5</v>
      </c>
      <c r="AD13" s="48">
        <v>3.2</v>
      </c>
      <c r="AE13" s="48">
        <v>0</v>
      </c>
      <c r="AF13" s="48">
        <v>1.6</v>
      </c>
      <c r="AG13" s="48">
        <v>190.1</v>
      </c>
      <c r="AH13" s="48">
        <v>50.8</v>
      </c>
      <c r="AI13" s="34">
        <f>120.1+41.2</f>
        <v>161.30000000000001</v>
      </c>
      <c r="AJ13" s="48">
        <v>20.2</v>
      </c>
      <c r="AK13" s="48">
        <v>83.8</v>
      </c>
      <c r="AL13" s="48">
        <v>0.6</v>
      </c>
      <c r="AM13" s="34">
        <f>6.4+18</f>
        <v>24.4</v>
      </c>
      <c r="AN13" s="34">
        <v>0</v>
      </c>
      <c r="AO13" s="48">
        <v>6.2</v>
      </c>
      <c r="AP13" s="48">
        <v>0</v>
      </c>
      <c r="AQ13" s="48">
        <v>0</v>
      </c>
      <c r="AR13" s="48">
        <v>1.2</v>
      </c>
      <c r="AS13" s="48">
        <v>1.1000000000000001</v>
      </c>
      <c r="AT13" s="48">
        <v>0.1</v>
      </c>
      <c r="AU13" s="48">
        <v>0</v>
      </c>
      <c r="AV13" s="48">
        <v>73.2</v>
      </c>
      <c r="AW13" s="48">
        <v>-14.6</v>
      </c>
      <c r="AX13" s="22">
        <f t="shared" si="0"/>
        <v>8031.6000000000031</v>
      </c>
    </row>
    <row r="14" spans="1:50" ht="24" x14ac:dyDescent="0.2">
      <c r="A14" s="26" t="str">
        <f>INDEX('OECD Crosswalk'!$C$2:$C$90,MATCH('OECD Data IO Table - Total (USD'!D14,'OECD Crosswalk'!$A$2:$A$90,0),1)</f>
        <v>other industries</v>
      </c>
      <c r="B14" s="26" t="str">
        <f>INDEX('OECD Crosswalk'!$B$2:$B$90,MATCH('OECD Data IO Table - Total (USD'!D14,'OECD Crosswalk'!$A$2:$A$90,0),1)</f>
        <v>nonenergy industries</v>
      </c>
      <c r="D14" s="15" t="s">
        <v>93</v>
      </c>
      <c r="E14" s="34">
        <f>11.3+0.9</f>
        <v>12.200000000000001</v>
      </c>
      <c r="F14" s="48">
        <v>0</v>
      </c>
      <c r="G14" s="48">
        <v>0</v>
      </c>
      <c r="H14" s="48">
        <v>0.1</v>
      </c>
      <c r="I14" s="48">
        <v>539.20000000000005</v>
      </c>
      <c r="J14" s="49">
        <v>78.2</v>
      </c>
      <c r="K14" s="48">
        <v>53.8</v>
      </c>
      <c r="L14" s="48">
        <v>396.1</v>
      </c>
      <c r="M14" s="48">
        <v>2.8</v>
      </c>
      <c r="N14" s="34">
        <f>19.7+10.5</f>
        <v>30.2</v>
      </c>
      <c r="O14" s="33">
        <v>0</v>
      </c>
      <c r="P14" s="48">
        <v>3.2</v>
      </c>
      <c r="Q14" s="48">
        <v>20.7</v>
      </c>
      <c r="R14" s="48">
        <v>1.7</v>
      </c>
      <c r="S14" s="48">
        <v>2.8</v>
      </c>
      <c r="T14" s="48">
        <v>4.8</v>
      </c>
      <c r="U14" s="48">
        <v>3.2</v>
      </c>
      <c r="V14" s="48">
        <v>1.5</v>
      </c>
      <c r="W14" s="48">
        <v>0.6</v>
      </c>
      <c r="X14" s="48">
        <v>0.5</v>
      </c>
      <c r="Y14" s="34">
        <f>255.9+134.1</f>
        <v>390</v>
      </c>
      <c r="Z14" s="48">
        <v>848.3</v>
      </c>
      <c r="AA14" s="48">
        <v>801</v>
      </c>
      <c r="AB14" s="34">
        <f>295.2+974+907.2+327.5+153.3</f>
        <v>2657.2000000000003</v>
      </c>
      <c r="AC14" s="48">
        <v>1390.5</v>
      </c>
      <c r="AD14" s="48">
        <v>800.1</v>
      </c>
      <c r="AE14" s="48">
        <v>197.8</v>
      </c>
      <c r="AF14" s="48">
        <v>9.6999999999999993</v>
      </c>
      <c r="AG14" s="48">
        <v>595.1</v>
      </c>
      <c r="AH14" s="48">
        <v>216.6</v>
      </c>
      <c r="AI14" s="34">
        <f>66.2+113.4</f>
        <v>179.60000000000002</v>
      </c>
      <c r="AJ14" s="48">
        <v>75.2</v>
      </c>
      <c r="AK14" s="48">
        <v>93.8</v>
      </c>
      <c r="AL14" s="48">
        <v>418.3</v>
      </c>
      <c r="AM14" s="34">
        <f>106.5+249.3</f>
        <v>355.8</v>
      </c>
      <c r="AN14" s="34">
        <v>0</v>
      </c>
      <c r="AO14" s="48">
        <v>11837.5</v>
      </c>
      <c r="AP14" s="48">
        <v>0</v>
      </c>
      <c r="AQ14" s="48">
        <v>0</v>
      </c>
      <c r="AR14" s="48">
        <v>244.1</v>
      </c>
      <c r="AS14" s="48">
        <v>3599.6</v>
      </c>
      <c r="AT14" s="48">
        <v>148.6</v>
      </c>
      <c r="AU14" s="48">
        <v>219.5</v>
      </c>
      <c r="AV14" s="48">
        <v>380.6</v>
      </c>
      <c r="AW14" s="48">
        <v>-17148.7</v>
      </c>
      <c r="AX14" s="22">
        <f t="shared" si="0"/>
        <v>22018.1</v>
      </c>
    </row>
    <row r="15" spans="1:50" ht="24" x14ac:dyDescent="0.2">
      <c r="A15" s="26" t="str">
        <f>INDEX('OECD Crosswalk'!$C$2:$C$90,MATCH('OECD Data IO Table - Total (USD'!D15,'OECD Crosswalk'!$A$2:$A$90,0),1)</f>
        <v>other industries</v>
      </c>
      <c r="B15" s="26" t="str">
        <f>INDEX('OECD Crosswalk'!$B$2:$B$90,MATCH('OECD Data IO Table - Total (USD'!D15,'OECD Crosswalk'!$A$2:$A$90,0),1)</f>
        <v>nonenergy industries</v>
      </c>
      <c r="D15" s="15" t="s">
        <v>96</v>
      </c>
      <c r="E15" s="34">
        <f>0.5+0.1</f>
        <v>0.6</v>
      </c>
      <c r="F15" s="48">
        <v>0</v>
      </c>
      <c r="G15" s="48">
        <v>0</v>
      </c>
      <c r="H15" s="48">
        <v>0.2</v>
      </c>
      <c r="I15" s="48">
        <v>22.7</v>
      </c>
      <c r="J15" s="49">
        <v>642.5</v>
      </c>
      <c r="K15" s="48">
        <v>2.8</v>
      </c>
      <c r="L15" s="48">
        <v>30.9</v>
      </c>
      <c r="M15" s="48">
        <v>0.1</v>
      </c>
      <c r="N15" s="34">
        <f>0.7+0.3</f>
        <v>1</v>
      </c>
      <c r="O15" s="33">
        <v>0</v>
      </c>
      <c r="P15" s="48">
        <v>0.6</v>
      </c>
      <c r="Q15" s="48">
        <v>2.5</v>
      </c>
      <c r="R15" s="48">
        <v>0.3</v>
      </c>
      <c r="S15" s="48">
        <v>0.3</v>
      </c>
      <c r="T15" s="48">
        <v>0.6</v>
      </c>
      <c r="U15" s="48">
        <v>0.4</v>
      </c>
      <c r="V15" s="48">
        <v>0.8</v>
      </c>
      <c r="W15" s="48">
        <v>0.2</v>
      </c>
      <c r="X15" s="48">
        <v>0.7</v>
      </c>
      <c r="Y15" s="34">
        <f>13.3+21</f>
        <v>34.299999999999997</v>
      </c>
      <c r="Z15" s="48">
        <v>15.2</v>
      </c>
      <c r="AA15" s="48">
        <v>320.39999999999998</v>
      </c>
      <c r="AB15" s="34">
        <f>129+151.7+110.9+152.1+80.8</f>
        <v>624.5</v>
      </c>
      <c r="AC15" s="48">
        <v>11.8</v>
      </c>
      <c r="AD15" s="48">
        <v>3.2</v>
      </c>
      <c r="AE15" s="48">
        <v>86.1</v>
      </c>
      <c r="AF15" s="48">
        <v>3.9</v>
      </c>
      <c r="AG15" s="48">
        <v>312.3</v>
      </c>
      <c r="AH15" s="48">
        <v>117.6</v>
      </c>
      <c r="AI15" s="34">
        <f>28.7+60.6</f>
        <v>89.3</v>
      </c>
      <c r="AJ15" s="48">
        <v>35.200000000000003</v>
      </c>
      <c r="AK15" s="48">
        <v>23.1</v>
      </c>
      <c r="AL15" s="48">
        <v>32.299999999999997</v>
      </c>
      <c r="AM15" s="34">
        <f>20+106.4</f>
        <v>126.4</v>
      </c>
      <c r="AN15" s="34">
        <v>0</v>
      </c>
      <c r="AO15" s="48">
        <v>9666.4</v>
      </c>
      <c r="AP15" s="48">
        <v>0</v>
      </c>
      <c r="AQ15" s="48">
        <v>0</v>
      </c>
      <c r="AR15" s="48">
        <v>62.4</v>
      </c>
      <c r="AS15" s="48">
        <v>1918.5</v>
      </c>
      <c r="AT15" s="48">
        <v>94</v>
      </c>
      <c r="AU15" s="48">
        <v>19.7</v>
      </c>
      <c r="AV15" s="48">
        <v>389.1</v>
      </c>
      <c r="AW15" s="48">
        <v>-11723.4</v>
      </c>
      <c r="AX15" s="22">
        <f t="shared" si="0"/>
        <v>12209.2</v>
      </c>
    </row>
    <row r="16" spans="1:50" ht="24" x14ac:dyDescent="0.2">
      <c r="A16" s="26" t="str">
        <f>INDEX('OECD Crosswalk'!$C$2:$C$90,MATCH('OECD Data IO Table - Total (USD'!D16,'OECD Crosswalk'!$A$2:$A$90,0),1)</f>
        <v>other industries</v>
      </c>
      <c r="B16" s="26" t="str">
        <f>INDEX('OECD Crosswalk'!$B$2:$B$90,MATCH('OECD Data IO Table - Total (USD'!D16,'OECD Crosswalk'!$A$2:$A$90,0),1)</f>
        <v>nonenergy industries</v>
      </c>
      <c r="D16" s="15" t="s">
        <v>98</v>
      </c>
      <c r="E16" s="34">
        <f>2+0.1</f>
        <v>2.1</v>
      </c>
      <c r="F16" s="48">
        <v>0</v>
      </c>
      <c r="G16" s="48">
        <v>0</v>
      </c>
      <c r="H16" s="48">
        <v>0.1</v>
      </c>
      <c r="I16" s="48">
        <v>25.5</v>
      </c>
      <c r="J16" s="49">
        <v>0.2</v>
      </c>
      <c r="K16" s="48">
        <v>0</v>
      </c>
      <c r="L16" s="48">
        <v>0.2</v>
      </c>
      <c r="M16" s="48">
        <v>0</v>
      </c>
      <c r="N16" s="34">
        <v>0.1</v>
      </c>
      <c r="O16" s="33">
        <v>0</v>
      </c>
      <c r="P16" s="48">
        <v>0.1</v>
      </c>
      <c r="Q16" s="48">
        <v>0.9</v>
      </c>
      <c r="R16" s="48">
        <v>0.1</v>
      </c>
      <c r="S16" s="48">
        <v>0.1</v>
      </c>
      <c r="T16" s="48">
        <v>0.2</v>
      </c>
      <c r="U16" s="48">
        <v>0.1</v>
      </c>
      <c r="V16" s="48">
        <v>0.2</v>
      </c>
      <c r="W16" s="48">
        <v>0.1</v>
      </c>
      <c r="X16" s="48">
        <v>0.1</v>
      </c>
      <c r="Y16" s="34">
        <f>1.8+1.9</f>
        <v>3.7</v>
      </c>
      <c r="Z16" s="48">
        <v>113.8</v>
      </c>
      <c r="AA16" s="48">
        <v>12.2</v>
      </c>
      <c r="AB16" s="34">
        <f>19.9+83.6+12.7+34.4+3.1</f>
        <v>153.69999999999999</v>
      </c>
      <c r="AC16" s="48">
        <v>1.4</v>
      </c>
      <c r="AD16" s="48">
        <v>800.1</v>
      </c>
      <c r="AE16" s="48">
        <v>4.7</v>
      </c>
      <c r="AF16" s="48">
        <v>0</v>
      </c>
      <c r="AG16" s="48">
        <v>10.6</v>
      </c>
      <c r="AH16" s="48">
        <v>3.1</v>
      </c>
      <c r="AI16" s="34">
        <f>0.9+1.2</f>
        <v>2.1</v>
      </c>
      <c r="AJ16" s="48">
        <v>1.1000000000000001</v>
      </c>
      <c r="AK16" s="48">
        <v>1.3</v>
      </c>
      <c r="AL16" s="48">
        <v>28.4</v>
      </c>
      <c r="AM16" s="34">
        <f>2.3+3.6</f>
        <v>5.9</v>
      </c>
      <c r="AN16" s="34">
        <v>0</v>
      </c>
      <c r="AO16" s="48">
        <v>565.29999999999995</v>
      </c>
      <c r="AP16" s="48">
        <v>0</v>
      </c>
      <c r="AQ16" s="48">
        <v>0</v>
      </c>
      <c r="AR16" s="48">
        <v>66.400000000000006</v>
      </c>
      <c r="AS16" s="48">
        <v>334.4</v>
      </c>
      <c r="AT16" s="48">
        <v>6.2</v>
      </c>
      <c r="AU16" s="48">
        <v>0.2</v>
      </c>
      <c r="AV16" s="48">
        <v>26</v>
      </c>
      <c r="AW16" s="48">
        <v>-626.1</v>
      </c>
      <c r="AX16" s="22">
        <f t="shared" si="0"/>
        <v>1737.4999999999998</v>
      </c>
    </row>
    <row r="17" spans="1:50" ht="24" x14ac:dyDescent="0.2">
      <c r="A17" s="26" t="str">
        <f>INDEX('OECD Crosswalk'!$C$2:$C$90,MATCH('OECD Data IO Table - Total (USD'!D17,'OECD Crosswalk'!$A$2:$A$90,0),1)</f>
        <v>other industries</v>
      </c>
      <c r="B17" s="26" t="str">
        <f>INDEX('OECD Crosswalk'!$B$2:$B$90,MATCH('OECD Data IO Table - Total (USD'!D17,'OECD Crosswalk'!$A$2:$A$90,0),1)</f>
        <v>nonenergy industries</v>
      </c>
      <c r="D17" s="15" t="s">
        <v>101</v>
      </c>
      <c r="E17" s="34">
        <f>9.6+1</f>
        <v>10.6</v>
      </c>
      <c r="F17" s="48">
        <v>0</v>
      </c>
      <c r="G17" s="48">
        <v>0</v>
      </c>
      <c r="H17" s="48">
        <v>0.1</v>
      </c>
      <c r="I17" s="48">
        <v>751.4</v>
      </c>
      <c r="J17" s="49">
        <v>175.7</v>
      </c>
      <c r="K17" s="48">
        <v>5.3</v>
      </c>
      <c r="L17" s="48">
        <v>796.5</v>
      </c>
      <c r="M17" s="48">
        <v>0.3</v>
      </c>
      <c r="N17" s="34">
        <f>3.2+2.7</f>
        <v>5.9</v>
      </c>
      <c r="O17" s="33">
        <v>0</v>
      </c>
      <c r="P17" s="48">
        <v>10</v>
      </c>
      <c r="Q17" s="48">
        <v>6</v>
      </c>
      <c r="R17" s="48">
        <v>0.8</v>
      </c>
      <c r="S17" s="48">
        <v>4.5</v>
      </c>
      <c r="T17" s="48">
        <v>10</v>
      </c>
      <c r="U17" s="48">
        <v>3.4</v>
      </c>
      <c r="V17" s="48">
        <v>1.3</v>
      </c>
      <c r="W17" s="48">
        <v>0.3</v>
      </c>
      <c r="X17" s="48">
        <v>3.3</v>
      </c>
      <c r="Y17" s="34">
        <f>16.3+20.7</f>
        <v>37</v>
      </c>
      <c r="Z17" s="48">
        <v>449.8</v>
      </c>
      <c r="AA17" s="48">
        <v>427.7</v>
      </c>
      <c r="AB17" s="34">
        <f>117.7+176.3+82.9+171.8+54.5</f>
        <v>603.20000000000005</v>
      </c>
      <c r="AC17" s="48">
        <v>5.2</v>
      </c>
      <c r="AD17" s="48">
        <v>3.2</v>
      </c>
      <c r="AE17" s="48">
        <v>59.7</v>
      </c>
      <c r="AF17" s="48">
        <v>2.7</v>
      </c>
      <c r="AG17" s="48">
        <v>351.9</v>
      </c>
      <c r="AH17" s="48">
        <v>89.7</v>
      </c>
      <c r="AI17" s="34">
        <f>24.6+29.4</f>
        <v>54</v>
      </c>
      <c r="AJ17" s="48">
        <v>16.399999999999999</v>
      </c>
      <c r="AK17" s="48">
        <v>39.5</v>
      </c>
      <c r="AL17" s="48">
        <v>334</v>
      </c>
      <c r="AM17" s="34">
        <f>24+41.4</f>
        <v>65.400000000000006</v>
      </c>
      <c r="AN17" s="34">
        <v>0</v>
      </c>
      <c r="AO17" s="48">
        <v>1557.3</v>
      </c>
      <c r="AP17" s="48">
        <v>0</v>
      </c>
      <c r="AQ17" s="48">
        <v>0</v>
      </c>
      <c r="AR17" s="48">
        <v>18.8</v>
      </c>
      <c r="AS17" s="48">
        <v>234</v>
      </c>
      <c r="AT17" s="48">
        <v>17</v>
      </c>
      <c r="AU17" s="48">
        <v>74.7</v>
      </c>
      <c r="AV17" s="48">
        <v>124.2</v>
      </c>
      <c r="AW17" s="48">
        <v>-1724.9</v>
      </c>
      <c r="AX17" s="22">
        <f t="shared" si="0"/>
        <v>5882.0999999999985</v>
      </c>
    </row>
    <row r="18" spans="1:50" ht="24" x14ac:dyDescent="0.2">
      <c r="A18" s="26" t="str">
        <f>INDEX('OECD Crosswalk'!$C$2:$C$90,MATCH('OECD Data IO Table - Total (USD'!D18,'OECD Crosswalk'!$A$2:$A$90,0),1)</f>
        <v>natural gas and petroleum systems</v>
      </c>
      <c r="B18" s="26" t="str">
        <f>INDEX('OECD Crosswalk'!$B$2:$B$90,MATCH('OECD Data IO Table - Total (USD'!D18,'OECD Crosswalk'!$A$2:$A$90,0),1)</f>
        <v>natural gas and petroleum suppliers</v>
      </c>
      <c r="D18" s="15" t="s">
        <v>103</v>
      </c>
      <c r="E18" s="34">
        <f>1+0.1</f>
        <v>1.1000000000000001</v>
      </c>
      <c r="F18" s="48">
        <v>0</v>
      </c>
      <c r="G18" s="48">
        <v>0</v>
      </c>
      <c r="H18" s="48">
        <v>15.7</v>
      </c>
      <c r="I18" s="48">
        <v>11.7</v>
      </c>
      <c r="J18" s="49">
        <v>3.1</v>
      </c>
      <c r="K18" s="48">
        <v>2.1</v>
      </c>
      <c r="L18" s="48">
        <v>11.4</v>
      </c>
      <c r="M18" s="48">
        <v>74.900000000000006</v>
      </c>
      <c r="N18" s="34">
        <f>119.6+20.8</f>
        <v>140.4</v>
      </c>
      <c r="O18" s="33">
        <v>0</v>
      </c>
      <c r="P18" s="48">
        <v>52.8</v>
      </c>
      <c r="Q18" s="48">
        <v>667.4</v>
      </c>
      <c r="R18" s="48">
        <v>48.7</v>
      </c>
      <c r="S18" s="48">
        <v>4.8</v>
      </c>
      <c r="T18" s="48">
        <v>15.9</v>
      </c>
      <c r="U18" s="48">
        <v>9.3000000000000007</v>
      </c>
      <c r="V18" s="48">
        <v>10.4</v>
      </c>
      <c r="W18" s="48">
        <v>3.5</v>
      </c>
      <c r="X18" s="48">
        <v>6.1</v>
      </c>
      <c r="Y18" s="34">
        <f>84.7+55.8</f>
        <v>140.5</v>
      </c>
      <c r="Z18" s="48">
        <v>4</v>
      </c>
      <c r="AA18" s="48">
        <v>4405.8</v>
      </c>
      <c r="AB18" s="34">
        <f>293.6+671.7+606.3+737.5+45.6</f>
        <v>2354.6999999999998</v>
      </c>
      <c r="AC18" s="48">
        <v>15</v>
      </c>
      <c r="AD18" s="48">
        <v>800.1</v>
      </c>
      <c r="AE18" s="48">
        <v>40.700000000000003</v>
      </c>
      <c r="AF18" s="48">
        <v>3.9</v>
      </c>
      <c r="AG18" s="48">
        <v>535</v>
      </c>
      <c r="AH18" s="48">
        <v>134.4</v>
      </c>
      <c r="AI18" s="34">
        <f>23.7+97.7</f>
        <v>121.4</v>
      </c>
      <c r="AJ18" s="48">
        <v>253.3</v>
      </c>
      <c r="AK18" s="48">
        <v>116.1</v>
      </c>
      <c r="AL18" s="48">
        <v>20.100000000000001</v>
      </c>
      <c r="AM18" s="34">
        <f>29.2+62.4</f>
        <v>91.6</v>
      </c>
      <c r="AN18" s="34">
        <v>0</v>
      </c>
      <c r="AO18" s="48">
        <v>3345.6</v>
      </c>
      <c r="AP18" s="48">
        <v>0</v>
      </c>
      <c r="AQ18" s="48">
        <v>0</v>
      </c>
      <c r="AR18" s="48">
        <v>12.6</v>
      </c>
      <c r="AS18" s="48">
        <v>1096.5999999999999</v>
      </c>
      <c r="AT18" s="48">
        <v>63.2</v>
      </c>
      <c r="AU18" s="48">
        <v>69</v>
      </c>
      <c r="AV18" s="48">
        <v>33.1</v>
      </c>
      <c r="AW18" s="48">
        <v>-13543.9</v>
      </c>
      <c r="AX18" s="22">
        <f t="shared" si="0"/>
        <v>13461.5</v>
      </c>
    </row>
    <row r="19" spans="1:50" ht="24" x14ac:dyDescent="0.2">
      <c r="A19" s="26" t="str">
        <f>INDEX('OECD Crosswalk'!$C$2:$C$90,MATCH('OECD Data IO Table - Total (USD'!D19,'OECD Crosswalk'!$A$2:$A$90,0),1)</f>
        <v>chemicals</v>
      </c>
      <c r="B19" s="26" t="str">
        <f>INDEX('OECD Crosswalk'!$B$2:$B$90,MATCH('OECD Data IO Table - Total (USD'!D19,'OECD Crosswalk'!$A$2:$A$90,0),1)</f>
        <v>nonenergy industries</v>
      </c>
      <c r="D19" s="15" t="s">
        <v>105</v>
      </c>
      <c r="E19" s="34">
        <f>2.1+0.1+0.1</f>
        <v>2.3000000000000003</v>
      </c>
      <c r="F19" s="42">
        <v>0</v>
      </c>
      <c r="G19" s="42">
        <v>0</v>
      </c>
      <c r="H19" s="42">
        <f>11.5+0.1</f>
        <v>11.6</v>
      </c>
      <c r="I19" s="34">
        <f>32.9+2.4</f>
        <v>35.299999999999997</v>
      </c>
      <c r="J19" s="34">
        <f>3.1+22</f>
        <v>25.1</v>
      </c>
      <c r="K19" s="34">
        <f>11.5+0.4</f>
        <v>11.9</v>
      </c>
      <c r="L19" s="34">
        <f>93.6+2.1</f>
        <v>95.699999999999989</v>
      </c>
      <c r="M19" s="34">
        <f>27.4+0.7</f>
        <v>28.099999999999998</v>
      </c>
      <c r="N19" s="34">
        <f>289.4+68.9+7.7+55.8</f>
        <v>421.79999999999995</v>
      </c>
      <c r="O19" s="33">
        <v>0</v>
      </c>
      <c r="P19" s="33">
        <f>76.4+1.6</f>
        <v>78</v>
      </c>
      <c r="Q19" s="34">
        <f>197.6+667.4</f>
        <v>865</v>
      </c>
      <c r="R19" s="34">
        <f>18.5+0.5</f>
        <v>19</v>
      </c>
      <c r="S19" s="34">
        <f>37+1.5</f>
        <v>38.5</v>
      </c>
      <c r="T19" s="33">
        <f>106.2+2.1</f>
        <v>108.3</v>
      </c>
      <c r="U19" s="34">
        <f>28.2+0.9</f>
        <v>29.099999999999998</v>
      </c>
      <c r="V19" s="33">
        <f>20.4+0.5</f>
        <v>20.9</v>
      </c>
      <c r="W19" s="33">
        <f>6.1+0.2</f>
        <v>6.3</v>
      </c>
      <c r="X19" s="34">
        <f>12.1+0.2</f>
        <v>12.299999999999999</v>
      </c>
      <c r="Y19" s="34">
        <f>12.5+158.3+0.6+4.8</f>
        <v>176.20000000000002</v>
      </c>
      <c r="Z19" s="34">
        <f>7+0.8</f>
        <v>7.8</v>
      </c>
      <c r="AA19" s="34">
        <f>764.3+51</f>
        <v>815.3</v>
      </c>
      <c r="AB19" s="34">
        <f>16.8+34.7+30.3+104+13+0.9+2.9+2.9+4.9+1.1</f>
        <v>211.50000000000003</v>
      </c>
      <c r="AC19" s="34">
        <f>23.4+2</f>
        <v>25.4</v>
      </c>
      <c r="AD19" s="34">
        <f>68.6+1.7</f>
        <v>70.3</v>
      </c>
      <c r="AE19" s="34">
        <f>21.5+2</f>
        <v>23.5</v>
      </c>
      <c r="AF19" s="34">
        <f>1.7+0.1</f>
        <v>1.8</v>
      </c>
      <c r="AG19" s="34">
        <f>125.9+9.8</f>
        <v>135.70000000000002</v>
      </c>
      <c r="AH19" s="40">
        <f>54+2.7</f>
        <v>56.7</v>
      </c>
      <c r="AI19" s="34">
        <f>19.7+46.6+2.8+1.7</f>
        <v>70.8</v>
      </c>
      <c r="AJ19" s="34">
        <f>78+14.6</f>
        <v>92.6</v>
      </c>
      <c r="AK19" s="34">
        <f>202.3+21.7</f>
        <v>224</v>
      </c>
      <c r="AL19" s="34">
        <f>87.8+75.7</f>
        <v>163.5</v>
      </c>
      <c r="AM19" s="34">
        <f>79.1+9.8+267.1+12.6</f>
        <v>368.6</v>
      </c>
      <c r="AN19" s="34">
        <v>0</v>
      </c>
      <c r="AO19" s="34">
        <f>3025.1+1373.4</f>
        <v>4398.5</v>
      </c>
      <c r="AP19" s="33">
        <v>0</v>
      </c>
      <c r="AQ19" s="42">
        <f>0.2+0.2</f>
        <v>0.4</v>
      </c>
      <c r="AR19" s="34">
        <f>127.2+30.4</f>
        <v>157.6</v>
      </c>
      <c r="AS19" s="33">
        <f>899.5+349.2</f>
        <v>1248.7</v>
      </c>
      <c r="AT19" s="33">
        <f>23.6+18.4</f>
        <v>42</v>
      </c>
      <c r="AU19" s="33">
        <f>6.1+44.5</f>
        <v>50.6</v>
      </c>
      <c r="AV19" s="33">
        <f>333.9+161.6</f>
        <v>495.5</v>
      </c>
      <c r="AW19" s="33">
        <f>-6496.9-1813.5</f>
        <v>-8310.4</v>
      </c>
      <c r="AX19" s="36">
        <f t="shared" si="0"/>
        <v>8651.8000000000011</v>
      </c>
    </row>
    <row r="20" spans="1:50" x14ac:dyDescent="0.2">
      <c r="A20" s="26" t="str">
        <f>INDEX('OECD Crosswalk'!$C$2:$C$90,MATCH('OECD Data IO Table - Total (USD'!D20,'OECD Crosswalk'!$A$2:$A$90,0),1)</f>
        <v>other industries</v>
      </c>
      <c r="B20" s="26" t="str">
        <f>INDEX('OECD Crosswalk'!$B$2:$B$90,MATCH('OECD Data IO Table - Total (USD'!D20,'OECD Crosswalk'!$A$2:$A$90,0),1)</f>
        <v>nonenergy industries</v>
      </c>
      <c r="D20" s="15" t="s">
        <v>107</v>
      </c>
      <c r="E20" s="34">
        <v>0.2</v>
      </c>
      <c r="F20" s="48">
        <v>0</v>
      </c>
      <c r="G20" s="48">
        <v>0</v>
      </c>
      <c r="H20" s="48">
        <v>1.4</v>
      </c>
      <c r="I20" s="48">
        <v>49.5</v>
      </c>
      <c r="J20" s="48">
        <v>5.7</v>
      </c>
      <c r="K20" s="48">
        <v>1.7</v>
      </c>
      <c r="L20" s="48">
        <v>21.7</v>
      </c>
      <c r="M20" s="48">
        <v>2.2999999999999998</v>
      </c>
      <c r="N20" s="34">
        <f>19.8+12.8</f>
        <v>32.6</v>
      </c>
      <c r="O20" s="33">
        <v>0</v>
      </c>
      <c r="P20" s="48">
        <v>15.7</v>
      </c>
      <c r="Q20" s="48">
        <v>41.9</v>
      </c>
      <c r="R20" s="48">
        <v>7.3</v>
      </c>
      <c r="S20" s="48">
        <v>28.6</v>
      </c>
      <c r="T20" s="48">
        <v>83.7</v>
      </c>
      <c r="U20" s="48">
        <v>30.4</v>
      </c>
      <c r="V20" s="48">
        <v>82.5</v>
      </c>
      <c r="W20" s="48">
        <v>15.9</v>
      </c>
      <c r="X20" s="48">
        <v>10.9</v>
      </c>
      <c r="Y20" s="34">
        <f>2.4+34</f>
        <v>36.4</v>
      </c>
      <c r="Z20" s="48">
        <v>2.4</v>
      </c>
      <c r="AA20" s="48">
        <v>2002.7</v>
      </c>
      <c r="AB20" s="34">
        <f>17.9+2.3+2.4+14.1+3.3</f>
        <v>39.999999999999993</v>
      </c>
      <c r="AC20" s="48">
        <v>7</v>
      </c>
      <c r="AD20" s="48">
        <v>14.4</v>
      </c>
      <c r="AE20" s="48">
        <v>5</v>
      </c>
      <c r="AF20" s="48">
        <v>0.2</v>
      </c>
      <c r="AG20" s="48">
        <v>14.1</v>
      </c>
      <c r="AH20" s="48">
        <v>29.8</v>
      </c>
      <c r="AI20" s="34">
        <f>1.6+3.5</f>
        <v>5.0999999999999996</v>
      </c>
      <c r="AJ20" s="48">
        <v>6.7</v>
      </c>
      <c r="AK20" s="48">
        <v>2.1</v>
      </c>
      <c r="AL20" s="48">
        <v>2.2000000000000002</v>
      </c>
      <c r="AM20" s="34">
        <f>15.1+38.2</f>
        <v>53.300000000000004</v>
      </c>
      <c r="AN20" s="34">
        <v>0</v>
      </c>
      <c r="AO20" s="48">
        <v>326</v>
      </c>
      <c r="AP20" s="48">
        <v>0</v>
      </c>
      <c r="AQ20" s="48">
        <v>0.1</v>
      </c>
      <c r="AR20" s="48">
        <v>43.5</v>
      </c>
      <c r="AS20" s="48">
        <v>40.4</v>
      </c>
      <c r="AT20" s="48">
        <v>0.5</v>
      </c>
      <c r="AU20" s="48">
        <v>0</v>
      </c>
      <c r="AV20" s="48">
        <v>0</v>
      </c>
      <c r="AW20" s="48">
        <v>-3064</v>
      </c>
      <c r="AX20" s="22">
        <f t="shared" si="0"/>
        <v>2979.4999999999995</v>
      </c>
    </row>
    <row r="21" spans="1:50" ht="24" x14ac:dyDescent="0.2">
      <c r="A21" s="26" t="str">
        <f>INDEX('OECD Crosswalk'!$C$2:$C$90,MATCH('OECD Data IO Table - Total (USD'!D21,'OECD Crosswalk'!$A$2:$A$90,0),1)</f>
        <v>Cement and other carbonate use</v>
      </c>
      <c r="B21" s="26" t="str">
        <f>INDEX('OECD Crosswalk'!$B$2:$B$90,MATCH('OECD Data IO Table - Total (USD'!D21,'OECD Crosswalk'!$A$2:$A$90,0),1)</f>
        <v>nonenergy industries</v>
      </c>
      <c r="D21" s="15" t="s">
        <v>108</v>
      </c>
      <c r="E21" s="43">
        <v>0.1</v>
      </c>
      <c r="F21" s="48">
        <v>0</v>
      </c>
      <c r="G21" s="48">
        <v>0</v>
      </c>
      <c r="H21" s="48">
        <v>4.4000000000000004</v>
      </c>
      <c r="I21" s="48">
        <v>41.4</v>
      </c>
      <c r="J21" s="49">
        <v>1.6</v>
      </c>
      <c r="K21" s="48">
        <v>1.4</v>
      </c>
      <c r="L21" s="48">
        <v>5.3</v>
      </c>
      <c r="M21" s="48">
        <v>14</v>
      </c>
      <c r="N21" s="34">
        <f>11.9+8.7</f>
        <v>20.6</v>
      </c>
      <c r="O21" s="33">
        <v>0</v>
      </c>
      <c r="P21" s="48">
        <v>402.6</v>
      </c>
      <c r="Q21" s="48">
        <v>451.1</v>
      </c>
      <c r="R21" s="48">
        <v>42.1</v>
      </c>
      <c r="S21" s="48">
        <v>36.299999999999997</v>
      </c>
      <c r="T21" s="48">
        <v>98.8</v>
      </c>
      <c r="U21" s="48">
        <v>19.8</v>
      </c>
      <c r="V21" s="48">
        <v>61.1</v>
      </c>
      <c r="W21" s="48">
        <v>18.399999999999999</v>
      </c>
      <c r="X21" s="48">
        <v>6</v>
      </c>
      <c r="Y21" s="34">
        <f>5.3+32</f>
        <v>37.299999999999997</v>
      </c>
      <c r="Z21" s="48">
        <v>58.7</v>
      </c>
      <c r="AA21" s="48">
        <v>183.1</v>
      </c>
      <c r="AB21" s="34">
        <f>2.6+2.7+5+26+13.2</f>
        <v>49.5</v>
      </c>
      <c r="AC21" s="48">
        <v>3.2</v>
      </c>
      <c r="AD21" s="48">
        <v>12.2</v>
      </c>
      <c r="AE21" s="48">
        <v>35.799999999999997</v>
      </c>
      <c r="AF21" s="48">
        <v>0.4</v>
      </c>
      <c r="AG21" s="48">
        <v>61.3</v>
      </c>
      <c r="AH21" s="48">
        <v>22</v>
      </c>
      <c r="AI21" s="34">
        <f>3.9+7.9</f>
        <v>11.8</v>
      </c>
      <c r="AJ21" s="48">
        <v>115.8</v>
      </c>
      <c r="AK21" s="48">
        <v>81.2</v>
      </c>
      <c r="AL21" s="48">
        <v>4.5999999999999996</v>
      </c>
      <c r="AM21" s="34">
        <f>18.4+43.1</f>
        <v>61.5</v>
      </c>
      <c r="AN21" s="34">
        <v>0</v>
      </c>
      <c r="AO21" s="48">
        <v>672.5</v>
      </c>
      <c r="AP21" s="48">
        <v>0</v>
      </c>
      <c r="AQ21" s="49">
        <v>0</v>
      </c>
      <c r="AR21" s="48">
        <v>49.4</v>
      </c>
      <c r="AS21" s="48">
        <v>165.7</v>
      </c>
      <c r="AT21" s="48">
        <v>0.3</v>
      </c>
      <c r="AU21" s="48">
        <v>0</v>
      </c>
      <c r="AV21" s="48">
        <v>108.8</v>
      </c>
      <c r="AW21" s="48">
        <v>-1681.9</v>
      </c>
      <c r="AX21" s="22">
        <f t="shared" si="0"/>
        <v>2635.8999999999996</v>
      </c>
    </row>
    <row r="22" spans="1:50" x14ac:dyDescent="0.2">
      <c r="A22" s="26" t="str">
        <f>INDEX('OECD Crosswalk'!$C$2:$C$90,MATCH('OECD Data IO Table - Total (USD'!D22,'OECD Crosswalk'!$A$2:$A$90,0),1)</f>
        <v>iron and steel</v>
      </c>
      <c r="B22" s="26" t="str">
        <f>INDEX('OECD Crosswalk'!$B$2:$B$90,MATCH('OECD Data IO Table - Total (USD'!D22,'OECD Crosswalk'!$A$2:$A$90,0),1)</f>
        <v>nonenergy industries</v>
      </c>
      <c r="D22" s="15" t="s">
        <v>109</v>
      </c>
      <c r="E22" s="43">
        <v>0.1</v>
      </c>
      <c r="F22" s="48">
        <v>0</v>
      </c>
      <c r="G22" s="48">
        <v>0</v>
      </c>
      <c r="H22" s="48">
        <v>5.3</v>
      </c>
      <c r="I22" s="48">
        <v>10.3</v>
      </c>
      <c r="J22" s="49">
        <v>0.9</v>
      </c>
      <c r="K22" s="48">
        <v>1.7</v>
      </c>
      <c r="L22" s="48">
        <v>8.6999999999999993</v>
      </c>
      <c r="M22" s="48">
        <v>5</v>
      </c>
      <c r="N22" s="34">
        <f>14.7+3.7</f>
        <v>18.399999999999999</v>
      </c>
      <c r="O22" s="33">
        <v>0</v>
      </c>
      <c r="P22" s="48">
        <v>31.6</v>
      </c>
      <c r="Q22" s="48">
        <v>5839.2</v>
      </c>
      <c r="R22" s="48">
        <v>476</v>
      </c>
      <c r="S22" s="48">
        <v>110.9</v>
      </c>
      <c r="T22" s="48">
        <v>489.7</v>
      </c>
      <c r="U22" s="48">
        <v>157.6</v>
      </c>
      <c r="V22" s="48">
        <v>52.9</v>
      </c>
      <c r="W22" s="48">
        <v>10.1</v>
      </c>
      <c r="X22" s="48">
        <v>37.9</v>
      </c>
      <c r="Y22" s="34">
        <f>6.5+87.6</f>
        <v>94.1</v>
      </c>
      <c r="Z22" s="48">
        <v>8.3000000000000007</v>
      </c>
      <c r="AA22" s="48">
        <v>5508.3</v>
      </c>
      <c r="AB22" s="34">
        <f>5.3+13.1+10.3+50.1+2.9</f>
        <v>81.7</v>
      </c>
      <c r="AC22" s="48">
        <v>1.7</v>
      </c>
      <c r="AD22" s="48">
        <v>12.2</v>
      </c>
      <c r="AE22" s="48">
        <v>8.3000000000000007</v>
      </c>
      <c r="AF22" s="48">
        <v>0.7</v>
      </c>
      <c r="AG22" s="48">
        <v>62</v>
      </c>
      <c r="AH22" s="48">
        <v>41</v>
      </c>
      <c r="AI22" s="34">
        <f>7.7+5.2</f>
        <v>12.9</v>
      </c>
      <c r="AJ22" s="48">
        <v>13.7</v>
      </c>
      <c r="AK22" s="48">
        <v>14.6</v>
      </c>
      <c r="AL22" s="48">
        <v>2.2999999999999998</v>
      </c>
      <c r="AM22" s="34">
        <f>15.4+24.7</f>
        <v>40.1</v>
      </c>
      <c r="AN22" s="34">
        <v>0</v>
      </c>
      <c r="AO22" s="48">
        <v>158.6</v>
      </c>
      <c r="AP22" s="48">
        <v>0</v>
      </c>
      <c r="AQ22" s="49">
        <v>0.1</v>
      </c>
      <c r="AR22" s="48">
        <v>263.3</v>
      </c>
      <c r="AS22" s="48">
        <v>295.39999999999998</v>
      </c>
      <c r="AT22" s="48">
        <v>0.7</v>
      </c>
      <c r="AU22" s="48">
        <v>0</v>
      </c>
      <c r="AV22" s="48">
        <v>8466.2999999999993</v>
      </c>
      <c r="AW22" s="48">
        <v>-10834.1</v>
      </c>
      <c r="AX22" s="22">
        <f t="shared" si="0"/>
        <v>13316.900000000003</v>
      </c>
    </row>
    <row r="23" spans="1:50" ht="24" x14ac:dyDescent="0.2">
      <c r="A23" s="26" t="str">
        <f>INDEX('OECD Crosswalk'!$C$2:$C$90,MATCH('OECD Data IO Table - Total (USD'!D23,'OECD Crosswalk'!$A$2:$A$90,0),1)</f>
        <v>other industries</v>
      </c>
      <c r="B23" s="26" t="str">
        <f>INDEX('OECD Crosswalk'!$B$2:$B$90,MATCH('OECD Data IO Table - Total (USD'!D23,'OECD Crosswalk'!$A$2:$A$90,0),1)</f>
        <v>nonenergy industries</v>
      </c>
      <c r="D23" s="15" t="s">
        <v>111</v>
      </c>
      <c r="E23" s="43">
        <v>0.1</v>
      </c>
      <c r="F23" s="48">
        <v>0</v>
      </c>
      <c r="G23" s="48">
        <v>0</v>
      </c>
      <c r="H23" s="48">
        <v>3.9</v>
      </c>
      <c r="I23" s="48">
        <v>4.7</v>
      </c>
      <c r="J23" s="49">
        <v>0.9</v>
      </c>
      <c r="K23" s="48">
        <v>1.4</v>
      </c>
      <c r="L23" s="48">
        <v>3.2</v>
      </c>
      <c r="M23" s="48">
        <v>2.6</v>
      </c>
      <c r="N23" s="34">
        <f>4+1.7</f>
        <v>5.7</v>
      </c>
      <c r="O23" s="33">
        <v>0</v>
      </c>
      <c r="P23" s="48">
        <v>13</v>
      </c>
      <c r="Q23" s="48">
        <v>275.8</v>
      </c>
      <c r="R23" s="48">
        <v>75.599999999999994</v>
      </c>
      <c r="S23" s="48">
        <v>24.8</v>
      </c>
      <c r="T23" s="48">
        <v>81.599999999999994</v>
      </c>
      <c r="U23" s="48">
        <v>58.2</v>
      </c>
      <c r="V23" s="48">
        <v>32.299999999999997</v>
      </c>
      <c r="W23" s="48">
        <v>10.7</v>
      </c>
      <c r="X23" s="48">
        <v>10</v>
      </c>
      <c r="Y23" s="34">
        <f>3.1+16.3</f>
        <v>19.400000000000002</v>
      </c>
      <c r="Z23" s="48">
        <v>6.2</v>
      </c>
      <c r="AA23" s="48">
        <v>2351.6</v>
      </c>
      <c r="AB23" s="34">
        <f>2.6+5+3.3+30+1.7</f>
        <v>42.6</v>
      </c>
      <c r="AC23" s="48">
        <v>1.6</v>
      </c>
      <c r="AD23" s="48">
        <v>6.1</v>
      </c>
      <c r="AE23" s="48">
        <v>6.9</v>
      </c>
      <c r="AF23" s="48">
        <v>0.6</v>
      </c>
      <c r="AG23" s="48">
        <v>32.200000000000003</v>
      </c>
      <c r="AH23" s="48">
        <v>31.1</v>
      </c>
      <c r="AI23" s="34">
        <f>4.4+10.3</f>
        <v>14.700000000000001</v>
      </c>
      <c r="AJ23" s="48">
        <v>13.6</v>
      </c>
      <c r="AK23" s="48">
        <v>13.1</v>
      </c>
      <c r="AL23" s="48">
        <v>1.8</v>
      </c>
      <c r="AM23" s="34">
        <f>9.7+14.1</f>
        <v>23.799999999999997</v>
      </c>
      <c r="AN23" s="34">
        <v>0</v>
      </c>
      <c r="AO23" s="48">
        <v>390.5</v>
      </c>
      <c r="AP23" s="48">
        <v>0</v>
      </c>
      <c r="AQ23" s="49">
        <v>0</v>
      </c>
      <c r="AR23" s="48">
        <v>631.1</v>
      </c>
      <c r="AS23" s="48">
        <v>230.1</v>
      </c>
      <c r="AT23" s="48">
        <v>0.5</v>
      </c>
      <c r="AU23" s="48">
        <v>0</v>
      </c>
      <c r="AV23" s="48">
        <v>335.3</v>
      </c>
      <c r="AW23" s="48">
        <v>-3551.3</v>
      </c>
      <c r="AX23" s="22">
        <f t="shared" si="0"/>
        <v>3560.2999999999993</v>
      </c>
    </row>
    <row r="24" spans="1:50" ht="24" x14ac:dyDescent="0.2">
      <c r="A24" s="26" t="str">
        <f>INDEX('OECD Crosswalk'!$C$2:$C$90,MATCH('OECD Data IO Table - Total (USD'!D24,'OECD Crosswalk'!$A$2:$A$90,0),1)</f>
        <v>other industries</v>
      </c>
      <c r="B24" s="26" t="str">
        <f>INDEX('OECD Crosswalk'!$B$2:$B$90,MATCH('OECD Data IO Table - Total (USD'!D24,'OECD Crosswalk'!$A$2:$A$90,0),1)</f>
        <v>nonenergy industries</v>
      </c>
      <c r="D24" s="15" t="s">
        <v>112</v>
      </c>
      <c r="E24" s="34">
        <v>0.1</v>
      </c>
      <c r="F24" s="48">
        <v>0</v>
      </c>
      <c r="G24" s="48">
        <v>0</v>
      </c>
      <c r="H24" s="48">
        <v>2</v>
      </c>
      <c r="I24" s="48">
        <v>3.9</v>
      </c>
      <c r="J24" s="49">
        <v>1.3</v>
      </c>
      <c r="K24" s="48">
        <v>0.4</v>
      </c>
      <c r="L24" s="48">
        <v>3.9</v>
      </c>
      <c r="M24" s="48">
        <v>2.9</v>
      </c>
      <c r="N24" s="34">
        <f>4.7+2.9</f>
        <v>7.6</v>
      </c>
      <c r="O24" s="33">
        <v>0</v>
      </c>
      <c r="P24" s="48">
        <v>3.9</v>
      </c>
      <c r="Q24" s="48">
        <v>20</v>
      </c>
      <c r="R24" s="48">
        <v>4.4000000000000004</v>
      </c>
      <c r="S24" s="48">
        <v>384.8</v>
      </c>
      <c r="T24" s="48">
        <v>160.80000000000001</v>
      </c>
      <c r="U24" s="48">
        <v>52.9</v>
      </c>
      <c r="V24" s="48">
        <v>26</v>
      </c>
      <c r="W24" s="48">
        <v>11.7</v>
      </c>
      <c r="X24" s="48">
        <v>9.6</v>
      </c>
      <c r="Y24" s="34">
        <f>47.7+63</f>
        <v>110.7</v>
      </c>
      <c r="Z24" s="48">
        <v>2.8</v>
      </c>
      <c r="AA24" s="48">
        <v>11206.1</v>
      </c>
      <c r="AB24" s="34">
        <f>4.2+12.5+10.6+21.6+111.8</f>
        <v>160.69999999999999</v>
      </c>
      <c r="AC24" s="48">
        <v>3.3</v>
      </c>
      <c r="AD24" s="48">
        <v>134.69999999999999</v>
      </c>
      <c r="AE24" s="48">
        <v>1136.7</v>
      </c>
      <c r="AF24" s="48">
        <v>18.3</v>
      </c>
      <c r="AG24" s="48">
        <v>167.9</v>
      </c>
      <c r="AH24" s="48">
        <v>62.2</v>
      </c>
      <c r="AI24" s="34">
        <f>35.9+44.9</f>
        <v>80.8</v>
      </c>
      <c r="AJ24" s="48">
        <v>72.900000000000006</v>
      </c>
      <c r="AK24" s="48">
        <v>101.3</v>
      </c>
      <c r="AL24" s="48">
        <v>7.3</v>
      </c>
      <c r="AM24" s="34">
        <f>99.7+241.4</f>
        <v>341.1</v>
      </c>
      <c r="AN24" s="34">
        <v>0</v>
      </c>
      <c r="AO24" s="48">
        <v>9641.6</v>
      </c>
      <c r="AP24" s="48">
        <v>0</v>
      </c>
      <c r="AQ24" s="49">
        <v>0.2</v>
      </c>
      <c r="AR24" s="48">
        <v>6253.5</v>
      </c>
      <c r="AS24" s="48">
        <v>29295.1</v>
      </c>
      <c r="AT24" s="48">
        <v>28</v>
      </c>
      <c r="AU24" s="48">
        <v>0.1</v>
      </c>
      <c r="AV24" s="48">
        <v>1379.5</v>
      </c>
      <c r="AW24" s="48">
        <v>-59402.6</v>
      </c>
      <c r="AX24" s="22">
        <f t="shared" si="0"/>
        <v>23944.799999999999</v>
      </c>
    </row>
    <row r="25" spans="1:50" x14ac:dyDescent="0.2">
      <c r="A25" s="26" t="str">
        <f>INDEX('OECD Crosswalk'!$C$2:$C$90,MATCH('OECD Data IO Table - Total (USD'!D25,'OECD Crosswalk'!$A$2:$A$90,0),1)</f>
        <v>other industries</v>
      </c>
      <c r="B25" s="26" t="str">
        <f>INDEX('OECD Crosswalk'!$B$2:$B$90,MATCH('OECD Data IO Table - Total (USD'!D25,'OECD Crosswalk'!$A$2:$A$90,0),1)</f>
        <v>nonenergy industries</v>
      </c>
      <c r="D25" s="15" t="s">
        <v>113</v>
      </c>
      <c r="E25" s="34">
        <v>0</v>
      </c>
      <c r="F25" s="48">
        <v>0</v>
      </c>
      <c r="G25" s="48">
        <v>0</v>
      </c>
      <c r="H25" s="48">
        <v>1.8</v>
      </c>
      <c r="I25" s="48">
        <v>3.2</v>
      </c>
      <c r="J25" s="49">
        <v>0.7</v>
      </c>
      <c r="K25" s="48">
        <v>0.5</v>
      </c>
      <c r="L25" s="48">
        <v>2.5</v>
      </c>
      <c r="M25" s="48">
        <v>2.5</v>
      </c>
      <c r="N25" s="34">
        <f>3.2+1.6</f>
        <v>4.8000000000000007</v>
      </c>
      <c r="O25" s="33">
        <v>0</v>
      </c>
      <c r="P25" s="48">
        <v>5.3</v>
      </c>
      <c r="Q25" s="48">
        <v>42.3</v>
      </c>
      <c r="R25" s="48">
        <v>5.7</v>
      </c>
      <c r="S25" s="48">
        <v>127.1</v>
      </c>
      <c r="T25" s="48">
        <v>580.4</v>
      </c>
      <c r="U25" s="48">
        <v>102.4</v>
      </c>
      <c r="V25" s="48">
        <v>48.3</v>
      </c>
      <c r="W25" s="48">
        <v>14.3</v>
      </c>
      <c r="X25" s="48">
        <v>13.2</v>
      </c>
      <c r="Y25" s="34">
        <f>75.6+61</f>
        <v>136.6</v>
      </c>
      <c r="Z25" s="48">
        <v>6.7</v>
      </c>
      <c r="AA25" s="48">
        <v>8164.4</v>
      </c>
      <c r="AB25" s="34">
        <f>5.2+11.2+6+17.1+62.9</f>
        <v>102.4</v>
      </c>
      <c r="AC25" s="48">
        <v>2.2999999999999998</v>
      </c>
      <c r="AD25" s="48">
        <v>75</v>
      </c>
      <c r="AE25" s="48">
        <v>538.9</v>
      </c>
      <c r="AF25" s="48">
        <v>5</v>
      </c>
      <c r="AG25" s="48">
        <v>75.2</v>
      </c>
      <c r="AH25" s="48">
        <v>91</v>
      </c>
      <c r="AI25" s="34">
        <f>22.9+42.5</f>
        <v>65.400000000000006</v>
      </c>
      <c r="AJ25" s="48">
        <v>37</v>
      </c>
      <c r="AK25" s="48">
        <v>46.3</v>
      </c>
      <c r="AL25" s="48">
        <v>3.2</v>
      </c>
      <c r="AM25" s="34">
        <f>64.3+163.9</f>
        <v>228.2</v>
      </c>
      <c r="AN25" s="34">
        <v>0</v>
      </c>
      <c r="AO25" s="48">
        <v>4056.2</v>
      </c>
      <c r="AP25" s="48">
        <v>0</v>
      </c>
      <c r="AQ25" s="49">
        <v>0.1</v>
      </c>
      <c r="AR25" s="48">
        <v>2029.2</v>
      </c>
      <c r="AS25" s="48">
        <v>1058.9000000000001</v>
      </c>
      <c r="AT25" s="48">
        <v>11.8</v>
      </c>
      <c r="AU25" s="48">
        <v>2.4</v>
      </c>
      <c r="AV25" s="48">
        <v>342.1</v>
      </c>
      <c r="AW25" s="48">
        <v>-15322.5</v>
      </c>
      <c r="AX25" s="22">
        <f t="shared" si="0"/>
        <v>14588.9</v>
      </c>
    </row>
    <row r="26" spans="1:50" ht="24" x14ac:dyDescent="0.2">
      <c r="A26" s="26" t="str">
        <f>INDEX('OECD Crosswalk'!$C$2:$C$90,MATCH('OECD Data IO Table - Total (USD'!D26,'OECD Crosswalk'!$A$2:$A$90,0),1)</f>
        <v>other industries</v>
      </c>
      <c r="B26" s="26" t="str">
        <f>INDEX('OECD Crosswalk'!$B$2:$B$90,MATCH('OECD Data IO Table - Total (USD'!D26,'OECD Crosswalk'!$A$2:$A$90,0),1)</f>
        <v>nonenergy industries</v>
      </c>
      <c r="D26" s="15" t="s">
        <v>114</v>
      </c>
      <c r="E26" s="34">
        <v>0.3</v>
      </c>
      <c r="F26" s="48">
        <v>0</v>
      </c>
      <c r="G26" s="48">
        <v>0</v>
      </c>
      <c r="H26" s="48">
        <v>15.2</v>
      </c>
      <c r="I26" s="48">
        <v>14.4</v>
      </c>
      <c r="J26" s="49">
        <v>3.6</v>
      </c>
      <c r="K26" s="48">
        <v>2.6</v>
      </c>
      <c r="L26" s="48">
        <v>12.8</v>
      </c>
      <c r="M26" s="48">
        <v>5.9</v>
      </c>
      <c r="N26" s="34">
        <f>9.5+5.3</f>
        <v>14.8</v>
      </c>
      <c r="O26" s="33">
        <v>0</v>
      </c>
      <c r="P26" s="48">
        <v>29.5</v>
      </c>
      <c r="Q26" s="48">
        <v>232.2</v>
      </c>
      <c r="R26" s="48">
        <v>39.9</v>
      </c>
      <c r="S26" s="48">
        <v>26.2</v>
      </c>
      <c r="T26" s="48">
        <v>71.3</v>
      </c>
      <c r="U26" s="48">
        <v>237.1</v>
      </c>
      <c r="V26" s="48">
        <v>115.8</v>
      </c>
      <c r="W26" s="48">
        <v>39.9</v>
      </c>
      <c r="X26" s="48">
        <v>22.1</v>
      </c>
      <c r="Y26" s="34">
        <f>12.3+20.7</f>
        <v>33</v>
      </c>
      <c r="Z26" s="48">
        <v>3.2</v>
      </c>
      <c r="AA26" s="48">
        <v>724.6</v>
      </c>
      <c r="AB26" s="34">
        <f>8.3+69.5+100.1+171.4+16.1</f>
        <v>365.4</v>
      </c>
      <c r="AC26" s="48">
        <v>3.7</v>
      </c>
      <c r="AD26" s="48">
        <v>10</v>
      </c>
      <c r="AE26" s="48">
        <v>34.5</v>
      </c>
      <c r="AF26" s="48">
        <v>0.4</v>
      </c>
      <c r="AG26" s="48">
        <v>251.5</v>
      </c>
      <c r="AH26" s="48">
        <v>61.5</v>
      </c>
      <c r="AI26" s="34">
        <f>2.8+8.4</f>
        <v>11.2</v>
      </c>
      <c r="AJ26" s="48">
        <v>14</v>
      </c>
      <c r="AK26" s="48">
        <v>18.899999999999999</v>
      </c>
      <c r="AL26" s="48">
        <v>31.4</v>
      </c>
      <c r="AM26" s="34">
        <f>13.1+20.5</f>
        <v>33.6</v>
      </c>
      <c r="AN26" s="34">
        <v>0</v>
      </c>
      <c r="AO26" s="48">
        <v>465.5</v>
      </c>
      <c r="AP26" s="48">
        <v>0</v>
      </c>
      <c r="AQ26" s="49">
        <v>0.2</v>
      </c>
      <c r="AR26" s="48">
        <v>7163.9</v>
      </c>
      <c r="AS26" s="48">
        <v>1027.4000000000001</v>
      </c>
      <c r="AT26" s="48">
        <v>0.8</v>
      </c>
      <c r="AU26" s="48">
        <v>0</v>
      </c>
      <c r="AV26" s="48">
        <v>912.5</v>
      </c>
      <c r="AW26" s="48">
        <v>-10813.8</v>
      </c>
      <c r="AX26" s="22">
        <f t="shared" si="0"/>
        <v>2946.2</v>
      </c>
    </row>
    <row r="27" spans="1:50" ht="24" x14ac:dyDescent="0.2">
      <c r="A27" s="26" t="str">
        <f>INDEX('OECD Crosswalk'!$C$2:$C$90,MATCH('OECD Data IO Table - Total (USD'!D27,'OECD Crosswalk'!$A$2:$A$90,0),1)</f>
        <v>other industries</v>
      </c>
      <c r="B27" s="26" t="str">
        <f>INDEX('OECD Crosswalk'!$B$2:$B$90,MATCH('OECD Data IO Table - Total (USD'!D27,'OECD Crosswalk'!$A$2:$A$90,0),1)</f>
        <v>nonenergy industries</v>
      </c>
      <c r="D27" s="15" t="s">
        <v>115</v>
      </c>
      <c r="E27" s="34">
        <v>0</v>
      </c>
      <c r="F27" s="48">
        <v>0</v>
      </c>
      <c r="G27" s="48">
        <v>0</v>
      </c>
      <c r="H27" s="48">
        <v>0.3</v>
      </c>
      <c r="I27" s="48">
        <v>0.6</v>
      </c>
      <c r="J27" s="49">
        <v>0.3</v>
      </c>
      <c r="K27" s="48">
        <v>0.1</v>
      </c>
      <c r="L27" s="48">
        <v>0.6</v>
      </c>
      <c r="M27" s="48">
        <v>0.2</v>
      </c>
      <c r="N27" s="34">
        <f>0.4+0.2</f>
        <v>0.60000000000000009</v>
      </c>
      <c r="O27" s="33">
        <v>0</v>
      </c>
      <c r="P27" s="48">
        <v>1.5</v>
      </c>
      <c r="Q27" s="48">
        <v>6.9</v>
      </c>
      <c r="R27" s="48">
        <v>1.1000000000000001</v>
      </c>
      <c r="S27" s="48">
        <v>2.2000000000000002</v>
      </c>
      <c r="T27" s="48">
        <v>6.3</v>
      </c>
      <c r="U27" s="48">
        <v>9.4</v>
      </c>
      <c r="V27" s="48">
        <v>186.9</v>
      </c>
      <c r="W27" s="48">
        <v>7.3</v>
      </c>
      <c r="X27" s="48">
        <v>1.3</v>
      </c>
      <c r="Y27" s="34">
        <f>0.9+26.3</f>
        <v>27.2</v>
      </c>
      <c r="Z27" s="48">
        <v>0.3</v>
      </c>
      <c r="AA27" s="48">
        <v>468</v>
      </c>
      <c r="AB27" s="34">
        <f>24.1+24+17.4+5.7+17.8</f>
        <v>89</v>
      </c>
      <c r="AC27" s="48">
        <v>1</v>
      </c>
      <c r="AD27" s="48">
        <v>13.7</v>
      </c>
      <c r="AE27" s="48">
        <v>19.5</v>
      </c>
      <c r="AF27" s="48">
        <v>0.4</v>
      </c>
      <c r="AG27" s="48">
        <v>36</v>
      </c>
      <c r="AH27" s="48">
        <v>5.3</v>
      </c>
      <c r="AI27" s="34">
        <f>2.6+11.3</f>
        <v>13.9</v>
      </c>
      <c r="AJ27" s="48">
        <v>40.799999999999997</v>
      </c>
      <c r="AK27" s="48">
        <v>1.6</v>
      </c>
      <c r="AL27" s="48">
        <v>1</v>
      </c>
      <c r="AM27" s="34">
        <f>23.9+32.8</f>
        <v>56.699999999999996</v>
      </c>
      <c r="AN27" s="34">
        <v>0</v>
      </c>
      <c r="AO27" s="48">
        <v>1598</v>
      </c>
      <c r="AP27" s="48">
        <v>0</v>
      </c>
      <c r="AQ27" s="49">
        <v>0.1</v>
      </c>
      <c r="AR27" s="48">
        <v>2196.8000000000002</v>
      </c>
      <c r="AS27" s="48">
        <v>701.9</v>
      </c>
      <c r="AT27" s="48">
        <v>13.1</v>
      </c>
      <c r="AU27" s="48">
        <v>4.0999999999999996</v>
      </c>
      <c r="AV27" s="48">
        <v>45</v>
      </c>
      <c r="AW27" s="48">
        <v>-4090.8</v>
      </c>
      <c r="AX27" s="22">
        <f t="shared" si="0"/>
        <v>2598.1</v>
      </c>
    </row>
    <row r="28" spans="1:50" x14ac:dyDescent="0.2">
      <c r="A28" s="26" t="str">
        <f>INDEX('OECD Crosswalk'!$C$2:$C$90,MATCH('OECD Data IO Table - Total (USD'!D28,'OECD Crosswalk'!$A$2:$A$90,0),1)</f>
        <v>other industries</v>
      </c>
      <c r="B28" s="26" t="str">
        <f>INDEX('OECD Crosswalk'!$B$2:$B$90,MATCH('OECD Data IO Table - Total (USD'!D28,'OECD Crosswalk'!$A$2:$A$90,0),1)</f>
        <v>nonenergy industries</v>
      </c>
      <c r="D28" s="15" t="s">
        <v>116</v>
      </c>
      <c r="E28" s="34">
        <v>0</v>
      </c>
      <c r="F28" s="48">
        <v>0</v>
      </c>
      <c r="G28" s="48">
        <v>0</v>
      </c>
      <c r="H28" s="48">
        <v>0.1</v>
      </c>
      <c r="I28" s="48">
        <v>0.4</v>
      </c>
      <c r="J28" s="49">
        <v>0.1</v>
      </c>
      <c r="K28" s="48">
        <v>0.1</v>
      </c>
      <c r="L28" s="48">
        <v>0.5</v>
      </c>
      <c r="M28" s="48">
        <v>0.2</v>
      </c>
      <c r="N28" s="34">
        <f>0.3+0.2</f>
        <v>0.5</v>
      </c>
      <c r="O28" s="33">
        <v>0</v>
      </c>
      <c r="P28" s="48">
        <v>1.1000000000000001</v>
      </c>
      <c r="Q28" s="48">
        <v>5.5</v>
      </c>
      <c r="R28" s="48">
        <v>0.6</v>
      </c>
      <c r="S28" s="48">
        <v>1.1000000000000001</v>
      </c>
      <c r="T28" s="48">
        <v>2.2000000000000002</v>
      </c>
      <c r="U28" s="48">
        <v>4.7</v>
      </c>
      <c r="V28" s="48">
        <v>199.1</v>
      </c>
      <c r="W28" s="48">
        <v>127.4</v>
      </c>
      <c r="X28" s="48">
        <v>4.5999999999999996</v>
      </c>
      <c r="Y28" s="34">
        <f>0.3+21.1</f>
        <v>21.400000000000002</v>
      </c>
      <c r="Z28" s="48">
        <v>0.2</v>
      </c>
      <c r="AA28" s="48">
        <v>475.7</v>
      </c>
      <c r="AB28" s="34">
        <f>17.1+53.5+83.6+5.8+13.3</f>
        <v>173.3</v>
      </c>
      <c r="AC28" s="48">
        <v>0.8</v>
      </c>
      <c r="AD28" s="48">
        <v>21.1</v>
      </c>
      <c r="AE28" s="48">
        <v>10.4</v>
      </c>
      <c r="AF28" s="48">
        <v>0.3</v>
      </c>
      <c r="AG28" s="48">
        <v>52.1</v>
      </c>
      <c r="AH28" s="48">
        <v>4</v>
      </c>
      <c r="AI28" s="34">
        <f>4.4+8</f>
        <v>12.4</v>
      </c>
      <c r="AJ28" s="48">
        <v>91.9</v>
      </c>
      <c r="AK28" s="48">
        <v>1.1000000000000001</v>
      </c>
      <c r="AL28" s="48">
        <v>0.7</v>
      </c>
      <c r="AM28" s="34">
        <f>27.3+40.4</f>
        <v>67.7</v>
      </c>
      <c r="AN28" s="34">
        <v>0</v>
      </c>
      <c r="AO28" s="48">
        <v>916.2</v>
      </c>
      <c r="AP28" s="48">
        <v>0</v>
      </c>
      <c r="AQ28" s="49">
        <v>0</v>
      </c>
      <c r="AR28" s="48">
        <v>4989.8</v>
      </c>
      <c r="AS28" s="48">
        <v>1071.4000000000001</v>
      </c>
      <c r="AT28" s="48">
        <v>0.3</v>
      </c>
      <c r="AU28" s="48">
        <v>0</v>
      </c>
      <c r="AV28" s="48">
        <v>30.6</v>
      </c>
      <c r="AW28" s="48">
        <v>-7770.4</v>
      </c>
      <c r="AX28" s="22">
        <f t="shared" si="0"/>
        <v>2197.5</v>
      </c>
    </row>
    <row r="29" spans="1:50" ht="36" x14ac:dyDescent="0.2">
      <c r="A29" s="26" t="str">
        <f>INDEX('OECD Crosswalk'!$C$2:$C$90,MATCH('OECD Data IO Table - Total (USD'!D29,'OECD Crosswalk'!$A$2:$A$90,0),1)</f>
        <v>other industries</v>
      </c>
      <c r="B29" s="26" t="str">
        <f>INDEX('OECD Crosswalk'!$B$2:$B$90,MATCH('OECD Data IO Table - Total (USD'!D29,'OECD Crosswalk'!$A$2:$A$90,0),1)</f>
        <v>nonenergy industries</v>
      </c>
      <c r="D29" s="15" t="s">
        <v>117</v>
      </c>
      <c r="E29" s="34">
        <f>0.3+0.1</f>
        <v>0.4</v>
      </c>
      <c r="F29" s="48">
        <v>0</v>
      </c>
      <c r="G29" s="48">
        <v>0</v>
      </c>
      <c r="H29" s="48">
        <v>1.2</v>
      </c>
      <c r="I29" s="48">
        <v>9.5</v>
      </c>
      <c r="J29" s="49">
        <v>2.4</v>
      </c>
      <c r="K29" s="48">
        <v>1.4</v>
      </c>
      <c r="L29" s="48">
        <v>12.9</v>
      </c>
      <c r="M29" s="48">
        <v>0.3</v>
      </c>
      <c r="N29" s="34">
        <f>0.8+0.7</f>
        <v>1.5</v>
      </c>
      <c r="O29" s="33">
        <v>0</v>
      </c>
      <c r="P29" s="48">
        <v>1.6</v>
      </c>
      <c r="Q29" s="48">
        <v>31.2</v>
      </c>
      <c r="R29" s="48">
        <v>4.8</v>
      </c>
      <c r="S29" s="48">
        <v>2.7</v>
      </c>
      <c r="T29" s="48">
        <v>4.2</v>
      </c>
      <c r="U29" s="48">
        <v>2.9</v>
      </c>
      <c r="V29" s="48">
        <v>5.5</v>
      </c>
      <c r="W29" s="48">
        <v>2.9</v>
      </c>
      <c r="X29" s="48">
        <v>3.1</v>
      </c>
      <c r="Y29" s="34">
        <f>13.8+16.7</f>
        <v>30.5</v>
      </c>
      <c r="Z29" s="48">
        <v>27.5</v>
      </c>
      <c r="AA29" s="48">
        <v>362.7</v>
      </c>
      <c r="AB29" s="34">
        <f>33.7+59.1+91.5+52.2+10</f>
        <v>246.5</v>
      </c>
      <c r="AC29" s="48">
        <v>9.8000000000000007</v>
      </c>
      <c r="AD29" s="48">
        <v>11.1</v>
      </c>
      <c r="AE29" s="48">
        <v>31.8</v>
      </c>
      <c r="AF29" s="48">
        <v>1.1000000000000001</v>
      </c>
      <c r="AG29" s="48">
        <v>342.2</v>
      </c>
      <c r="AH29" s="48">
        <v>93.4</v>
      </c>
      <c r="AI29" s="34">
        <f>5.9+26</f>
        <v>31.9</v>
      </c>
      <c r="AJ29" s="48">
        <v>42.3</v>
      </c>
      <c r="AK29" s="48">
        <v>37.9</v>
      </c>
      <c r="AL29" s="48">
        <v>17.600000000000001</v>
      </c>
      <c r="AM29" s="34">
        <f>29.7+22.7</f>
        <v>52.4</v>
      </c>
      <c r="AN29" s="34">
        <v>0</v>
      </c>
      <c r="AO29" s="48">
        <v>1011.7</v>
      </c>
      <c r="AP29" s="48">
        <v>0</v>
      </c>
      <c r="AQ29" s="49">
        <v>0.1</v>
      </c>
      <c r="AR29" s="48">
        <v>353.7</v>
      </c>
      <c r="AS29" s="48">
        <v>8436.5</v>
      </c>
      <c r="AT29" s="48">
        <v>82.2</v>
      </c>
      <c r="AU29" s="48">
        <v>0</v>
      </c>
      <c r="AV29" s="48">
        <v>317.39999999999998</v>
      </c>
      <c r="AW29" s="48">
        <v>-10821.1</v>
      </c>
      <c r="AX29" s="22">
        <f t="shared" si="0"/>
        <v>2439.0000000000005</v>
      </c>
    </row>
    <row r="30" spans="1:50" ht="36" x14ac:dyDescent="0.2">
      <c r="A30" s="26" t="str">
        <f>INDEX('OECD Crosswalk'!$C$2:$C$90,MATCH('OECD Data IO Table - Total (USD'!D30,'OECD Crosswalk'!$A$2:$A$90,0),1)</f>
        <v>energy suppliers</v>
      </c>
      <c r="B30" s="26" t="str">
        <f>INDEX('OECD Crosswalk'!$B$2:$B$90,MATCH('OECD Data IO Table - Total (USD'!D30,'OECD Crosswalk'!$A$2:$A$90,0),1)</f>
        <v>energy suppliers</v>
      </c>
      <c r="D30" s="15" t="s">
        <v>118</v>
      </c>
      <c r="E30" s="34">
        <f>0.8+0.8+0.1</f>
        <v>1.7000000000000002</v>
      </c>
      <c r="F30" s="42">
        <v>0</v>
      </c>
      <c r="G30" s="42">
        <v>0</v>
      </c>
      <c r="H30" s="33">
        <f>0.9+0.1</f>
        <v>1</v>
      </c>
      <c r="I30" s="33">
        <f>101.8+46.8</f>
        <v>148.6</v>
      </c>
      <c r="J30" s="33">
        <f>13.8+8.9</f>
        <v>22.700000000000003</v>
      </c>
      <c r="K30" s="34">
        <f>9.4+6.5</f>
        <v>15.9</v>
      </c>
      <c r="L30" s="34">
        <f>75.2+60.3</f>
        <v>135.5</v>
      </c>
      <c r="M30" s="34">
        <f>0.2+0.1</f>
        <v>0.30000000000000004</v>
      </c>
      <c r="N30" s="34">
        <f>0.7+0.2+0.3+0.1</f>
        <v>1.3</v>
      </c>
      <c r="O30" s="33">
        <v>0</v>
      </c>
      <c r="P30" s="34">
        <f>0.7+0.3</f>
        <v>1</v>
      </c>
      <c r="Q30" s="34">
        <f>7.2+7.3</f>
        <v>14.5</v>
      </c>
      <c r="R30" s="34">
        <f>0.4+0.4</f>
        <v>0.8</v>
      </c>
      <c r="S30" s="34">
        <f>0.2+0.2</f>
        <v>0.4</v>
      </c>
      <c r="T30" s="34">
        <f>0.5+0.4</f>
        <v>0.9</v>
      </c>
      <c r="U30" s="34">
        <f>0.3+0.3</f>
        <v>0.6</v>
      </c>
      <c r="V30" s="33">
        <f>0.2+0.3</f>
        <v>0.5</v>
      </c>
      <c r="W30" s="33">
        <f>0.1+0.1</f>
        <v>0.2</v>
      </c>
      <c r="X30" s="34">
        <f>0.4+0.1</f>
        <v>0.5</v>
      </c>
      <c r="Y30" s="34">
        <f>309.3+91.3+68.3+324.7</f>
        <v>793.6</v>
      </c>
      <c r="Z30" s="34">
        <f>41+54.5</f>
        <v>95.5</v>
      </c>
      <c r="AA30" s="34">
        <f>392.8+637.4</f>
        <v>1030.2</v>
      </c>
      <c r="AB30" s="34">
        <f>127.5+49.2+72.4+374.1+17.8+64.4+58.5+53.5+159.9+51.6</f>
        <v>1028.8999999999999</v>
      </c>
      <c r="AC30" s="34">
        <f>396.2+147.3</f>
        <v>543.5</v>
      </c>
      <c r="AD30" s="34">
        <f>68.5+27</f>
        <v>95.5</v>
      </c>
      <c r="AE30" s="34">
        <f>102.3+95.6</f>
        <v>197.89999999999998</v>
      </c>
      <c r="AF30" s="34">
        <f>3.9+5.8</f>
        <v>9.6999999999999993</v>
      </c>
      <c r="AG30" s="34">
        <f>492.5+512.9</f>
        <v>1005.4</v>
      </c>
      <c r="AH30" s="40">
        <f>1271.9+1084</f>
        <v>2355.9</v>
      </c>
      <c r="AI30" s="34">
        <f>23.1+25.5+32.5+67.5</f>
        <v>148.6</v>
      </c>
      <c r="AJ30" s="34">
        <f>154.8+97.2</f>
        <v>252</v>
      </c>
      <c r="AK30" s="34">
        <f>127.8+62.5</f>
        <v>190.3</v>
      </c>
      <c r="AL30" s="34">
        <f>202.9+80.2</f>
        <v>283.10000000000002</v>
      </c>
      <c r="AM30" s="34">
        <f>115.3+120.8+55.8+107.4</f>
        <v>399.29999999999995</v>
      </c>
      <c r="AN30" s="34">
        <v>0</v>
      </c>
      <c r="AO30" s="34">
        <f>1356.2+1142.3</f>
        <v>2498.5</v>
      </c>
      <c r="AP30" s="33">
        <f>2.4+29.9</f>
        <v>32.299999999999997</v>
      </c>
      <c r="AQ30" s="34">
        <v>0</v>
      </c>
      <c r="AR30" s="34">
        <f>2.2+108.1</f>
        <v>110.3</v>
      </c>
      <c r="AS30" s="33">
        <f>3.8+8.5</f>
        <v>12.3</v>
      </c>
      <c r="AT30" s="33">
        <f>0.4+0.2</f>
        <v>0.60000000000000009</v>
      </c>
      <c r="AU30" s="33">
        <v>0</v>
      </c>
      <c r="AV30" s="33">
        <f>39.5</f>
        <v>39.5</v>
      </c>
      <c r="AW30" s="33">
        <f>-915.6+-26.6</f>
        <v>-942.2</v>
      </c>
      <c r="AX30" s="36">
        <f t="shared" si="0"/>
        <v>11306.599999999997</v>
      </c>
    </row>
    <row r="31" spans="1:50" x14ac:dyDescent="0.2">
      <c r="A31" s="26">
        <f>INDEX('OECD Crosswalk'!$C$2:$C$90,MATCH('OECD Data IO Table - Total (USD'!D31,'OECD Crosswalk'!$A$2:$A$90,0),1)</f>
        <v>0</v>
      </c>
      <c r="B31" s="26" t="str">
        <f>INDEX('OECD Crosswalk'!$B$2:$B$90,MATCH('OECD Data IO Table - Total (USD'!D31,'OECD Crosswalk'!$A$2:$A$90,0),1)</f>
        <v>nonenergy industries</v>
      </c>
      <c r="D31" s="15" t="s">
        <v>120</v>
      </c>
      <c r="E31" s="34">
        <v>0.8</v>
      </c>
      <c r="F31" s="48">
        <v>0</v>
      </c>
      <c r="G31" s="48">
        <v>0</v>
      </c>
      <c r="H31" s="48">
        <v>0.5</v>
      </c>
      <c r="I31" s="48">
        <v>7.4</v>
      </c>
      <c r="J31" s="48">
        <v>0.6</v>
      </c>
      <c r="K31" s="48">
        <v>0.4</v>
      </c>
      <c r="L31" s="48">
        <v>2.2999999999999998</v>
      </c>
      <c r="M31" s="48">
        <v>0</v>
      </c>
      <c r="N31" s="34">
        <f>0.1+0.1</f>
        <v>0.2</v>
      </c>
      <c r="O31" s="33">
        <v>0</v>
      </c>
      <c r="P31" s="48">
        <v>0.4</v>
      </c>
      <c r="Q31" s="48">
        <v>2.1</v>
      </c>
      <c r="R31" s="48">
        <v>0.2</v>
      </c>
      <c r="S31" s="48">
        <v>0.2</v>
      </c>
      <c r="T31" s="48">
        <v>0.4</v>
      </c>
      <c r="U31" s="48">
        <v>0.2</v>
      </c>
      <c r="V31" s="48">
        <v>0.2</v>
      </c>
      <c r="W31" s="48">
        <v>0.1</v>
      </c>
      <c r="X31" s="48">
        <v>0.1</v>
      </c>
      <c r="Y31" s="34">
        <f>5+5.5</f>
        <v>10.5</v>
      </c>
      <c r="Z31" s="48">
        <v>6417</v>
      </c>
      <c r="AA31" s="48">
        <v>31.4</v>
      </c>
      <c r="AB31" s="34">
        <f>22.1+14.8+63.3+24.6+3.4</f>
        <v>128.20000000000002</v>
      </c>
      <c r="AC31" s="48">
        <v>10.7</v>
      </c>
      <c r="AD31" s="48">
        <v>3.2</v>
      </c>
      <c r="AE31" s="48">
        <v>11.3</v>
      </c>
      <c r="AF31" s="48">
        <v>0.3</v>
      </c>
      <c r="AG31" s="48">
        <v>32.5</v>
      </c>
      <c r="AH31" s="48">
        <v>325.89999999999998</v>
      </c>
      <c r="AI31" s="34">
        <f>2.6+2.8</f>
        <v>5.4</v>
      </c>
      <c r="AJ31" s="48">
        <v>352.5</v>
      </c>
      <c r="AK31" s="48">
        <v>22.6</v>
      </c>
      <c r="AL31" s="48">
        <v>23</v>
      </c>
      <c r="AM31" s="34">
        <f>5.8+8.4</f>
        <v>14.2</v>
      </c>
      <c r="AN31" s="34">
        <v>0</v>
      </c>
      <c r="AO31" s="48">
        <v>13.2</v>
      </c>
      <c r="AP31" s="48">
        <v>0</v>
      </c>
      <c r="AQ31" s="48">
        <v>0</v>
      </c>
      <c r="AR31" s="48">
        <v>20315.099999999999</v>
      </c>
      <c r="AS31" s="48">
        <v>9.6999999999999993</v>
      </c>
      <c r="AT31" s="48">
        <v>1.6</v>
      </c>
      <c r="AU31" s="48">
        <v>0</v>
      </c>
      <c r="AV31" s="48">
        <v>0</v>
      </c>
      <c r="AW31" s="48">
        <v>-55</v>
      </c>
      <c r="AX31" s="22">
        <f t="shared" si="0"/>
        <v>7417.9999999999991</v>
      </c>
    </row>
    <row r="32" spans="1:50" ht="24" x14ac:dyDescent="0.2">
      <c r="A32" s="26">
        <f>INDEX('OECD Crosswalk'!$C$2:$C$90,MATCH('OECD Data IO Table - Total (USD'!D32,'OECD Crosswalk'!$A$2:$A$90,0),1)</f>
        <v>0</v>
      </c>
      <c r="B32" s="26" t="str">
        <f>INDEX('OECD Crosswalk'!$B$2:$B$90,MATCH('OECD Data IO Table - Total (USD'!D32,'OECD Crosswalk'!$A$2:$A$90,0),1)</f>
        <v>nonenergy industries</v>
      </c>
      <c r="D32" s="15" t="s">
        <v>121</v>
      </c>
      <c r="E32" s="34">
        <f>130.8+6.8</f>
        <v>137.60000000000002</v>
      </c>
      <c r="F32" s="48">
        <v>0</v>
      </c>
      <c r="G32" s="48">
        <v>0</v>
      </c>
      <c r="H32" s="48">
        <v>1505.9</v>
      </c>
      <c r="I32" s="48">
        <v>2412.6999999999998</v>
      </c>
      <c r="J32" s="48">
        <v>1050.7</v>
      </c>
      <c r="K32" s="48">
        <v>192.3</v>
      </c>
      <c r="L32" s="48">
        <v>1563.4</v>
      </c>
      <c r="M32" s="48">
        <v>172.2</v>
      </c>
      <c r="N32" s="34">
        <f>544.1+216.9</f>
        <v>761</v>
      </c>
      <c r="O32" s="33">
        <v>0</v>
      </c>
      <c r="P32" s="49">
        <v>461.7</v>
      </c>
      <c r="Q32" s="49">
        <v>2750.3</v>
      </c>
      <c r="R32" s="49">
        <v>317</v>
      </c>
      <c r="S32" s="48">
        <v>521.1</v>
      </c>
      <c r="T32" s="48">
        <v>757.5</v>
      </c>
      <c r="U32" s="48">
        <v>357.4</v>
      </c>
      <c r="V32" s="48">
        <v>470.6</v>
      </c>
      <c r="W32" s="48">
        <v>189.1</v>
      </c>
      <c r="X32" s="48">
        <v>529.4</v>
      </c>
      <c r="Y32" s="34">
        <f>1129.9+873.3</f>
        <v>2003.2</v>
      </c>
      <c r="Z32" s="48">
        <v>2384.1999999999998</v>
      </c>
      <c r="AA32" s="48">
        <v>31331.200000000001</v>
      </c>
      <c r="AB32" s="34">
        <f>1651.4+3322.3+3587.6+4514.6+589.3</f>
        <v>13665.2</v>
      </c>
      <c r="AC32" s="48">
        <v>3055.2</v>
      </c>
      <c r="AD32" s="48">
        <v>800.1</v>
      </c>
      <c r="AE32" s="48">
        <v>1862.5</v>
      </c>
      <c r="AF32" s="48">
        <v>71.599999999999994</v>
      </c>
      <c r="AG32" s="48">
        <v>4045.9</v>
      </c>
      <c r="AH32" s="48">
        <v>1503.6</v>
      </c>
      <c r="AI32" s="34">
        <f>376.4+934.6</f>
        <v>1311</v>
      </c>
      <c r="AJ32" s="48">
        <v>985.7</v>
      </c>
      <c r="AK32" s="49">
        <v>1037.5</v>
      </c>
      <c r="AL32" s="48">
        <v>1582.7</v>
      </c>
      <c r="AM32" s="34">
        <f>721.8+1395.5</f>
        <v>2117.3000000000002</v>
      </c>
      <c r="AN32" s="34">
        <v>0</v>
      </c>
      <c r="AO32" s="48">
        <v>60617</v>
      </c>
      <c r="AP32" s="48">
        <v>1.7</v>
      </c>
      <c r="AQ32" s="48">
        <v>0.5</v>
      </c>
      <c r="AR32" s="48">
        <v>16654.3</v>
      </c>
      <c r="AS32" s="49">
        <v>5580.1</v>
      </c>
      <c r="AT32" s="48">
        <v>108.4</v>
      </c>
      <c r="AU32" s="48">
        <v>467.9</v>
      </c>
      <c r="AV32" s="48">
        <v>37109.9</v>
      </c>
      <c r="AW32" s="48">
        <v>-23738.3</v>
      </c>
      <c r="AX32" s="22">
        <f t="shared" si="0"/>
        <v>142526</v>
      </c>
    </row>
    <row r="33" spans="1:50" ht="24" x14ac:dyDescent="0.2">
      <c r="A33" s="26">
        <f>INDEX('OECD Crosswalk'!$C$2:$C$90,MATCH('OECD Data IO Table - Total (USD'!D33,'OECD Crosswalk'!$A$2:$A$90,0),1)</f>
        <v>0</v>
      </c>
      <c r="B33" s="26" t="str">
        <f>INDEX('OECD Crosswalk'!$B$2:$B$90,MATCH('OECD Data IO Table - Total (USD'!D33,'OECD Crosswalk'!$A$2:$A$90,0),1)</f>
        <v>nonenergy industries</v>
      </c>
      <c r="D33" s="15" t="s">
        <v>122</v>
      </c>
      <c r="E33" s="34">
        <f>4.8+0.4+1.1+0.1+1+0.1+2.6+0.2+0.3</f>
        <v>10.6</v>
      </c>
      <c r="F33" s="42">
        <v>0</v>
      </c>
      <c r="G33" s="42">
        <v>0</v>
      </c>
      <c r="H33" s="33">
        <f>28+6.5+5.1+15.3+0.1</f>
        <v>55.000000000000007</v>
      </c>
      <c r="I33" s="33">
        <f>120.7+89.2+59.6+57.8+33.8</f>
        <v>361.1</v>
      </c>
      <c r="J33" s="42">
        <f>60.7+27.5+20.2+28.1+9.1</f>
        <v>145.6</v>
      </c>
      <c r="K33" s="34">
        <f>7.7+9.6+5.4+3.8+4</f>
        <v>30.500000000000004</v>
      </c>
      <c r="L33" s="34">
        <f>11.6+2.3+2.1+6.5</f>
        <v>22.5</v>
      </c>
      <c r="M33" s="34">
        <f>11.6+2.3+2.1+6.5</f>
        <v>22.5</v>
      </c>
      <c r="N33" s="34">
        <f>33.8+12.3+6.6+2.3+6+2.1+18.7+6.6+0.1+0.1</f>
        <v>88.59999999999998</v>
      </c>
      <c r="O33" s="33">
        <v>0</v>
      </c>
      <c r="P33" s="34">
        <f>45.3+8.2+7.4+23.2+0.1</f>
        <v>84.199999999999989</v>
      </c>
      <c r="Q33" s="34">
        <f>260.9+44.3+37.7+121.5+0.4</f>
        <v>464.79999999999995</v>
      </c>
      <c r="R33" s="34">
        <f>30.3+5.3+4.6+14.7+0.1</f>
        <v>55.000000000000007</v>
      </c>
      <c r="S33" s="34">
        <f>41.9+7.6+7+21.6+0.1</f>
        <v>78.199999999999989</v>
      </c>
      <c r="T33" s="34">
        <f>69.7+11.4+10.3+32.4+0.2</f>
        <v>124.00000000000001</v>
      </c>
      <c r="U33" s="34">
        <f>31.7+5.4+4.8+14.9+0.2</f>
        <v>57</v>
      </c>
      <c r="V33" s="33">
        <f>33.3+5.9+5.3+16.4+0.1</f>
        <v>60.999999999999993</v>
      </c>
      <c r="W33" s="33">
        <f>14.4+2.6+2.4+7.3</f>
        <v>26.7</v>
      </c>
      <c r="X33" s="34">
        <f>7.6+1.6+1+3.8</f>
        <v>14</v>
      </c>
      <c r="Y33" s="34">
        <f>50.8+52+14.2+24.8+11.6+13.7+26.4+25.6+8.2+18.6</f>
        <v>245.89999999999998</v>
      </c>
      <c r="Z33" s="34">
        <f>82.1+84.9+61.7+43.9+17.7</f>
        <v>290.29999999999995</v>
      </c>
      <c r="AA33" s="34">
        <f>1955.1+2124.8+1373.8+966.9+723.7</f>
        <v>7144.2999999999993</v>
      </c>
      <c r="AB33" s="34">
        <f>234.5+231.6+186.9+479.2+43.7+85.8+3781.7+1973.5+1578.4+647.4+56+2183+1169+551.6+397.6+44.5+93.7+96.4+244.7+20.4+32.2+417.1+55.5+73.2+736.5</f>
        <v>15414.100000000002</v>
      </c>
      <c r="AC33" s="34">
        <f>188.3+59.4+44.5+90.6+22.1</f>
        <v>404.90000000000009</v>
      </c>
      <c r="AD33" s="34">
        <f>41.3+22.6+23.8+20.5+34.4</f>
        <v>142.6</v>
      </c>
      <c r="AE33" s="34">
        <f>135.5+599.9+351.4+69.2+459.7</f>
        <v>1615.7</v>
      </c>
      <c r="AF33" s="34">
        <f>4.5+9+7.1+1.9+7.6</f>
        <v>30.1</v>
      </c>
      <c r="AG33" s="34">
        <f>292.9+1034.6+547.4+102.6+992.6</f>
        <v>2970.1</v>
      </c>
      <c r="AH33" s="40">
        <f>84.7+73.1+46.8+38.1+205.7</f>
        <v>448.4</v>
      </c>
      <c r="AI33" s="34">
        <f>25+57.2+49.8+151.2+36.3+83.7+10.4+24.7+40.6+67</f>
        <v>545.9</v>
      </c>
      <c r="AJ33" s="34">
        <f>63.3+40.3+28.1+32.7+60.3</f>
        <v>224.7</v>
      </c>
      <c r="AK33" s="34">
        <f>63.3+35.8+25+32.3+30.2</f>
        <v>186.59999999999997</v>
      </c>
      <c r="AL33" s="34">
        <f>70.8+44.9+31.4+34.2+34.3</f>
        <v>215.60000000000002</v>
      </c>
      <c r="AM33" s="34">
        <f>40.9+95.6+30+120.9+20.5+65.2+20+45.1+30.9+76.8</f>
        <v>545.9</v>
      </c>
      <c r="AN33" s="34">
        <v>0</v>
      </c>
      <c r="AO33" s="34">
        <f>3927.6+1996.7+1249+1753+279.6</f>
        <v>9205.9</v>
      </c>
      <c r="AP33" s="33">
        <f>0.3+0.1+0.1+0.2+7.1</f>
        <v>7.8</v>
      </c>
      <c r="AQ33" s="34">
        <v>0.1</v>
      </c>
      <c r="AR33" s="34">
        <f>1191.2+231+202.6+598.2+308.9</f>
        <v>2531.9</v>
      </c>
      <c r="AS33" s="33">
        <f>-1034+276.2+332.1+654.1+87.6</f>
        <v>316.00000000000011</v>
      </c>
      <c r="AT33" s="33">
        <f>374.1+68.8+181+6.8+5.4</f>
        <v>636.1</v>
      </c>
      <c r="AU33" s="33">
        <f>4706.2+1724.6+1965.7+14.2+67.5</f>
        <v>8478.2000000000007</v>
      </c>
      <c r="AV33" s="33">
        <f>2393.5+2708.3+11912.4+13749.2+1316.9</f>
        <v>32080.300000000003</v>
      </c>
      <c r="AW33" s="33">
        <f>-4656.3+-1227.2+-1495+-1421.5+-1087</f>
        <v>-9887</v>
      </c>
      <c r="AX33" s="36">
        <f t="shared" si="0"/>
        <v>41340.200000000004</v>
      </c>
    </row>
    <row r="34" spans="1:50" ht="24" x14ac:dyDescent="0.2">
      <c r="A34" s="26">
        <f>INDEX('OECD Crosswalk'!$C$2:$C$90,MATCH('OECD Data IO Table - Total (USD'!D34,'OECD Crosswalk'!$A$2:$A$90,0),1)</f>
        <v>0</v>
      </c>
      <c r="B34" s="26" t="str">
        <f>INDEX('OECD Crosswalk'!$B$2:$B$90,MATCH('OECD Data IO Table - Total (USD'!D34,'OECD Crosswalk'!$A$2:$A$90,0),1)</f>
        <v>nonenergy industries</v>
      </c>
      <c r="D34" s="15" t="s">
        <v>123</v>
      </c>
      <c r="E34" s="34">
        <v>0.2</v>
      </c>
      <c r="F34" s="48">
        <v>0</v>
      </c>
      <c r="G34" s="48">
        <v>0</v>
      </c>
      <c r="H34" s="41">
        <v>0.1</v>
      </c>
      <c r="I34" s="48">
        <v>9.6999999999999993</v>
      </c>
      <c r="J34" s="48">
        <v>2.7</v>
      </c>
      <c r="K34" s="48">
        <v>1.3</v>
      </c>
      <c r="L34" s="48">
        <v>5.5</v>
      </c>
      <c r="M34" s="48">
        <v>0</v>
      </c>
      <c r="N34" s="34">
        <v>0.1</v>
      </c>
      <c r="O34" s="33">
        <v>0</v>
      </c>
      <c r="P34" s="48">
        <v>0.1</v>
      </c>
      <c r="Q34" s="48">
        <v>0.2</v>
      </c>
      <c r="R34" s="48">
        <v>0</v>
      </c>
      <c r="S34" s="48">
        <v>0</v>
      </c>
      <c r="T34" s="48">
        <v>0.1</v>
      </c>
      <c r="U34" s="48">
        <v>0.1</v>
      </c>
      <c r="V34" s="48">
        <v>0</v>
      </c>
      <c r="W34" s="48">
        <v>0</v>
      </c>
      <c r="X34" s="48">
        <v>0.1</v>
      </c>
      <c r="Y34" s="34">
        <f>4.9+7.3</f>
        <v>12.2</v>
      </c>
      <c r="Z34" s="48">
        <v>11.7</v>
      </c>
      <c r="AA34" s="48">
        <v>129.30000000000001</v>
      </c>
      <c r="AB34" s="34">
        <f>16.5+44.3+11.1+33.1+10.7</f>
        <v>115.7</v>
      </c>
      <c r="AC34" s="48">
        <v>72.5</v>
      </c>
      <c r="AD34" s="48">
        <v>16.899999999999999</v>
      </c>
      <c r="AE34" s="48">
        <v>32.9</v>
      </c>
      <c r="AF34" s="48">
        <v>2.5</v>
      </c>
      <c r="AG34" s="48">
        <v>214.8</v>
      </c>
      <c r="AH34" s="48">
        <v>96.2</v>
      </c>
      <c r="AI34" s="34">
        <f>10.3+16.5</f>
        <v>26.8</v>
      </c>
      <c r="AJ34" s="48">
        <v>14</v>
      </c>
      <c r="AK34" s="48">
        <v>33.1</v>
      </c>
      <c r="AL34" s="48">
        <v>19.899999999999999</v>
      </c>
      <c r="AM34" s="34" t="s">
        <v>209</v>
      </c>
      <c r="AN34" s="34">
        <v>0</v>
      </c>
      <c r="AO34" s="48">
        <v>4944.8999999999996</v>
      </c>
      <c r="AP34" s="48">
        <v>0</v>
      </c>
      <c r="AQ34" s="48">
        <v>0</v>
      </c>
      <c r="AR34" s="48">
        <v>25.5</v>
      </c>
      <c r="AS34" s="48">
        <v>4.5999999999999996</v>
      </c>
      <c r="AT34" s="48">
        <v>1302.9000000000001</v>
      </c>
      <c r="AU34" s="48">
        <v>14832.2</v>
      </c>
      <c r="AV34" s="48">
        <v>0</v>
      </c>
      <c r="AW34" s="48">
        <v>-1329.3</v>
      </c>
      <c r="AX34" s="22">
        <f t="shared" si="0"/>
        <v>5763.5999999999995</v>
      </c>
    </row>
    <row r="35" spans="1:50" ht="24" x14ac:dyDescent="0.2">
      <c r="A35" s="26">
        <f>INDEX('OECD Crosswalk'!$C$2:$C$90,MATCH('OECD Data IO Table - Total (USD'!D35,'OECD Crosswalk'!$A$2:$A$90,0),1)</f>
        <v>0</v>
      </c>
      <c r="B35" s="26" t="str">
        <f>INDEX('OECD Crosswalk'!$B$2:$B$90,MATCH('OECD Data IO Table - Total (USD'!D35,'OECD Crosswalk'!$A$2:$A$90,0),1)</f>
        <v>nonenergy industries</v>
      </c>
      <c r="D35" s="15" t="s">
        <v>124</v>
      </c>
      <c r="E35" s="34">
        <f>2.1+0.2</f>
        <v>2.3000000000000003</v>
      </c>
      <c r="F35" s="49">
        <v>0</v>
      </c>
      <c r="G35" s="49">
        <v>0</v>
      </c>
      <c r="H35" s="41">
        <v>0.1</v>
      </c>
      <c r="I35" s="48">
        <v>56.1</v>
      </c>
      <c r="J35" s="48">
        <v>15.6</v>
      </c>
      <c r="K35" s="48">
        <v>1.4</v>
      </c>
      <c r="L35" s="48">
        <v>21.5</v>
      </c>
      <c r="M35" s="48">
        <v>0.2</v>
      </c>
      <c r="N35" s="34">
        <f>0.6+0.3</f>
        <v>0.89999999999999991</v>
      </c>
      <c r="O35" s="33">
        <v>0</v>
      </c>
      <c r="P35" s="48">
        <v>0.8</v>
      </c>
      <c r="Q35" s="48">
        <v>2.2000000000000002</v>
      </c>
      <c r="R35" s="48">
        <v>0.2</v>
      </c>
      <c r="S35" s="48">
        <v>1</v>
      </c>
      <c r="T35" s="48">
        <v>1.6</v>
      </c>
      <c r="U35" s="48">
        <v>0.7</v>
      </c>
      <c r="V35" s="48">
        <v>0.4</v>
      </c>
      <c r="W35" s="48">
        <v>0.1</v>
      </c>
      <c r="X35" s="48">
        <v>0.3</v>
      </c>
      <c r="Y35" s="34">
        <f>12.2+7.8</f>
        <v>20</v>
      </c>
      <c r="Z35" s="48">
        <v>78</v>
      </c>
      <c r="AA35" s="48">
        <v>430.3</v>
      </c>
      <c r="AB35" s="34">
        <f>44.5+66.3+69.3+70.6+19.6</f>
        <v>270.3</v>
      </c>
      <c r="AC35" s="48">
        <v>28.3</v>
      </c>
      <c r="AD35" s="48">
        <v>431.7</v>
      </c>
      <c r="AE35" s="49">
        <v>136.5</v>
      </c>
      <c r="AF35" s="48">
        <v>4.5999999999999996</v>
      </c>
      <c r="AG35" s="48">
        <v>460.8</v>
      </c>
      <c r="AH35" s="48">
        <v>258.3</v>
      </c>
      <c r="AI35" s="34">
        <f>62.1+21.2</f>
        <v>83.3</v>
      </c>
      <c r="AJ35" s="48">
        <v>22.2</v>
      </c>
      <c r="AK35" s="48">
        <v>37.5</v>
      </c>
      <c r="AL35" s="48">
        <v>111</v>
      </c>
      <c r="AM35" s="34">
        <f>74.7+36.6</f>
        <v>111.30000000000001</v>
      </c>
      <c r="AN35" s="34">
        <v>0</v>
      </c>
      <c r="AO35" s="48">
        <v>1190.7</v>
      </c>
      <c r="AP35" s="48">
        <v>4.0999999999999996</v>
      </c>
      <c r="AQ35" s="48">
        <v>0.1</v>
      </c>
      <c r="AR35" s="48">
        <v>194.9</v>
      </c>
      <c r="AS35" s="48">
        <v>12.9</v>
      </c>
      <c r="AT35" s="48">
        <v>21.7</v>
      </c>
      <c r="AU35" s="48">
        <v>114.3</v>
      </c>
      <c r="AV35" s="48">
        <v>3613.2</v>
      </c>
      <c r="AW35" s="48">
        <v>-1908.6</v>
      </c>
      <c r="AX35" s="22">
        <f t="shared" si="0"/>
        <v>3784.3999999999996</v>
      </c>
    </row>
    <row r="36" spans="1:50" x14ac:dyDescent="0.2">
      <c r="A36" s="26">
        <f>INDEX('OECD Crosswalk'!$C$2:$C$90,MATCH('OECD Data IO Table - Total (USD'!D36,'OECD Crosswalk'!$A$2:$A$90,0),1)</f>
        <v>0</v>
      </c>
      <c r="B36" s="26" t="str">
        <f>INDEX('OECD Crosswalk'!$B$2:$B$90,MATCH('OECD Data IO Table - Total (USD'!D36,'OECD Crosswalk'!$A$2:$A$90,0),1)</f>
        <v>nonenergy industries</v>
      </c>
      <c r="D36" s="15" t="s">
        <v>125</v>
      </c>
      <c r="E36" s="34">
        <f>0.7+0.1</f>
        <v>0.79999999999999993</v>
      </c>
      <c r="F36" s="49">
        <v>0</v>
      </c>
      <c r="G36" s="49">
        <v>0</v>
      </c>
      <c r="H36" s="41">
        <v>0.1</v>
      </c>
      <c r="I36" s="48">
        <v>68.7</v>
      </c>
      <c r="J36" s="48">
        <v>20.399999999999999</v>
      </c>
      <c r="K36" s="48">
        <v>9.9</v>
      </c>
      <c r="L36" s="48">
        <v>40.1</v>
      </c>
      <c r="M36" s="48">
        <v>0</v>
      </c>
      <c r="N36" s="34">
        <f>0.2+0.2</f>
        <v>0.4</v>
      </c>
      <c r="O36" s="33">
        <v>0</v>
      </c>
      <c r="P36" s="48">
        <v>0.2</v>
      </c>
      <c r="Q36" s="48">
        <v>1.4</v>
      </c>
      <c r="R36" s="48">
        <v>0.2</v>
      </c>
      <c r="S36" s="48">
        <v>0.4</v>
      </c>
      <c r="T36" s="48">
        <v>0.5</v>
      </c>
      <c r="U36" s="48">
        <v>0.4</v>
      </c>
      <c r="V36" s="48">
        <v>0.2</v>
      </c>
      <c r="W36" s="48">
        <v>0.1</v>
      </c>
      <c r="X36" s="48">
        <v>0.1</v>
      </c>
      <c r="Y36" s="34">
        <f>16.5+38.6</f>
        <v>55.1</v>
      </c>
      <c r="Z36" s="48">
        <v>62.8</v>
      </c>
      <c r="AA36" s="48">
        <v>1284.0999999999999</v>
      </c>
      <c r="AB36" s="34">
        <f>84.6+1281+185.3+159.5+60.6</f>
        <v>1770.9999999999998</v>
      </c>
      <c r="AC36" s="48">
        <v>95.1</v>
      </c>
      <c r="AD36" s="48">
        <v>134.6</v>
      </c>
      <c r="AE36" s="49">
        <v>1340.8</v>
      </c>
      <c r="AF36" s="48">
        <v>31.5</v>
      </c>
      <c r="AG36" s="48">
        <v>2217.1999999999998</v>
      </c>
      <c r="AH36" s="48">
        <v>567.70000000000005</v>
      </c>
      <c r="AI36" s="34">
        <f>104.5+145.6</f>
        <v>250.1</v>
      </c>
      <c r="AJ36" s="48">
        <v>119.1</v>
      </c>
      <c r="AK36" s="48">
        <v>76.900000000000006</v>
      </c>
      <c r="AL36" s="48">
        <v>111</v>
      </c>
      <c r="AM36" s="34">
        <f>87.3+149.7</f>
        <v>237</v>
      </c>
      <c r="AN36" s="34">
        <v>0</v>
      </c>
      <c r="AO36" s="48">
        <v>1842.2</v>
      </c>
      <c r="AP36" s="48">
        <v>7.9</v>
      </c>
      <c r="AQ36" s="48">
        <v>0</v>
      </c>
      <c r="AR36" s="48">
        <v>306.2</v>
      </c>
      <c r="AS36" s="48">
        <v>161.69999999999999</v>
      </c>
      <c r="AT36" s="48">
        <v>84.7</v>
      </c>
      <c r="AU36" s="48">
        <v>1251</v>
      </c>
      <c r="AV36" s="48">
        <v>4880.8999999999996</v>
      </c>
      <c r="AW36" s="48">
        <v>-352.5</v>
      </c>
      <c r="AX36" s="22">
        <f t="shared" si="0"/>
        <v>10348</v>
      </c>
    </row>
    <row r="37" spans="1:50" ht="24" x14ac:dyDescent="0.2">
      <c r="A37" s="26">
        <f>INDEX('OECD Crosswalk'!$C$2:$C$90,MATCH('OECD Data IO Table - Total (USD'!D37,'OECD Crosswalk'!$A$2:$A$90,0),1)</f>
        <v>0</v>
      </c>
      <c r="B37" s="26" t="str">
        <f>INDEX('OECD Crosswalk'!$B$2:$B$90,MATCH('OECD Data IO Table - Total (USD'!D37,'OECD Crosswalk'!$A$2:$A$90,0),1)</f>
        <v>nonenergy industries</v>
      </c>
      <c r="D37" s="15" t="s">
        <v>126</v>
      </c>
      <c r="E37" s="34">
        <v>0.4</v>
      </c>
      <c r="F37" s="49">
        <v>0</v>
      </c>
      <c r="G37" s="49">
        <v>0</v>
      </c>
      <c r="H37" s="41">
        <v>0.1</v>
      </c>
      <c r="I37" s="48">
        <v>35.200000000000003</v>
      </c>
      <c r="J37" s="48">
        <v>12.2</v>
      </c>
      <c r="K37" s="48">
        <v>4.7</v>
      </c>
      <c r="L37" s="48">
        <v>26.1</v>
      </c>
      <c r="M37" s="48">
        <v>0</v>
      </c>
      <c r="N37" s="34">
        <f>0.3+0.2</f>
        <v>0.5</v>
      </c>
      <c r="O37" s="33">
        <v>0</v>
      </c>
      <c r="P37" s="48">
        <v>0.2</v>
      </c>
      <c r="Q37" s="48">
        <v>2.6</v>
      </c>
      <c r="R37" s="48">
        <v>0.2</v>
      </c>
      <c r="S37" s="48">
        <v>0.5</v>
      </c>
      <c r="T37" s="48">
        <v>0.7</v>
      </c>
      <c r="U37" s="48">
        <v>0.3</v>
      </c>
      <c r="V37" s="48">
        <v>0.4</v>
      </c>
      <c r="W37" s="48">
        <v>0.2</v>
      </c>
      <c r="X37" s="48">
        <v>0.1</v>
      </c>
      <c r="Y37" s="34">
        <f>8.3+10.2</f>
        <v>18.5</v>
      </c>
      <c r="Z37" s="48">
        <v>24</v>
      </c>
      <c r="AA37" s="48">
        <v>567.6</v>
      </c>
      <c r="AB37" s="50">
        <f>43.7+37.6+70+84.4+37.7</f>
        <v>273.40000000000003</v>
      </c>
      <c r="AC37" s="41">
        <v>34.799999999999997</v>
      </c>
      <c r="AD37" s="48">
        <v>42.4</v>
      </c>
      <c r="AE37" s="49">
        <v>217.3</v>
      </c>
      <c r="AF37" s="48">
        <v>25.1</v>
      </c>
      <c r="AG37" s="48">
        <v>966.5</v>
      </c>
      <c r="AH37" s="48">
        <v>233.6</v>
      </c>
      <c r="AI37" s="34">
        <f>24.4+17.6</f>
        <v>42</v>
      </c>
      <c r="AJ37" s="48">
        <v>79.8</v>
      </c>
      <c r="AK37" s="48">
        <v>42</v>
      </c>
      <c r="AL37" s="48">
        <v>35.1</v>
      </c>
      <c r="AM37" s="34">
        <f>23.9+34.1</f>
        <v>58</v>
      </c>
      <c r="AN37" s="34">
        <v>0</v>
      </c>
      <c r="AO37" s="48">
        <v>98.2</v>
      </c>
      <c r="AP37" s="48">
        <v>0</v>
      </c>
      <c r="AQ37" s="48">
        <v>0.1</v>
      </c>
      <c r="AR37" s="48">
        <v>408.3</v>
      </c>
      <c r="AS37" s="48">
        <v>70.099999999999994</v>
      </c>
      <c r="AT37" s="48">
        <v>1.9</v>
      </c>
      <c r="AU37" s="48">
        <v>15.6</v>
      </c>
      <c r="AV37" s="48">
        <v>2128.6</v>
      </c>
      <c r="AW37" s="48">
        <v>-921.1</v>
      </c>
      <c r="AX37" s="22">
        <f t="shared" si="0"/>
        <v>2842.7999999999997</v>
      </c>
    </row>
    <row r="38" spans="1:50" ht="24" x14ac:dyDescent="0.2">
      <c r="A38" s="26">
        <f>INDEX('OECD Crosswalk'!$C$2:$C$90,MATCH('OECD Data IO Table - Total (USD'!D38,'OECD Crosswalk'!$A$2:$A$90,0),1)</f>
        <v>0</v>
      </c>
      <c r="B38" s="26" t="str">
        <f>INDEX('OECD Crosswalk'!$B$2:$B$90,MATCH('OECD Data IO Table - Total (USD'!D38,'OECD Crosswalk'!$A$2:$A$90,0),1)</f>
        <v>nonenergy industries</v>
      </c>
      <c r="D38" s="15" t="s">
        <v>127</v>
      </c>
      <c r="E38" s="34">
        <f>1.1+0.1</f>
        <v>1.2000000000000002</v>
      </c>
      <c r="F38" s="49">
        <v>0</v>
      </c>
      <c r="G38" s="49">
        <v>0</v>
      </c>
      <c r="H38" s="41">
        <v>0.1</v>
      </c>
      <c r="I38" s="48">
        <v>421.4</v>
      </c>
      <c r="J38" s="48">
        <v>108.9</v>
      </c>
      <c r="K38" s="48">
        <v>45.3</v>
      </c>
      <c r="L38" s="48">
        <v>350.3</v>
      </c>
      <c r="M38" s="48">
        <v>0.4</v>
      </c>
      <c r="N38" s="34">
        <f>1.1+0.6</f>
        <v>1.7000000000000002</v>
      </c>
      <c r="O38" s="33">
        <v>0</v>
      </c>
      <c r="P38" s="48">
        <v>1.3</v>
      </c>
      <c r="Q38" s="48">
        <v>12</v>
      </c>
      <c r="R38" s="48">
        <v>1.2</v>
      </c>
      <c r="S38" s="48">
        <v>1</v>
      </c>
      <c r="T38" s="48">
        <v>2</v>
      </c>
      <c r="U38" s="48">
        <v>1.2</v>
      </c>
      <c r="V38" s="48">
        <v>0.8</v>
      </c>
      <c r="W38" s="48">
        <v>0.3</v>
      </c>
      <c r="X38" s="48">
        <v>0.6</v>
      </c>
      <c r="Y38" s="34">
        <f>286.1+238.2</f>
        <v>524.29999999999995</v>
      </c>
      <c r="Z38" s="48">
        <v>253.9</v>
      </c>
      <c r="AA38" s="48">
        <v>6839.4</v>
      </c>
      <c r="AB38" s="34">
        <f>629.2+920.9+301+1126+208.2</f>
        <v>3185.2999999999997</v>
      </c>
      <c r="AC38" s="48">
        <v>434.6</v>
      </c>
      <c r="AD38" s="48">
        <v>258.3</v>
      </c>
      <c r="AE38" s="49">
        <v>654.5</v>
      </c>
      <c r="AF38" s="48">
        <v>66.3</v>
      </c>
      <c r="AG38" s="48">
        <v>25577.599999999999</v>
      </c>
      <c r="AH38" s="48">
        <v>12634.4</v>
      </c>
      <c r="AI38" s="34">
        <f>355.7+731.7</f>
        <v>1087.4000000000001</v>
      </c>
      <c r="AJ38" s="48">
        <v>176.8</v>
      </c>
      <c r="AK38" s="48">
        <v>466.3</v>
      </c>
      <c r="AL38" s="48">
        <v>330.2</v>
      </c>
      <c r="AM38" s="34">
        <f>328.9+836.1</f>
        <v>1165</v>
      </c>
      <c r="AN38" s="34">
        <v>0</v>
      </c>
      <c r="AO38" s="48">
        <v>22484.799999999999</v>
      </c>
      <c r="AP38" s="48">
        <v>0</v>
      </c>
      <c r="AQ38" s="48">
        <v>371.8</v>
      </c>
      <c r="AR38" s="48">
        <v>497.7</v>
      </c>
      <c r="AS38" s="48">
        <v>4729.6000000000004</v>
      </c>
      <c r="AT38" s="48">
        <v>70.5</v>
      </c>
      <c r="AU38" s="48">
        <v>1071.5999999999999</v>
      </c>
      <c r="AV38" s="48">
        <v>41690.400000000001</v>
      </c>
      <c r="AW38" s="48">
        <v>-2972.6</v>
      </c>
      <c r="AX38" s="22">
        <f t="shared" si="0"/>
        <v>77460.600000000006</v>
      </c>
    </row>
    <row r="39" spans="1:50" x14ac:dyDescent="0.2">
      <c r="A39" s="26">
        <f>INDEX('OECD Crosswalk'!$C$2:$C$90,MATCH('OECD Data IO Table - Total (USD'!D39,'OECD Crosswalk'!$A$2:$A$90,0),1)</f>
        <v>0</v>
      </c>
      <c r="B39" s="26" t="str">
        <f>INDEX('OECD Crosswalk'!$B$2:$B$90,MATCH('OECD Data IO Table - Total (USD'!D39,'OECD Crosswalk'!$A$2:$A$90,0),1)</f>
        <v>nonenergy industries</v>
      </c>
      <c r="D39" s="15" t="s">
        <v>128</v>
      </c>
      <c r="E39" s="34">
        <f>1.2+0.1</f>
        <v>1.3</v>
      </c>
      <c r="F39" s="49">
        <v>0</v>
      </c>
      <c r="G39" s="49">
        <v>0</v>
      </c>
      <c r="H39" s="41">
        <v>0.1</v>
      </c>
      <c r="I39" s="48">
        <v>90.6</v>
      </c>
      <c r="J39" s="48">
        <v>44</v>
      </c>
      <c r="K39" s="48">
        <v>13.3</v>
      </c>
      <c r="L39" s="48">
        <v>76</v>
      </c>
      <c r="M39" s="48">
        <v>0.1</v>
      </c>
      <c r="N39" s="34">
        <f>0.2+0.1</f>
        <v>0.30000000000000004</v>
      </c>
      <c r="O39" s="33">
        <v>0</v>
      </c>
      <c r="P39" s="48">
        <v>0.6</v>
      </c>
      <c r="Q39" s="48">
        <v>4.2</v>
      </c>
      <c r="R39" s="48">
        <v>0.6</v>
      </c>
      <c r="S39" s="48">
        <v>0.7</v>
      </c>
      <c r="T39" s="48">
        <v>1.2</v>
      </c>
      <c r="U39" s="48">
        <v>0.8</v>
      </c>
      <c r="V39" s="48">
        <v>0.6</v>
      </c>
      <c r="W39" s="48">
        <v>0.2</v>
      </c>
      <c r="X39" s="48">
        <v>0.4</v>
      </c>
      <c r="Y39" s="34">
        <f>95.1+305.7</f>
        <v>400.79999999999995</v>
      </c>
      <c r="Z39" s="48">
        <v>185.2</v>
      </c>
      <c r="AA39" s="48">
        <v>6898.8</v>
      </c>
      <c r="AB39" s="34">
        <f>278.5+170+219.5+2384+104.5</f>
        <v>3156.5</v>
      </c>
      <c r="AC39" s="48">
        <v>1391.8</v>
      </c>
      <c r="AD39" s="48">
        <v>403</v>
      </c>
      <c r="AE39" s="49">
        <v>392.3</v>
      </c>
      <c r="AF39" s="48">
        <v>58.3</v>
      </c>
      <c r="AG39" s="48">
        <v>4381.8</v>
      </c>
      <c r="AH39" s="48">
        <v>4338.3</v>
      </c>
      <c r="AI39" s="34">
        <f>281.5+509.8</f>
        <v>791.3</v>
      </c>
      <c r="AJ39" s="48">
        <v>77.7</v>
      </c>
      <c r="AK39" s="48">
        <v>303.2</v>
      </c>
      <c r="AL39" s="48">
        <v>524.70000000000005</v>
      </c>
      <c r="AM39" s="34">
        <f>616.5+1577.2</f>
        <v>2193.6999999999998</v>
      </c>
      <c r="AN39" s="34">
        <v>0</v>
      </c>
      <c r="AO39" s="48">
        <v>45769.3</v>
      </c>
      <c r="AP39" s="48">
        <v>0</v>
      </c>
      <c r="AQ39" s="48">
        <v>0.1</v>
      </c>
      <c r="AR39" s="48">
        <v>6134.7</v>
      </c>
      <c r="AS39" s="48">
        <v>4.7</v>
      </c>
      <c r="AT39" s="48">
        <v>229.3</v>
      </c>
      <c r="AU39" s="48">
        <v>3510.3</v>
      </c>
      <c r="AV39" s="48">
        <v>41.9</v>
      </c>
      <c r="AW39" s="48">
        <v>-395.1</v>
      </c>
      <c r="AX39" s="22">
        <f t="shared" si="0"/>
        <v>71501.8</v>
      </c>
    </row>
    <row r="40" spans="1:50" ht="24" x14ac:dyDescent="0.2">
      <c r="A40" s="26">
        <f>INDEX('OECD Crosswalk'!$C$2:$C$90,MATCH('OECD Data IO Table - Total (USD'!D40,'OECD Crosswalk'!$A$2:$A$90,0),1)</f>
        <v>0</v>
      </c>
      <c r="B40" s="26" t="str">
        <f>INDEX('OECD Crosswalk'!$B$2:$B$90,MATCH('OECD Data IO Table - Total (USD'!D40,'OECD Crosswalk'!$A$2:$A$90,0),1)</f>
        <v>nonenergy industries</v>
      </c>
      <c r="D40" s="15" t="s">
        <v>129</v>
      </c>
      <c r="E40" s="34">
        <f>3.1+0.3+1.1+0.1</f>
        <v>4.5999999999999996</v>
      </c>
      <c r="F40" s="42">
        <v>0</v>
      </c>
      <c r="G40" s="42">
        <v>0</v>
      </c>
      <c r="H40" s="33">
        <f>4.6+1.4</f>
        <v>6</v>
      </c>
      <c r="I40" s="33">
        <f>207.4+63.2</f>
        <v>270.60000000000002</v>
      </c>
      <c r="J40" s="33">
        <f>58.1+17.2</f>
        <v>75.3</v>
      </c>
      <c r="K40" s="34">
        <f>36.2+13.2</f>
        <v>49.400000000000006</v>
      </c>
      <c r="L40" s="34">
        <f>183.2+59.5</f>
        <v>242.7</v>
      </c>
      <c r="M40" s="34">
        <f>0.2+0.1</f>
        <v>0.30000000000000004</v>
      </c>
      <c r="N40" s="34">
        <f>1+1.2+0.3+0.2</f>
        <v>2.7</v>
      </c>
      <c r="O40" s="33">
        <v>0</v>
      </c>
      <c r="P40" s="34">
        <f>0.6+0.2</f>
        <v>0.8</v>
      </c>
      <c r="Q40" s="34">
        <f>4.4+1.9</f>
        <v>6.3000000000000007</v>
      </c>
      <c r="R40" s="34">
        <f>0.5+0.2</f>
        <v>0.7</v>
      </c>
      <c r="S40" s="34">
        <f>1.4+0.3</f>
        <v>1.7</v>
      </c>
      <c r="T40" s="34">
        <f>2.7+0.6</f>
        <v>3.3000000000000003</v>
      </c>
      <c r="U40" s="34">
        <f>1.7+0.4</f>
        <v>2.1</v>
      </c>
      <c r="V40" s="33">
        <f>1.8+0.4</f>
        <v>2.2000000000000002</v>
      </c>
      <c r="W40" s="33">
        <f>0.6+0.1</f>
        <v>0.7</v>
      </c>
      <c r="X40" s="34">
        <f>1.1+0.8</f>
        <v>1.9000000000000001</v>
      </c>
      <c r="Y40" s="34">
        <f>45.7+82.8+14.6+37.6</f>
        <v>180.7</v>
      </c>
      <c r="Z40" s="34">
        <f>238.6+62</f>
        <v>300.60000000000002</v>
      </c>
      <c r="AA40" s="34">
        <f>3920.9+1506.9</f>
        <v>5427.8</v>
      </c>
      <c r="AB40" s="34">
        <f>220.2+208.5+279.9+399.6+112.8+167.2+212+252.5+245.6+113.4</f>
        <v>2211.6999999999998</v>
      </c>
      <c r="AC40" s="34">
        <f>210.5+86.1</f>
        <v>296.60000000000002</v>
      </c>
      <c r="AD40" s="34">
        <f>169.2+122.1</f>
        <v>291.29999999999995</v>
      </c>
      <c r="AE40" s="34">
        <f>599.6+346.7</f>
        <v>946.3</v>
      </c>
      <c r="AF40" s="34">
        <f>46.3+16.6</f>
        <v>62.9</v>
      </c>
      <c r="AG40" s="34">
        <f>3109.4+1132.7</f>
        <v>4242.1000000000004</v>
      </c>
      <c r="AH40" s="40">
        <f>1710+694.3</f>
        <v>2404.3000000000002</v>
      </c>
      <c r="AI40" s="34">
        <f>488.7+96.2</f>
        <v>584.9</v>
      </c>
      <c r="AJ40" s="34">
        <f>409.8+124.8</f>
        <v>534.6</v>
      </c>
      <c r="AK40" s="34">
        <f>209.1+95.6</f>
        <v>304.7</v>
      </c>
      <c r="AL40" s="34">
        <f>301.4+152.1</f>
        <v>453.5</v>
      </c>
      <c r="AM40" s="34">
        <f>167.1+235+87.6+88</f>
        <v>577.70000000000005</v>
      </c>
      <c r="AN40" s="34">
        <v>0</v>
      </c>
      <c r="AO40" s="34">
        <f>525.5+187.8</f>
        <v>713.3</v>
      </c>
      <c r="AP40" s="33">
        <f>7.8</f>
        <v>7.8</v>
      </c>
      <c r="AQ40" s="42">
        <f>348.2+0.1</f>
        <v>348.3</v>
      </c>
      <c r="AR40" s="34">
        <f>2565+91</f>
        <v>2656</v>
      </c>
      <c r="AS40" s="33">
        <f>97.9+59.5</f>
        <v>157.4</v>
      </c>
      <c r="AT40" s="33">
        <f>32.9+73</f>
        <v>105.9</v>
      </c>
      <c r="AU40" s="33">
        <f>541.9+1088.8</f>
        <v>1630.6999999999998</v>
      </c>
      <c r="AV40" s="33">
        <f>2254.3+1482.5</f>
        <v>3736.8</v>
      </c>
      <c r="AW40" s="33">
        <f>-967+-91.6</f>
        <v>-1058.5999999999999</v>
      </c>
      <c r="AX40" s="36">
        <f t="shared" si="0"/>
        <v>20560.399999999998</v>
      </c>
    </row>
    <row r="41" spans="1:50" ht="24" x14ac:dyDescent="0.2">
      <c r="A41" s="26">
        <f>INDEX('OECD Crosswalk'!$C$2:$C$90,MATCH('OECD Data IO Table - Total (USD'!D41,'OECD Crosswalk'!$A$2:$A$90,0),1)</f>
        <v>0</v>
      </c>
      <c r="B41" s="26" t="str">
        <f>INDEX('OECD Crosswalk'!$B$2:$B$90,MATCH('OECD Data IO Table - Total (USD'!D41,'OECD Crosswalk'!$A$2:$A$90,0),1)</f>
        <v>government</v>
      </c>
      <c r="D41" s="15" t="s">
        <v>130</v>
      </c>
      <c r="E41" s="34">
        <v>0.1</v>
      </c>
      <c r="F41" s="45">
        <v>0</v>
      </c>
      <c r="G41" s="45">
        <v>0</v>
      </c>
      <c r="H41" s="41">
        <v>0.1</v>
      </c>
      <c r="I41" s="48">
        <v>14</v>
      </c>
      <c r="J41" s="48">
        <v>3.3</v>
      </c>
      <c r="K41" s="48">
        <v>2</v>
      </c>
      <c r="L41" s="48">
        <v>7.1</v>
      </c>
      <c r="M41" s="48">
        <v>0</v>
      </c>
      <c r="N41" s="34">
        <f>0.2+0.1</f>
        <v>0.30000000000000004</v>
      </c>
      <c r="O41" s="33">
        <v>0</v>
      </c>
      <c r="P41" s="48">
        <v>0.1</v>
      </c>
      <c r="Q41" s="48">
        <v>2.1</v>
      </c>
      <c r="R41" s="48">
        <v>0.2</v>
      </c>
      <c r="S41" s="48">
        <v>0.2</v>
      </c>
      <c r="T41" s="48">
        <v>0.4</v>
      </c>
      <c r="U41" s="48">
        <v>0.2</v>
      </c>
      <c r="V41" s="48">
        <v>0.2</v>
      </c>
      <c r="W41" s="48">
        <v>0.1</v>
      </c>
      <c r="X41" s="48">
        <v>0.1</v>
      </c>
      <c r="Y41" s="34">
        <f>6.2+13.4</f>
        <v>19.600000000000001</v>
      </c>
      <c r="Z41" s="48">
        <v>67.7</v>
      </c>
      <c r="AA41" s="48">
        <v>297.89999999999998</v>
      </c>
      <c r="AB41" s="34">
        <f>25.8+40.5+196.3+101.2+14.3</f>
        <v>378.1</v>
      </c>
      <c r="AC41" s="48">
        <v>42.9</v>
      </c>
      <c r="AD41" s="48">
        <v>17.600000000000001</v>
      </c>
      <c r="AE41" s="48">
        <v>38.9</v>
      </c>
      <c r="AF41" s="48">
        <v>2.7</v>
      </c>
      <c r="AG41" s="48">
        <v>310.39999999999998</v>
      </c>
      <c r="AH41" s="48">
        <v>91</v>
      </c>
      <c r="AI41" s="34">
        <f>19.3+28.4</f>
        <v>47.7</v>
      </c>
      <c r="AJ41" s="48">
        <v>309.8</v>
      </c>
      <c r="AK41" s="48">
        <v>31.6</v>
      </c>
      <c r="AL41" s="48">
        <v>25.1</v>
      </c>
      <c r="AM41" s="34">
        <f>23.3+40.8</f>
        <v>64.099999999999994</v>
      </c>
      <c r="AN41" s="34">
        <v>0</v>
      </c>
      <c r="AO41" s="48">
        <v>2023.7</v>
      </c>
      <c r="AP41" s="48">
        <v>0</v>
      </c>
      <c r="AQ41" s="48">
        <v>21947.8</v>
      </c>
      <c r="AR41" s="48">
        <v>47.4</v>
      </c>
      <c r="AS41" s="48">
        <v>12</v>
      </c>
      <c r="AT41" s="48">
        <v>4.7</v>
      </c>
      <c r="AU41" s="48">
        <v>0</v>
      </c>
      <c r="AV41" s="48">
        <v>0</v>
      </c>
      <c r="AW41" s="48">
        <v>-91.6</v>
      </c>
      <c r="AX41" s="22">
        <f t="shared" si="0"/>
        <v>25747.1</v>
      </c>
    </row>
    <row r="42" spans="1:50" x14ac:dyDescent="0.2">
      <c r="A42" s="26">
        <f>INDEX('OECD Crosswalk'!$C$2:$C$90,MATCH('OECD Data IO Table - Total (USD'!D42,'OECD Crosswalk'!$A$2:$A$90,0),1)</f>
        <v>0</v>
      </c>
      <c r="B42" s="26" t="str">
        <f>INDEX('OECD Crosswalk'!$B$2:$B$90,MATCH('OECD Data IO Table - Total (USD'!D42,'OECD Crosswalk'!$A$2:$A$90,0),1)</f>
        <v>nonenergy industries</v>
      </c>
      <c r="D42" s="15" t="s">
        <v>131</v>
      </c>
      <c r="E42" s="34">
        <v>0.5</v>
      </c>
      <c r="F42" s="45">
        <v>0</v>
      </c>
      <c r="G42" s="45">
        <v>0</v>
      </c>
      <c r="H42" s="41">
        <v>0</v>
      </c>
      <c r="I42" s="48">
        <v>38.1</v>
      </c>
      <c r="J42" s="48">
        <v>9.3000000000000007</v>
      </c>
      <c r="K42" s="48">
        <v>6.1</v>
      </c>
      <c r="L42" s="48">
        <v>34</v>
      </c>
      <c r="M42" s="48">
        <v>0</v>
      </c>
      <c r="N42" s="34">
        <f>0.1+0.1</f>
        <v>0.2</v>
      </c>
      <c r="O42" s="33">
        <v>0</v>
      </c>
      <c r="P42" s="48">
        <v>0.2</v>
      </c>
      <c r="Q42" s="48">
        <v>1.2</v>
      </c>
      <c r="R42" s="48">
        <v>0.1</v>
      </c>
      <c r="S42" s="48">
        <v>0.1</v>
      </c>
      <c r="T42" s="48">
        <v>0.2</v>
      </c>
      <c r="U42" s="48">
        <v>0.2</v>
      </c>
      <c r="V42" s="48">
        <v>0.2</v>
      </c>
      <c r="W42" s="48">
        <v>0.1</v>
      </c>
      <c r="X42" s="48">
        <v>0.1</v>
      </c>
      <c r="Y42" s="34">
        <f>12.8+20.4</f>
        <v>33.200000000000003</v>
      </c>
      <c r="Z42" s="48">
        <v>45.6</v>
      </c>
      <c r="AA42" s="49">
        <v>627.70000000000005</v>
      </c>
      <c r="AB42" s="34">
        <f>57.7+62.4+67.9+123.9+31.9</f>
        <v>343.79999999999995</v>
      </c>
      <c r="AC42" s="48">
        <v>46.8</v>
      </c>
      <c r="AD42" s="45">
        <v>30.5</v>
      </c>
      <c r="AE42" s="48">
        <v>128.9</v>
      </c>
      <c r="AF42" s="48">
        <v>13.9</v>
      </c>
      <c r="AG42" s="48">
        <v>711.7</v>
      </c>
      <c r="AH42" s="48">
        <v>301.3</v>
      </c>
      <c r="AI42" s="34">
        <f>57.6+63.5</f>
        <v>121.1</v>
      </c>
      <c r="AJ42" s="48">
        <v>163.30000000000001</v>
      </c>
      <c r="AK42" s="48">
        <v>469.4</v>
      </c>
      <c r="AL42" s="48">
        <v>89.2</v>
      </c>
      <c r="AM42" s="34">
        <f>34.4+87.7</f>
        <v>122.1</v>
      </c>
      <c r="AN42" s="34">
        <v>0</v>
      </c>
      <c r="AO42" s="48">
        <v>2924.9</v>
      </c>
      <c r="AP42" s="48">
        <v>9128.7000000000007</v>
      </c>
      <c r="AQ42" s="48">
        <v>2620.8000000000002</v>
      </c>
      <c r="AR42" s="48">
        <v>233</v>
      </c>
      <c r="AS42" s="48">
        <v>5.3</v>
      </c>
      <c r="AT42" s="48">
        <v>135.5</v>
      </c>
      <c r="AU42" s="48">
        <v>1707.7</v>
      </c>
      <c r="AV42" s="48">
        <v>0</v>
      </c>
      <c r="AW42" s="48">
        <v>-157</v>
      </c>
      <c r="AX42" s="22">
        <f t="shared" si="0"/>
        <v>18013.5</v>
      </c>
    </row>
    <row r="43" spans="1:50" ht="24" x14ac:dyDescent="0.2">
      <c r="A43" s="26">
        <f>INDEX('OECD Crosswalk'!$C$2:$C$90,MATCH('OECD Data IO Table - Total (USD'!D43,'OECD Crosswalk'!$A$2:$A$90,0),1)</f>
        <v>0</v>
      </c>
      <c r="B43" s="26" t="str">
        <f>INDEX('OECD Crosswalk'!$B$2:$B$90,MATCH('OECD Data IO Table - Total (USD'!D43,'OECD Crosswalk'!$A$2:$A$90,0),1)</f>
        <v>nonenergy industries</v>
      </c>
      <c r="D43" s="15" t="s">
        <v>132</v>
      </c>
      <c r="E43" s="34">
        <v>0</v>
      </c>
      <c r="F43" s="45">
        <v>0</v>
      </c>
      <c r="G43" s="45">
        <v>0</v>
      </c>
      <c r="H43" s="41">
        <v>0.1</v>
      </c>
      <c r="I43" s="48">
        <v>8.4</v>
      </c>
      <c r="J43" s="48">
        <v>4.2</v>
      </c>
      <c r="K43" s="48">
        <v>1</v>
      </c>
      <c r="L43" s="48">
        <v>4.0999999999999996</v>
      </c>
      <c r="M43" s="48">
        <v>0.1</v>
      </c>
      <c r="N43" s="34">
        <f>0.2+0.1</f>
        <v>0.30000000000000004</v>
      </c>
      <c r="O43" s="33">
        <v>0</v>
      </c>
      <c r="P43" s="48">
        <v>0.1</v>
      </c>
      <c r="Q43" s="48">
        <v>0.8</v>
      </c>
      <c r="R43" s="48">
        <v>0.1</v>
      </c>
      <c r="S43" s="48">
        <v>0.2</v>
      </c>
      <c r="T43" s="48">
        <v>0.3</v>
      </c>
      <c r="U43" s="48">
        <v>0.1</v>
      </c>
      <c r="V43" s="48">
        <v>0.1</v>
      </c>
      <c r="W43" s="48">
        <v>0</v>
      </c>
      <c r="X43" s="48">
        <v>0</v>
      </c>
      <c r="Y43" s="34">
        <f>4.1+5.7</f>
        <v>9.8000000000000007</v>
      </c>
      <c r="Z43" s="48">
        <v>10.199999999999999</v>
      </c>
      <c r="AA43" s="49">
        <v>141.1</v>
      </c>
      <c r="AB43" s="34">
        <f>17+48.8+8+41.2+8.8</f>
        <v>123.8</v>
      </c>
      <c r="AC43" s="48">
        <v>17.100000000000001</v>
      </c>
      <c r="AD43" s="45">
        <v>5</v>
      </c>
      <c r="AE43" s="48">
        <v>17.100000000000001</v>
      </c>
      <c r="AF43" s="48">
        <v>1.2</v>
      </c>
      <c r="AG43" s="48">
        <v>218.2</v>
      </c>
      <c r="AH43" s="48">
        <v>86.8</v>
      </c>
      <c r="AI43" s="34">
        <f>11.2+18.8</f>
        <v>30</v>
      </c>
      <c r="AJ43" s="48">
        <v>9</v>
      </c>
      <c r="AK43" s="48">
        <v>35.4</v>
      </c>
      <c r="AL43" s="48">
        <v>258.2</v>
      </c>
      <c r="AM43" s="34">
        <f>15.8+25.5</f>
        <v>41.3</v>
      </c>
      <c r="AN43" s="34">
        <v>0</v>
      </c>
      <c r="AO43" s="48">
        <v>6137.2</v>
      </c>
      <c r="AP43" s="48">
        <v>1571</v>
      </c>
      <c r="AQ43" s="48">
        <v>10648</v>
      </c>
      <c r="AR43" s="48">
        <v>29.8</v>
      </c>
      <c r="AS43" s="48">
        <v>17.100000000000001</v>
      </c>
      <c r="AT43" s="48">
        <v>58.1</v>
      </c>
      <c r="AU43" s="48">
        <v>843.7</v>
      </c>
      <c r="AV43" s="48">
        <v>0</v>
      </c>
      <c r="AW43" s="48">
        <v>-117.5</v>
      </c>
      <c r="AX43" s="22">
        <f t="shared" si="0"/>
        <v>19380.3</v>
      </c>
    </row>
    <row r="44" spans="1:50" ht="24" x14ac:dyDescent="0.2">
      <c r="A44" s="26">
        <f>INDEX('OECD Crosswalk'!$C$2:$C$90,MATCH('OECD Data IO Table - Total (USD'!D44,'OECD Crosswalk'!$A$2:$A$90,0),1)</f>
        <v>0</v>
      </c>
      <c r="B44" s="26" t="str">
        <f>INDEX('OECD Crosswalk'!$B$2:$B$90,MATCH('OECD Data IO Table - Total (USD'!D44,'OECD Crosswalk'!$A$2:$A$90,0),1)</f>
        <v>nonenergy industries</v>
      </c>
      <c r="D44" s="15" t="s">
        <v>133</v>
      </c>
      <c r="E44" s="34">
        <f>0.5+0.1+3.5+0.5</f>
        <v>4.5999999999999996</v>
      </c>
      <c r="F44" s="42">
        <v>0</v>
      </c>
      <c r="G44" s="42">
        <v>0</v>
      </c>
      <c r="H44" s="42">
        <f>0.2</f>
        <v>0.2</v>
      </c>
      <c r="I44" s="33">
        <f>18.8+146.4</f>
        <v>165.20000000000002</v>
      </c>
      <c r="J44" s="33">
        <f>3+53.2</f>
        <v>56.2</v>
      </c>
      <c r="K44" s="34">
        <f>1.2+16.1</f>
        <v>17.3</v>
      </c>
      <c r="L44" s="34">
        <f>12.6+96</f>
        <v>108.6</v>
      </c>
      <c r="M44" s="34">
        <f>1</f>
        <v>1</v>
      </c>
      <c r="N44" s="34">
        <f>0.1+0.1+3+2.3</f>
        <v>5.5</v>
      </c>
      <c r="O44" s="33">
        <v>0</v>
      </c>
      <c r="P44" s="34">
        <f>2.6</f>
        <v>2.6</v>
      </c>
      <c r="Q44" s="34">
        <f>0.4+19.2</f>
        <v>19.599999999999998</v>
      </c>
      <c r="R44" s="34">
        <f>2.5</f>
        <v>2.5</v>
      </c>
      <c r="S44" s="34">
        <f>0.1+4</f>
        <v>4.0999999999999996</v>
      </c>
      <c r="T44" s="34">
        <f>0.1+6.7</f>
        <v>6.8</v>
      </c>
      <c r="U44" s="34">
        <f>0.1+3.8</f>
        <v>3.9</v>
      </c>
      <c r="V44" s="33">
        <f>0.1+9.9</f>
        <v>10</v>
      </c>
      <c r="W44" s="33">
        <v>3.4</v>
      </c>
      <c r="X44" s="34">
        <v>0.5</v>
      </c>
      <c r="Y44" s="34">
        <f>7.3+11.1+65.7+72.1</f>
        <v>156.19999999999999</v>
      </c>
      <c r="Z44" s="34">
        <f>14.6+121.8</f>
        <v>136.4</v>
      </c>
      <c r="AA44" s="34">
        <f>250.6+1184</f>
        <v>1434.6</v>
      </c>
      <c r="AB44" s="34">
        <f>24.2502+42.6+58.3+28.2+126.7+137.8+220.3+176.9+78</f>
        <v>893.05020000000002</v>
      </c>
      <c r="AC44" s="34">
        <f>22.7+208.2</f>
        <v>230.89999999999998</v>
      </c>
      <c r="AD44" s="34">
        <f>169.2+122.1</f>
        <v>291.29999999999995</v>
      </c>
      <c r="AE44" s="34">
        <f>73.2+175.1</f>
        <v>248.3</v>
      </c>
      <c r="AF44" s="34">
        <f>3.3+14</f>
        <v>17.3</v>
      </c>
      <c r="AG44" s="34">
        <f>499.7+1244</f>
        <v>1743.7</v>
      </c>
      <c r="AH44" s="40">
        <f>360.9+773.1</f>
        <v>1134</v>
      </c>
      <c r="AI44" s="34">
        <f>43.7+57.6+90.1+133.1</f>
        <v>324.5</v>
      </c>
      <c r="AJ44" s="34">
        <f>32.5+87.7</f>
        <v>120.2</v>
      </c>
      <c r="AK44" s="34">
        <f>45.2+80.8</f>
        <v>126</v>
      </c>
      <c r="AL44" s="34">
        <f>36.9+163.7</f>
        <v>200.6</v>
      </c>
      <c r="AM44" s="34">
        <f>766.6+114.1+163.2+499.5</f>
        <v>1543.4</v>
      </c>
      <c r="AN44" s="34">
        <v>0</v>
      </c>
      <c r="AO44" s="34">
        <f>1641.3+4507.2</f>
        <v>6148.5</v>
      </c>
      <c r="AP44" s="33">
        <f>62.3+346</f>
        <v>408.3</v>
      </c>
      <c r="AQ44" s="34">
        <v>0</v>
      </c>
      <c r="AR44" s="34">
        <f>167+611.6</f>
        <v>778.6</v>
      </c>
      <c r="AS44" s="33">
        <f>-0.9+19.3</f>
        <v>18.400000000000002</v>
      </c>
      <c r="AT44" s="33">
        <f>132.4+78.3</f>
        <v>210.7</v>
      </c>
      <c r="AU44" s="33">
        <f>2089.6+1116.4</f>
        <v>3206</v>
      </c>
      <c r="AV44" s="33">
        <v>318</v>
      </c>
      <c r="AW44" s="33">
        <f>-337.8+-150.2</f>
        <v>-488</v>
      </c>
      <c r="AX44" s="36">
        <f t="shared" si="0"/>
        <v>15569.2502</v>
      </c>
    </row>
    <row r="45" spans="1:50" ht="24" x14ac:dyDescent="0.2">
      <c r="A45" s="26">
        <f>INDEX('OECD Crosswalk'!$C$2:$C$90,MATCH('OECD Data IO Table - Total (USD'!D45,'OECD Crosswalk'!$A$2:$A$90,0),1)</f>
        <v>0</v>
      </c>
      <c r="B45" s="26" t="str">
        <f>INDEX('OECD Crosswalk'!$B$2:$B$90,MATCH('OECD Data IO Table - Total (USD'!D45,'OECD Crosswalk'!$A$2:$A$90,0),1)</f>
        <v>labor and consumers</v>
      </c>
      <c r="D45" s="15" t="s">
        <v>134</v>
      </c>
      <c r="E45" s="33">
        <v>0</v>
      </c>
      <c r="F45" s="45">
        <v>0</v>
      </c>
      <c r="G45" s="45">
        <v>0</v>
      </c>
      <c r="H45" s="41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33">
        <v>0</v>
      </c>
      <c r="O45" s="33">
        <v>0</v>
      </c>
      <c r="P45" s="48">
        <v>0</v>
      </c>
      <c r="Q45" s="48">
        <v>0</v>
      </c>
      <c r="R45" s="48">
        <v>0</v>
      </c>
      <c r="S45" s="45">
        <v>0</v>
      </c>
      <c r="T45" s="45">
        <v>0</v>
      </c>
      <c r="U45" s="45">
        <v>0</v>
      </c>
      <c r="V45" s="48">
        <v>0</v>
      </c>
      <c r="W45" s="45">
        <v>0</v>
      </c>
      <c r="X45" s="48">
        <v>0</v>
      </c>
      <c r="Y45" s="33">
        <v>0</v>
      </c>
      <c r="Z45" s="45">
        <v>0</v>
      </c>
      <c r="AA45" s="48">
        <v>0</v>
      </c>
      <c r="AB45" s="33">
        <v>0</v>
      </c>
      <c r="AC45" s="48">
        <v>0</v>
      </c>
      <c r="AD45" s="45">
        <v>0</v>
      </c>
      <c r="AE45" s="45">
        <v>0</v>
      </c>
      <c r="AF45" s="45">
        <v>0</v>
      </c>
      <c r="AG45" s="48">
        <v>0</v>
      </c>
      <c r="AH45" s="45">
        <v>0</v>
      </c>
      <c r="AI45" s="33">
        <v>0</v>
      </c>
      <c r="AJ45" s="45">
        <v>0</v>
      </c>
      <c r="AK45" s="45">
        <v>0</v>
      </c>
      <c r="AL45" s="45">
        <v>0</v>
      </c>
      <c r="AM45" s="33">
        <v>0</v>
      </c>
      <c r="AN45" s="33">
        <v>0</v>
      </c>
      <c r="AO45" s="45">
        <v>4665</v>
      </c>
      <c r="AP45" s="45">
        <v>0</v>
      </c>
      <c r="AQ45" s="45">
        <v>0</v>
      </c>
      <c r="AR45" s="48">
        <v>0</v>
      </c>
      <c r="AS45" s="45">
        <v>0</v>
      </c>
      <c r="AT45" s="45">
        <v>0</v>
      </c>
      <c r="AU45" s="45">
        <v>0</v>
      </c>
      <c r="AV45" s="45">
        <v>0</v>
      </c>
      <c r="AW45" s="45">
        <v>0</v>
      </c>
      <c r="AX45" s="22">
        <f t="shared" si="0"/>
        <v>4665</v>
      </c>
    </row>
    <row r="46" spans="1:50" ht="36" x14ac:dyDescent="0.2">
      <c r="A46" s="26">
        <f>INDEX('OECD Crosswalk'!$C$2:$C$90,MATCH('OECD Data IO Table - Total (USD'!D46,'OECD Crosswalk'!$A$2:$A$90,0),1)</f>
        <v>0</v>
      </c>
      <c r="B46" s="26" t="str">
        <f>INDEX('OECD Crosswalk'!$B$2:$B$90,MATCH('OECD Data IO Table - Total (USD'!D46,'OECD Crosswalk'!$A$2:$A$90,0),1)</f>
        <v>government</v>
      </c>
      <c r="D46" s="15" t="s">
        <v>135</v>
      </c>
      <c r="E46" s="33">
        <v>0</v>
      </c>
      <c r="F46" s="46">
        <v>0</v>
      </c>
      <c r="G46" s="46">
        <v>0</v>
      </c>
      <c r="H46" s="41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33">
        <v>0</v>
      </c>
      <c r="O46" s="33">
        <v>0</v>
      </c>
      <c r="P46" s="48">
        <v>0</v>
      </c>
      <c r="Q46" s="49">
        <v>0</v>
      </c>
      <c r="R46" s="48">
        <v>0</v>
      </c>
      <c r="S46" s="45">
        <v>0</v>
      </c>
      <c r="T46" s="45">
        <v>0</v>
      </c>
      <c r="U46" s="45">
        <v>0</v>
      </c>
      <c r="V46" s="48">
        <v>0</v>
      </c>
      <c r="W46" s="45">
        <v>0</v>
      </c>
      <c r="X46" s="45">
        <v>0</v>
      </c>
      <c r="Y46" s="33">
        <v>0</v>
      </c>
      <c r="Z46" s="45">
        <v>0</v>
      </c>
      <c r="AA46" s="45">
        <v>0</v>
      </c>
      <c r="AB46" s="33">
        <f>-0.1</f>
        <v>-0.1</v>
      </c>
      <c r="AC46" s="45">
        <v>-0.1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33">
        <v>0</v>
      </c>
      <c r="AJ46" s="45">
        <v>0</v>
      </c>
      <c r="AK46" s="45">
        <v>0</v>
      </c>
      <c r="AL46" s="45">
        <v>0</v>
      </c>
      <c r="AM46" s="33">
        <v>0</v>
      </c>
      <c r="AN46" s="33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57.3</v>
      </c>
      <c r="AU46" s="45">
        <v>0</v>
      </c>
      <c r="AV46" s="45">
        <v>0</v>
      </c>
      <c r="AW46" s="45">
        <v>-57.1</v>
      </c>
      <c r="AX46" s="22">
        <f t="shared" si="0"/>
        <v>-0.2</v>
      </c>
    </row>
    <row r="47" spans="1:50" ht="48" x14ac:dyDescent="0.2">
      <c r="A47" s="26">
        <f>INDEX('OECD Crosswalk'!$C$2:$C$90,MATCH('OECD Data IO Table - Total (USD'!D47,'OECD Crosswalk'!$A$2:$A$90,0),1)</f>
        <v>0</v>
      </c>
      <c r="B47" s="26" t="str">
        <f>INDEX('OECD Crosswalk'!$B$2:$B$90,MATCH('OECD Data IO Table - Total (USD'!D47,'OECD Crosswalk'!$A$2:$A$90,0),1)</f>
        <v>government</v>
      </c>
      <c r="D47" s="15" t="s">
        <v>136</v>
      </c>
      <c r="E47" s="33">
        <f>2.8+0.2</f>
        <v>3</v>
      </c>
      <c r="F47" s="46">
        <v>0</v>
      </c>
      <c r="G47" s="46">
        <v>0</v>
      </c>
      <c r="H47" s="41">
        <v>35.799999999999997</v>
      </c>
      <c r="I47" s="48">
        <v>64.3</v>
      </c>
      <c r="J47" s="48">
        <v>31.4</v>
      </c>
      <c r="K47" s="48">
        <v>7</v>
      </c>
      <c r="L47" s="48">
        <v>47.9</v>
      </c>
      <c r="M47" s="48">
        <v>17.5</v>
      </c>
      <c r="N47" s="33">
        <f>30.7+8.5</f>
        <v>39.200000000000003</v>
      </c>
      <c r="O47" s="33">
        <v>0</v>
      </c>
      <c r="P47" s="48">
        <v>20</v>
      </c>
      <c r="Q47" s="49">
        <v>162.69999999999999</v>
      </c>
      <c r="R47" s="48">
        <v>14.4</v>
      </c>
      <c r="S47" s="45">
        <v>34.1</v>
      </c>
      <c r="T47" s="45">
        <v>27.1</v>
      </c>
      <c r="U47" s="45">
        <v>12.1</v>
      </c>
      <c r="V47" s="48">
        <v>26.6</v>
      </c>
      <c r="W47" s="45">
        <v>4.8</v>
      </c>
      <c r="X47" s="45">
        <v>13.7</v>
      </c>
      <c r="Y47" s="33">
        <f>55.6+61.1</f>
        <v>116.7</v>
      </c>
      <c r="Z47" s="45">
        <v>231.5</v>
      </c>
      <c r="AA47" s="45">
        <v>2799.5</v>
      </c>
      <c r="AB47" s="33">
        <f>104.9+350.7+239.3+392.1+67.7</f>
        <v>1154.7</v>
      </c>
      <c r="AC47" s="45">
        <v>117.8</v>
      </c>
      <c r="AD47" s="45">
        <v>84.1</v>
      </c>
      <c r="AE47" s="45">
        <v>263</v>
      </c>
      <c r="AF47" s="45">
        <v>10.4</v>
      </c>
      <c r="AG47" s="45">
        <v>1344.4</v>
      </c>
      <c r="AH47" s="45">
        <v>635.29999999999995</v>
      </c>
      <c r="AI47" s="33">
        <f>51.8+99.6</f>
        <v>151.39999999999998</v>
      </c>
      <c r="AJ47" s="45">
        <v>123.1</v>
      </c>
      <c r="AK47" s="45">
        <v>94.8</v>
      </c>
      <c r="AL47" s="45">
        <v>77.099999999999994</v>
      </c>
      <c r="AM47" s="33">
        <f>113.3+162.8</f>
        <v>276.10000000000002</v>
      </c>
      <c r="AN47" s="33">
        <v>0</v>
      </c>
      <c r="AO47" s="45">
        <v>3739.1</v>
      </c>
      <c r="AP47" s="45">
        <v>29.6</v>
      </c>
      <c r="AQ47" s="45">
        <v>-29.4</v>
      </c>
      <c r="AR47" s="45">
        <v>1750.4</v>
      </c>
      <c r="AS47" s="45">
        <v>0</v>
      </c>
      <c r="AT47" s="45">
        <v>0</v>
      </c>
      <c r="AU47" s="45">
        <v>-42.9</v>
      </c>
      <c r="AV47" s="45">
        <v>0</v>
      </c>
      <c r="AW47" s="45">
        <v>0</v>
      </c>
      <c r="AX47" s="22">
        <f t="shared" si="0"/>
        <v>11780.800000000003</v>
      </c>
    </row>
    <row r="48" spans="1:50" ht="24" x14ac:dyDescent="0.2">
      <c r="A48" s="26">
        <f>INDEX('OECD Crosswalk'!$C$2:$C$90,MATCH('OECD Data IO Table - Total (USD'!D48,'OECD Crosswalk'!$A$2:$A$90,0),1)</f>
        <v>0</v>
      </c>
      <c r="B48" s="26" t="str">
        <f>INDEX('OECD Crosswalk'!$B$2:$B$90,MATCH('OECD Data IO Table - Total (USD'!D48,'OECD Crosswalk'!$A$2:$A$90,0),1)</f>
        <v>total</v>
      </c>
      <c r="D48" s="15" t="s">
        <v>137</v>
      </c>
      <c r="E48" s="33">
        <f>269.5+34.7</f>
        <v>304.2</v>
      </c>
      <c r="F48" s="46">
        <v>0</v>
      </c>
      <c r="G48" s="46">
        <v>0</v>
      </c>
      <c r="H48" s="41">
        <v>8028.3</v>
      </c>
      <c r="I48" s="48">
        <v>6194.7</v>
      </c>
      <c r="J48" s="48">
        <v>2727.5</v>
      </c>
      <c r="K48" s="48">
        <v>532.4</v>
      </c>
      <c r="L48" s="48">
        <v>4555.6000000000004</v>
      </c>
      <c r="M48" s="48">
        <v>377.9</v>
      </c>
      <c r="N48" s="33">
        <f>1159.8+452</f>
        <v>1611.8</v>
      </c>
      <c r="O48" s="33">
        <v>0</v>
      </c>
      <c r="P48" s="48">
        <v>1228.3</v>
      </c>
      <c r="Q48" s="49">
        <v>11480.1</v>
      </c>
      <c r="R48" s="48">
        <v>1130.5999999999999</v>
      </c>
      <c r="S48" s="45">
        <v>1446.5</v>
      </c>
      <c r="T48" s="45">
        <v>2665.6</v>
      </c>
      <c r="U48" s="45">
        <v>1189.9000000000001</v>
      </c>
      <c r="V48" s="48">
        <v>1424.9</v>
      </c>
      <c r="W48" s="45">
        <v>499</v>
      </c>
      <c r="X48" s="45">
        <v>715.8</v>
      </c>
      <c r="Y48" s="33">
        <f>2971.3+3200.1</f>
        <v>6171.4</v>
      </c>
      <c r="Z48" s="45">
        <v>12195.5</v>
      </c>
      <c r="AA48" s="45">
        <v>104745.4</v>
      </c>
      <c r="AB48" s="33">
        <f>5658.2+16315.8+12040.1+17264.4+4079.3</f>
        <v>55357.8</v>
      </c>
      <c r="AC48" s="45">
        <v>8861.7000000000007</v>
      </c>
      <c r="AD48" s="45">
        <v>3649.8</v>
      </c>
      <c r="AE48" s="45">
        <v>10369.200000000001</v>
      </c>
      <c r="AF48" s="45">
        <v>464.7</v>
      </c>
      <c r="AG48" s="45">
        <v>53727.3</v>
      </c>
      <c r="AH48" s="45">
        <v>28542.2</v>
      </c>
      <c r="AI48" s="33">
        <f>2707.8+4500.8</f>
        <v>7208.6</v>
      </c>
      <c r="AJ48" s="45">
        <v>4524.5</v>
      </c>
      <c r="AK48" s="45">
        <v>4403.8</v>
      </c>
      <c r="AL48" s="45">
        <v>5448</v>
      </c>
      <c r="AM48" s="33">
        <f>4177.3+7398.2</f>
        <v>11575.5</v>
      </c>
      <c r="AN48" s="33">
        <v>0</v>
      </c>
      <c r="AO48" s="45">
        <v>230751.9</v>
      </c>
      <c r="AP48" s="45">
        <v>11199.9</v>
      </c>
      <c r="AQ48" s="45">
        <v>35909.800000000003</v>
      </c>
      <c r="AR48" s="45">
        <v>77220.899999999994</v>
      </c>
      <c r="AS48" s="45">
        <v>61910.2</v>
      </c>
      <c r="AT48" s="45">
        <v>3576.1</v>
      </c>
      <c r="AU48" s="45">
        <v>37530.199999999997</v>
      </c>
      <c r="AV48" s="45">
        <v>139110.70000000001</v>
      </c>
      <c r="AW48" s="45">
        <v>-235559.1</v>
      </c>
      <c r="AX48" s="22">
        <f t="shared" si="0"/>
        <v>641220.10000000009</v>
      </c>
    </row>
    <row r="49" spans="1:50" x14ac:dyDescent="0.2">
      <c r="A49" s="26">
        <f>INDEX('OECD Crosswalk'!$C$2:$C$90,MATCH('OECD Data IO Table - Total (USD'!D49,'OECD Crosswalk'!$A$2:$A$90,0),1)</f>
        <v>0</v>
      </c>
      <c r="B49" s="26" t="str">
        <f>INDEX('OECD Crosswalk'!$B$2:$B$90,MATCH('OECD Data IO Table - Total (USD'!D49,'OECD Crosswalk'!$A$2:$A$90,0),1)</f>
        <v>value add</v>
      </c>
      <c r="D49" s="15" t="s">
        <v>139</v>
      </c>
      <c r="E49" s="33">
        <f>179.8+30.3</f>
        <v>210.10000000000002</v>
      </c>
      <c r="F49" s="46">
        <v>0</v>
      </c>
      <c r="G49" s="46">
        <v>0</v>
      </c>
      <c r="H49" s="41">
        <v>76.3</v>
      </c>
      <c r="I49" s="48">
        <v>2573.5</v>
      </c>
      <c r="J49" s="48">
        <v>265.2</v>
      </c>
      <c r="K49" s="48">
        <v>213.6</v>
      </c>
      <c r="L49" s="48">
        <v>133.1</v>
      </c>
      <c r="M49" s="48">
        <v>35.299999999999997</v>
      </c>
      <c r="N49" s="33">
        <f>38+22.9</f>
        <v>60.9</v>
      </c>
      <c r="O49" s="33">
        <v>0</v>
      </c>
      <c r="P49" s="48">
        <v>50</v>
      </c>
      <c r="Q49" s="49">
        <v>28.2</v>
      </c>
      <c r="R49" s="48">
        <v>75.599999999999994</v>
      </c>
      <c r="S49" s="45">
        <v>51.7</v>
      </c>
      <c r="T49" s="45">
        <v>45.3</v>
      </c>
      <c r="U49" s="45">
        <v>47.2</v>
      </c>
      <c r="V49" s="48">
        <v>43.4</v>
      </c>
      <c r="W49" s="45">
        <v>20.399999999999999</v>
      </c>
      <c r="X49" s="45">
        <v>92</v>
      </c>
      <c r="Y49" s="33">
        <f>2341.9+2023.8</f>
        <v>4365.7</v>
      </c>
      <c r="Z49" s="45">
        <v>15493.8</v>
      </c>
      <c r="AA49" s="45">
        <v>73962.899999999994</v>
      </c>
      <c r="AB49" s="33">
        <f>6622.9+2366.9+9657.3+606.9+1122.7</f>
        <v>20376.7</v>
      </c>
      <c r="AC49" s="45">
        <v>11770.9</v>
      </c>
      <c r="AD49" s="45">
        <v>2182.6</v>
      </c>
      <c r="AE49" s="45">
        <v>6311.7</v>
      </c>
      <c r="AF49" s="45">
        <v>4091.6</v>
      </c>
      <c r="AG49" s="45">
        <v>68821.600000000006</v>
      </c>
      <c r="AH49" s="45">
        <v>52485.599999999999</v>
      </c>
      <c r="AI49" s="33">
        <f>16474.7+3558.1</f>
        <v>20032.8</v>
      </c>
      <c r="AJ49" s="45">
        <v>21195.1</v>
      </c>
      <c r="AK49" s="45">
        <v>15533.9</v>
      </c>
      <c r="AL49" s="45">
        <v>14763.2</v>
      </c>
      <c r="AM49" s="33">
        <f>2644.6+5442.6</f>
        <v>8087.2000000000007</v>
      </c>
      <c r="AN49" s="48">
        <v>4665</v>
      </c>
      <c r="AO49" s="45">
        <v>0</v>
      </c>
      <c r="AP49" s="45">
        <v>0</v>
      </c>
      <c r="AQ49" s="45">
        <v>0</v>
      </c>
      <c r="AR49" s="45">
        <v>0</v>
      </c>
      <c r="AS49" s="45">
        <v>0</v>
      </c>
      <c r="AT49" s="45">
        <v>0</v>
      </c>
      <c r="AU49" s="45">
        <v>0</v>
      </c>
      <c r="AV49" s="45">
        <v>0</v>
      </c>
      <c r="AW49" s="45">
        <v>0</v>
      </c>
      <c r="AX49" s="22">
        <f t="shared" si="0"/>
        <v>348162.10000000003</v>
      </c>
    </row>
    <row r="50" spans="1:50" x14ac:dyDescent="0.2">
      <c r="A50" s="26">
        <f>INDEX('OECD Crosswalk'!$C$2:$C$90,MATCH('OECD Data IO Table - Total (USD'!D50,'OECD Crosswalk'!$A$2:$A$90,0),1)</f>
        <v>0</v>
      </c>
      <c r="B50" s="26" t="str">
        <f>INDEX('OECD Crosswalk'!$B$2:$B$90,MATCH('OECD Data IO Table - Total (USD'!D50,'OECD Crosswalk'!$A$2:$A$90,0),1)</f>
        <v>output</v>
      </c>
      <c r="D50" s="15" t="s">
        <v>141</v>
      </c>
      <c r="E50" s="33">
        <f>449.3+65</f>
        <v>514.29999999999995</v>
      </c>
      <c r="F50" s="46">
        <v>0</v>
      </c>
      <c r="G50" s="46">
        <v>0</v>
      </c>
      <c r="H50" s="41">
        <v>8104.5</v>
      </c>
      <c r="I50" s="48">
        <v>8768.1</v>
      </c>
      <c r="J50" s="48">
        <v>2992.7</v>
      </c>
      <c r="K50" s="48">
        <v>746</v>
      </c>
      <c r="L50" s="48">
        <v>4688.8</v>
      </c>
      <c r="M50" s="48">
        <v>413.2</v>
      </c>
      <c r="N50" s="33">
        <f>1197+474.8</f>
        <v>1671.8</v>
      </c>
      <c r="O50" s="33">
        <v>0</v>
      </c>
      <c r="P50" s="48">
        <v>1278.3</v>
      </c>
      <c r="Q50" s="49">
        <v>11508.3</v>
      </c>
      <c r="R50" s="48">
        <v>1206.2</v>
      </c>
      <c r="S50" s="45">
        <v>1498.2</v>
      </c>
      <c r="T50" s="45">
        <v>2710.9</v>
      </c>
      <c r="U50" s="45">
        <v>1237.0999999999999</v>
      </c>
      <c r="V50" s="48">
        <v>1468.2</v>
      </c>
      <c r="W50" s="45">
        <v>519.5</v>
      </c>
      <c r="X50" s="45">
        <v>807.8</v>
      </c>
      <c r="Y50" s="33">
        <f>5313.3+5223.9</f>
        <v>10537.2</v>
      </c>
      <c r="Z50" s="45">
        <v>27689.4</v>
      </c>
      <c r="AA50" s="45">
        <v>178708.3</v>
      </c>
      <c r="AB50" s="33">
        <f>12281.1+18682.6+21697.4+17871.3+5202</f>
        <v>75734.399999999994</v>
      </c>
      <c r="AC50" s="45">
        <v>20632.5</v>
      </c>
      <c r="AD50" s="45">
        <v>5832.4</v>
      </c>
      <c r="AE50" s="45">
        <v>16680.900000000001</v>
      </c>
      <c r="AF50" s="45">
        <v>4556.3</v>
      </c>
      <c r="AG50" s="45">
        <v>122548.9</v>
      </c>
      <c r="AH50" s="45">
        <v>81027.8</v>
      </c>
      <c r="AI50" s="33">
        <f>19182.5+8058.9</f>
        <v>27241.4</v>
      </c>
      <c r="AJ50" s="45">
        <v>25719.599999999999</v>
      </c>
      <c r="AK50" s="45">
        <v>19937.7</v>
      </c>
      <c r="AL50" s="45">
        <v>20211.2</v>
      </c>
      <c r="AM50" s="33">
        <f>6821.9+12840.8</f>
        <v>19662.699999999997</v>
      </c>
      <c r="AN50" s="48">
        <v>4665</v>
      </c>
      <c r="AO50" s="45">
        <v>0</v>
      </c>
      <c r="AP50" s="45">
        <v>0</v>
      </c>
      <c r="AQ50" s="45">
        <v>0</v>
      </c>
      <c r="AR50" s="45">
        <v>0</v>
      </c>
      <c r="AS50" s="45">
        <v>0</v>
      </c>
      <c r="AT50" s="45">
        <v>0</v>
      </c>
      <c r="AU50" s="45">
        <v>0</v>
      </c>
      <c r="AV50" s="45">
        <v>0</v>
      </c>
      <c r="AW50" s="45">
        <v>0</v>
      </c>
      <c r="AX50" s="22">
        <f t="shared" si="0"/>
        <v>711519.59999999986</v>
      </c>
    </row>
    <row r="51" spans="1:50" x14ac:dyDescent="0.2">
      <c r="D51" s="17" t="s">
        <v>210</v>
      </c>
      <c r="F51" s="32"/>
      <c r="G51" s="32"/>
      <c r="AX51" s="22">
        <f t="shared" ref="AX51" si="1">SUM(E51:AQ51)</f>
        <v>0</v>
      </c>
    </row>
    <row r="52" spans="1:50" x14ac:dyDescent="0.2">
      <c r="F52" s="32"/>
      <c r="G52" s="32"/>
    </row>
    <row r="53" spans="1:50" x14ac:dyDescent="0.2">
      <c r="F53" s="32"/>
      <c r="G53" s="32"/>
    </row>
    <row r="54" spans="1:50" x14ac:dyDescent="0.2">
      <c r="F54" s="32"/>
      <c r="G54" s="32"/>
    </row>
  </sheetData>
  <mergeCells count="4">
    <mergeCell ref="E7:AW7"/>
    <mergeCell ref="E4:AW4"/>
    <mergeCell ref="E5:AW5"/>
    <mergeCell ref="E6:AW6"/>
  </mergeCells>
  <hyperlinks>
    <hyperlink ref="E4" r:id="rId1" display="http://stats.oecd.org/OECDStat_Metadata/ShowMetadata.ashx?Dataset=IOTSI4_2018&amp;Coords=[VAR].[TTL]&amp;ShowOnWeb=true&amp;Lang=en" xr:uid="{00000000-0004-0000-0200-000000000000}"/>
    <hyperlink ref="D51" r:id="rId2" display="https://stats-2.oecd.org/index.aspx?DatasetCode=IOTSI4_2018" xr:uid="{00000000-0004-0000-02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1566-1C65-5F4C-AD2B-6AE90D3E610C}">
  <dimension ref="B1:AN25"/>
  <sheetViews>
    <sheetView topLeftCell="Y6" zoomScale="200" workbookViewId="0">
      <selection activeCell="AB15" sqref="AB15"/>
    </sheetView>
  </sheetViews>
  <sheetFormatPr baseColWidth="10" defaultColWidth="9.1640625" defaultRowHeight="15" x14ac:dyDescent="0.2"/>
  <cols>
    <col min="4" max="4" width="14.1640625" customWidth="1"/>
    <col min="5" max="5" width="27.5" customWidth="1"/>
    <col min="6" max="6" width="9.5" customWidth="1"/>
  </cols>
  <sheetData>
    <row r="1" spans="2:40" hidden="1" x14ac:dyDescent="0.2">
      <c r="E1" s="11" t="e">
        <f ca="1">DotStatQuery(F1)</f>
        <v>#NAME?</v>
      </c>
      <c r="F1" s="11" t="s">
        <v>211</v>
      </c>
    </row>
    <row r="2" spans="2:40" ht="56" x14ac:dyDescent="0.2">
      <c r="D2" s="25" t="s">
        <v>196</v>
      </c>
      <c r="E2" s="19" t="str">
        <f>INDEX('OECD Crosswalk'!$B$2:$B$90,MATCH('OECD Data IO Table - Value HKD'!E8,'OECD Crosswalk'!$A$2:$A$90,0),1)</f>
        <v>nonenergy industries</v>
      </c>
      <c r="F2" s="19" t="str">
        <f>INDEX('OECD Crosswalk'!$B$2:$B$90,MATCH('OECD Data IO Table - Value HKD'!F8,'OECD Crosswalk'!$A$2:$A$90,0),1)</f>
        <v>natural gas and petroleum suppliers</v>
      </c>
      <c r="G2" s="19" t="str">
        <f>INDEX('OECD Crosswalk'!$B$2:$B$90,MATCH('OECD Data IO Table - Value HKD'!G8,'OECD Crosswalk'!$A$2:$A$90,0),1)</f>
        <v>nonenergy industries</v>
      </c>
      <c r="H2" s="19" t="str">
        <f>INDEX('OECD Crosswalk'!$B$2:$B$90,MATCH('OECD Data IO Table - Value HKD'!H8,'OECD Crosswalk'!$A$2:$A$90,0),1)</f>
        <v>nonenergy industries</v>
      </c>
      <c r="I2" s="19" t="str">
        <f>INDEX('OECD Crosswalk'!$B$2:$B$90,MATCH('OECD Data IO Table - Value HKD'!I8,'OECD Crosswalk'!$A$2:$A$90,0),1)</f>
        <v>nonenergy industries</v>
      </c>
      <c r="J2" s="19" t="str">
        <f>INDEX('OECD Crosswalk'!$B$2:$B$90,MATCH('OECD Data IO Table - Value HKD'!J8,'OECD Crosswalk'!$A$2:$A$90,0),1)</f>
        <v>nonenergy industries</v>
      </c>
      <c r="K2" s="19" t="str">
        <f>INDEX('OECD Crosswalk'!$B$2:$B$90,MATCH('OECD Data IO Table - Value HKD'!K8,'OECD Crosswalk'!$A$2:$A$90,0),1)</f>
        <v>nonenergy industries</v>
      </c>
      <c r="L2" s="19" t="str">
        <f>INDEX('OECD Crosswalk'!$B$2:$B$90,MATCH('OECD Data IO Table - Value HKD'!L8,'OECD Crosswalk'!$A$2:$A$90,0),1)</f>
        <v>nonenergy industries</v>
      </c>
      <c r="M2" s="19" t="str">
        <f>INDEX('OECD Crosswalk'!$B$2:$B$90,MATCH('OECD Data IO Table - Value HKD'!M8,'OECD Crosswalk'!$A$2:$A$90,0),1)</f>
        <v>natural gas and petroleum suppliers</v>
      </c>
      <c r="N2" s="19" t="str">
        <f>INDEX('OECD Crosswalk'!$B$2:$B$90,MATCH('OECD Data IO Table - Value HKD'!N8,'OECD Crosswalk'!$A$2:$A$90,0),1)</f>
        <v>nonenergy industries</v>
      </c>
      <c r="O2" s="19" t="str">
        <f>INDEX('OECD Crosswalk'!$B$2:$B$90,MATCH('OECD Data IO Table - Value HKD'!O8,'OECD Crosswalk'!$A$2:$A$90,0),1)</f>
        <v>nonenergy industries</v>
      </c>
      <c r="P2" s="19" t="str">
        <f>INDEX('OECD Crosswalk'!$B$2:$B$90,MATCH('OECD Data IO Table - Value HKD'!P8,'OECD Crosswalk'!$A$2:$A$90,0),1)</f>
        <v>nonenergy industries</v>
      </c>
      <c r="Q2" s="19" t="str">
        <f>INDEX('OECD Crosswalk'!$B$2:$B$90,MATCH('OECD Data IO Table - Value HKD'!Q8,'OECD Crosswalk'!$A$2:$A$90,0),1)</f>
        <v>nonenergy industries</v>
      </c>
      <c r="R2" s="19" t="str">
        <f>INDEX('OECD Crosswalk'!$B$2:$B$90,MATCH('OECD Data IO Table - Value HKD'!R8,'OECD Crosswalk'!$A$2:$A$90,0),1)</f>
        <v>nonenergy industries</v>
      </c>
      <c r="S2" s="19" t="str">
        <f>INDEX('OECD Crosswalk'!$B$2:$B$90,MATCH('OECD Data IO Table - Value HKD'!S8,'OECD Crosswalk'!$A$2:$A$90,0),1)</f>
        <v>nonenergy industries</v>
      </c>
      <c r="T2" s="19" t="str">
        <f>INDEX('OECD Crosswalk'!$B$2:$B$90,MATCH('OECD Data IO Table - Value HKD'!T8,'OECD Crosswalk'!$A$2:$A$90,0),1)</f>
        <v>nonenergy industries</v>
      </c>
      <c r="U2" s="19" t="str">
        <f>INDEX('OECD Crosswalk'!$B$2:$B$90,MATCH('OECD Data IO Table - Value HKD'!U8,'OECD Crosswalk'!$A$2:$A$90,0),1)</f>
        <v>nonenergy industries</v>
      </c>
      <c r="V2" s="19" t="str">
        <f>INDEX('OECD Crosswalk'!$B$2:$B$90,MATCH('OECD Data IO Table - Value HKD'!V8,'OECD Crosswalk'!$A$2:$A$90,0),1)</f>
        <v>nonenergy industries</v>
      </c>
      <c r="W2" s="19" t="str">
        <f>INDEX('OECD Crosswalk'!$B$2:$B$90,MATCH('OECD Data IO Table - Value HKD'!W8,'OECD Crosswalk'!$A$2:$A$90,0),1)</f>
        <v>nonenergy industries</v>
      </c>
      <c r="X2" s="19" t="str">
        <f>INDEX('OECD Crosswalk'!$B$2:$B$90,MATCH('OECD Data IO Table - Value HKD'!X8,'OECD Crosswalk'!$A$2:$A$90,0),1)</f>
        <v>nonenergy industries</v>
      </c>
      <c r="Y2" s="19" t="str">
        <f>INDEX('OECD Crosswalk'!$B$2:$B$90,MATCH('OECD Data IO Table - Value HKD'!Y8,'OECD Crosswalk'!$A$2:$A$90,0),1)</f>
        <v>energy suppliers</v>
      </c>
      <c r="Z2" s="19" t="str">
        <f>INDEX('OECD Crosswalk'!$B$2:$B$90,MATCH('OECD Data IO Table - Value HKD'!Z8,'OECD Crosswalk'!$A$2:$A$90,0),1)</f>
        <v>nonenergy industries</v>
      </c>
      <c r="AA2" s="19" t="str">
        <f>INDEX('OECD Crosswalk'!$B$2:$B$90,MATCH('OECD Data IO Table - Value HKD'!AA8,'OECD Crosswalk'!$A$2:$A$90,0),1)</f>
        <v>nonenergy industries</v>
      </c>
      <c r="AB2" s="19" t="str">
        <f>INDEX('OECD Crosswalk'!$B$2:$B$90,MATCH('OECD Data IO Table - Value HKD'!AB8,'OECD Crosswalk'!$A$2:$A$90,0),1)</f>
        <v>nonenergy industries</v>
      </c>
      <c r="AC2" s="19" t="str">
        <f>INDEX('OECD Crosswalk'!$B$2:$B$90,MATCH('OECD Data IO Table - Value HKD'!AC8,'OECD Crosswalk'!$A$2:$A$90,0),1)</f>
        <v>nonenergy industries</v>
      </c>
      <c r="AD2" s="19" t="str">
        <f>INDEX('OECD Crosswalk'!$B$2:$B$90,MATCH('OECD Data IO Table - Value HKD'!AD8,'OECD Crosswalk'!$A$2:$A$90,0),1)</f>
        <v>nonenergy industries</v>
      </c>
      <c r="AE2" s="19" t="str">
        <f>INDEX('OECD Crosswalk'!$B$2:$B$90,MATCH('OECD Data IO Table - Value HKD'!AE8,'OECD Crosswalk'!$A$2:$A$90,0),1)</f>
        <v>nonenergy industries</v>
      </c>
      <c r="AF2" s="19" t="str">
        <f>INDEX('OECD Crosswalk'!$B$2:$B$90,MATCH('OECD Data IO Table - Value HKD'!AF8,'OECD Crosswalk'!$A$2:$A$90,0),1)</f>
        <v>nonenergy industries</v>
      </c>
      <c r="AG2" s="19" t="str">
        <f>INDEX('OECD Crosswalk'!$B$2:$B$90,MATCH('OECD Data IO Table - Value HKD'!AG8,'OECD Crosswalk'!$A$2:$A$90,0),1)</f>
        <v>nonenergy industries</v>
      </c>
      <c r="AH2" s="19" t="str">
        <f>INDEX('OECD Crosswalk'!$B$2:$B$90,MATCH('OECD Data IO Table - Value HKD'!AH8,'OECD Crosswalk'!$A$2:$A$90,0),1)</f>
        <v>nonenergy industries</v>
      </c>
      <c r="AI2" s="19" t="str">
        <f>INDEX('OECD Crosswalk'!$B$2:$B$90,MATCH('OECD Data IO Table - Value HKD'!AI8,'OECD Crosswalk'!$A$2:$A$90,0),1)</f>
        <v>nonenergy industries</v>
      </c>
      <c r="AJ2" s="19" t="str">
        <f>INDEX('OECD Crosswalk'!$B$2:$B$90,MATCH('OECD Data IO Table - Value HKD'!AJ8,'OECD Crosswalk'!$A$2:$A$90,0),1)</f>
        <v>government</v>
      </c>
      <c r="AK2" s="19" t="str">
        <f>INDEX('OECD Crosswalk'!$B$2:$B$90,MATCH('OECD Data IO Table - Value HKD'!AK8,'OECD Crosswalk'!$A$2:$A$90,0),1)</f>
        <v>nonenergy industries</v>
      </c>
      <c r="AL2" s="19" t="str">
        <f>INDEX('OECD Crosswalk'!$B$2:$B$90,MATCH('OECD Data IO Table - Value HKD'!AL8,'OECD Crosswalk'!$A$2:$A$90,0),1)</f>
        <v>nonenergy industries</v>
      </c>
      <c r="AM2" s="19" t="str">
        <f>INDEX('OECD Crosswalk'!$B$2:$B$90,MATCH('OECD Data IO Table - Value HKD'!AM8,'OECD Crosswalk'!$A$2:$A$90,0),1)</f>
        <v>nonenergy industries</v>
      </c>
      <c r="AN2" s="19" t="str">
        <f>INDEX('OECD Crosswalk'!$B$2:$B$90,MATCH('OECD Data IO Table - Value HKD'!AN8,'OECD Crosswalk'!$A$2:$A$90,0),1)</f>
        <v>labor and consumers</v>
      </c>
    </row>
    <row r="3" spans="2:40" ht="56" x14ac:dyDescent="0.2">
      <c r="D3" s="25" t="s">
        <v>197</v>
      </c>
      <c r="E3" s="19" t="str">
        <f>INDEX('OECD Crosswalk'!$C$2:$C$90,MATCH('OECD Data IO Table - Value HKD'!E8,'OECD Crosswalk'!$A$2:$A$90,0),1)</f>
        <v>agriculture</v>
      </c>
      <c r="F3" s="19" t="str">
        <f>INDEX('OECD Crosswalk'!$C$2:$C$90,MATCH('OECD Data IO Table - Value HKD'!F8,'OECD Crosswalk'!$A$2:$A$90,0),1)</f>
        <v>other industries</v>
      </c>
      <c r="G3" s="19" t="str">
        <f>INDEX('OECD Crosswalk'!$C$2:$C$90,MATCH('OECD Data IO Table - Value HKD'!G8,'OECD Crosswalk'!$A$2:$A$90,0),1)</f>
        <v>other industries</v>
      </c>
      <c r="H3" s="19" t="str">
        <f>INDEX('OECD Crosswalk'!$C$2:$C$90,MATCH('OECD Data IO Table - Value HKD'!H8,'OECD Crosswalk'!$A$2:$A$90,0),1)</f>
        <v>other industries</v>
      </c>
      <c r="I3" s="19" t="str">
        <f>INDEX('OECD Crosswalk'!$C$2:$C$90,MATCH('OECD Data IO Table - Value HKD'!I8,'OECD Crosswalk'!$A$2:$A$90,0),1)</f>
        <v>other industries</v>
      </c>
      <c r="J3" s="19" t="str">
        <f>INDEX('OECD Crosswalk'!$C$2:$C$90,MATCH('OECD Data IO Table - Value HKD'!J8,'OECD Crosswalk'!$A$2:$A$90,0),1)</f>
        <v>other industries</v>
      </c>
      <c r="K3" s="19" t="str">
        <f>INDEX('OECD Crosswalk'!$C$2:$C$90,MATCH('OECD Data IO Table - Value HKD'!K8,'OECD Crosswalk'!$A$2:$A$90,0),1)</f>
        <v>other industries</v>
      </c>
      <c r="L3" s="19" t="str">
        <f>INDEX('OECD Crosswalk'!$C$2:$C$90,MATCH('OECD Data IO Table - Value HKD'!L8,'OECD Crosswalk'!$A$2:$A$90,0),1)</f>
        <v>other industries</v>
      </c>
      <c r="M3" s="19" t="str">
        <f>INDEX('OECD Crosswalk'!$C$2:$C$90,MATCH('OECD Data IO Table - Value HKD'!M8,'OECD Crosswalk'!$A$2:$A$90,0),1)</f>
        <v>natural gas and petroleum systems</v>
      </c>
      <c r="N3" s="19" t="str">
        <f>INDEX('OECD Crosswalk'!$C$2:$C$90,MATCH('OECD Data IO Table - Value HKD'!N8,'OECD Crosswalk'!$A$2:$A$90,0),1)</f>
        <v>chemicals</v>
      </c>
      <c r="O3" s="19" t="str">
        <f>INDEX('OECD Crosswalk'!$C$2:$C$90,MATCH('OECD Data IO Table - Value HKD'!O8,'OECD Crosswalk'!$A$2:$A$90,0),1)</f>
        <v>other industries</v>
      </c>
      <c r="P3" s="19" t="str">
        <f>INDEX('OECD Crosswalk'!$C$2:$C$90,MATCH('OECD Data IO Table - Value HKD'!P8,'OECD Crosswalk'!$A$2:$A$90,0),1)</f>
        <v>Cement and other carbonate use</v>
      </c>
      <c r="Q3" s="19" t="str">
        <f>INDEX('OECD Crosswalk'!$C$2:$C$90,MATCH('OECD Data IO Table - Value HKD'!Q8,'OECD Crosswalk'!$A$2:$A$90,0),1)</f>
        <v>iron and steel</v>
      </c>
      <c r="R3" s="19" t="str">
        <f>INDEX('OECD Crosswalk'!$C$2:$C$90,MATCH('OECD Data IO Table - Value HKD'!R8,'OECD Crosswalk'!$A$2:$A$90,0),1)</f>
        <v>other industries</v>
      </c>
      <c r="S3" s="19" t="str">
        <f>INDEX('OECD Crosswalk'!$C$2:$C$90,MATCH('OECD Data IO Table - Value HKD'!S8,'OECD Crosswalk'!$A$2:$A$90,0),1)</f>
        <v>other industries</v>
      </c>
      <c r="T3" s="19" t="str">
        <f>INDEX('OECD Crosswalk'!$C$2:$C$90,MATCH('OECD Data IO Table - Value HKD'!T8,'OECD Crosswalk'!$A$2:$A$90,0),1)</f>
        <v>other industries</v>
      </c>
      <c r="U3" s="19" t="str">
        <f>INDEX('OECD Crosswalk'!$C$2:$C$90,MATCH('OECD Data IO Table - Value HKD'!U8,'OECD Crosswalk'!$A$2:$A$90,0),1)</f>
        <v>other industries</v>
      </c>
      <c r="V3" s="19" t="str">
        <f>INDEX('OECD Crosswalk'!$C$2:$C$90,MATCH('OECD Data IO Table - Value HKD'!V8,'OECD Crosswalk'!$A$2:$A$90,0),1)</f>
        <v>other industries</v>
      </c>
      <c r="W3" s="19" t="str">
        <f>INDEX('OECD Crosswalk'!$C$2:$C$90,MATCH('OECD Data IO Table - Value HKD'!W8,'OECD Crosswalk'!$A$2:$A$90,0),1)</f>
        <v>other industries</v>
      </c>
      <c r="X3" s="19" t="str">
        <f>INDEX('OECD Crosswalk'!$C$2:$C$90,MATCH('OECD Data IO Table - Value HKD'!X8,'OECD Crosswalk'!$A$2:$A$90,0),1)</f>
        <v>other industries</v>
      </c>
      <c r="Y3" s="19" t="str">
        <f>INDEX('OECD Crosswalk'!$C$2:$C$90,MATCH('OECD Data IO Table - Value HKD'!Y8,'OECD Crosswalk'!$A$2:$A$90,0),1)</f>
        <v>energy suppliers</v>
      </c>
      <c r="Z3" s="19">
        <f>INDEX('OECD Crosswalk'!$C$2:$C$90,MATCH('OECD Data IO Table - Value HKD'!Z8,'OECD Crosswalk'!$A$2:$A$90,0),1)</f>
        <v>0</v>
      </c>
      <c r="AA3" s="19">
        <f>INDEX('OECD Crosswalk'!$C$2:$C$90,MATCH('OECD Data IO Table - Value HKD'!AA8,'OECD Crosswalk'!$A$2:$A$90,0),1)</f>
        <v>0</v>
      </c>
      <c r="AB3" s="19">
        <f>INDEX('OECD Crosswalk'!$C$2:$C$90,MATCH('OECD Data IO Table - Value HKD'!AB8,'OECD Crosswalk'!$A$2:$A$90,0),1)</f>
        <v>0</v>
      </c>
      <c r="AC3" s="19">
        <f>INDEX('OECD Crosswalk'!$C$2:$C$90,MATCH('OECD Data IO Table - Value HKD'!AC8,'OECD Crosswalk'!$A$2:$A$90,0),1)</f>
        <v>0</v>
      </c>
      <c r="AD3" s="19">
        <f>INDEX('OECD Crosswalk'!$C$2:$C$90,MATCH('OECD Data IO Table - Value HKD'!AD8,'OECD Crosswalk'!$A$2:$A$90,0),1)</f>
        <v>0</v>
      </c>
      <c r="AE3" s="19">
        <f>INDEX('OECD Crosswalk'!$C$2:$C$90,MATCH('OECD Data IO Table - Value HKD'!AE8,'OECD Crosswalk'!$A$2:$A$90,0),1)</f>
        <v>0</v>
      </c>
      <c r="AF3" s="19">
        <f>INDEX('OECD Crosswalk'!$C$2:$C$90,MATCH('OECD Data IO Table - Value HKD'!AF8,'OECD Crosswalk'!$A$2:$A$90,0),1)</f>
        <v>0</v>
      </c>
      <c r="AG3" s="19">
        <f>INDEX('OECD Crosswalk'!$C$2:$C$90,MATCH('OECD Data IO Table - Value HKD'!AG8,'OECD Crosswalk'!$A$2:$A$90,0),1)</f>
        <v>0</v>
      </c>
      <c r="AH3" s="19">
        <f>INDEX('OECD Crosswalk'!$C$2:$C$90,MATCH('OECD Data IO Table - Value HKD'!AH8,'OECD Crosswalk'!$A$2:$A$90,0),1)</f>
        <v>0</v>
      </c>
      <c r="AI3" s="19">
        <f>INDEX('OECD Crosswalk'!$C$2:$C$90,MATCH('OECD Data IO Table - Value HKD'!AI8,'OECD Crosswalk'!$A$2:$A$90,0),1)</f>
        <v>0</v>
      </c>
      <c r="AJ3" s="19">
        <f>INDEX('OECD Crosswalk'!$C$2:$C$90,MATCH('OECD Data IO Table - Value HKD'!AJ8,'OECD Crosswalk'!$A$2:$A$90,0),1)</f>
        <v>0</v>
      </c>
      <c r="AK3" s="19">
        <f>INDEX('OECD Crosswalk'!$C$2:$C$90,MATCH('OECD Data IO Table - Value HKD'!AK8,'OECD Crosswalk'!$A$2:$A$90,0),1)</f>
        <v>0</v>
      </c>
      <c r="AL3" s="19">
        <f>INDEX('OECD Crosswalk'!$C$2:$C$90,MATCH('OECD Data IO Table - Value HKD'!AL8,'OECD Crosswalk'!$A$2:$A$90,0),1)</f>
        <v>0</v>
      </c>
      <c r="AM3" s="19">
        <f>INDEX('OECD Crosswalk'!$C$2:$C$90,MATCH('OECD Data IO Table - Value HKD'!AM8,'OECD Crosswalk'!$A$2:$A$90,0),1)</f>
        <v>0</v>
      </c>
      <c r="AN3" s="19">
        <f>INDEX('OECD Crosswalk'!$C$2:$C$90,MATCH('OECD Data IO Table - Value HKD'!AN8,'OECD Crosswalk'!$A$2:$A$90,0),1)</f>
        <v>0</v>
      </c>
    </row>
    <row r="4" spans="2:40" x14ac:dyDescent="0.2">
      <c r="D4" s="29" t="s">
        <v>198</v>
      </c>
      <c r="E4" s="61" t="s">
        <v>212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3"/>
    </row>
    <row r="5" spans="2:40" x14ac:dyDescent="0.2">
      <c r="D5" s="29" t="s">
        <v>200</v>
      </c>
      <c r="E5" s="64" t="s">
        <v>201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6"/>
    </row>
    <row r="6" spans="2:40" x14ac:dyDescent="0.2">
      <c r="D6" s="29" t="s">
        <v>202</v>
      </c>
      <c r="E6" s="67">
        <v>2021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9"/>
    </row>
    <row r="7" spans="2:40" x14ac:dyDescent="0.2">
      <c r="D7" s="29" t="s">
        <v>203</v>
      </c>
      <c r="E7" s="64" t="s">
        <v>322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6"/>
    </row>
    <row r="8" spans="2:40" ht="120" x14ac:dyDescent="0.2">
      <c r="D8" s="30" t="s">
        <v>205</v>
      </c>
      <c r="E8" s="12" t="s">
        <v>143</v>
      </c>
      <c r="F8" s="12" t="s">
        <v>144</v>
      </c>
      <c r="G8" s="12" t="s">
        <v>145</v>
      </c>
      <c r="H8" s="12" t="s">
        <v>146</v>
      </c>
      <c r="I8" s="12" t="s">
        <v>147</v>
      </c>
      <c r="J8" s="12" t="s">
        <v>148</v>
      </c>
      <c r="K8" s="12" t="s">
        <v>149</v>
      </c>
      <c r="L8" s="12" t="s">
        <v>150</v>
      </c>
      <c r="M8" s="12" t="s">
        <v>151</v>
      </c>
      <c r="N8" s="12" t="s">
        <v>152</v>
      </c>
      <c r="O8" s="12" t="s">
        <v>153</v>
      </c>
      <c r="P8" s="12" t="s">
        <v>154</v>
      </c>
      <c r="Q8" s="12" t="s">
        <v>155</v>
      </c>
      <c r="R8" s="12" t="s">
        <v>156</v>
      </c>
      <c r="S8" s="12" t="s">
        <v>157</v>
      </c>
      <c r="T8" s="12" t="s">
        <v>158</v>
      </c>
      <c r="U8" s="12" t="s">
        <v>159</v>
      </c>
      <c r="V8" s="12" t="s">
        <v>160</v>
      </c>
      <c r="W8" s="12" t="s">
        <v>161</v>
      </c>
      <c r="X8" s="12" t="s">
        <v>162</v>
      </c>
      <c r="Y8" s="12" t="s">
        <v>163</v>
      </c>
      <c r="Z8" s="12" t="s">
        <v>164</v>
      </c>
      <c r="AA8" s="12" t="s">
        <v>165</v>
      </c>
      <c r="AB8" s="12" t="s">
        <v>166</v>
      </c>
      <c r="AC8" s="12" t="s">
        <v>167</v>
      </c>
      <c r="AD8" s="12" t="s">
        <v>168</v>
      </c>
      <c r="AE8" s="12" t="s">
        <v>169</v>
      </c>
      <c r="AF8" s="12" t="s">
        <v>170</v>
      </c>
      <c r="AG8" s="12" t="s">
        <v>171</v>
      </c>
      <c r="AH8" s="12" t="s">
        <v>172</v>
      </c>
      <c r="AI8" s="12" t="s">
        <v>173</v>
      </c>
      <c r="AJ8" s="12" t="s">
        <v>174</v>
      </c>
      <c r="AK8" s="12" t="s">
        <v>175</v>
      </c>
      <c r="AL8" s="12" t="s">
        <v>176</v>
      </c>
      <c r="AM8" s="12" t="s">
        <v>177</v>
      </c>
      <c r="AN8" s="12" t="s">
        <v>178</v>
      </c>
    </row>
    <row r="9" spans="2:40" ht="25" x14ac:dyDescent="0.2">
      <c r="C9" t="s">
        <v>196</v>
      </c>
      <c r="D9" s="13" t="s">
        <v>207</v>
      </c>
      <c r="E9" s="14" t="s">
        <v>208</v>
      </c>
      <c r="F9" s="14" t="s">
        <v>208</v>
      </c>
      <c r="G9" s="14" t="s">
        <v>208</v>
      </c>
      <c r="H9" s="14" t="s">
        <v>208</v>
      </c>
      <c r="I9" s="14" t="s">
        <v>208</v>
      </c>
      <c r="J9" s="14" t="s">
        <v>208</v>
      </c>
      <c r="K9" s="14" t="s">
        <v>208</v>
      </c>
      <c r="L9" s="14" t="s">
        <v>208</v>
      </c>
      <c r="M9" s="14" t="s">
        <v>208</v>
      </c>
      <c r="N9" s="14" t="s">
        <v>208</v>
      </c>
      <c r="O9" s="14" t="s">
        <v>208</v>
      </c>
      <c r="P9" s="14" t="s">
        <v>208</v>
      </c>
      <c r="Q9" s="14" t="s">
        <v>208</v>
      </c>
      <c r="R9" s="14" t="s">
        <v>208</v>
      </c>
      <c r="S9" s="14" t="s">
        <v>208</v>
      </c>
      <c r="T9" s="14" t="s">
        <v>208</v>
      </c>
      <c r="U9" s="14" t="s">
        <v>208</v>
      </c>
      <c r="V9" s="14" t="s">
        <v>208</v>
      </c>
      <c r="W9" s="14" t="s">
        <v>208</v>
      </c>
      <c r="X9" s="14" t="s">
        <v>208</v>
      </c>
      <c r="Y9" s="14" t="s">
        <v>208</v>
      </c>
      <c r="Z9" s="14" t="s">
        <v>208</v>
      </c>
      <c r="AA9" s="14" t="s">
        <v>208</v>
      </c>
      <c r="AB9" s="14" t="s">
        <v>208</v>
      </c>
      <c r="AC9" s="14" t="s">
        <v>208</v>
      </c>
      <c r="AD9" s="14" t="s">
        <v>208</v>
      </c>
      <c r="AE9" s="14" t="s">
        <v>208</v>
      </c>
      <c r="AF9" s="14" t="s">
        <v>208</v>
      </c>
      <c r="AG9" s="14" t="s">
        <v>208</v>
      </c>
      <c r="AH9" s="14" t="s">
        <v>208</v>
      </c>
      <c r="AI9" s="14" t="s">
        <v>208</v>
      </c>
      <c r="AJ9" s="14" t="s">
        <v>208</v>
      </c>
      <c r="AK9" s="14" t="s">
        <v>208</v>
      </c>
      <c r="AL9" s="14" t="s">
        <v>208</v>
      </c>
      <c r="AM9" s="14" t="s">
        <v>208</v>
      </c>
      <c r="AN9" s="14" t="s">
        <v>208</v>
      </c>
    </row>
    <row r="10" spans="2:40" ht="36" x14ac:dyDescent="0.2">
      <c r="B10" t="s">
        <v>319</v>
      </c>
      <c r="C10" t="str">
        <f>'OECD Crosswalk'!E3</f>
        <v>labor and consumers</v>
      </c>
      <c r="D10" s="15" t="s">
        <v>191</v>
      </c>
      <c r="E10" s="74">
        <f>(485.39*$E$15)*7.8</f>
        <v>3609.1241495327104</v>
      </c>
      <c r="F10" s="74">
        <f>5.207*E15*7.8</f>
        <v>38.7167214953271</v>
      </c>
      <c r="G10" s="74">
        <f>35.95*E15*7.8</f>
        <v>267.30672897196263</v>
      </c>
      <c r="H10" s="74">
        <f>2.604*E15*7.8</f>
        <v>19.362078504672898</v>
      </c>
      <c r="I10" s="74">
        <f>7930.575*E15*7.8</f>
        <v>58967.90158878504</v>
      </c>
      <c r="J10" s="74">
        <f>3867.448*E15*7.8</f>
        <v>28756.463820560744</v>
      </c>
      <c r="K10" s="74">
        <f>14.159*E15*7.8</f>
        <v>105.27944299065422</v>
      </c>
      <c r="L10" s="74">
        <f>327.372*E15*7.8</f>
        <v>2434.1790953271029</v>
      </c>
      <c r="M10" s="74">
        <f>184.586*E15*7.8</f>
        <v>1372.4917906542055</v>
      </c>
      <c r="N10" s="74">
        <f>759.663*E15*7.8</f>
        <v>5648.4848859813083</v>
      </c>
      <c r="O10" s="74">
        <f>388.617*E15*7.8</f>
        <v>2889.5671514018691</v>
      </c>
      <c r="P10" s="74">
        <f>139.822*E15*7.8</f>
        <v>1039.6484411214954</v>
      </c>
      <c r="Q10" s="74">
        <f>145.694*E15*7.8</f>
        <v>1083.3097794392522</v>
      </c>
      <c r="R10" s="74">
        <f>237.032*E15*7.8</f>
        <v>1762.4547588785047</v>
      </c>
      <c r="S10" s="74">
        <f>1271.075*E15*7.8</f>
        <v>9451.0959813084119</v>
      </c>
      <c r="T10" s="74">
        <f>1745.943*E15*7.8</f>
        <v>12981.983652336448</v>
      </c>
      <c r="U10" s="74">
        <f>447.443*E15*7.8</f>
        <v>3326.9686990654204</v>
      </c>
      <c r="V10" s="74">
        <f>1434.696*E15*7.8</f>
        <v>10667.702220560748</v>
      </c>
      <c r="W10" s="74">
        <f>310.318*E15*7.8</f>
        <v>2307.373839252336</v>
      </c>
      <c r="X10" s="74">
        <f>1121.006*E15*7.8</f>
        <v>8335.2558280373833</v>
      </c>
      <c r="Y10" s="74">
        <f>1197.347*E15*7.8</f>
        <v>8902.8904037383163</v>
      </c>
      <c r="Z10" s="74">
        <f>7616.261*E15*7.8</f>
        <v>56630.815435514021</v>
      </c>
      <c r="AA10" s="74">
        <f>26217.189*E15*7.8</f>
        <v>194938.27634018689</v>
      </c>
      <c r="AB10" s="74">
        <f>10211.047*E15*7.8</f>
        <v>75924.383114018696</v>
      </c>
      <c r="AC10" s="74">
        <f>7168.008*E15*7.8</f>
        <v>53297.823970093457</v>
      </c>
      <c r="AD10" s="74">
        <f>1892.131*E15*7.8</f>
        <v>14068.966575700933</v>
      </c>
      <c r="AE10" s="74">
        <f>1047.095*E15*7.8</f>
        <v>7785.6895514018688</v>
      </c>
      <c r="AF10" s="74">
        <f>2436.061*E15*7.8</f>
        <v>18113.365715887849</v>
      </c>
      <c r="AG10" s="74">
        <f>20356.82*E15*7.8</f>
        <v>151363.4204859813</v>
      </c>
      <c r="AH10" s="74">
        <f>2166.938*E15*7.8</f>
        <v>16112.297876635515</v>
      </c>
      <c r="AI10" s="74">
        <f>13370.42*E15*7.8</f>
        <v>99415.945345794389</v>
      </c>
      <c r="AJ10" s="74">
        <f>11151.01*E15*7.8</f>
        <v>82913.491177570089</v>
      </c>
      <c r="AK10" s="74">
        <f>10020.707*E15*7.8</f>
        <v>74509.107375700944</v>
      </c>
      <c r="AL10" s="74">
        <f>6593.354*E15*7.8</f>
        <v>49024.976097196261</v>
      </c>
      <c r="AM10" s="74">
        <f>5936.281*E15*7.8</f>
        <v>44139.300594392524</v>
      </c>
      <c r="AN10" s="74">
        <f>32915.5*E15*7.8</f>
        <v>244743.66168224296</v>
      </c>
    </row>
    <row r="11" spans="2:40" ht="36" x14ac:dyDescent="0.2">
      <c r="B11" t="s">
        <v>320</v>
      </c>
      <c r="C11" t="str">
        <f>'OECD Crosswalk'!E1</f>
        <v>government</v>
      </c>
      <c r="D11" s="15" t="s">
        <v>192</v>
      </c>
      <c r="E11" s="74">
        <f>8.906*E16*7.8</f>
        <v>68.926471820762984</v>
      </c>
      <c r="F11" s="74">
        <f>1.544*E16*7.8</f>
        <v>11.949525319027405</v>
      </c>
      <c r="G11" s="74">
        <f>6.101*E16*7.8</f>
        <v>47.21765153587188</v>
      </c>
      <c r="H11" s="74">
        <f>0.323*E16*7.8</f>
        <v>2.4998035479571579</v>
      </c>
      <c r="I11" s="74">
        <f>140.56*E16*7.8</f>
        <v>1087.8402065042046</v>
      </c>
      <c r="J11" s="74">
        <f>70.66*E16*7.8</f>
        <v>546.86104860264015</v>
      </c>
      <c r="K11" s="74">
        <f>0.825*E16*7.8</f>
        <v>6.3849471426150304</v>
      </c>
      <c r="L11" s="74">
        <f>7.965*E16*7.8</f>
        <v>61.643762413246932</v>
      </c>
      <c r="M11" s="74">
        <f>102.816*E16*7.8</f>
        <v>795.72693989709944</v>
      </c>
      <c r="N11" s="74">
        <f>47.888*E16*7.8</f>
        <v>370.62102880672558</v>
      </c>
      <c r="O11" s="74">
        <f>20.416*E16*7.8</f>
        <v>158.00615862257996</v>
      </c>
      <c r="P11" s="74">
        <f>9.577*E16*7.8</f>
        <v>74.119562163423225</v>
      </c>
      <c r="Q11" s="74">
        <f>2.798*E16*7.8</f>
        <v>21.654644975802253</v>
      </c>
      <c r="R11" s="74">
        <f>14.054*E16*7.8</f>
        <v>108.76854199068079</v>
      </c>
      <c r="S11" s="74">
        <f>65.644*E16*7.8</f>
        <v>508.04056997554079</v>
      </c>
      <c r="T11" s="74">
        <f>105.603*E16*7.8</f>
        <v>817.29645224433341</v>
      </c>
      <c r="U11" s="74">
        <f>24.244*E16*7.8</f>
        <v>187.63231336431372</v>
      </c>
      <c r="V11" s="74">
        <f>105.421*E16*7.8</f>
        <v>815.88789420802334</v>
      </c>
      <c r="W11" s="74">
        <f>12.201*E16*7.8</f>
        <v>94.427563741873925</v>
      </c>
      <c r="X11" s="74">
        <f>73.612*E16*7.8</f>
        <v>569.70755037839706</v>
      </c>
      <c r="Y11" s="74">
        <f>56.642*E16*7.8</f>
        <v>438.37112248727345</v>
      </c>
      <c r="Z11" s="74">
        <f>100.948*E16*7.8</f>
        <v>781.26987170024506</v>
      </c>
      <c r="AA11" s="74">
        <f>816.859*E16*7.8</f>
        <v>6321.9412581446932</v>
      </c>
      <c r="AB11" s="74">
        <f>543.644*E16*7.8</f>
        <v>4207.4402477573403</v>
      </c>
      <c r="AC11" s="74">
        <f>194.749*E16*7.8</f>
        <v>1507.2267528207692</v>
      </c>
      <c r="AD11" s="74">
        <f>104.108*E16*7.8</f>
        <v>805.72615408892807</v>
      </c>
      <c r="AE11" s="74">
        <f>107.92*E16*7.8</f>
        <v>835.22847955274437</v>
      </c>
      <c r="AF11" s="74">
        <f>93.092*E16*7.8</f>
        <v>720.4696962428103</v>
      </c>
      <c r="AG11" s="74">
        <f>253.117*E16*7.8</f>
        <v>1958.9559586633802</v>
      </c>
      <c r="AH11" s="74">
        <f>823.642*E16*7.8</f>
        <v>6374.4371326517939</v>
      </c>
      <c r="AI11" s="74">
        <f>183.502*E16*7.8</f>
        <v>1420.1825097747194</v>
      </c>
      <c r="AJ11" s="74">
        <f>7.697*E16*7.8</f>
        <v>59.569622008130779</v>
      </c>
      <c r="AK11" s="74">
        <f>24.492*E16*7.8</f>
        <v>189.55166717203312</v>
      </c>
      <c r="AL11" s="74">
        <f>29.505*E16*7.8</f>
        <v>228.34892780952302</v>
      </c>
      <c r="AM11" s="74">
        <f>99.423*E16*7.8</f>
        <v>769.46739364874452</v>
      </c>
      <c r="AN11" s="74">
        <f>0*E16*7.8</f>
        <v>0</v>
      </c>
    </row>
    <row r="12" spans="2:40" ht="36" x14ac:dyDescent="0.2">
      <c r="B12" t="s">
        <v>320</v>
      </c>
      <c r="D12" s="15" t="s">
        <v>194</v>
      </c>
      <c r="E12" s="74">
        <f>826.404*E16*7.8</f>
        <v>6395.8131617522813</v>
      </c>
      <c r="F12" s="74">
        <f>15.249*E16*7.8</f>
        <v>118.01704118513528</v>
      </c>
      <c r="G12" s="74">
        <f>66.649*E16*7.8</f>
        <v>515.81859649472631</v>
      </c>
      <c r="H12" s="74">
        <f>2.573*E16*7.8</f>
        <v>19.913295755089059</v>
      </c>
      <c r="I12" s="74">
        <f>4261.665*E16*7.8</f>
        <v>32982.43122973635</v>
      </c>
      <c r="J12" s="74">
        <f>203.292*E16*7.8</f>
        <v>1573.3438478987816</v>
      </c>
      <c r="K12" s="74">
        <f>11.116*E16*7.8</f>
        <v>86.030390833101436</v>
      </c>
      <c r="L12" s="74">
        <f>161.363*E16*7.8</f>
        <v>1248.8414857864111</v>
      </c>
      <c r="M12" s="74">
        <f>584.797*E16*7.8</f>
        <v>4525.9368898907187</v>
      </c>
      <c r="N12" s="74">
        <f>988.148*E16*7.8</f>
        <v>7647.6033322191006</v>
      </c>
      <c r="O12" s="74">
        <f>242.867*E16*7.8</f>
        <v>1879.6278274975573</v>
      </c>
      <c r="P12" s="74">
        <f>126.402*E16*7.8</f>
        <v>978.26677420706085</v>
      </c>
      <c r="Q12" s="74">
        <f>87.508*E16*7.8</f>
        <v>677.25327824964381</v>
      </c>
      <c r="R12" s="74">
        <f>116.814*E16*7.8</f>
        <v>904.06207941506932</v>
      </c>
      <c r="S12" s="74">
        <f>1146.081*E16*7.8</f>
        <v>8869.8989165519724</v>
      </c>
      <c r="T12" s="74">
        <f>990.154*E16*7.8</f>
        <v>7663.1284279379915</v>
      </c>
      <c r="U12" s="74">
        <f>274.013*E16*7.8</f>
        <v>2120.6769956234816</v>
      </c>
      <c r="V12" s="74">
        <f>927.583*E16*7.8</f>
        <v>7178.8708186524582</v>
      </c>
      <c r="W12" s="74">
        <f>134.082*E16*7.8</f>
        <v>1037.7048276074042</v>
      </c>
      <c r="X12" s="74">
        <f>766.082*E16*7.8</f>
        <v>5928.9613053440098</v>
      </c>
      <c r="Y12" s="74">
        <f>5118.112*E16*7.8</f>
        <v>39610.757078768125</v>
      </c>
      <c r="Z12" s="74">
        <f>1743.891*E16*7.8</f>
        <v>13496.547706038871</v>
      </c>
      <c r="AA12" s="74">
        <f>36269.952*E16*7.8</f>
        <v>280705.12289113249</v>
      </c>
      <c r="AB12" s="74">
        <f>8819.309*E16*7.8</f>
        <v>68255.541575016992</v>
      </c>
      <c r="AC12" s="74">
        <f>3493.943*E16*7.8</f>
        <v>27040.777423405809</v>
      </c>
      <c r="AD12" s="74">
        <f>1460.761*E16*7.8</f>
        <v>11305.31123999209</v>
      </c>
      <c r="AE12" s="74">
        <f>2269.685*E16*7.8</f>
        <v>17565.840915619632</v>
      </c>
      <c r="AF12" s="74">
        <f>1213.348*E16*7.8</f>
        <v>9390.5004189062565</v>
      </c>
      <c r="AG12" s="74">
        <f>11415.863*E16*7.8</f>
        <v>88351.129505860183</v>
      </c>
      <c r="AH12" s="74">
        <f>20694.82*E16*7.8</f>
        <v>160164.03857688775</v>
      </c>
      <c r="AI12" s="74">
        <f>2676.278*E16*7.8</f>
        <v>20712.598265386023</v>
      </c>
      <c r="AJ12" s="74">
        <f>3351.593*E16*7.8</f>
        <v>25939.083816434595</v>
      </c>
      <c r="AK12" s="74">
        <f>1172.201*E16*7.8</f>
        <v>9072.0502127520995</v>
      </c>
      <c r="AL12" s="74">
        <f>1815.241*E16*7.8</f>
        <v>14048.748892251699</v>
      </c>
      <c r="AM12" s="74">
        <f>1129.596*E16*7.8</f>
        <v>8742.3160636477187</v>
      </c>
      <c r="AN12" s="74">
        <f>0*E16*7.8</f>
        <v>0</v>
      </c>
    </row>
    <row r="13" spans="2:40" x14ac:dyDescent="0.2">
      <c r="D13" s="17" t="s">
        <v>213</v>
      </c>
    </row>
    <row r="15" spans="2:40" ht="24" x14ac:dyDescent="0.2">
      <c r="D15" s="60" t="s">
        <v>321</v>
      </c>
      <c r="E15">
        <f>102/107</f>
        <v>0.95327102803738317</v>
      </c>
      <c r="AB15" t="s">
        <v>296</v>
      </c>
    </row>
    <row r="16" spans="2:40" x14ac:dyDescent="0.2">
      <c r="D16" s="75" t="s">
        <v>323</v>
      </c>
      <c r="E16">
        <f>2845317/2867622</f>
        <v>0.99222177818415402</v>
      </c>
    </row>
    <row r="18" spans="4:6" x14ac:dyDescent="0.2">
      <c r="D18" s="18" t="s">
        <v>214</v>
      </c>
      <c r="E18" s="18" t="s">
        <v>318</v>
      </c>
    </row>
    <row r="19" spans="4:6" x14ac:dyDescent="0.2">
      <c r="D19" s="18"/>
      <c r="E19" s="18" t="s">
        <v>215</v>
      </c>
      <c r="F19" t="s">
        <v>316</v>
      </c>
    </row>
    <row r="20" spans="4:6" x14ac:dyDescent="0.2">
      <c r="D20" s="18"/>
      <c r="E20" s="18" t="s">
        <v>216</v>
      </c>
    </row>
    <row r="21" spans="4:6" x14ac:dyDescent="0.2">
      <c r="D21" s="18"/>
      <c r="E21" s="18" t="s">
        <v>217</v>
      </c>
    </row>
    <row r="24" spans="4:6" x14ac:dyDescent="0.2">
      <c r="E24" t="s">
        <v>317</v>
      </c>
    </row>
    <row r="25" spans="4:6" x14ac:dyDescent="0.2">
      <c r="E25" t="s">
        <v>315</v>
      </c>
    </row>
  </sheetData>
  <mergeCells count="4">
    <mergeCell ref="E4:AN4"/>
    <mergeCell ref="E5:AN5"/>
    <mergeCell ref="E6:AN6"/>
    <mergeCell ref="E7:AN7"/>
  </mergeCells>
  <hyperlinks>
    <hyperlink ref="E4" r:id="rId1" display="http://stats.oecd.org/OECDStat_Metadata/ShowMetadata.ashx?Dataset=IOTSI4_2018&amp;Coords=[VAR].[VAL]&amp;ShowOnWeb=true&amp;Lang=en" xr:uid="{4F64DFD1-550B-E249-97AE-4041D17BEB40}"/>
    <hyperlink ref="D13" r:id="rId2" display="https://stats-2.oecd.org/index.aspx?DatasetCode=IOTSI4_2018" xr:uid="{07B1601D-A9C3-F340-98B0-7831C82551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N25"/>
  <sheetViews>
    <sheetView tabSelected="1" topLeftCell="C8" zoomScale="200" workbookViewId="0">
      <selection activeCell="L19" sqref="L19"/>
    </sheetView>
  </sheetViews>
  <sheetFormatPr baseColWidth="10" defaultColWidth="9.1640625" defaultRowHeight="15" x14ac:dyDescent="0.2"/>
  <cols>
    <col min="4" max="4" width="14.1640625" customWidth="1"/>
    <col min="5" max="5" width="27.5" customWidth="1"/>
    <col min="6" max="6" width="9.5" customWidth="1"/>
  </cols>
  <sheetData>
    <row r="1" spans="2:40" hidden="1" x14ac:dyDescent="0.2">
      <c r="E1" s="11" t="e">
        <f ca="1">DotStatQuery(F1)</f>
        <v>#NAME?</v>
      </c>
      <c r="F1" s="11" t="s">
        <v>211</v>
      </c>
    </row>
    <row r="2" spans="2:40" ht="56" x14ac:dyDescent="0.2">
      <c r="D2" s="25" t="s">
        <v>196</v>
      </c>
      <c r="E2" s="19" t="str">
        <f>INDEX('OECD Crosswalk'!$B$2:$B$90,MATCH('OECD Data IO Table - Value USD'!E8,'OECD Crosswalk'!$A$2:$A$90,0),1)</f>
        <v>nonenergy industries</v>
      </c>
      <c r="F2" s="19" t="str">
        <f>INDEX('OECD Crosswalk'!$B$2:$B$90,MATCH('OECD Data IO Table - Value USD'!F8,'OECD Crosswalk'!$A$2:$A$90,0),1)</f>
        <v>natural gas and petroleum suppliers</v>
      </c>
      <c r="G2" s="19" t="str">
        <f>INDEX('OECD Crosswalk'!$B$2:$B$90,MATCH('OECD Data IO Table - Value USD'!G8,'OECD Crosswalk'!$A$2:$A$90,0),1)</f>
        <v>nonenergy industries</v>
      </c>
      <c r="H2" s="19" t="str">
        <f>INDEX('OECD Crosswalk'!$B$2:$B$90,MATCH('OECD Data IO Table - Value USD'!H8,'OECD Crosswalk'!$A$2:$A$90,0),1)</f>
        <v>nonenergy industries</v>
      </c>
      <c r="I2" s="19" t="str">
        <f>INDEX('OECD Crosswalk'!$B$2:$B$90,MATCH('OECD Data IO Table - Value USD'!I8,'OECD Crosswalk'!$A$2:$A$90,0),1)</f>
        <v>nonenergy industries</v>
      </c>
      <c r="J2" s="19" t="str">
        <f>INDEX('OECD Crosswalk'!$B$2:$B$90,MATCH('OECD Data IO Table - Value USD'!J8,'OECD Crosswalk'!$A$2:$A$90,0),1)</f>
        <v>nonenergy industries</v>
      </c>
      <c r="K2" s="19" t="str">
        <f>INDEX('OECD Crosswalk'!$B$2:$B$90,MATCH('OECD Data IO Table - Value USD'!K8,'OECD Crosswalk'!$A$2:$A$90,0),1)</f>
        <v>nonenergy industries</v>
      </c>
      <c r="L2" s="19" t="str">
        <f>INDEX('OECD Crosswalk'!$B$2:$B$90,MATCH('OECD Data IO Table - Value USD'!L8,'OECD Crosswalk'!$A$2:$A$90,0),1)</f>
        <v>nonenergy industries</v>
      </c>
      <c r="M2" s="19" t="str">
        <f>INDEX('OECD Crosswalk'!$B$2:$B$90,MATCH('OECD Data IO Table - Value USD'!M8,'OECD Crosswalk'!$A$2:$A$90,0),1)</f>
        <v>natural gas and petroleum suppliers</v>
      </c>
      <c r="N2" s="19" t="str">
        <f>INDEX('OECD Crosswalk'!$B$2:$B$90,MATCH('OECD Data IO Table - Value USD'!N8,'OECD Crosswalk'!$A$2:$A$90,0),1)</f>
        <v>nonenergy industries</v>
      </c>
      <c r="O2" s="19" t="str">
        <f>INDEX('OECD Crosswalk'!$B$2:$B$90,MATCH('OECD Data IO Table - Value USD'!O8,'OECD Crosswalk'!$A$2:$A$90,0),1)</f>
        <v>nonenergy industries</v>
      </c>
      <c r="P2" s="19" t="str">
        <f>INDEX('OECD Crosswalk'!$B$2:$B$90,MATCH('OECD Data IO Table - Value USD'!P8,'OECD Crosswalk'!$A$2:$A$90,0),1)</f>
        <v>nonenergy industries</v>
      </c>
      <c r="Q2" s="19" t="str">
        <f>INDEX('OECD Crosswalk'!$B$2:$B$90,MATCH('OECD Data IO Table - Value USD'!Q8,'OECD Crosswalk'!$A$2:$A$90,0),1)</f>
        <v>nonenergy industries</v>
      </c>
      <c r="R2" s="19" t="str">
        <f>INDEX('OECD Crosswalk'!$B$2:$B$90,MATCH('OECD Data IO Table - Value USD'!R8,'OECD Crosswalk'!$A$2:$A$90,0),1)</f>
        <v>nonenergy industries</v>
      </c>
      <c r="S2" s="19" t="str">
        <f>INDEX('OECD Crosswalk'!$B$2:$B$90,MATCH('OECD Data IO Table - Value USD'!S8,'OECD Crosswalk'!$A$2:$A$90,0),1)</f>
        <v>nonenergy industries</v>
      </c>
      <c r="T2" s="19" t="str">
        <f>INDEX('OECD Crosswalk'!$B$2:$B$90,MATCH('OECD Data IO Table - Value USD'!T8,'OECD Crosswalk'!$A$2:$A$90,0),1)</f>
        <v>nonenergy industries</v>
      </c>
      <c r="U2" s="19" t="str">
        <f>INDEX('OECD Crosswalk'!$B$2:$B$90,MATCH('OECD Data IO Table - Value USD'!U8,'OECD Crosswalk'!$A$2:$A$90,0),1)</f>
        <v>nonenergy industries</v>
      </c>
      <c r="V2" s="19" t="str">
        <f>INDEX('OECD Crosswalk'!$B$2:$B$90,MATCH('OECD Data IO Table - Value USD'!V8,'OECD Crosswalk'!$A$2:$A$90,0),1)</f>
        <v>nonenergy industries</v>
      </c>
      <c r="W2" s="19" t="str">
        <f>INDEX('OECD Crosswalk'!$B$2:$B$90,MATCH('OECD Data IO Table - Value USD'!W8,'OECD Crosswalk'!$A$2:$A$90,0),1)</f>
        <v>nonenergy industries</v>
      </c>
      <c r="X2" s="19" t="str">
        <f>INDEX('OECD Crosswalk'!$B$2:$B$90,MATCH('OECD Data IO Table - Value USD'!X8,'OECD Crosswalk'!$A$2:$A$90,0),1)</f>
        <v>nonenergy industries</v>
      </c>
      <c r="Y2" s="19" t="str">
        <f>INDEX('OECD Crosswalk'!$B$2:$B$90,MATCH('OECD Data IO Table - Value USD'!Y8,'OECD Crosswalk'!$A$2:$A$90,0),1)</f>
        <v>energy suppliers</v>
      </c>
      <c r="Z2" s="19" t="str">
        <f>INDEX('OECD Crosswalk'!$B$2:$B$90,MATCH('OECD Data IO Table - Value USD'!Z8,'OECD Crosswalk'!$A$2:$A$90,0),1)</f>
        <v>nonenergy industries</v>
      </c>
      <c r="AA2" s="19" t="str">
        <f>INDEX('OECD Crosswalk'!$B$2:$B$90,MATCH('OECD Data IO Table - Value USD'!AA8,'OECD Crosswalk'!$A$2:$A$90,0),1)</f>
        <v>nonenergy industries</v>
      </c>
      <c r="AB2" s="19" t="str">
        <f>INDEX('OECD Crosswalk'!$B$2:$B$90,MATCH('OECD Data IO Table - Value USD'!AB8,'OECD Crosswalk'!$A$2:$A$90,0),1)</f>
        <v>nonenergy industries</v>
      </c>
      <c r="AC2" s="19" t="str">
        <f>INDEX('OECD Crosswalk'!$B$2:$B$90,MATCH('OECD Data IO Table - Value USD'!AC8,'OECD Crosswalk'!$A$2:$A$90,0),1)</f>
        <v>nonenergy industries</v>
      </c>
      <c r="AD2" s="19" t="str">
        <f>INDEX('OECD Crosswalk'!$B$2:$B$90,MATCH('OECD Data IO Table - Value USD'!AD8,'OECD Crosswalk'!$A$2:$A$90,0),1)</f>
        <v>nonenergy industries</v>
      </c>
      <c r="AE2" s="19" t="str">
        <f>INDEX('OECD Crosswalk'!$B$2:$B$90,MATCH('OECD Data IO Table - Value USD'!AE8,'OECD Crosswalk'!$A$2:$A$90,0),1)</f>
        <v>nonenergy industries</v>
      </c>
      <c r="AF2" s="19" t="str">
        <f>INDEX('OECD Crosswalk'!$B$2:$B$90,MATCH('OECD Data IO Table - Value USD'!AF8,'OECD Crosswalk'!$A$2:$A$90,0),1)</f>
        <v>nonenergy industries</v>
      </c>
      <c r="AG2" s="19" t="str">
        <f>INDEX('OECD Crosswalk'!$B$2:$B$90,MATCH('OECD Data IO Table - Value USD'!AG8,'OECD Crosswalk'!$A$2:$A$90,0),1)</f>
        <v>nonenergy industries</v>
      </c>
      <c r="AH2" s="19" t="str">
        <f>INDEX('OECD Crosswalk'!$B$2:$B$90,MATCH('OECD Data IO Table - Value USD'!AH8,'OECD Crosswalk'!$A$2:$A$90,0),1)</f>
        <v>nonenergy industries</v>
      </c>
      <c r="AI2" s="19" t="str">
        <f>INDEX('OECD Crosswalk'!$B$2:$B$90,MATCH('OECD Data IO Table - Value USD'!AI8,'OECD Crosswalk'!$A$2:$A$90,0),1)</f>
        <v>nonenergy industries</v>
      </c>
      <c r="AJ2" s="19" t="str">
        <f>INDEX('OECD Crosswalk'!$B$2:$B$90,MATCH('OECD Data IO Table - Value USD'!AJ8,'OECD Crosswalk'!$A$2:$A$90,0),1)</f>
        <v>government</v>
      </c>
      <c r="AK2" s="19" t="str">
        <f>INDEX('OECD Crosswalk'!$B$2:$B$90,MATCH('OECD Data IO Table - Value USD'!AK8,'OECD Crosswalk'!$A$2:$A$90,0),1)</f>
        <v>nonenergy industries</v>
      </c>
      <c r="AL2" s="19" t="str">
        <f>INDEX('OECD Crosswalk'!$B$2:$B$90,MATCH('OECD Data IO Table - Value USD'!AL8,'OECD Crosswalk'!$A$2:$A$90,0),1)</f>
        <v>nonenergy industries</v>
      </c>
      <c r="AM2" s="19" t="str">
        <f>INDEX('OECD Crosswalk'!$B$2:$B$90,MATCH('OECD Data IO Table - Value USD'!AM8,'OECD Crosswalk'!$A$2:$A$90,0),1)</f>
        <v>nonenergy industries</v>
      </c>
      <c r="AN2" s="19" t="str">
        <f>INDEX('OECD Crosswalk'!$B$2:$B$90,MATCH('OECD Data IO Table - Value USD'!AN8,'OECD Crosswalk'!$A$2:$A$90,0),1)</f>
        <v>labor and consumers</v>
      </c>
    </row>
    <row r="3" spans="2:40" ht="56" x14ac:dyDescent="0.2">
      <c r="D3" s="25" t="s">
        <v>197</v>
      </c>
      <c r="E3" s="19" t="str">
        <f>INDEX('OECD Crosswalk'!$C$2:$C$90,MATCH('OECD Data IO Table - Value USD'!E8,'OECD Crosswalk'!$A$2:$A$90,0),1)</f>
        <v>agriculture</v>
      </c>
      <c r="F3" s="19" t="str">
        <f>INDEX('OECD Crosswalk'!$C$2:$C$90,MATCH('OECD Data IO Table - Value USD'!F8,'OECD Crosswalk'!$A$2:$A$90,0),1)</f>
        <v>other industries</v>
      </c>
      <c r="G3" s="19" t="str">
        <f>INDEX('OECD Crosswalk'!$C$2:$C$90,MATCH('OECD Data IO Table - Value USD'!G8,'OECD Crosswalk'!$A$2:$A$90,0),1)</f>
        <v>other industries</v>
      </c>
      <c r="H3" s="19" t="str">
        <f>INDEX('OECD Crosswalk'!$C$2:$C$90,MATCH('OECD Data IO Table - Value USD'!H8,'OECD Crosswalk'!$A$2:$A$90,0),1)</f>
        <v>other industries</v>
      </c>
      <c r="I3" s="19" t="str">
        <f>INDEX('OECD Crosswalk'!$C$2:$C$90,MATCH('OECD Data IO Table - Value USD'!I8,'OECD Crosswalk'!$A$2:$A$90,0),1)</f>
        <v>other industries</v>
      </c>
      <c r="J3" s="19" t="str">
        <f>INDEX('OECD Crosswalk'!$C$2:$C$90,MATCH('OECD Data IO Table - Value USD'!J8,'OECD Crosswalk'!$A$2:$A$90,0),1)</f>
        <v>other industries</v>
      </c>
      <c r="K3" s="19" t="str">
        <f>INDEX('OECD Crosswalk'!$C$2:$C$90,MATCH('OECD Data IO Table - Value USD'!K8,'OECD Crosswalk'!$A$2:$A$90,0),1)</f>
        <v>other industries</v>
      </c>
      <c r="L3" s="19" t="str">
        <f>INDEX('OECD Crosswalk'!$C$2:$C$90,MATCH('OECD Data IO Table - Value USD'!L8,'OECD Crosswalk'!$A$2:$A$90,0),1)</f>
        <v>other industries</v>
      </c>
      <c r="M3" s="19" t="str">
        <f>INDEX('OECD Crosswalk'!$C$2:$C$90,MATCH('OECD Data IO Table - Value USD'!M8,'OECD Crosswalk'!$A$2:$A$90,0),1)</f>
        <v>natural gas and petroleum systems</v>
      </c>
      <c r="N3" s="19" t="str">
        <f>INDEX('OECD Crosswalk'!$C$2:$C$90,MATCH('OECD Data IO Table - Value USD'!N8,'OECD Crosswalk'!$A$2:$A$90,0),1)</f>
        <v>chemicals</v>
      </c>
      <c r="O3" s="19" t="str">
        <f>INDEX('OECD Crosswalk'!$C$2:$C$90,MATCH('OECD Data IO Table - Value USD'!O8,'OECD Crosswalk'!$A$2:$A$90,0),1)</f>
        <v>other industries</v>
      </c>
      <c r="P3" s="19" t="str">
        <f>INDEX('OECD Crosswalk'!$C$2:$C$90,MATCH('OECD Data IO Table - Value USD'!P8,'OECD Crosswalk'!$A$2:$A$90,0),1)</f>
        <v>Cement and other carbonate use</v>
      </c>
      <c r="Q3" s="19" t="str">
        <f>INDEX('OECD Crosswalk'!$C$2:$C$90,MATCH('OECD Data IO Table - Value USD'!Q8,'OECD Crosswalk'!$A$2:$A$90,0),1)</f>
        <v>iron and steel</v>
      </c>
      <c r="R3" s="19" t="str">
        <f>INDEX('OECD Crosswalk'!$C$2:$C$90,MATCH('OECD Data IO Table - Value USD'!R8,'OECD Crosswalk'!$A$2:$A$90,0),1)</f>
        <v>other industries</v>
      </c>
      <c r="S3" s="19" t="str">
        <f>INDEX('OECD Crosswalk'!$C$2:$C$90,MATCH('OECD Data IO Table - Value USD'!S8,'OECD Crosswalk'!$A$2:$A$90,0),1)</f>
        <v>other industries</v>
      </c>
      <c r="T3" s="19" t="str">
        <f>INDEX('OECD Crosswalk'!$C$2:$C$90,MATCH('OECD Data IO Table - Value USD'!T8,'OECD Crosswalk'!$A$2:$A$90,0),1)</f>
        <v>other industries</v>
      </c>
      <c r="U3" s="19" t="str">
        <f>INDEX('OECD Crosswalk'!$C$2:$C$90,MATCH('OECD Data IO Table - Value USD'!U8,'OECD Crosswalk'!$A$2:$A$90,0),1)</f>
        <v>other industries</v>
      </c>
      <c r="V3" s="19" t="str">
        <f>INDEX('OECD Crosswalk'!$C$2:$C$90,MATCH('OECD Data IO Table - Value USD'!V8,'OECD Crosswalk'!$A$2:$A$90,0),1)</f>
        <v>other industries</v>
      </c>
      <c r="W3" s="19" t="str">
        <f>INDEX('OECD Crosswalk'!$C$2:$C$90,MATCH('OECD Data IO Table - Value USD'!W8,'OECD Crosswalk'!$A$2:$A$90,0),1)</f>
        <v>other industries</v>
      </c>
      <c r="X3" s="19" t="str">
        <f>INDEX('OECD Crosswalk'!$C$2:$C$90,MATCH('OECD Data IO Table - Value USD'!X8,'OECD Crosswalk'!$A$2:$A$90,0),1)</f>
        <v>other industries</v>
      </c>
      <c r="Y3" s="19" t="str">
        <f>INDEX('OECD Crosswalk'!$C$2:$C$90,MATCH('OECD Data IO Table - Value USD'!Y8,'OECD Crosswalk'!$A$2:$A$90,0),1)</f>
        <v>energy suppliers</v>
      </c>
      <c r="Z3" s="19">
        <f>INDEX('OECD Crosswalk'!$C$2:$C$90,MATCH('OECD Data IO Table - Value USD'!Z8,'OECD Crosswalk'!$A$2:$A$90,0),1)</f>
        <v>0</v>
      </c>
      <c r="AA3" s="19">
        <f>INDEX('OECD Crosswalk'!$C$2:$C$90,MATCH('OECD Data IO Table - Value USD'!AA8,'OECD Crosswalk'!$A$2:$A$90,0),1)</f>
        <v>0</v>
      </c>
      <c r="AB3" s="19">
        <f>INDEX('OECD Crosswalk'!$C$2:$C$90,MATCH('OECD Data IO Table - Value USD'!AB8,'OECD Crosswalk'!$A$2:$A$90,0),1)</f>
        <v>0</v>
      </c>
      <c r="AC3" s="19">
        <f>INDEX('OECD Crosswalk'!$C$2:$C$90,MATCH('OECD Data IO Table - Value USD'!AC8,'OECD Crosswalk'!$A$2:$A$90,0),1)</f>
        <v>0</v>
      </c>
      <c r="AD3" s="19">
        <f>INDEX('OECD Crosswalk'!$C$2:$C$90,MATCH('OECD Data IO Table - Value USD'!AD8,'OECD Crosswalk'!$A$2:$A$90,0),1)</f>
        <v>0</v>
      </c>
      <c r="AE3" s="19">
        <f>INDEX('OECD Crosswalk'!$C$2:$C$90,MATCH('OECD Data IO Table - Value USD'!AE8,'OECD Crosswalk'!$A$2:$A$90,0),1)</f>
        <v>0</v>
      </c>
      <c r="AF3" s="19">
        <f>INDEX('OECD Crosswalk'!$C$2:$C$90,MATCH('OECD Data IO Table - Value USD'!AF8,'OECD Crosswalk'!$A$2:$A$90,0),1)</f>
        <v>0</v>
      </c>
      <c r="AG3" s="19">
        <f>INDEX('OECD Crosswalk'!$C$2:$C$90,MATCH('OECD Data IO Table - Value USD'!AG8,'OECD Crosswalk'!$A$2:$A$90,0),1)</f>
        <v>0</v>
      </c>
      <c r="AH3" s="19">
        <f>INDEX('OECD Crosswalk'!$C$2:$C$90,MATCH('OECD Data IO Table - Value USD'!AH8,'OECD Crosswalk'!$A$2:$A$90,0),1)</f>
        <v>0</v>
      </c>
      <c r="AI3" s="19">
        <f>INDEX('OECD Crosswalk'!$C$2:$C$90,MATCH('OECD Data IO Table - Value USD'!AI8,'OECD Crosswalk'!$A$2:$A$90,0),1)</f>
        <v>0</v>
      </c>
      <c r="AJ3" s="19">
        <f>INDEX('OECD Crosswalk'!$C$2:$C$90,MATCH('OECD Data IO Table - Value USD'!AJ8,'OECD Crosswalk'!$A$2:$A$90,0),1)</f>
        <v>0</v>
      </c>
      <c r="AK3" s="19">
        <f>INDEX('OECD Crosswalk'!$C$2:$C$90,MATCH('OECD Data IO Table - Value USD'!AK8,'OECD Crosswalk'!$A$2:$A$90,0),1)</f>
        <v>0</v>
      </c>
      <c r="AL3" s="19">
        <f>INDEX('OECD Crosswalk'!$C$2:$C$90,MATCH('OECD Data IO Table - Value USD'!AL8,'OECD Crosswalk'!$A$2:$A$90,0),1)</f>
        <v>0</v>
      </c>
      <c r="AM3" s="19">
        <f>INDEX('OECD Crosswalk'!$C$2:$C$90,MATCH('OECD Data IO Table - Value USD'!AM8,'OECD Crosswalk'!$A$2:$A$90,0),1)</f>
        <v>0</v>
      </c>
      <c r="AN3" s="19">
        <f>INDEX('OECD Crosswalk'!$C$2:$C$90,MATCH('OECD Data IO Table - Value USD'!AN8,'OECD Crosswalk'!$A$2:$A$90,0),1)</f>
        <v>0</v>
      </c>
    </row>
    <row r="4" spans="2:40" x14ac:dyDescent="0.2">
      <c r="D4" s="29" t="s">
        <v>198</v>
      </c>
      <c r="E4" s="61" t="s">
        <v>212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3"/>
    </row>
    <row r="5" spans="2:40" x14ac:dyDescent="0.2">
      <c r="D5" s="29" t="s">
        <v>200</v>
      </c>
      <c r="E5" s="64" t="s">
        <v>201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6"/>
    </row>
    <row r="6" spans="2:40" x14ac:dyDescent="0.2">
      <c r="D6" s="29" t="s">
        <v>202</v>
      </c>
      <c r="E6" s="67">
        <v>2021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9"/>
    </row>
    <row r="7" spans="2:40" x14ac:dyDescent="0.2">
      <c r="D7" s="29" t="s">
        <v>203</v>
      </c>
      <c r="E7" s="64" t="s">
        <v>204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6"/>
    </row>
    <row r="8" spans="2:40" ht="120" x14ac:dyDescent="0.2">
      <c r="D8" s="30" t="s">
        <v>205</v>
      </c>
      <c r="E8" s="12" t="s">
        <v>143</v>
      </c>
      <c r="F8" s="12" t="s">
        <v>144</v>
      </c>
      <c r="G8" s="12" t="s">
        <v>145</v>
      </c>
      <c r="H8" s="12" t="s">
        <v>146</v>
      </c>
      <c r="I8" s="12" t="s">
        <v>147</v>
      </c>
      <c r="J8" s="12" t="s">
        <v>148</v>
      </c>
      <c r="K8" s="12" t="s">
        <v>149</v>
      </c>
      <c r="L8" s="12" t="s">
        <v>150</v>
      </c>
      <c r="M8" s="12" t="s">
        <v>151</v>
      </c>
      <c r="N8" s="12" t="s">
        <v>152</v>
      </c>
      <c r="O8" s="12" t="s">
        <v>153</v>
      </c>
      <c r="P8" s="12" t="s">
        <v>154</v>
      </c>
      <c r="Q8" s="12" t="s">
        <v>155</v>
      </c>
      <c r="R8" s="12" t="s">
        <v>156</v>
      </c>
      <c r="S8" s="12" t="s">
        <v>157</v>
      </c>
      <c r="T8" s="12" t="s">
        <v>158</v>
      </c>
      <c r="U8" s="12" t="s">
        <v>159</v>
      </c>
      <c r="V8" s="12" t="s">
        <v>160</v>
      </c>
      <c r="W8" s="12" t="s">
        <v>161</v>
      </c>
      <c r="X8" s="12" t="s">
        <v>162</v>
      </c>
      <c r="Y8" s="12" t="s">
        <v>163</v>
      </c>
      <c r="Z8" s="12" t="s">
        <v>164</v>
      </c>
      <c r="AA8" s="12" t="s">
        <v>165</v>
      </c>
      <c r="AB8" s="12" t="s">
        <v>166</v>
      </c>
      <c r="AC8" s="12" t="s">
        <v>167</v>
      </c>
      <c r="AD8" s="12" t="s">
        <v>168</v>
      </c>
      <c r="AE8" s="12" t="s">
        <v>169</v>
      </c>
      <c r="AF8" s="12" t="s">
        <v>170</v>
      </c>
      <c r="AG8" s="12" t="s">
        <v>171</v>
      </c>
      <c r="AH8" s="12" t="s">
        <v>172</v>
      </c>
      <c r="AI8" s="12" t="s">
        <v>173</v>
      </c>
      <c r="AJ8" s="12" t="s">
        <v>174</v>
      </c>
      <c r="AK8" s="12" t="s">
        <v>175</v>
      </c>
      <c r="AL8" s="12" t="s">
        <v>176</v>
      </c>
      <c r="AM8" s="12" t="s">
        <v>177</v>
      </c>
      <c r="AN8" s="12" t="s">
        <v>178</v>
      </c>
    </row>
    <row r="9" spans="2:40" ht="25" x14ac:dyDescent="0.2">
      <c r="C9" t="s">
        <v>196</v>
      </c>
      <c r="D9" s="13" t="s">
        <v>207</v>
      </c>
      <c r="E9" s="14" t="s">
        <v>208</v>
      </c>
      <c r="F9" s="14" t="s">
        <v>208</v>
      </c>
      <c r="G9" s="14" t="s">
        <v>208</v>
      </c>
      <c r="H9" s="14" t="s">
        <v>208</v>
      </c>
      <c r="I9" s="14" t="s">
        <v>208</v>
      </c>
      <c r="J9" s="14" t="s">
        <v>208</v>
      </c>
      <c r="K9" s="14" t="s">
        <v>208</v>
      </c>
      <c r="L9" s="14" t="s">
        <v>208</v>
      </c>
      <c r="M9" s="14" t="s">
        <v>208</v>
      </c>
      <c r="N9" s="14" t="s">
        <v>208</v>
      </c>
      <c r="O9" s="14" t="s">
        <v>208</v>
      </c>
      <c r="P9" s="14" t="s">
        <v>208</v>
      </c>
      <c r="Q9" s="14" t="s">
        <v>208</v>
      </c>
      <c r="R9" s="14" t="s">
        <v>208</v>
      </c>
      <c r="S9" s="14" t="s">
        <v>208</v>
      </c>
      <c r="T9" s="14" t="s">
        <v>208</v>
      </c>
      <c r="U9" s="14" t="s">
        <v>208</v>
      </c>
      <c r="V9" s="14" t="s">
        <v>208</v>
      </c>
      <c r="W9" s="14" t="s">
        <v>208</v>
      </c>
      <c r="X9" s="14" t="s">
        <v>208</v>
      </c>
      <c r="Y9" s="14" t="s">
        <v>208</v>
      </c>
      <c r="Z9" s="14" t="s">
        <v>208</v>
      </c>
      <c r="AA9" s="14" t="s">
        <v>208</v>
      </c>
      <c r="AB9" s="14" t="s">
        <v>208</v>
      </c>
      <c r="AC9" s="14" t="s">
        <v>208</v>
      </c>
      <c r="AD9" s="14" t="s">
        <v>208</v>
      </c>
      <c r="AE9" s="14" t="s">
        <v>208</v>
      </c>
      <c r="AF9" s="14" t="s">
        <v>208</v>
      </c>
      <c r="AG9" s="14" t="s">
        <v>208</v>
      </c>
      <c r="AH9" s="14" t="s">
        <v>208</v>
      </c>
      <c r="AI9" s="14" t="s">
        <v>208</v>
      </c>
      <c r="AJ9" s="14" t="s">
        <v>208</v>
      </c>
      <c r="AK9" s="14" t="s">
        <v>208</v>
      </c>
      <c r="AL9" s="14" t="s">
        <v>208</v>
      </c>
      <c r="AM9" s="14" t="s">
        <v>208</v>
      </c>
      <c r="AN9" s="14" t="s">
        <v>208</v>
      </c>
    </row>
    <row r="10" spans="2:40" ht="36" x14ac:dyDescent="0.2">
      <c r="B10" t="s">
        <v>319</v>
      </c>
      <c r="C10" t="str">
        <f>'OECD Crosswalk'!E3</f>
        <v>labor and consumers</v>
      </c>
      <c r="D10" s="15" t="s">
        <v>191</v>
      </c>
      <c r="E10" s="16">
        <f>485.39*$E$15</f>
        <v>462.70822429906542</v>
      </c>
      <c r="F10" s="16">
        <f>5.207*E15</f>
        <v>4.9636822429906537</v>
      </c>
      <c r="G10" s="16">
        <f>35.95*E15</f>
        <v>34.270093457943929</v>
      </c>
      <c r="H10" s="16">
        <f>2.604*E15</f>
        <v>2.482317757009346</v>
      </c>
      <c r="I10" s="16">
        <f>7930.575*E15</f>
        <v>7559.9873831775694</v>
      </c>
      <c r="J10" s="16">
        <f>3867.448*E15</f>
        <v>3686.7261308411212</v>
      </c>
      <c r="K10" s="35">
        <f>14.159*E15</f>
        <v>13.49736448598131</v>
      </c>
      <c r="L10" s="35">
        <f>327.372*E15</f>
        <v>312.07424299065423</v>
      </c>
      <c r="M10" s="35">
        <f>184.586*E15</f>
        <v>175.96048598130841</v>
      </c>
      <c r="N10" s="35">
        <f>759.663*E15</f>
        <v>724.16472897196263</v>
      </c>
      <c r="O10" s="35">
        <f>388.617*E15</f>
        <v>370.45732710280373</v>
      </c>
      <c r="P10" s="35">
        <f>139.822*E15</f>
        <v>133.28826168224299</v>
      </c>
      <c r="Q10" s="35">
        <f>145.694*E15</f>
        <v>138.88586915887851</v>
      </c>
      <c r="R10" s="35">
        <f>237.032*E15</f>
        <v>225.95573831775701</v>
      </c>
      <c r="S10" s="35">
        <f>1271.075*E15</f>
        <v>1211.678971962617</v>
      </c>
      <c r="T10" s="35">
        <f>1745.943*E15</f>
        <v>1664.356878504673</v>
      </c>
      <c r="U10" s="35">
        <f>447.443*E15</f>
        <v>426.53444859813084</v>
      </c>
      <c r="V10" s="35">
        <f>1434.696*E15</f>
        <v>1367.6541308411215</v>
      </c>
      <c r="W10" s="35">
        <f>310.318*E15</f>
        <v>295.81715887850464</v>
      </c>
      <c r="X10" s="35">
        <f>1121.006*E15</f>
        <v>1068.6225420560747</v>
      </c>
      <c r="Y10" s="35">
        <f>1197.347*E15</f>
        <v>1141.3962056074765</v>
      </c>
      <c r="Z10" s="35">
        <f>7616.261*E15</f>
        <v>7260.3609532710288</v>
      </c>
      <c r="AA10" s="35">
        <f>26217.189*E15</f>
        <v>24992.086710280371</v>
      </c>
      <c r="AB10" s="35">
        <f>10211.047*E15</f>
        <v>9733.8952710280373</v>
      </c>
      <c r="AC10" s="35">
        <f>7168.008*E15</f>
        <v>6833.054355140187</v>
      </c>
      <c r="AD10" s="35">
        <f>1892.131*E15</f>
        <v>1803.7136635514019</v>
      </c>
      <c r="AE10" s="35">
        <f>1047.095*E15</f>
        <v>998.16532710280376</v>
      </c>
      <c r="AF10" s="35">
        <f>2436.061*E15</f>
        <v>2322.2263738317756</v>
      </c>
      <c r="AG10" s="35">
        <f>20356.82*E15</f>
        <v>19405.566728971964</v>
      </c>
      <c r="AH10" s="35">
        <f>2166.938*E15</f>
        <v>2065.6792149532712</v>
      </c>
      <c r="AI10" s="35">
        <f>13370.42*E15</f>
        <v>12745.63401869159</v>
      </c>
      <c r="AJ10" s="35">
        <f>11151.01*E15</f>
        <v>10629.93476635514</v>
      </c>
      <c r="AK10" s="35">
        <f>10020.707*E15</f>
        <v>9552.4496635514024</v>
      </c>
      <c r="AL10" s="35">
        <f>6593.354*E15</f>
        <v>6285.2533457943928</v>
      </c>
      <c r="AM10" s="35">
        <f>5936.281*E15</f>
        <v>5658.8846915887852</v>
      </c>
      <c r="AN10" s="35">
        <f>32915.5*E15</f>
        <v>31377.392523364484</v>
      </c>
    </row>
    <row r="11" spans="2:40" ht="36" x14ac:dyDescent="0.2">
      <c r="B11" t="s">
        <v>320</v>
      </c>
      <c r="C11" t="str">
        <f>'OECD Crosswalk'!E1</f>
        <v>government</v>
      </c>
      <c r="D11" s="15" t="s">
        <v>192</v>
      </c>
      <c r="E11" s="16">
        <f>8.906*E16</f>
        <v>8.8367271565080756</v>
      </c>
      <c r="F11" s="16">
        <f>1.544*E16</f>
        <v>1.5319904255163339</v>
      </c>
      <c r="G11" s="16">
        <f>6.101*E16</f>
        <v>6.0535450687015233</v>
      </c>
      <c r="H11" s="16">
        <f>0.323*E16</f>
        <v>0.32048763435348177</v>
      </c>
      <c r="I11" s="16">
        <f>140.56*E16</f>
        <v>139.46669314156469</v>
      </c>
      <c r="J11" s="16">
        <f>70.66*E16</f>
        <v>70.110390846492322</v>
      </c>
      <c r="K11" s="35">
        <f>0.825*E16</f>
        <v>0.81858296700192701</v>
      </c>
      <c r="L11" s="35">
        <f>7.965*E16</f>
        <v>7.9030464632367865</v>
      </c>
      <c r="M11" s="35">
        <f>102.816*E16</f>
        <v>102.01627434578198</v>
      </c>
      <c r="N11" s="35">
        <f>47.888*E16</f>
        <v>47.515516513682769</v>
      </c>
      <c r="O11" s="35">
        <f>20.416*E16</f>
        <v>20.257199823407689</v>
      </c>
      <c r="P11" s="35">
        <f>9.577*E16</f>
        <v>9.5025079696696437</v>
      </c>
      <c r="Q11" s="35">
        <f>2.798*E16</f>
        <v>2.7762365353592631</v>
      </c>
      <c r="R11" s="35">
        <f>14.054*E16</f>
        <v>13.944684870600101</v>
      </c>
      <c r="S11" s="35">
        <f>65.644*E16</f>
        <v>65.133406407120617</v>
      </c>
      <c r="T11" s="35">
        <f>105.603*E16</f>
        <v>104.78159644158121</v>
      </c>
      <c r="U11" s="35">
        <f>24.244*E16</f>
        <v>24.05542479029663</v>
      </c>
      <c r="V11" s="35">
        <f>105.421*E16</f>
        <v>104.60101207795171</v>
      </c>
      <c r="W11" s="35">
        <f>12.201*E16</f>
        <v>12.106097915624863</v>
      </c>
      <c r="X11" s="35">
        <f>73.612*E16</f>
        <v>73.039429535691937</v>
      </c>
      <c r="Y11" s="35">
        <f>56.642*E16</f>
        <v>56.201425959906857</v>
      </c>
      <c r="Z11" s="35">
        <f>100.948*E16</f>
        <v>100.16280406413398</v>
      </c>
      <c r="AA11" s="35">
        <f>816.859*E16</f>
        <v>810.50528950572993</v>
      </c>
      <c r="AB11" s="35">
        <f>543.644*E16</f>
        <v>539.41541637914622</v>
      </c>
      <c r="AC11" s="35">
        <f>194.749*E16</f>
        <v>193.23419907958581</v>
      </c>
      <c r="AD11" s="35">
        <f>104.108*E16</f>
        <v>103.29822488319591</v>
      </c>
      <c r="AE11" s="35">
        <f>107.92*E16</f>
        <v>107.0805743016339</v>
      </c>
      <c r="AF11" s="35">
        <f>93.092*E16</f>
        <v>92.367909774719266</v>
      </c>
      <c r="AG11" s="35">
        <f>253.117*E16</f>
        <v>251.1481998286385</v>
      </c>
      <c r="AH11" s="35">
        <f>823.642*E16</f>
        <v>817.23552982715307</v>
      </c>
      <c r="AI11" s="35">
        <f>183.502*E16</f>
        <v>182.07468074034864</v>
      </c>
      <c r="AJ11" s="35">
        <f>7.697*E16</f>
        <v>7.6371310266834334</v>
      </c>
      <c r="AK11" s="35">
        <f>24.492*E16</f>
        <v>24.3014957912863</v>
      </c>
      <c r="AL11" s="35">
        <f>29.505*E16</f>
        <v>29.275503565323465</v>
      </c>
      <c r="AM11" s="35">
        <f>99.423*E16</f>
        <v>98.649665852403146</v>
      </c>
      <c r="AN11" s="35">
        <f>0*E16</f>
        <v>0</v>
      </c>
    </row>
    <row r="12" spans="2:40" ht="36" x14ac:dyDescent="0.2">
      <c r="B12" t="s">
        <v>320</v>
      </c>
      <c r="D12" s="15" t="s">
        <v>194</v>
      </c>
      <c r="E12" s="16">
        <f>826.404*E16</f>
        <v>819.97604637849759</v>
      </c>
      <c r="F12" s="16">
        <f>15.249*E16</f>
        <v>15.130389895530165</v>
      </c>
      <c r="G12" s="16">
        <f>66.649*E15</f>
        <v>63.534560747663555</v>
      </c>
      <c r="H12" s="16">
        <f>2.573*E16</f>
        <v>2.5529866352678283</v>
      </c>
      <c r="I12" s="16">
        <f>4261.665*E16</f>
        <v>4228.5168243251728</v>
      </c>
      <c r="J12" s="16">
        <f>203.292*E16</f>
        <v>201.71074973061303</v>
      </c>
      <c r="K12" s="35">
        <f>11.116*E16</f>
        <v>11.029537286295056</v>
      </c>
      <c r="L12" s="35">
        <f>161.363*E16</f>
        <v>160.10788279312965</v>
      </c>
      <c r="M12" s="35">
        <f>584.797*E16</f>
        <v>580.24831921675877</v>
      </c>
      <c r="N12" s="35">
        <f>988.148*E16</f>
        <v>980.46196566911544</v>
      </c>
      <c r="O12" s="35">
        <f>242.867*E16</f>
        <v>240.97792660225093</v>
      </c>
      <c r="P12" s="35">
        <f>126.402*E16</f>
        <v>125.41881720603344</v>
      </c>
      <c r="Q12" s="35">
        <f>87.508*E16</f>
        <v>86.827343365338947</v>
      </c>
      <c r="R12" s="35">
        <f>116.814*E16</f>
        <v>115.90539479680376</v>
      </c>
      <c r="S12" s="35">
        <f>1146.081*E16</f>
        <v>1137.1665277630734</v>
      </c>
      <c r="T12" s="35">
        <f>990.154*E16</f>
        <v>982.45236255615282</v>
      </c>
      <c r="U12" s="35">
        <f>274.013*E16</f>
        <v>271.8816661055746</v>
      </c>
      <c r="V12" s="35">
        <f>927.583*E15</f>
        <v>884.23799999999994</v>
      </c>
      <c r="W12" s="35">
        <f>134.082*E16</f>
        <v>133.03908046248773</v>
      </c>
      <c r="X12" s="35">
        <f>766.082*E16</f>
        <v>760.12324427487306</v>
      </c>
      <c r="Y12" s="35">
        <f>5118.112*E16</f>
        <v>5078.3021895856573</v>
      </c>
      <c r="Z12" s="35">
        <f>1743.891*E16</f>
        <v>1730.3266289793426</v>
      </c>
      <c r="AA12" s="35">
        <f>36269.952*E16</f>
        <v>35987.83626809391</v>
      </c>
      <c r="AB12" s="35">
        <f>8819.309*E16</f>
        <v>8750.7104583355122</v>
      </c>
      <c r="AC12" s="35">
        <f>3493.943*E16</f>
        <v>3466.766336334078</v>
      </c>
      <c r="AD12" s="35">
        <f>1460.761*E16</f>
        <v>1449.398876922063</v>
      </c>
      <c r="AE12" s="35">
        <f>2269.685*E16</f>
        <v>2252.0308866179016</v>
      </c>
      <c r="AF12" s="35">
        <f>1213.348*E16</f>
        <v>1203.9103101161868</v>
      </c>
      <c r="AG12" s="35">
        <f>11415.863*E16</f>
        <v>11327.06788536669</v>
      </c>
      <c r="AH12" s="35">
        <f>20694.82*E16</f>
        <v>20533.851099600994</v>
      </c>
      <c r="AI12" s="35">
        <f>2676.278*E16</f>
        <v>2655.461316075131</v>
      </c>
      <c r="AJ12" s="35">
        <f>3351.593*E16</f>
        <v>3325.5235662095633</v>
      </c>
      <c r="AK12" s="35">
        <f>1172.201*E16</f>
        <v>1163.0833606092435</v>
      </c>
      <c r="AL12" s="35">
        <f>1815.241*E16</f>
        <v>1801.1216528527818</v>
      </c>
      <c r="AM12" s="35">
        <f>1129.596*E16</f>
        <v>1120.8097517497076</v>
      </c>
      <c r="AN12" s="35">
        <f>0*E16</f>
        <v>0</v>
      </c>
    </row>
    <row r="13" spans="2:40" x14ac:dyDescent="0.2">
      <c r="D13" s="17" t="s">
        <v>213</v>
      </c>
      <c r="G13">
        <f>66.649*E16</f>
        <v>66.130589294195687</v>
      </c>
    </row>
    <row r="14" spans="2:40" x14ac:dyDescent="0.2">
      <c r="F14" s="4" t="s">
        <v>326</v>
      </c>
    </row>
    <row r="15" spans="2:40" ht="24" x14ac:dyDescent="0.2">
      <c r="D15" s="60" t="s">
        <v>321</v>
      </c>
      <c r="E15">
        <f>102/107</f>
        <v>0.95327102803738317</v>
      </c>
      <c r="F15" s="4" t="s">
        <v>325</v>
      </c>
    </row>
    <row r="16" spans="2:40" x14ac:dyDescent="0.2">
      <c r="D16" s="75" t="s">
        <v>323</v>
      </c>
      <c r="E16">
        <f>2845317/2867622</f>
        <v>0.99222177818415402</v>
      </c>
      <c r="F16" s="4" t="s">
        <v>324</v>
      </c>
    </row>
    <row r="17" spans="4:6" x14ac:dyDescent="0.2">
      <c r="F17" s="4" t="s">
        <v>327</v>
      </c>
    </row>
    <row r="18" spans="4:6" x14ac:dyDescent="0.2">
      <c r="D18" s="18" t="s">
        <v>214</v>
      </c>
      <c r="E18" s="18" t="s">
        <v>318</v>
      </c>
    </row>
    <row r="19" spans="4:6" x14ac:dyDescent="0.2">
      <c r="D19" s="18"/>
      <c r="E19" s="18" t="s">
        <v>215</v>
      </c>
      <c r="F19" t="s">
        <v>316</v>
      </c>
    </row>
    <row r="20" spans="4:6" x14ac:dyDescent="0.2">
      <c r="D20" s="18"/>
      <c r="E20" s="18" t="s">
        <v>216</v>
      </c>
    </row>
    <row r="21" spans="4:6" x14ac:dyDescent="0.2">
      <c r="D21" s="18"/>
      <c r="E21" s="18" t="s">
        <v>217</v>
      </c>
    </row>
    <row r="24" spans="4:6" x14ac:dyDescent="0.2">
      <c r="E24" t="s">
        <v>317</v>
      </c>
    </row>
    <row r="25" spans="4:6" x14ac:dyDescent="0.2">
      <c r="E25" t="s">
        <v>315</v>
      </c>
    </row>
  </sheetData>
  <mergeCells count="4">
    <mergeCell ref="E7:AN7"/>
    <mergeCell ref="E4:AN4"/>
    <mergeCell ref="E5:AN5"/>
    <mergeCell ref="E6:AN6"/>
  </mergeCells>
  <hyperlinks>
    <hyperlink ref="E4" r:id="rId1" display="http://stats.oecd.org/OECDStat_Metadata/ShowMetadata.ashx?Dataset=IOTSI4_2018&amp;Coords=[VAR].[VAL]&amp;ShowOnWeb=true&amp;Lang=en" xr:uid="{00000000-0004-0000-0300-000000000000}"/>
    <hyperlink ref="D13" r:id="rId2" display="https://stats-2.oecd.org/index.aspx?DatasetCode=IOTSI4_2018" xr:uid="{00000000-0004-0000-0300-000001000000}"/>
    <hyperlink ref="F16" r:id="rId3" xr:uid="{05707C65-0A2D-D84E-8EB4-5D27BDCEAF56}"/>
    <hyperlink ref="F15" r:id="rId4" xr:uid="{65824DA7-5914-C74E-A992-0522F5353FA6}"/>
    <hyperlink ref="F14" r:id="rId5" xr:uid="{EC85CF3D-8556-6D48-8220-6DBB65B7F519}"/>
    <hyperlink ref="F17" r:id="rId6" xr:uid="{62E7C155-F799-1B4F-B161-45862359051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CV126"/>
  <sheetViews>
    <sheetView topLeftCell="C5" zoomScale="87" zoomScaleNormal="400" workbookViewId="0">
      <pane xSplit="2" ySplit="3" topLeftCell="E8" activePane="bottomRight" state="frozen"/>
      <selection pane="topRight" activeCell="E5" sqref="E5"/>
      <selection pane="bottomLeft" activeCell="C8" sqref="C8"/>
      <selection pane="bottomRight" activeCell="F5" sqref="F5:AY5"/>
    </sheetView>
  </sheetViews>
  <sheetFormatPr baseColWidth="10" defaultColWidth="8.83203125" defaultRowHeight="15" x14ac:dyDescent="0.2"/>
  <cols>
    <col min="15" max="15" width="8.83203125" style="51"/>
    <col min="42" max="42" width="11.83203125" customWidth="1"/>
    <col min="49" max="49" width="11.1640625" customWidth="1"/>
    <col min="50" max="50" width="12.5" customWidth="1"/>
    <col min="51" max="51" width="13.6640625" customWidth="1"/>
  </cols>
  <sheetData>
    <row r="1" spans="3:51" x14ac:dyDescent="0.2">
      <c r="O1"/>
    </row>
    <row r="2" spans="3:51" ht="56" x14ac:dyDescent="0.2">
      <c r="E2" s="25" t="s">
        <v>197</v>
      </c>
      <c r="F2" s="19" t="str">
        <f>INDEX('OECD Crosswalk'!$C$2:$C$90,MATCH('OECD Data IO Table - Imports'!F7,'OECD Crosswalk'!$A$2:$A$90,0),1)</f>
        <v>agriculture</v>
      </c>
      <c r="G2" s="19" t="str">
        <f>INDEX('OECD Crosswalk'!$C$2:$C$90,MATCH('OECD Data IO Table - Imports'!G7,'OECD Crosswalk'!$A$2:$A$90,0),1)</f>
        <v>other industries</v>
      </c>
      <c r="H2" s="19" t="str">
        <f>INDEX('OECD Crosswalk'!$C$2:$C$90,MATCH('OECD Data IO Table - Imports'!H7,'OECD Crosswalk'!$A$2:$A$90,0),1)</f>
        <v>other industries</v>
      </c>
      <c r="I2" s="19" t="str">
        <f>INDEX('OECD Crosswalk'!$C$2:$C$90,MATCH('OECD Data IO Table - Imports'!I7,'OECD Crosswalk'!$A$2:$A$90,0),1)</f>
        <v>other industries</v>
      </c>
      <c r="J2" s="19" t="str">
        <f>INDEX('OECD Crosswalk'!$C$2:$C$90,MATCH('OECD Data IO Table - Imports'!J7,'OECD Crosswalk'!$A$2:$A$90,0),1)</f>
        <v>other industries</v>
      </c>
      <c r="K2" s="19" t="str">
        <f>INDEX('OECD Crosswalk'!$C$2:$C$90,MATCH('OECD Data IO Table - Imports'!K7,'OECD Crosswalk'!$A$2:$A$90,0),1)</f>
        <v>other industries</v>
      </c>
      <c r="L2" s="19" t="str">
        <f>INDEX('OECD Crosswalk'!$C$2:$C$90,MATCH('OECD Data IO Table - Imports'!L7,'OECD Crosswalk'!$A$2:$A$90,0),1)</f>
        <v>other industries</v>
      </c>
      <c r="M2" s="19" t="str">
        <f>INDEX('OECD Crosswalk'!$C$2:$C$90,MATCH('OECD Data IO Table - Imports'!M7,'OECD Crosswalk'!$A$2:$A$90,0),1)</f>
        <v>other industries</v>
      </c>
      <c r="N2" s="19" t="str">
        <f>INDEX('OECD Crosswalk'!$C$2:$C$90,MATCH('OECD Data IO Table - Imports'!N7,'OECD Crosswalk'!$A$2:$A$90,0),1)</f>
        <v>natural gas and petroleum systems</v>
      </c>
      <c r="O2" s="19" t="str">
        <f>INDEX('OECD Crosswalk'!$C$2:$C$90,MATCH('OECD Data IO Table - Imports'!O7,'OECD Crosswalk'!$A$2:$A$90,0),1)</f>
        <v>chemicals</v>
      </c>
      <c r="P2" s="19" t="str">
        <f>INDEX('OECD Crosswalk'!$C$2:$C$90,MATCH('OECD Data IO Table - Imports'!P7,'OECD Crosswalk'!$A$2:$A$90,0),1)</f>
        <v>other industries</v>
      </c>
      <c r="Q2" s="19" t="str">
        <f>INDEX('OECD Crosswalk'!$C$2:$C$90,MATCH('OECD Data IO Table - Imports'!Q7,'OECD Crosswalk'!$A$2:$A$90,0),1)</f>
        <v>Cement and other carbonate use</v>
      </c>
      <c r="R2" s="19" t="str">
        <f>INDEX('OECD Crosswalk'!$C$2:$C$90,MATCH('OECD Data IO Table - Imports'!R7,'OECD Crosswalk'!$A$2:$A$90,0),1)</f>
        <v>iron and steel</v>
      </c>
      <c r="S2" s="19" t="str">
        <f>INDEX('OECD Crosswalk'!$C$2:$C$90,MATCH('OECD Data IO Table - Imports'!S7,'OECD Crosswalk'!$A$2:$A$90,0),1)</f>
        <v>other industries</v>
      </c>
      <c r="T2" s="19" t="str">
        <f>INDEX('OECD Crosswalk'!$C$2:$C$90,MATCH('OECD Data IO Table - Imports'!T7,'OECD Crosswalk'!$A$2:$A$90,0),1)</f>
        <v>other industries</v>
      </c>
      <c r="U2" s="19" t="str">
        <f>INDEX('OECD Crosswalk'!$C$2:$C$90,MATCH('OECD Data IO Table - Imports'!U7,'OECD Crosswalk'!$A$2:$A$90,0),1)</f>
        <v>other industries</v>
      </c>
      <c r="V2" s="19" t="str">
        <f>INDEX('OECD Crosswalk'!$C$2:$C$90,MATCH('OECD Data IO Table - Imports'!V7,'OECD Crosswalk'!$A$2:$A$90,0),1)</f>
        <v>other industries</v>
      </c>
      <c r="W2" s="19" t="str">
        <f>INDEX('OECD Crosswalk'!$C$2:$C$90,MATCH('OECD Data IO Table - Imports'!W7,'OECD Crosswalk'!$A$2:$A$90,0),1)</f>
        <v>other industries</v>
      </c>
      <c r="X2" s="19" t="str">
        <f>INDEX('OECD Crosswalk'!$C$2:$C$90,MATCH('OECD Data IO Table - Imports'!X7,'OECD Crosswalk'!$A$2:$A$90,0),1)</f>
        <v>other industries</v>
      </c>
      <c r="Y2" s="19" t="str">
        <f>INDEX('OECD Crosswalk'!$C$2:$C$90,MATCH('OECD Data IO Table - Imports'!Y7,'OECD Crosswalk'!$A$2:$A$90,0),1)</f>
        <v>other industries</v>
      </c>
      <c r="Z2" s="19" t="str">
        <f>INDEX('OECD Crosswalk'!$C$2:$C$90,MATCH('OECD Data IO Table - Imports'!Z7,'OECD Crosswalk'!$A$2:$A$90,0),1)</f>
        <v>energy suppliers</v>
      </c>
      <c r="AA2" s="19">
        <f>INDEX('OECD Crosswalk'!$C$2:$C$90,MATCH('OECD Data IO Table - Imports'!AA7,'OECD Crosswalk'!$A$2:$A$90,0),1)</f>
        <v>0</v>
      </c>
      <c r="AB2" s="19">
        <f>INDEX('OECD Crosswalk'!$C$2:$C$90,MATCH('OECD Data IO Table - Imports'!AB7,'OECD Crosswalk'!$A$2:$A$90,0),1)</f>
        <v>0</v>
      </c>
      <c r="AC2" s="19">
        <f>INDEX('OECD Crosswalk'!$C$2:$C$90,MATCH('OECD Data IO Table - Imports'!AC7,'OECD Crosswalk'!$A$2:$A$90,0),1)</f>
        <v>0</v>
      </c>
      <c r="AD2" s="19">
        <f>INDEX('OECD Crosswalk'!$C$2:$C$90,MATCH('OECD Data IO Table - Imports'!AD7,'OECD Crosswalk'!$A$2:$A$90,0),1)</f>
        <v>0</v>
      </c>
      <c r="AE2" s="19">
        <f>INDEX('OECD Crosswalk'!$C$2:$C$90,MATCH('OECD Data IO Table - Imports'!AE7,'OECD Crosswalk'!$A$2:$A$90,0),1)</f>
        <v>0</v>
      </c>
      <c r="AF2" s="19">
        <f>INDEX('OECD Crosswalk'!$C$2:$C$90,MATCH('OECD Data IO Table - Imports'!AF7,'OECD Crosswalk'!$A$2:$A$90,0),1)</f>
        <v>0</v>
      </c>
      <c r="AG2" s="19">
        <f>INDEX('OECD Crosswalk'!$C$2:$C$90,MATCH('OECD Data IO Table - Imports'!AG7,'OECD Crosswalk'!$A$2:$A$90,0),1)</f>
        <v>0</v>
      </c>
      <c r="AH2" s="19">
        <f>INDEX('OECD Crosswalk'!$C$2:$C$90,MATCH('OECD Data IO Table - Imports'!AH7,'OECD Crosswalk'!$A$2:$A$90,0),1)</f>
        <v>0</v>
      </c>
      <c r="AI2" s="19">
        <f>INDEX('OECD Crosswalk'!$C$2:$C$90,MATCH('OECD Data IO Table - Imports'!AI7,'OECD Crosswalk'!$A$2:$A$90,0),1)</f>
        <v>0</v>
      </c>
      <c r="AJ2" s="19">
        <f>INDEX('OECD Crosswalk'!$C$2:$C$90,MATCH('OECD Data IO Table - Imports'!AJ7,'OECD Crosswalk'!$A$2:$A$90,0),1)</f>
        <v>0</v>
      </c>
      <c r="AK2" s="19">
        <f>INDEX('OECD Crosswalk'!$C$2:$C$90,MATCH('OECD Data IO Table - Imports'!AK7,'OECD Crosswalk'!$A$2:$A$90,0),1)</f>
        <v>0</v>
      </c>
      <c r="AL2" s="19">
        <f>INDEX('OECD Crosswalk'!$C$2:$C$90,MATCH('OECD Data IO Table - Imports'!AL7,'OECD Crosswalk'!$A$2:$A$90,0),1)</f>
        <v>0</v>
      </c>
      <c r="AM2" s="19">
        <f>INDEX('OECD Crosswalk'!$C$2:$C$90,MATCH('OECD Data IO Table - Imports'!AM7,'OECD Crosswalk'!$A$2:$A$90,0),1)</f>
        <v>0</v>
      </c>
      <c r="AN2" s="19">
        <f>INDEX('OECD Crosswalk'!$C$2:$C$90,MATCH('OECD Data IO Table - Imports'!AN7,'OECD Crosswalk'!$A$2:$A$90,0),1)</f>
        <v>0</v>
      </c>
      <c r="AO2" s="19">
        <f>INDEX('OECD Crosswalk'!$C$2:$C$90,MATCH('OECD Data IO Table - Imports'!AO7,'OECD Crosswalk'!$A$2:$A$90,0),1)</f>
        <v>0</v>
      </c>
      <c r="AP2" s="19">
        <f>INDEX('OECD Crosswalk'!$C$2:$C$90,MATCH('OECD Data IO Table - Imports'!AP7,'OECD Crosswalk'!$A$2:$A$90,0),1)</f>
        <v>0</v>
      </c>
      <c r="AQ2" s="19">
        <f>INDEX('OECD Crosswalk'!$C$2:$C$90,MATCH('OECD Data IO Table - Imports'!AQ7,'OECD Crosswalk'!$A$2:$A$90,0),1)</f>
        <v>0</v>
      </c>
      <c r="AR2" s="19">
        <f>INDEX('OECD Crosswalk'!$C$2:$C$90,MATCH('OECD Data IO Table - Imports'!AR7,'OECD Crosswalk'!$A$2:$A$90,0),1)</f>
        <v>0</v>
      </c>
      <c r="AS2" s="19">
        <f>INDEX('OECD Crosswalk'!$C$2:$C$90,MATCH('OECD Data IO Table - Imports'!AS7,'OECD Crosswalk'!$A$2:$A$90,0),1)</f>
        <v>0</v>
      </c>
      <c r="AT2" s="19">
        <f>INDEX('OECD Crosswalk'!$C$2:$C$90,MATCH('OECD Data IO Table - Imports'!AT7,'OECD Crosswalk'!$A$2:$A$90,0),1)</f>
        <v>0</v>
      </c>
      <c r="AU2" s="19">
        <f>INDEX('OECD Crosswalk'!$C$2:$C$90,MATCH('OECD Data IO Table - Imports'!AU7,'OECD Crosswalk'!$A$2:$A$90,0),1)</f>
        <v>0</v>
      </c>
      <c r="AV2" s="19">
        <f>INDEX('OECD Crosswalk'!$C$2:$C$90,MATCH('OECD Data IO Table - Imports'!AV7,'OECD Crosswalk'!$A$2:$A$90,0),1)</f>
        <v>0</v>
      </c>
      <c r="AW2" s="19">
        <f>INDEX('OECD Crosswalk'!$C$2:$C$90,MATCH('OECD Data IO Table - Imports'!AW7,'OECD Crosswalk'!$A$2:$A$90,0),1)</f>
        <v>0</v>
      </c>
      <c r="AX2" s="19">
        <f>INDEX('OECD Crosswalk'!$C$2:$C$90,MATCH('OECD Data IO Table - Imports'!AX7,'OECD Crosswalk'!$A$2:$A$90,0),1)</f>
        <v>0</v>
      </c>
      <c r="AY2" s="19" t="e">
        <f>INDEX('OECD Crosswalk'!$C$2:$C$90,MATCH('OECD Data IO Table - Imports'!AY7,'OECD Crosswalk'!$A$2:$A$90,0),1)</f>
        <v>#N/A</v>
      </c>
    </row>
    <row r="3" spans="3:51" ht="15" customHeight="1" x14ac:dyDescent="0.2">
      <c r="D3" s="70" t="s">
        <v>198</v>
      </c>
      <c r="E3" s="71"/>
      <c r="F3" s="61" t="s">
        <v>218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3"/>
    </row>
    <row r="4" spans="3:51" ht="15" customHeight="1" x14ac:dyDescent="0.2">
      <c r="D4" s="70" t="s">
        <v>200</v>
      </c>
      <c r="E4" s="71"/>
      <c r="F4" s="64" t="s">
        <v>201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6"/>
    </row>
    <row r="5" spans="3:51" x14ac:dyDescent="0.2">
      <c r="D5" s="70" t="s">
        <v>202</v>
      </c>
      <c r="E5" s="71"/>
      <c r="F5" s="67">
        <v>2021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9"/>
    </row>
    <row r="6" spans="3:51" ht="15" customHeight="1" x14ac:dyDescent="0.2">
      <c r="D6" s="70" t="s">
        <v>203</v>
      </c>
      <c r="E6" s="71"/>
      <c r="F6" s="64" t="s">
        <v>204</v>
      </c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6"/>
    </row>
    <row r="7" spans="3:51" ht="120" x14ac:dyDescent="0.2">
      <c r="D7" s="72" t="s">
        <v>205</v>
      </c>
      <c r="E7" s="73"/>
      <c r="F7" s="12" t="s">
        <v>143</v>
      </c>
      <c r="G7" s="12" t="s">
        <v>144</v>
      </c>
      <c r="H7" s="12" t="s">
        <v>145</v>
      </c>
      <c r="I7" s="12" t="s">
        <v>146</v>
      </c>
      <c r="J7" s="12" t="s">
        <v>147</v>
      </c>
      <c r="K7" s="12" t="s">
        <v>148</v>
      </c>
      <c r="L7" s="12" t="s">
        <v>149</v>
      </c>
      <c r="M7" s="12" t="s">
        <v>150</v>
      </c>
      <c r="N7" s="12" t="s">
        <v>151</v>
      </c>
      <c r="O7" s="12" t="s">
        <v>152</v>
      </c>
      <c r="P7" s="12" t="s">
        <v>153</v>
      </c>
      <c r="Q7" s="12" t="s">
        <v>154</v>
      </c>
      <c r="R7" s="12" t="s">
        <v>155</v>
      </c>
      <c r="S7" s="12" t="s">
        <v>156</v>
      </c>
      <c r="T7" s="12" t="s">
        <v>157</v>
      </c>
      <c r="U7" s="12" t="s">
        <v>158</v>
      </c>
      <c r="V7" s="12" t="s">
        <v>159</v>
      </c>
      <c r="W7" s="12" t="s">
        <v>160</v>
      </c>
      <c r="X7" s="12" t="s">
        <v>161</v>
      </c>
      <c r="Y7" s="12" t="s">
        <v>162</v>
      </c>
      <c r="Z7" s="12" t="s">
        <v>163</v>
      </c>
      <c r="AA7" s="12" t="s">
        <v>164</v>
      </c>
      <c r="AB7" s="12" t="s">
        <v>165</v>
      </c>
      <c r="AC7" s="12" t="s">
        <v>166</v>
      </c>
      <c r="AD7" s="12" t="s">
        <v>167</v>
      </c>
      <c r="AE7" s="12" t="s">
        <v>168</v>
      </c>
      <c r="AF7" s="12" t="s">
        <v>169</v>
      </c>
      <c r="AG7" s="12" t="s">
        <v>170</v>
      </c>
      <c r="AH7" s="12" t="s">
        <v>171</v>
      </c>
      <c r="AI7" s="12" t="s">
        <v>172</v>
      </c>
      <c r="AJ7" s="12" t="s">
        <v>173</v>
      </c>
      <c r="AK7" s="12" t="s">
        <v>174</v>
      </c>
      <c r="AL7" s="12" t="s">
        <v>175</v>
      </c>
      <c r="AM7" s="12" t="s">
        <v>176</v>
      </c>
      <c r="AN7" s="12" t="s">
        <v>177</v>
      </c>
      <c r="AO7" s="12" t="s">
        <v>178</v>
      </c>
      <c r="AP7" s="12" t="s">
        <v>179</v>
      </c>
      <c r="AQ7" s="12" t="s">
        <v>180</v>
      </c>
      <c r="AR7" s="12" t="s">
        <v>181</v>
      </c>
      <c r="AS7" s="12" t="s">
        <v>182</v>
      </c>
      <c r="AT7" s="12" t="s">
        <v>184</v>
      </c>
      <c r="AU7" s="12" t="s">
        <v>186</v>
      </c>
      <c r="AV7" s="12" t="s">
        <v>188</v>
      </c>
      <c r="AW7" s="12" t="s">
        <v>189</v>
      </c>
      <c r="AX7" s="12" t="s">
        <v>190</v>
      </c>
      <c r="AY7" s="12" t="s">
        <v>219</v>
      </c>
    </row>
    <row r="8" spans="3:51" ht="37" x14ac:dyDescent="0.2">
      <c r="D8" s="13" t="s">
        <v>207</v>
      </c>
      <c r="E8" s="14" t="s">
        <v>208</v>
      </c>
      <c r="F8" s="14" t="s">
        <v>208</v>
      </c>
      <c r="G8" s="14" t="s">
        <v>208</v>
      </c>
      <c r="H8" s="14" t="s">
        <v>208</v>
      </c>
      <c r="I8" s="14" t="s">
        <v>208</v>
      </c>
      <c r="J8" s="14" t="s">
        <v>208</v>
      </c>
      <c r="K8" s="14" t="s">
        <v>208</v>
      </c>
      <c r="L8" s="14" t="s">
        <v>208</v>
      </c>
      <c r="M8" s="14" t="s">
        <v>208</v>
      </c>
      <c r="N8" s="14" t="s">
        <v>208</v>
      </c>
      <c r="O8" s="14" t="s">
        <v>208</v>
      </c>
      <c r="P8" s="14" t="s">
        <v>208</v>
      </c>
      <c r="Q8" s="14" t="s">
        <v>208</v>
      </c>
      <c r="R8" s="14" t="s">
        <v>208</v>
      </c>
      <c r="S8" s="14" t="s">
        <v>208</v>
      </c>
      <c r="T8" s="14" t="s">
        <v>208</v>
      </c>
      <c r="U8" s="14" t="s">
        <v>208</v>
      </c>
      <c r="V8" s="14" t="s">
        <v>208</v>
      </c>
      <c r="W8" s="14" t="s">
        <v>208</v>
      </c>
      <c r="X8" s="14" t="s">
        <v>208</v>
      </c>
      <c r="Y8" s="14" t="s">
        <v>208</v>
      </c>
      <c r="Z8" s="14" t="s">
        <v>208</v>
      </c>
      <c r="AA8" s="14" t="s">
        <v>208</v>
      </c>
      <c r="AB8" s="14" t="s">
        <v>208</v>
      </c>
      <c r="AC8" s="14" t="s">
        <v>208</v>
      </c>
      <c r="AD8" s="14" t="s">
        <v>208</v>
      </c>
      <c r="AE8" s="14" t="s">
        <v>208</v>
      </c>
      <c r="AF8" s="14" t="s">
        <v>208</v>
      </c>
      <c r="AG8" s="14" t="s">
        <v>208</v>
      </c>
      <c r="AH8" s="14" t="s">
        <v>208</v>
      </c>
      <c r="AI8" s="14" t="s">
        <v>208</v>
      </c>
      <c r="AJ8" s="14" t="s">
        <v>208</v>
      </c>
      <c r="AK8" s="14" t="s">
        <v>208</v>
      </c>
      <c r="AL8" s="14" t="s">
        <v>208</v>
      </c>
      <c r="AM8" s="14" t="s">
        <v>208</v>
      </c>
      <c r="AN8" s="14" t="s">
        <v>208</v>
      </c>
      <c r="AO8" s="14" t="s">
        <v>208</v>
      </c>
      <c r="AP8" s="14" t="s">
        <v>208</v>
      </c>
      <c r="AQ8" s="14" t="s">
        <v>208</v>
      </c>
      <c r="AR8" s="14" t="s">
        <v>208</v>
      </c>
      <c r="AS8" s="14" t="s">
        <v>208</v>
      </c>
      <c r="AT8" s="14" t="s">
        <v>208</v>
      </c>
      <c r="AU8" s="14" t="s">
        <v>208</v>
      </c>
      <c r="AV8" s="14" t="s">
        <v>208</v>
      </c>
      <c r="AW8" s="14" t="s">
        <v>208</v>
      </c>
      <c r="AX8" s="14" t="s">
        <v>208</v>
      </c>
      <c r="AY8" s="14" t="s">
        <v>208</v>
      </c>
    </row>
    <row r="9" spans="3:51" ht="60" x14ac:dyDescent="0.2">
      <c r="C9" t="s">
        <v>220</v>
      </c>
      <c r="D9" s="15" t="s">
        <v>221</v>
      </c>
      <c r="E9" s="14" t="s">
        <v>208</v>
      </c>
      <c r="F9" s="16">
        <f>0.2</f>
        <v>0.2</v>
      </c>
      <c r="G9" s="16">
        <v>0</v>
      </c>
      <c r="H9" s="16">
        <v>0</v>
      </c>
      <c r="I9" s="16">
        <v>0</v>
      </c>
      <c r="J9" s="16">
        <f>11+0.2</f>
        <v>11.2</v>
      </c>
      <c r="K9" s="16">
        <v>0.1</v>
      </c>
      <c r="L9" s="16">
        <v>0.2</v>
      </c>
      <c r="M9" s="16">
        <v>0.2</v>
      </c>
      <c r="N9" s="16">
        <v>0</v>
      </c>
      <c r="O9" s="53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f>7.4+1.9+0.3+0.1</f>
        <v>9.7000000000000011</v>
      </c>
      <c r="AA9" s="16">
        <v>0.9</v>
      </c>
      <c r="AB9" s="16">
        <v>4.2</v>
      </c>
      <c r="AC9" s="16">
        <f>5+19+24.2+0.7+0.6+0.2+2.4+3.8+0.1+0.1</f>
        <v>56.100000000000009</v>
      </c>
      <c r="AD9" s="16">
        <f>30.8+5.1</f>
        <v>35.9</v>
      </c>
      <c r="AE9" s="16">
        <v>0.4</v>
      </c>
      <c r="AF9" s="16">
        <v>1.1000000000000001</v>
      </c>
      <c r="AG9" s="16">
        <v>0</v>
      </c>
      <c r="AH9" s="16">
        <v>0.9</v>
      </c>
      <c r="AI9" s="16">
        <v>0.3</v>
      </c>
      <c r="AJ9" s="16">
        <f>0.8</f>
        <v>0.8</v>
      </c>
      <c r="AK9" s="16">
        <f>0.7</f>
        <v>0.7</v>
      </c>
      <c r="AL9" s="16">
        <v>1.2</v>
      </c>
      <c r="AM9" s="16">
        <v>1.5</v>
      </c>
      <c r="AN9" s="16">
        <f>1.3+2.2+0.1+0.2</f>
        <v>3.8000000000000003</v>
      </c>
      <c r="AO9" s="45">
        <v>0</v>
      </c>
      <c r="AP9" s="16">
        <f>327.5+41.8</f>
        <v>369.3</v>
      </c>
      <c r="AQ9" s="45">
        <v>0</v>
      </c>
      <c r="AR9" s="45">
        <v>0</v>
      </c>
      <c r="AS9" s="16">
        <v>0</v>
      </c>
      <c r="AT9" s="16">
        <v>-0.1</v>
      </c>
      <c r="AU9" s="45">
        <v>0</v>
      </c>
      <c r="AV9" s="16">
        <f>1.1+2.5</f>
        <v>3.6</v>
      </c>
      <c r="AW9" s="16">
        <f>4.5+7.5</f>
        <v>12</v>
      </c>
      <c r="AX9" s="16">
        <v>0</v>
      </c>
      <c r="AY9" s="16">
        <f>449.3+65</f>
        <v>514.29999999999995</v>
      </c>
    </row>
    <row r="10" spans="3:51" ht="84" x14ac:dyDescent="0.2">
      <c r="C10" t="s">
        <v>220</v>
      </c>
      <c r="D10" s="15" t="s">
        <v>222</v>
      </c>
      <c r="E10" s="14" t="s">
        <v>208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56">
        <v>0</v>
      </c>
      <c r="P10" s="47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16">
        <v>0</v>
      </c>
      <c r="AA10" s="45">
        <v>0</v>
      </c>
      <c r="AB10" s="45">
        <v>0</v>
      </c>
      <c r="AC10" s="16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16">
        <v>0</v>
      </c>
      <c r="AK10" s="45">
        <v>0</v>
      </c>
      <c r="AL10" s="45">
        <v>0</v>
      </c>
      <c r="AM10" s="45">
        <v>0</v>
      </c>
      <c r="AN10" s="16">
        <v>0</v>
      </c>
      <c r="AO10" s="45">
        <v>0</v>
      </c>
      <c r="AP10" s="45">
        <v>0</v>
      </c>
      <c r="AQ10" s="45">
        <v>0</v>
      </c>
      <c r="AR10" s="45">
        <v>0</v>
      </c>
      <c r="AS10" s="45">
        <v>0</v>
      </c>
      <c r="AT10" s="45">
        <v>0</v>
      </c>
      <c r="AU10" s="45">
        <v>0</v>
      </c>
      <c r="AV10" s="47">
        <v>0</v>
      </c>
      <c r="AW10" s="47">
        <v>0</v>
      </c>
      <c r="AX10" s="47">
        <v>0</v>
      </c>
      <c r="AY10" s="47">
        <v>0</v>
      </c>
    </row>
    <row r="11" spans="3:51" ht="96" x14ac:dyDescent="0.2">
      <c r="C11" t="s">
        <v>220</v>
      </c>
      <c r="D11" s="15" t="s">
        <v>223</v>
      </c>
      <c r="E11" s="14" t="s">
        <v>208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56">
        <v>2</v>
      </c>
      <c r="P11" s="47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16">
        <v>0</v>
      </c>
      <c r="AA11" s="45">
        <v>0</v>
      </c>
      <c r="AB11" s="45">
        <v>0</v>
      </c>
      <c r="AC11" s="16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16">
        <v>0</v>
      </c>
      <c r="AK11" s="45">
        <v>0</v>
      </c>
      <c r="AL11" s="45">
        <v>0</v>
      </c>
      <c r="AM11" s="45">
        <v>0</v>
      </c>
      <c r="AN11" s="16">
        <v>0</v>
      </c>
      <c r="AO11" s="45">
        <v>0</v>
      </c>
      <c r="AP11" s="45">
        <v>0</v>
      </c>
      <c r="AQ11" s="45">
        <v>0</v>
      </c>
      <c r="AR11" s="45">
        <v>0</v>
      </c>
      <c r="AS11" s="45">
        <v>0</v>
      </c>
      <c r="AT11" s="45">
        <v>0</v>
      </c>
      <c r="AU11" s="45">
        <v>0</v>
      </c>
      <c r="AV11" s="47">
        <v>0</v>
      </c>
      <c r="AW11" s="47">
        <v>0</v>
      </c>
      <c r="AX11" s="47">
        <v>0</v>
      </c>
      <c r="AY11" s="47">
        <v>0</v>
      </c>
    </row>
    <row r="12" spans="3:51" ht="60" x14ac:dyDescent="0.2">
      <c r="C12" t="s">
        <v>220</v>
      </c>
      <c r="D12" s="15" t="s">
        <v>224</v>
      </c>
      <c r="E12" s="14" t="s">
        <v>208</v>
      </c>
      <c r="F12" s="45">
        <f>31.4+20.8</f>
        <v>52.2</v>
      </c>
      <c r="G12" s="45">
        <v>0</v>
      </c>
      <c r="H12" s="45">
        <v>0</v>
      </c>
      <c r="I12" s="45">
        <v>6141.3</v>
      </c>
      <c r="J12" s="45">
        <v>151.80000000000001</v>
      </c>
      <c r="K12" s="45">
        <v>30.3</v>
      </c>
      <c r="L12" s="45">
        <v>37.1</v>
      </c>
      <c r="M12" s="45">
        <v>141.69999999999999</v>
      </c>
      <c r="N12" s="45">
        <v>2.4</v>
      </c>
      <c r="O12" s="57">
        <v>0.5</v>
      </c>
      <c r="P12" s="47">
        <v>0</v>
      </c>
      <c r="Q12" s="45">
        <v>1.1000000000000001</v>
      </c>
      <c r="R12" s="45">
        <v>131.30000000000001</v>
      </c>
      <c r="S12" s="45">
        <v>6.1</v>
      </c>
      <c r="T12" s="45">
        <v>2</v>
      </c>
      <c r="U12" s="45">
        <v>5.3</v>
      </c>
      <c r="V12" s="45">
        <v>22</v>
      </c>
      <c r="W12" s="45">
        <v>2</v>
      </c>
      <c r="X12" s="45">
        <v>1.1000000000000001</v>
      </c>
      <c r="Y12" s="45">
        <v>0.2</v>
      </c>
      <c r="Z12" s="16">
        <f>52.2+30.1</f>
        <v>82.300000000000011</v>
      </c>
      <c r="AA12" s="45">
        <v>10.5</v>
      </c>
      <c r="AB12" s="45">
        <v>26</v>
      </c>
      <c r="AC12" s="16">
        <f>317.3+2.7+173.7+46.1+55.1</f>
        <v>594.9</v>
      </c>
      <c r="AD12" s="45">
        <v>3.5</v>
      </c>
      <c r="AE12" s="45">
        <v>17.2</v>
      </c>
      <c r="AF12" s="45">
        <v>0</v>
      </c>
      <c r="AG12" s="45">
        <v>1.6</v>
      </c>
      <c r="AH12" s="45">
        <v>189.7</v>
      </c>
      <c r="AI12" s="45">
        <v>50.7</v>
      </c>
      <c r="AJ12" s="16">
        <f>119.9+41.1</f>
        <v>161</v>
      </c>
      <c r="AK12" s="45">
        <v>20.2</v>
      </c>
      <c r="AL12" s="45">
        <v>83.6</v>
      </c>
      <c r="AM12" s="45">
        <v>0.6</v>
      </c>
      <c r="AN12" s="16">
        <f>6.4+18</f>
        <v>24.4</v>
      </c>
      <c r="AO12" s="45">
        <v>0</v>
      </c>
      <c r="AP12" s="45">
        <v>5.4</v>
      </c>
      <c r="AQ12" s="45">
        <v>0</v>
      </c>
      <c r="AR12" s="45">
        <v>0</v>
      </c>
      <c r="AS12" s="45">
        <v>0.9</v>
      </c>
      <c r="AT12" s="45">
        <v>0.7</v>
      </c>
      <c r="AU12" s="45">
        <v>0</v>
      </c>
      <c r="AV12" s="47">
        <v>0</v>
      </c>
      <c r="AW12" s="47">
        <v>73.2</v>
      </c>
      <c r="AX12" s="47">
        <v>0</v>
      </c>
      <c r="AY12" s="47">
        <v>8104.5</v>
      </c>
    </row>
    <row r="13" spans="3:51" ht="72" x14ac:dyDescent="0.2">
      <c r="C13" t="s">
        <v>220</v>
      </c>
      <c r="D13" s="15" t="s">
        <v>225</v>
      </c>
      <c r="E13" s="14" t="s">
        <v>208</v>
      </c>
      <c r="F13" s="45">
        <f>2.6+0.2</f>
        <v>2.8000000000000003</v>
      </c>
      <c r="G13" s="45">
        <v>0</v>
      </c>
      <c r="H13" s="45">
        <v>0</v>
      </c>
      <c r="I13" s="45">
        <v>0</v>
      </c>
      <c r="J13" s="45">
        <v>112.7</v>
      </c>
      <c r="K13" s="45">
        <v>17.100000000000001</v>
      </c>
      <c r="L13" s="45">
        <v>11.7</v>
      </c>
      <c r="M13" s="45">
        <v>85.8</v>
      </c>
      <c r="N13" s="45">
        <v>0.6</v>
      </c>
      <c r="O13" s="57">
        <f>4.3+2.3</f>
        <v>6.6</v>
      </c>
      <c r="P13" s="47">
        <v>0</v>
      </c>
      <c r="Q13" s="45">
        <v>0.6</v>
      </c>
      <c r="R13" s="45">
        <v>3.7</v>
      </c>
      <c r="S13" s="45">
        <v>0.3</v>
      </c>
      <c r="T13" s="45">
        <v>0.5</v>
      </c>
      <c r="U13" s="45">
        <v>0.8</v>
      </c>
      <c r="V13" s="45">
        <v>0.6</v>
      </c>
      <c r="W13" s="45">
        <v>0.2</v>
      </c>
      <c r="X13" s="45">
        <v>0.1</v>
      </c>
      <c r="Y13" s="45">
        <v>0.1</v>
      </c>
      <c r="Z13" s="16">
        <f>54.3+28.2</f>
        <v>82.5</v>
      </c>
      <c r="AA13" s="45">
        <v>172.8</v>
      </c>
      <c r="AB13" s="45">
        <v>170.8</v>
      </c>
      <c r="AC13" s="16">
        <f>63.7+221.9+186.3+74.9+34</f>
        <v>580.80000000000007</v>
      </c>
      <c r="AD13" s="45">
        <v>305.8</v>
      </c>
      <c r="AE13" s="45">
        <v>22</v>
      </c>
      <c r="AF13" s="45">
        <v>41.6</v>
      </c>
      <c r="AG13" s="45">
        <v>2.1</v>
      </c>
      <c r="AH13" s="45">
        <v>127.9</v>
      </c>
      <c r="AI13" s="45">
        <v>50.8</v>
      </c>
      <c r="AJ13" s="16">
        <f>14.6+24.8</f>
        <v>39.4</v>
      </c>
      <c r="AK13" s="45">
        <v>16.8</v>
      </c>
      <c r="AL13" s="45">
        <v>20.8</v>
      </c>
      <c r="AM13" s="45">
        <v>93</v>
      </c>
      <c r="AN13" s="16">
        <f>22.7+54.3</f>
        <v>77</v>
      </c>
      <c r="AO13" s="45">
        <v>0</v>
      </c>
      <c r="AP13" s="45">
        <v>2495.4</v>
      </c>
      <c r="AQ13" s="45">
        <v>0</v>
      </c>
      <c r="AR13" s="45">
        <v>0</v>
      </c>
      <c r="AS13" s="45">
        <v>53.7</v>
      </c>
      <c r="AT13" s="45">
        <v>3570.7</v>
      </c>
      <c r="AU13" s="45">
        <v>0</v>
      </c>
      <c r="AV13" s="47">
        <v>219.5</v>
      </c>
      <c r="AW13" s="47">
        <v>380.6</v>
      </c>
      <c r="AX13" s="47">
        <v>0</v>
      </c>
      <c r="AY13" s="47">
        <v>8768.1</v>
      </c>
    </row>
    <row r="14" spans="3:51" ht="84" x14ac:dyDescent="0.2">
      <c r="C14" t="s">
        <v>220</v>
      </c>
      <c r="D14" s="15" t="s">
        <v>226</v>
      </c>
      <c r="E14" s="14" t="s">
        <v>208</v>
      </c>
      <c r="F14" s="45">
        <v>0</v>
      </c>
      <c r="G14" s="45">
        <v>0</v>
      </c>
      <c r="H14" s="45">
        <v>0</v>
      </c>
      <c r="I14" s="45">
        <v>0</v>
      </c>
      <c r="J14" s="45">
        <v>2.2000000000000002</v>
      </c>
      <c r="K14" s="45">
        <v>67.8</v>
      </c>
      <c r="L14" s="45">
        <v>0.3</v>
      </c>
      <c r="M14" s="45">
        <v>3.3</v>
      </c>
      <c r="N14" s="45">
        <v>0</v>
      </c>
      <c r="O14" s="55">
        <v>0</v>
      </c>
      <c r="P14" s="47">
        <v>0</v>
      </c>
      <c r="Q14" s="45">
        <v>0</v>
      </c>
      <c r="R14" s="45">
        <v>0.1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0.1</v>
      </c>
      <c r="Z14" s="16">
        <f>1.2+1.9</f>
        <v>3.0999999999999996</v>
      </c>
      <c r="AA14" s="45">
        <v>1.4</v>
      </c>
      <c r="AB14" s="45">
        <v>32</v>
      </c>
      <c r="AC14" s="16">
        <f>12.2+15.9+10+15.5+7.9</f>
        <v>61.5</v>
      </c>
      <c r="AD14" s="45">
        <v>1.1000000000000001</v>
      </c>
      <c r="AE14" s="45">
        <v>2.5</v>
      </c>
      <c r="AF14" s="45">
        <v>7.5</v>
      </c>
      <c r="AG14" s="45">
        <v>0.4</v>
      </c>
      <c r="AH14" s="45">
        <v>32.4</v>
      </c>
      <c r="AI14" s="45">
        <v>12.4</v>
      </c>
      <c r="AJ14" s="16">
        <f>2.8+5.6</f>
        <v>8.3999999999999986</v>
      </c>
      <c r="AK14" s="45">
        <v>3.1</v>
      </c>
      <c r="AL14" s="45">
        <v>2.1</v>
      </c>
      <c r="AM14" s="45">
        <v>3</v>
      </c>
      <c r="AN14" s="16">
        <f>1.8+10.6</f>
        <v>12.4</v>
      </c>
      <c r="AO14" s="45">
        <v>0</v>
      </c>
      <c r="AP14" s="45">
        <v>627</v>
      </c>
      <c r="AQ14" s="45">
        <v>0</v>
      </c>
      <c r="AR14" s="45">
        <v>0</v>
      </c>
      <c r="AS14" s="45">
        <v>5.3</v>
      </c>
      <c r="AT14" s="45">
        <v>1694.3</v>
      </c>
      <c r="AU14" s="45">
        <v>0</v>
      </c>
      <c r="AV14" s="47">
        <v>19.7</v>
      </c>
      <c r="AW14" s="47">
        <v>389.1</v>
      </c>
      <c r="AX14" s="47">
        <v>0</v>
      </c>
      <c r="AY14" s="47">
        <v>2992.7</v>
      </c>
    </row>
    <row r="15" spans="3:51" ht="84" x14ac:dyDescent="0.2">
      <c r="C15" t="s">
        <v>220</v>
      </c>
      <c r="D15" s="15" t="s">
        <v>227</v>
      </c>
      <c r="E15" s="14" t="s">
        <v>208</v>
      </c>
      <c r="F15" s="45">
        <f>1.3+0.1</f>
        <v>1.4000000000000001</v>
      </c>
      <c r="G15" s="45">
        <v>0</v>
      </c>
      <c r="H15" s="45">
        <v>0</v>
      </c>
      <c r="I15" s="45">
        <v>0.1</v>
      </c>
      <c r="J15" s="45">
        <v>16.399999999999999</v>
      </c>
      <c r="K15" s="45">
        <v>0</v>
      </c>
      <c r="L15" s="45">
        <v>0</v>
      </c>
      <c r="M15" s="45">
        <v>0</v>
      </c>
      <c r="N15" s="45">
        <v>0</v>
      </c>
      <c r="O15" s="55">
        <v>0</v>
      </c>
      <c r="P15" s="47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16">
        <f>1.1+1.1</f>
        <v>2.2000000000000002</v>
      </c>
      <c r="AA15" s="45">
        <v>73.3</v>
      </c>
      <c r="AB15" s="45">
        <v>1.5</v>
      </c>
      <c r="AC15" s="16">
        <f>13.1+56+8.3+22.8+2</f>
        <v>102.19999999999999</v>
      </c>
      <c r="AD15" s="45">
        <v>0.8</v>
      </c>
      <c r="AE15" s="45">
        <v>0.6</v>
      </c>
      <c r="AF15" s="45">
        <v>2.8</v>
      </c>
      <c r="AG15" s="45">
        <v>0</v>
      </c>
      <c r="AH15" s="45">
        <v>2.2000000000000002</v>
      </c>
      <c r="AI15" s="45">
        <v>1.2</v>
      </c>
      <c r="AJ15" s="16">
        <f>0.5+0.7</f>
        <v>1.2</v>
      </c>
      <c r="AK15" s="45">
        <v>0.2</v>
      </c>
      <c r="AL15" s="45">
        <v>0.3</v>
      </c>
      <c r="AM15" s="45">
        <v>18.3</v>
      </c>
      <c r="AN15" s="16">
        <f>1.1+2</f>
        <v>3.1</v>
      </c>
      <c r="AO15" s="45">
        <v>0</v>
      </c>
      <c r="AP15" s="45">
        <v>350.3</v>
      </c>
      <c r="AQ15" s="45">
        <v>0</v>
      </c>
      <c r="AR15" s="45">
        <v>0</v>
      </c>
      <c r="AS15" s="45">
        <v>37.6</v>
      </c>
      <c r="AT15" s="45">
        <v>104.1</v>
      </c>
      <c r="AU15" s="45">
        <v>0</v>
      </c>
      <c r="AV15" s="47">
        <v>0.2</v>
      </c>
      <c r="AW15" s="47">
        <v>26</v>
      </c>
      <c r="AX15" s="47">
        <v>0</v>
      </c>
      <c r="AY15" s="47">
        <v>746</v>
      </c>
    </row>
    <row r="16" spans="3:51" ht="60" x14ac:dyDescent="0.2">
      <c r="C16" t="s">
        <v>220</v>
      </c>
      <c r="D16" s="15" t="s">
        <v>228</v>
      </c>
      <c r="E16" s="14" t="s">
        <v>208</v>
      </c>
      <c r="F16" s="45">
        <f>7+0.7</f>
        <v>7.7</v>
      </c>
      <c r="G16" s="45">
        <v>0</v>
      </c>
      <c r="H16" s="45">
        <v>0</v>
      </c>
      <c r="I16" s="45">
        <v>0</v>
      </c>
      <c r="J16" s="45">
        <v>539.1</v>
      </c>
      <c r="K16" s="45">
        <v>125.9</v>
      </c>
      <c r="L16" s="45">
        <v>3.8</v>
      </c>
      <c r="M16" s="45">
        <v>572</v>
      </c>
      <c r="N16" s="45">
        <v>0.2</v>
      </c>
      <c r="O16" s="55">
        <f>2.2+1.9</f>
        <v>4.0999999999999996</v>
      </c>
      <c r="P16" s="47">
        <v>0</v>
      </c>
      <c r="Q16" s="45">
        <v>7.1</v>
      </c>
      <c r="R16" s="45">
        <v>3.4</v>
      </c>
      <c r="S16" s="45">
        <v>0.5</v>
      </c>
      <c r="T16" s="45">
        <v>3.1</v>
      </c>
      <c r="U16" s="45">
        <v>6.8</v>
      </c>
      <c r="V16" s="45">
        <v>2.2999999999999998</v>
      </c>
      <c r="W16" s="45">
        <v>0.8</v>
      </c>
      <c r="X16" s="45">
        <v>0.2</v>
      </c>
      <c r="Y16" s="45">
        <v>2.4</v>
      </c>
      <c r="Z16" s="16">
        <f>11.6+14.6</f>
        <v>26.2</v>
      </c>
      <c r="AA16" s="45">
        <v>320.7</v>
      </c>
      <c r="AB16" s="45">
        <v>299.8</v>
      </c>
      <c r="AC16" s="16">
        <f>85.3+129.4+59.9+125.7+39.6</f>
        <v>439.9</v>
      </c>
      <c r="AD16" s="45">
        <v>3.3</v>
      </c>
      <c r="AE16" s="45">
        <v>46.8</v>
      </c>
      <c r="AF16" s="45">
        <v>42.3</v>
      </c>
      <c r="AG16" s="45">
        <v>1.9</v>
      </c>
      <c r="AH16" s="45">
        <v>257.5</v>
      </c>
      <c r="AI16" s="45">
        <v>65.8</v>
      </c>
      <c r="AJ16" s="16">
        <f>17.7+21.2</f>
        <v>38.9</v>
      </c>
      <c r="AK16" s="45">
        <v>11.7</v>
      </c>
      <c r="AL16" s="45">
        <v>28.2</v>
      </c>
      <c r="AM16" s="45">
        <v>238.4</v>
      </c>
      <c r="AN16" s="16">
        <f>17+29.3</f>
        <v>46.3</v>
      </c>
      <c r="AO16" s="45">
        <v>0</v>
      </c>
      <c r="AP16" s="45">
        <v>1114.8</v>
      </c>
      <c r="AQ16" s="45">
        <v>0</v>
      </c>
      <c r="AR16" s="45">
        <v>0</v>
      </c>
      <c r="AS16" s="45">
        <v>10.9</v>
      </c>
      <c r="AT16" s="45">
        <v>217.1</v>
      </c>
      <c r="AU16" s="45">
        <v>0</v>
      </c>
      <c r="AV16" s="47">
        <v>74.7</v>
      </c>
      <c r="AW16" s="47">
        <v>124.2</v>
      </c>
      <c r="AX16" s="47">
        <v>0</v>
      </c>
      <c r="AY16" s="47">
        <v>4688.8</v>
      </c>
    </row>
    <row r="17" spans="3:51" ht="60" x14ac:dyDescent="0.2">
      <c r="C17" t="s">
        <v>220</v>
      </c>
      <c r="D17" s="15" t="s">
        <v>229</v>
      </c>
      <c r="E17" s="14" t="s">
        <v>208</v>
      </c>
      <c r="F17" s="45">
        <v>0</v>
      </c>
      <c r="G17" s="45">
        <v>0</v>
      </c>
      <c r="H17" s="45">
        <v>0</v>
      </c>
      <c r="I17" s="45">
        <v>0.5</v>
      </c>
      <c r="J17" s="45">
        <v>0.3</v>
      </c>
      <c r="K17" s="45">
        <v>0.1</v>
      </c>
      <c r="L17" s="45">
        <v>0.1</v>
      </c>
      <c r="M17" s="45">
        <v>0.3</v>
      </c>
      <c r="N17" s="45">
        <v>2.5</v>
      </c>
      <c r="O17" s="55">
        <f>3.5+0.6</f>
        <v>4.0999999999999996</v>
      </c>
      <c r="P17" s="47">
        <v>0</v>
      </c>
      <c r="Q17" s="45">
        <v>1.6</v>
      </c>
      <c r="R17" s="45">
        <v>20.2</v>
      </c>
      <c r="S17" s="45">
        <v>1.5</v>
      </c>
      <c r="T17" s="45">
        <v>0.1</v>
      </c>
      <c r="U17" s="45">
        <v>0.4</v>
      </c>
      <c r="V17" s="45">
        <v>0.3</v>
      </c>
      <c r="W17" s="45">
        <v>0.3</v>
      </c>
      <c r="X17" s="45">
        <v>0.1</v>
      </c>
      <c r="Y17" s="45">
        <v>0.2</v>
      </c>
      <c r="Z17" s="16">
        <f>2.6+1.6</f>
        <v>4.2</v>
      </c>
      <c r="AA17" s="45">
        <v>0.1</v>
      </c>
      <c r="AB17" s="45">
        <v>136.6</v>
      </c>
      <c r="AC17" s="16">
        <f>9.6+22.9+19.9+24.8+1.5</f>
        <v>78.7</v>
      </c>
      <c r="AD17" s="45">
        <v>0.4</v>
      </c>
      <c r="AE17" s="45">
        <v>0.6</v>
      </c>
      <c r="AF17" s="45">
        <v>1.2</v>
      </c>
      <c r="AG17" s="45">
        <v>0.1</v>
      </c>
      <c r="AH17" s="45">
        <v>18.2</v>
      </c>
      <c r="AI17" s="45">
        <v>4.5999999999999996</v>
      </c>
      <c r="AJ17" s="16">
        <f>0.7+3.1</f>
        <v>3.8</v>
      </c>
      <c r="AK17" s="45">
        <v>8.1</v>
      </c>
      <c r="AL17" s="45">
        <v>3.5</v>
      </c>
      <c r="AM17" s="45">
        <v>0.5</v>
      </c>
      <c r="AN17" s="16">
        <f>0.8+1.7</f>
        <v>2.5</v>
      </c>
      <c r="AO17" s="45">
        <v>0</v>
      </c>
      <c r="AP17" s="45">
        <v>152.5</v>
      </c>
      <c r="AQ17" s="45">
        <v>0</v>
      </c>
      <c r="AR17" s="45">
        <v>0</v>
      </c>
      <c r="AS17" s="45">
        <v>0.2</v>
      </c>
      <c r="AT17" s="45">
        <v>-137.5</v>
      </c>
      <c r="AU17" s="45">
        <v>0</v>
      </c>
      <c r="AV17" s="47">
        <v>69</v>
      </c>
      <c r="AW17" s="47">
        <v>33.1</v>
      </c>
      <c r="AX17" s="47">
        <v>0</v>
      </c>
      <c r="AY17" s="47">
        <v>413.2</v>
      </c>
    </row>
    <row r="18" spans="3:51" ht="84" x14ac:dyDescent="0.2">
      <c r="C18" t="s">
        <v>220</v>
      </c>
      <c r="D18" s="15" t="s">
        <v>230</v>
      </c>
      <c r="E18" s="14" t="s">
        <v>208</v>
      </c>
      <c r="F18" s="16">
        <v>0</v>
      </c>
      <c r="G18" s="16">
        <v>0</v>
      </c>
      <c r="H18" s="16">
        <v>0</v>
      </c>
      <c r="I18" s="16">
        <v>0</v>
      </c>
      <c r="J18" s="16">
        <f>0.1+0.1</f>
        <v>0.2</v>
      </c>
      <c r="K18" s="16">
        <v>0.1</v>
      </c>
      <c r="L18" s="16">
        <v>0</v>
      </c>
      <c r="M18" s="16">
        <f>0.3+0.1</f>
        <v>0.4</v>
      </c>
      <c r="N18" s="16">
        <v>0.1</v>
      </c>
      <c r="O18" s="54">
        <f>0.9+0.2+0.5+3.7</f>
        <v>5.3000000000000007</v>
      </c>
      <c r="P18" s="45">
        <v>0</v>
      </c>
      <c r="Q18" s="16">
        <f>0.2+0.1</f>
        <v>0.30000000000000004</v>
      </c>
      <c r="R18" s="16">
        <f>0.6+0.3</f>
        <v>0.89999999999999991</v>
      </c>
      <c r="S18" s="16">
        <v>0.1</v>
      </c>
      <c r="T18" s="16">
        <f>0.1+0.1</f>
        <v>0.2</v>
      </c>
      <c r="U18" s="16">
        <v>0.4</v>
      </c>
      <c r="V18" s="16">
        <v>0.1</v>
      </c>
      <c r="W18" s="16">
        <v>0.1</v>
      </c>
      <c r="X18" s="16">
        <v>0</v>
      </c>
      <c r="Y18" s="16">
        <v>0</v>
      </c>
      <c r="Z18" s="16">
        <v>0.8</v>
      </c>
      <c r="AA18" s="16">
        <v>0</v>
      </c>
      <c r="AB18" s="16">
        <v>2.6</v>
      </c>
      <c r="AC18" s="16">
        <f>0.1+0.1+0.3+0.1+0.1+0.3+0.1</f>
        <v>1.1000000000000001</v>
      </c>
      <c r="AD18" s="16">
        <v>0.1</v>
      </c>
      <c r="AE18" s="16">
        <v>0.3</v>
      </c>
      <c r="AF18" s="16">
        <v>0.2</v>
      </c>
      <c r="AG18" s="16">
        <v>0</v>
      </c>
      <c r="AH18" s="16">
        <v>1</v>
      </c>
      <c r="AI18" s="16">
        <v>0.3</v>
      </c>
      <c r="AJ18" s="16">
        <f>0.1+0.1+0.2+0.1</f>
        <v>0.5</v>
      </c>
      <c r="AK18" s="16">
        <f>1.2</f>
        <v>1.2</v>
      </c>
      <c r="AL18" s="16">
        <v>1.2</v>
      </c>
      <c r="AM18" s="16">
        <f>0.3+4.9</f>
        <v>5.2</v>
      </c>
      <c r="AN18" s="16">
        <f>0.2+0.8+0.6+0.8</f>
        <v>2.4000000000000004</v>
      </c>
      <c r="AO18" s="45">
        <v>0</v>
      </c>
      <c r="AP18" s="16">
        <f>9.4+90.9</f>
        <v>100.30000000000001</v>
      </c>
      <c r="AQ18" s="45">
        <v>0</v>
      </c>
      <c r="AR18" s="45">
        <v>0</v>
      </c>
      <c r="AS18" s="16">
        <f>0.4+1.7</f>
        <v>2.1</v>
      </c>
      <c r="AT18" s="16">
        <f>838.1+157.7</f>
        <v>995.8</v>
      </c>
      <c r="AU18" s="45">
        <v>0</v>
      </c>
      <c r="AV18" s="16">
        <f>6.1+44.5</f>
        <v>50.6</v>
      </c>
      <c r="AW18" s="16">
        <f>333.9+161.6</f>
        <v>495.5</v>
      </c>
      <c r="AX18" s="47">
        <v>0</v>
      </c>
      <c r="AY18" s="16">
        <f>1197.8+474.8</f>
        <v>1672.6</v>
      </c>
    </row>
    <row r="19" spans="3:51" ht="60" x14ac:dyDescent="0.2">
      <c r="C19" t="s">
        <v>220</v>
      </c>
      <c r="D19" s="15" t="s">
        <v>231</v>
      </c>
      <c r="E19" s="14" t="s">
        <v>208</v>
      </c>
      <c r="F19" s="52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36</v>
      </c>
      <c r="N19" s="45">
        <v>0</v>
      </c>
      <c r="O19" s="55">
        <v>0</v>
      </c>
      <c r="P19" s="47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16">
        <v>0</v>
      </c>
      <c r="AA19" s="45">
        <v>0</v>
      </c>
      <c r="AB19" s="45">
        <v>0</v>
      </c>
      <c r="AC19" s="16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30.6</v>
      </c>
      <c r="AI19" s="45">
        <v>0</v>
      </c>
      <c r="AJ19" s="16">
        <v>0</v>
      </c>
      <c r="AK19" s="45">
        <v>0</v>
      </c>
      <c r="AL19" s="45">
        <v>0</v>
      </c>
      <c r="AM19" s="45">
        <v>0</v>
      </c>
      <c r="AN19" s="16">
        <v>0</v>
      </c>
      <c r="AO19" s="45">
        <v>0</v>
      </c>
      <c r="AP19" s="45">
        <v>0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7">
        <v>0</v>
      </c>
      <c r="AW19" s="47">
        <v>0</v>
      </c>
      <c r="AX19" s="47">
        <v>0</v>
      </c>
      <c r="AY19" s="47">
        <v>0</v>
      </c>
    </row>
    <row r="20" spans="3:51" ht="60" x14ac:dyDescent="0.2">
      <c r="C20" t="s">
        <v>220</v>
      </c>
      <c r="D20" s="15" t="s">
        <v>232</v>
      </c>
      <c r="E20" s="14" t="s">
        <v>208</v>
      </c>
      <c r="F20" s="52">
        <v>0</v>
      </c>
      <c r="G20" s="45">
        <v>0</v>
      </c>
      <c r="H20" s="46">
        <v>0</v>
      </c>
      <c r="I20" s="45">
        <v>1.7</v>
      </c>
      <c r="J20" s="45">
        <v>15.7</v>
      </c>
      <c r="K20" s="45">
        <v>0.5</v>
      </c>
      <c r="L20" s="45">
        <v>0.5</v>
      </c>
      <c r="M20" s="45">
        <v>1.9</v>
      </c>
      <c r="N20" s="45">
        <v>5.6</v>
      </c>
      <c r="O20" s="55">
        <f>4.5+3.3</f>
        <v>7.8</v>
      </c>
      <c r="P20" s="47">
        <v>0</v>
      </c>
      <c r="Q20" s="45">
        <v>155.5</v>
      </c>
      <c r="R20" s="45">
        <v>171.4</v>
      </c>
      <c r="S20" s="45">
        <v>16</v>
      </c>
      <c r="T20" s="45">
        <v>13.8</v>
      </c>
      <c r="U20" s="45">
        <v>37.4</v>
      </c>
      <c r="V20" s="45">
        <v>7.4</v>
      </c>
      <c r="W20" s="45">
        <v>23.5</v>
      </c>
      <c r="X20" s="45">
        <v>7.1</v>
      </c>
      <c r="Y20" s="45">
        <v>2.2999999999999998</v>
      </c>
      <c r="Z20" s="16">
        <f>2+12.3</f>
        <v>14.3</v>
      </c>
      <c r="AA20" s="46">
        <v>22.3</v>
      </c>
      <c r="AB20" s="45">
        <v>67.3</v>
      </c>
      <c r="AC20" s="16">
        <f>0.9+0.9+1.8+9.8+5.2</f>
        <v>18.600000000000001</v>
      </c>
      <c r="AD20" s="45">
        <v>1.1000000000000001</v>
      </c>
      <c r="AE20" s="45">
        <v>4.7</v>
      </c>
      <c r="AF20" s="45">
        <v>13.7</v>
      </c>
      <c r="AG20" s="46">
        <v>0.2</v>
      </c>
      <c r="AH20" s="45">
        <v>3648.1</v>
      </c>
      <c r="AI20" s="45">
        <v>8.9</v>
      </c>
      <c r="AJ20" s="16">
        <f>1.5+3.1</f>
        <v>4.5999999999999996</v>
      </c>
      <c r="AK20" s="45">
        <v>45.7</v>
      </c>
      <c r="AL20" s="45">
        <v>31.6</v>
      </c>
      <c r="AM20" s="45">
        <v>1.7</v>
      </c>
      <c r="AN20" s="16">
        <f>7.1+16.5</f>
        <v>23.6</v>
      </c>
      <c r="AO20" s="45">
        <v>0</v>
      </c>
      <c r="AP20" s="45">
        <v>259.10000000000002</v>
      </c>
      <c r="AQ20" s="45">
        <v>0</v>
      </c>
      <c r="AR20" s="45">
        <v>0</v>
      </c>
      <c r="AS20" s="45">
        <v>16.600000000000001</v>
      </c>
      <c r="AT20" s="45">
        <v>142.6</v>
      </c>
      <c r="AU20" s="45">
        <v>0</v>
      </c>
      <c r="AV20" s="47">
        <v>0</v>
      </c>
      <c r="AW20" s="47">
        <v>108.8</v>
      </c>
      <c r="AX20" s="47">
        <v>0</v>
      </c>
      <c r="AY20" s="47">
        <v>1278.3</v>
      </c>
    </row>
    <row r="21" spans="3:51" ht="48" x14ac:dyDescent="0.2">
      <c r="C21" t="s">
        <v>220</v>
      </c>
      <c r="D21" s="15" t="s">
        <v>233</v>
      </c>
      <c r="E21" s="14" t="s">
        <v>208</v>
      </c>
      <c r="F21" s="52">
        <v>0</v>
      </c>
      <c r="G21" s="45">
        <v>0</v>
      </c>
      <c r="H21" s="46">
        <v>0</v>
      </c>
      <c r="I21" s="45">
        <v>1</v>
      </c>
      <c r="J21" s="45">
        <v>2.2999999999999998</v>
      </c>
      <c r="K21" s="45">
        <v>0.1</v>
      </c>
      <c r="L21" s="45">
        <v>0.4</v>
      </c>
      <c r="M21" s="45">
        <v>1.9</v>
      </c>
      <c r="N21" s="45">
        <v>1</v>
      </c>
      <c r="O21" s="55">
        <f>3.2+0.8</f>
        <v>4</v>
      </c>
      <c r="P21" s="47">
        <v>0</v>
      </c>
      <c r="Q21" s="45">
        <v>6.1</v>
      </c>
      <c r="R21" s="45">
        <v>1407.2</v>
      </c>
      <c r="S21" s="45">
        <v>102.6</v>
      </c>
      <c r="T21" s="45">
        <v>25.9</v>
      </c>
      <c r="U21" s="45">
        <v>112.5</v>
      </c>
      <c r="V21" s="45">
        <v>31.2</v>
      </c>
      <c r="W21" s="45">
        <v>10.6</v>
      </c>
      <c r="X21" s="45">
        <v>1.9</v>
      </c>
      <c r="Y21" s="45">
        <v>8.5</v>
      </c>
      <c r="Z21" s="16">
        <f>1.2+20.1</f>
        <v>21.3</v>
      </c>
      <c r="AA21" s="46">
        <v>1.4</v>
      </c>
      <c r="AB21" s="45">
        <v>1217</v>
      </c>
      <c r="AC21" s="16">
        <f>0.6+1.7+1.2+10+0.5</f>
        <v>14</v>
      </c>
      <c r="AD21" s="45">
        <v>0.3</v>
      </c>
      <c r="AE21" s="45">
        <v>2.5</v>
      </c>
      <c r="AF21" s="45">
        <v>1.5</v>
      </c>
      <c r="AG21" s="46">
        <v>0.1</v>
      </c>
      <c r="AH21" s="45">
        <v>30.6</v>
      </c>
      <c r="AI21" s="45">
        <v>8.6999999999999993</v>
      </c>
      <c r="AJ21" s="16">
        <f>1.5+0.8</f>
        <v>2.2999999999999998</v>
      </c>
      <c r="AK21" s="45">
        <v>2.2000000000000002</v>
      </c>
      <c r="AL21" s="45">
        <v>2.4</v>
      </c>
      <c r="AM21" s="45">
        <v>0.4</v>
      </c>
      <c r="AN21" s="16">
        <f>3.2+4.9</f>
        <v>8.1000000000000014</v>
      </c>
      <c r="AO21" s="45">
        <v>0</v>
      </c>
      <c r="AP21" s="45">
        <v>18.2</v>
      </c>
      <c r="AQ21" s="45">
        <v>0</v>
      </c>
      <c r="AR21" s="45">
        <v>0</v>
      </c>
      <c r="AS21" s="45">
        <v>52.4</v>
      </c>
      <c r="AT21" s="45">
        <v>-39.1</v>
      </c>
      <c r="AU21" s="45">
        <v>0</v>
      </c>
      <c r="AV21" s="47">
        <v>0</v>
      </c>
      <c r="AW21" s="47">
        <v>8466.2999999999993</v>
      </c>
      <c r="AX21" s="47">
        <v>0</v>
      </c>
      <c r="AY21" s="47">
        <v>11508.3</v>
      </c>
    </row>
    <row r="22" spans="3:51" ht="96" x14ac:dyDescent="0.2">
      <c r="C22" t="s">
        <v>220</v>
      </c>
      <c r="D22" s="15" t="s">
        <v>234</v>
      </c>
      <c r="E22" s="14" t="s">
        <v>208</v>
      </c>
      <c r="F22" s="52">
        <v>0</v>
      </c>
      <c r="G22" s="45">
        <v>0</v>
      </c>
      <c r="H22" s="46">
        <v>0</v>
      </c>
      <c r="I22" s="45">
        <v>0.7</v>
      </c>
      <c r="J22" s="45">
        <v>0.7</v>
      </c>
      <c r="K22" s="45">
        <v>0.1</v>
      </c>
      <c r="L22" s="45">
        <v>0.2</v>
      </c>
      <c r="M22" s="45">
        <v>0.5</v>
      </c>
      <c r="N22" s="45">
        <v>0.4</v>
      </c>
      <c r="O22" s="55">
        <f>0.7+0.3</f>
        <v>1</v>
      </c>
      <c r="P22" s="47">
        <v>0</v>
      </c>
      <c r="Q22" s="45">
        <v>2.2000000000000002</v>
      </c>
      <c r="R22" s="45">
        <v>86.4</v>
      </c>
      <c r="S22" s="45">
        <v>15.9</v>
      </c>
      <c r="T22" s="45">
        <v>4.4000000000000004</v>
      </c>
      <c r="U22" s="45">
        <v>15.7</v>
      </c>
      <c r="V22" s="45">
        <v>10</v>
      </c>
      <c r="W22" s="45">
        <v>5</v>
      </c>
      <c r="X22" s="45">
        <v>1.6</v>
      </c>
      <c r="Y22" s="45">
        <v>1.8</v>
      </c>
      <c r="Z22" s="16">
        <f>0.5+3.1</f>
        <v>3.6</v>
      </c>
      <c r="AA22" s="46">
        <v>0.9</v>
      </c>
      <c r="AB22" s="45">
        <v>389.1</v>
      </c>
      <c r="AC22" s="16">
        <f>0.4+0.7+0.4+4.9+0.2</f>
        <v>6.6000000000000005</v>
      </c>
      <c r="AD22" s="45">
        <v>0.1</v>
      </c>
      <c r="AE22" s="45">
        <v>0.9</v>
      </c>
      <c r="AF22" s="45">
        <v>0.7</v>
      </c>
      <c r="AG22" s="46">
        <v>0.1</v>
      </c>
      <c r="AH22" s="45">
        <v>3648.1</v>
      </c>
      <c r="AI22" s="45">
        <v>5.2</v>
      </c>
      <c r="AJ22" s="16">
        <f>0.7+1.6</f>
        <v>2.2999999999999998</v>
      </c>
      <c r="AK22" s="45">
        <v>2</v>
      </c>
      <c r="AL22" s="45">
        <v>2</v>
      </c>
      <c r="AM22" s="45">
        <v>0.2</v>
      </c>
      <c r="AN22" s="16">
        <f>1.5+2.1</f>
        <v>3.6</v>
      </c>
      <c r="AO22" s="45">
        <v>0</v>
      </c>
      <c r="AP22" s="45">
        <v>52.6</v>
      </c>
      <c r="AQ22" s="45">
        <v>0</v>
      </c>
      <c r="AR22" s="45">
        <v>0</v>
      </c>
      <c r="AS22" s="45">
        <v>86.6</v>
      </c>
      <c r="AT22" s="45">
        <v>162.9</v>
      </c>
      <c r="AU22" s="45">
        <v>0</v>
      </c>
      <c r="AV22" s="47">
        <v>0</v>
      </c>
      <c r="AW22" s="47">
        <v>335.3</v>
      </c>
      <c r="AX22" s="47">
        <v>0</v>
      </c>
      <c r="AY22" s="47">
        <v>1206.2</v>
      </c>
    </row>
    <row r="23" spans="3:51" ht="60" x14ac:dyDescent="0.2">
      <c r="C23" t="s">
        <v>220</v>
      </c>
      <c r="D23" s="15" t="s">
        <v>235</v>
      </c>
      <c r="E23" s="14" t="s">
        <v>208</v>
      </c>
      <c r="F23" s="52">
        <v>0</v>
      </c>
      <c r="G23" s="45">
        <v>0</v>
      </c>
      <c r="H23" s="46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55">
        <v>0</v>
      </c>
      <c r="P23" s="47">
        <v>0</v>
      </c>
      <c r="Q23" s="45">
        <v>0</v>
      </c>
      <c r="R23" s="45">
        <v>0</v>
      </c>
      <c r="S23" s="45">
        <v>0</v>
      </c>
      <c r="T23" s="45">
        <v>1</v>
      </c>
      <c r="U23" s="45">
        <v>0.4</v>
      </c>
      <c r="V23" s="45">
        <v>0.1</v>
      </c>
      <c r="W23" s="45">
        <v>0.1</v>
      </c>
      <c r="X23" s="45">
        <v>0</v>
      </c>
      <c r="Y23" s="45">
        <v>0</v>
      </c>
      <c r="Z23" s="16">
        <v>0.3</v>
      </c>
      <c r="AA23" s="46">
        <v>0</v>
      </c>
      <c r="AB23" s="45">
        <v>28.7</v>
      </c>
      <c r="AC23" s="16">
        <v>0.4</v>
      </c>
      <c r="AD23" s="45">
        <v>0</v>
      </c>
      <c r="AE23" s="45">
        <v>0.3</v>
      </c>
      <c r="AF23" s="45">
        <v>3</v>
      </c>
      <c r="AG23" s="46">
        <v>0</v>
      </c>
      <c r="AH23" s="45">
        <v>30.6</v>
      </c>
      <c r="AI23" s="45">
        <v>0.2</v>
      </c>
      <c r="AJ23" s="16">
        <v>0.2</v>
      </c>
      <c r="AK23" s="45">
        <v>0.2</v>
      </c>
      <c r="AL23" s="45">
        <v>0.3</v>
      </c>
      <c r="AM23" s="45">
        <v>0</v>
      </c>
      <c r="AN23" s="16">
        <v>0.9</v>
      </c>
      <c r="AO23" s="45">
        <v>0</v>
      </c>
      <c r="AP23" s="45">
        <v>498</v>
      </c>
      <c r="AQ23" s="45">
        <v>0</v>
      </c>
      <c r="AR23" s="45">
        <v>0</v>
      </c>
      <c r="AS23" s="45">
        <v>321.8</v>
      </c>
      <c r="AT23" s="45">
        <v>-737.8</v>
      </c>
      <c r="AU23" s="45">
        <v>0</v>
      </c>
      <c r="AV23" s="47">
        <v>0.1</v>
      </c>
      <c r="AW23" s="47">
        <v>1379.5</v>
      </c>
      <c r="AX23" s="47">
        <v>0</v>
      </c>
      <c r="AY23" s="47">
        <v>1498.2</v>
      </c>
    </row>
    <row r="24" spans="3:51" ht="36" x14ac:dyDescent="0.2">
      <c r="C24" t="s">
        <v>220</v>
      </c>
      <c r="D24" s="15" t="s">
        <v>236</v>
      </c>
      <c r="E24" s="14" t="s">
        <v>208</v>
      </c>
      <c r="F24" s="52">
        <v>0</v>
      </c>
      <c r="G24" s="45">
        <v>0</v>
      </c>
      <c r="H24" s="46">
        <v>0</v>
      </c>
      <c r="I24" s="45">
        <v>0.2</v>
      </c>
      <c r="J24" s="45">
        <v>0.2</v>
      </c>
      <c r="K24" s="45">
        <v>0</v>
      </c>
      <c r="L24" s="45">
        <v>0</v>
      </c>
      <c r="M24" s="45">
        <v>0.2</v>
      </c>
      <c r="N24" s="45">
        <v>0.2</v>
      </c>
      <c r="O24" s="55">
        <f>0.2+0.1</f>
        <v>0.30000000000000004</v>
      </c>
      <c r="P24" s="47">
        <v>0</v>
      </c>
      <c r="Q24" s="45">
        <v>0.4</v>
      </c>
      <c r="R24" s="45">
        <v>2.7</v>
      </c>
      <c r="S24" s="45">
        <v>0.4</v>
      </c>
      <c r="T24" s="45">
        <v>10.5</v>
      </c>
      <c r="U24" s="45">
        <v>47.9</v>
      </c>
      <c r="V24" s="45">
        <v>8.3000000000000007</v>
      </c>
      <c r="W24" s="45">
        <v>3.9</v>
      </c>
      <c r="X24" s="45">
        <v>1.2</v>
      </c>
      <c r="Y24" s="45">
        <v>1.1000000000000001</v>
      </c>
      <c r="Z24" s="16">
        <f>6.4+5.1</f>
        <v>11.5</v>
      </c>
      <c r="AA24" s="46">
        <v>0.5</v>
      </c>
      <c r="AB24" s="45">
        <v>689.1</v>
      </c>
      <c r="AC24" s="16">
        <f>0.4+0.9+0.4+1.4+5.6</f>
        <v>8.6999999999999993</v>
      </c>
      <c r="AD24" s="45">
        <v>0.1</v>
      </c>
      <c r="AE24" s="45">
        <v>6.3</v>
      </c>
      <c r="AF24" s="45">
        <v>45.9</v>
      </c>
      <c r="AG24" s="46">
        <v>0.4</v>
      </c>
      <c r="AH24" s="45">
        <v>3648.1</v>
      </c>
      <c r="AI24" s="45">
        <v>8.4</v>
      </c>
      <c r="AJ24" s="16">
        <f>2+3.7</f>
        <v>5.7</v>
      </c>
      <c r="AK24" s="45">
        <v>3.2</v>
      </c>
      <c r="AL24" s="45">
        <v>3.9</v>
      </c>
      <c r="AM24" s="45">
        <v>0.2</v>
      </c>
      <c r="AN24" s="16">
        <f>5.4+13.9</f>
        <v>19.3</v>
      </c>
      <c r="AO24" s="45">
        <v>0</v>
      </c>
      <c r="AP24" s="45">
        <v>349.1</v>
      </c>
      <c r="AQ24" s="45">
        <v>0</v>
      </c>
      <c r="AR24" s="45">
        <v>0</v>
      </c>
      <c r="AS24" s="45">
        <v>169.5</v>
      </c>
      <c r="AT24" s="45">
        <v>960</v>
      </c>
      <c r="AU24" s="45">
        <v>0</v>
      </c>
      <c r="AV24" s="47">
        <v>2.4</v>
      </c>
      <c r="AW24" s="47">
        <v>342.1</v>
      </c>
      <c r="AX24" s="47">
        <v>0</v>
      </c>
      <c r="AY24" s="47">
        <v>2710.9</v>
      </c>
    </row>
    <row r="25" spans="3:51" ht="60" x14ac:dyDescent="0.2">
      <c r="C25" t="s">
        <v>220</v>
      </c>
      <c r="D25" s="15" t="s">
        <v>237</v>
      </c>
      <c r="E25" s="14" t="s">
        <v>208</v>
      </c>
      <c r="F25" s="52">
        <v>0</v>
      </c>
      <c r="G25" s="45">
        <v>0</v>
      </c>
      <c r="H25" s="46">
        <v>0</v>
      </c>
      <c r="I25" s="45">
        <v>1</v>
      </c>
      <c r="J25" s="45">
        <v>0.8</v>
      </c>
      <c r="K25" s="45">
        <v>0.2</v>
      </c>
      <c r="L25" s="45">
        <v>0.1</v>
      </c>
      <c r="M25" s="45">
        <v>0.7</v>
      </c>
      <c r="N25" s="45">
        <v>0.4</v>
      </c>
      <c r="O25" s="55">
        <f>0.5+0.3</f>
        <v>0.8</v>
      </c>
      <c r="P25" s="47">
        <v>0</v>
      </c>
      <c r="Q25" s="45">
        <v>1.7</v>
      </c>
      <c r="R25" s="45">
        <v>13</v>
      </c>
      <c r="S25" s="45">
        <v>2.2999999999999998</v>
      </c>
      <c r="T25" s="45">
        <v>1.4</v>
      </c>
      <c r="U25" s="45">
        <v>3.9</v>
      </c>
      <c r="V25" s="45">
        <v>13.9</v>
      </c>
      <c r="W25" s="45">
        <v>6.7</v>
      </c>
      <c r="X25" s="45">
        <v>2.4</v>
      </c>
      <c r="Y25" s="45">
        <v>1.3</v>
      </c>
      <c r="Z25" s="16">
        <f>0.7+1.1</f>
        <v>1.8</v>
      </c>
      <c r="AA25" s="46">
        <v>0.1</v>
      </c>
      <c r="AB25" s="45">
        <v>36.6</v>
      </c>
      <c r="AC25" s="16">
        <f>0.4+4.4+6.2+11+0.9</f>
        <v>22.9</v>
      </c>
      <c r="AD25" s="45">
        <v>0.1</v>
      </c>
      <c r="AE25" s="45">
        <v>0.5</v>
      </c>
      <c r="AF25" s="45">
        <v>1.6</v>
      </c>
      <c r="AG25" s="46">
        <v>0</v>
      </c>
      <c r="AH25" s="45">
        <v>30.6</v>
      </c>
      <c r="AI25" s="45">
        <v>3.9</v>
      </c>
      <c r="AJ25" s="16">
        <f>0.1+0.5</f>
        <v>0.6</v>
      </c>
      <c r="AK25" s="45">
        <v>0.7</v>
      </c>
      <c r="AL25" s="45">
        <v>1.1000000000000001</v>
      </c>
      <c r="AM25" s="45">
        <v>1.8</v>
      </c>
      <c r="AN25" s="16">
        <f>0.7+1.1</f>
        <v>1.8</v>
      </c>
      <c r="AO25" s="45">
        <v>0</v>
      </c>
      <c r="AP25" s="45">
        <v>22.8</v>
      </c>
      <c r="AQ25" s="45">
        <v>0</v>
      </c>
      <c r="AR25" s="45">
        <v>0</v>
      </c>
      <c r="AS25" s="45">
        <v>437.2</v>
      </c>
      <c r="AT25" s="45">
        <v>-276.2</v>
      </c>
      <c r="AU25" s="45">
        <v>0</v>
      </c>
      <c r="AV25" s="47">
        <v>0</v>
      </c>
      <c r="AW25" s="47">
        <v>912.5</v>
      </c>
      <c r="AX25" s="47">
        <v>0</v>
      </c>
      <c r="AY25" s="47">
        <v>1237.0999999999999</v>
      </c>
    </row>
    <row r="26" spans="3:51" ht="72" x14ac:dyDescent="0.2">
      <c r="C26" t="s">
        <v>220</v>
      </c>
      <c r="D26" s="15" t="s">
        <v>238</v>
      </c>
      <c r="E26" s="14" t="s">
        <v>208</v>
      </c>
      <c r="F26" s="52">
        <v>0</v>
      </c>
      <c r="G26" s="45">
        <v>0</v>
      </c>
      <c r="H26" s="46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55">
        <f>0</f>
        <v>0</v>
      </c>
      <c r="P26" s="47">
        <v>0</v>
      </c>
      <c r="Q26" s="45">
        <v>0.2</v>
      </c>
      <c r="R26" s="45">
        <v>0.4</v>
      </c>
      <c r="S26" s="45">
        <v>0.1</v>
      </c>
      <c r="T26" s="45">
        <v>0.1</v>
      </c>
      <c r="U26" s="45">
        <v>0.2</v>
      </c>
      <c r="V26" s="45">
        <v>1</v>
      </c>
      <c r="W26" s="45">
        <v>29.5</v>
      </c>
      <c r="X26" s="45">
        <v>3</v>
      </c>
      <c r="Y26" s="45">
        <v>0.2</v>
      </c>
      <c r="Z26" s="16">
        <v>4</v>
      </c>
      <c r="AA26" s="46">
        <v>0</v>
      </c>
      <c r="AB26" s="45">
        <v>62</v>
      </c>
      <c r="AC26" s="16">
        <f>3.8+4.8+3.7+0.7+2.8</f>
        <v>15.8</v>
      </c>
      <c r="AD26" s="45">
        <v>0.1</v>
      </c>
      <c r="AE26" s="45">
        <v>2.2000000000000002</v>
      </c>
      <c r="AF26" s="45">
        <v>2.2000000000000002</v>
      </c>
      <c r="AG26" s="46">
        <v>0.1</v>
      </c>
      <c r="AH26" s="45">
        <v>3648.1</v>
      </c>
      <c r="AI26" s="45">
        <v>0.6</v>
      </c>
      <c r="AJ26" s="16">
        <f>0.4+1.7</f>
        <v>2.1</v>
      </c>
      <c r="AK26" s="45">
        <v>7.4</v>
      </c>
      <c r="AL26" s="45">
        <v>0.1</v>
      </c>
      <c r="AM26" s="45">
        <v>0.1</v>
      </c>
      <c r="AN26" s="16">
        <f>3.8+5.1</f>
        <v>8.8999999999999986</v>
      </c>
      <c r="AO26" s="45">
        <v>0</v>
      </c>
      <c r="AP26" s="45">
        <v>241.5</v>
      </c>
      <c r="AQ26" s="45">
        <v>0</v>
      </c>
      <c r="AR26" s="45">
        <v>0</v>
      </c>
      <c r="AS26" s="45">
        <v>391.6</v>
      </c>
      <c r="AT26" s="45">
        <v>640</v>
      </c>
      <c r="AU26" s="45">
        <v>0</v>
      </c>
      <c r="AV26" s="47">
        <v>4.0999999999999996</v>
      </c>
      <c r="AW26" s="47">
        <v>45</v>
      </c>
      <c r="AX26" s="47">
        <v>0</v>
      </c>
      <c r="AY26" s="47">
        <v>1468.2</v>
      </c>
    </row>
    <row r="27" spans="3:51" ht="48" x14ac:dyDescent="0.2">
      <c r="C27" t="s">
        <v>220</v>
      </c>
      <c r="D27" s="15" t="s">
        <v>239</v>
      </c>
      <c r="E27" s="14" t="s">
        <v>208</v>
      </c>
      <c r="F27" s="52">
        <v>0</v>
      </c>
      <c r="G27" s="45">
        <v>0</v>
      </c>
      <c r="H27" s="46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55">
        <f>0</f>
        <v>0</v>
      </c>
      <c r="P27" s="47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0.2</v>
      </c>
      <c r="W27" s="45">
        <v>9.5</v>
      </c>
      <c r="X27" s="45">
        <v>6.6</v>
      </c>
      <c r="Y27" s="45">
        <v>0.2</v>
      </c>
      <c r="Z27" s="16">
        <v>0.9</v>
      </c>
      <c r="AA27" s="46">
        <v>0</v>
      </c>
      <c r="AB27" s="45">
        <v>20.5</v>
      </c>
      <c r="AC27" s="16">
        <f>0.8+4.2+3.9+0.3+0.6</f>
        <v>9.8000000000000007</v>
      </c>
      <c r="AD27" s="45">
        <v>0</v>
      </c>
      <c r="AE27" s="45">
        <v>1</v>
      </c>
      <c r="AF27" s="45">
        <v>0.4</v>
      </c>
      <c r="AG27" s="46">
        <v>0</v>
      </c>
      <c r="AH27" s="45">
        <v>30.6</v>
      </c>
      <c r="AI27" s="45">
        <v>0.2</v>
      </c>
      <c r="AJ27" s="16">
        <f>0.2+0.4</f>
        <v>0.60000000000000009</v>
      </c>
      <c r="AK27" s="45">
        <v>4.5</v>
      </c>
      <c r="AL27" s="45">
        <v>0</v>
      </c>
      <c r="AM27" s="45">
        <v>0</v>
      </c>
      <c r="AN27" s="16">
        <f>1.3+1.9</f>
        <v>3.2</v>
      </c>
      <c r="AO27" s="45">
        <v>0</v>
      </c>
      <c r="AP27" s="45">
        <v>43.2</v>
      </c>
      <c r="AQ27" s="45">
        <v>0</v>
      </c>
      <c r="AR27" s="45">
        <v>0</v>
      </c>
      <c r="AS27" s="45">
        <v>258.2</v>
      </c>
      <c r="AT27" s="45">
        <v>127.1</v>
      </c>
      <c r="AU27" s="45">
        <v>0</v>
      </c>
      <c r="AV27" s="47">
        <v>0</v>
      </c>
      <c r="AW27" s="47">
        <v>30.6</v>
      </c>
      <c r="AX27" s="47">
        <v>0</v>
      </c>
      <c r="AY27" s="47">
        <v>519.5</v>
      </c>
    </row>
    <row r="28" spans="3:51" ht="120" x14ac:dyDescent="0.2">
      <c r="C28" t="s">
        <v>220</v>
      </c>
      <c r="D28" s="15" t="s">
        <v>240</v>
      </c>
      <c r="E28" s="14" t="s">
        <v>208</v>
      </c>
      <c r="F28" s="52">
        <v>0.3</v>
      </c>
      <c r="G28" s="45">
        <v>0</v>
      </c>
      <c r="H28" s="46">
        <v>0</v>
      </c>
      <c r="I28" s="45">
        <v>0.3</v>
      </c>
      <c r="J28" s="45">
        <v>6.6</v>
      </c>
      <c r="K28" s="45">
        <v>1.1000000000000001</v>
      </c>
      <c r="L28" s="45">
        <v>1</v>
      </c>
      <c r="M28" s="45">
        <v>8</v>
      </c>
      <c r="N28" s="45">
        <v>0</v>
      </c>
      <c r="O28" s="55">
        <f>0.2+0.1</f>
        <v>0.30000000000000004</v>
      </c>
      <c r="P28" s="47">
        <v>0</v>
      </c>
      <c r="Q28" s="45">
        <v>0.2</v>
      </c>
      <c r="R28" s="45">
        <v>0.9</v>
      </c>
      <c r="S28" s="45">
        <v>0.2</v>
      </c>
      <c r="T28" s="45">
        <v>0.1</v>
      </c>
      <c r="U28" s="45">
        <v>0.4</v>
      </c>
      <c r="V28" s="45">
        <v>0.4</v>
      </c>
      <c r="W28" s="45">
        <v>0.3</v>
      </c>
      <c r="X28" s="45">
        <v>0.2</v>
      </c>
      <c r="Y28" s="45">
        <v>0.3</v>
      </c>
      <c r="Z28" s="16">
        <f>10.7+8.9</f>
        <v>19.600000000000001</v>
      </c>
      <c r="AA28" s="46">
        <v>21.7</v>
      </c>
      <c r="AB28" s="45">
        <v>51.8</v>
      </c>
      <c r="AC28" s="16">
        <f>26.6+47.5+73.5+37.4+5.1</f>
        <v>190.1</v>
      </c>
      <c r="AD28" s="45">
        <v>6.9</v>
      </c>
      <c r="AE28" s="45">
        <v>3.1</v>
      </c>
      <c r="AF28" s="45">
        <v>18.7</v>
      </c>
      <c r="AG28" s="46">
        <v>0.7</v>
      </c>
      <c r="AH28" s="45">
        <v>3648.1</v>
      </c>
      <c r="AI28" s="45">
        <v>36.5</v>
      </c>
      <c r="AJ28" s="16">
        <f>3.1+18.7</f>
        <v>21.8</v>
      </c>
      <c r="AK28" s="45">
        <v>10.8</v>
      </c>
      <c r="AL28" s="45">
        <v>4.8</v>
      </c>
      <c r="AM28" s="45">
        <v>13.3</v>
      </c>
      <c r="AN28" s="16">
        <f>6.9+6.5</f>
        <v>13.4</v>
      </c>
      <c r="AO28" s="45">
        <v>0</v>
      </c>
      <c r="AP28" s="45">
        <v>52.9</v>
      </c>
      <c r="AQ28" s="45">
        <v>0</v>
      </c>
      <c r="AR28" s="45">
        <v>0</v>
      </c>
      <c r="AS28" s="45">
        <v>14.5</v>
      </c>
      <c r="AT28" s="45">
        <v>-57.9</v>
      </c>
      <c r="AU28" s="45">
        <v>0</v>
      </c>
      <c r="AV28" s="47">
        <v>0</v>
      </c>
      <c r="AW28" s="47">
        <v>317.39999999999998</v>
      </c>
      <c r="AX28" s="47">
        <v>0</v>
      </c>
      <c r="AY28" s="47">
        <v>807.8</v>
      </c>
    </row>
    <row r="29" spans="3:51" ht="108" x14ac:dyDescent="0.2">
      <c r="C29" t="s">
        <v>220</v>
      </c>
      <c r="D29" s="15" t="s">
        <v>241</v>
      </c>
      <c r="E29" s="14" t="s">
        <v>208</v>
      </c>
      <c r="F29" s="16">
        <f>0.8+0.7+0.1</f>
        <v>1.6</v>
      </c>
      <c r="G29" s="16">
        <v>0</v>
      </c>
      <c r="H29" s="16">
        <v>0</v>
      </c>
      <c r="I29" s="16">
        <f>0.8+0.1</f>
        <v>0.9</v>
      </c>
      <c r="J29" s="16">
        <f>86.3+46.4</f>
        <v>132.69999999999999</v>
      </c>
      <c r="K29" s="16">
        <f>11.7+8.8</f>
        <v>20.5</v>
      </c>
      <c r="L29" s="16">
        <f>7.9+6.4</f>
        <v>14.3</v>
      </c>
      <c r="M29" s="16">
        <f>63.8+60</f>
        <v>123.8</v>
      </c>
      <c r="N29" s="16">
        <f>63.8+60</f>
        <v>123.8</v>
      </c>
      <c r="O29" s="54">
        <f>0.6+0.2+0.2+0.1</f>
        <v>1.1000000000000001</v>
      </c>
      <c r="P29" s="45">
        <v>0</v>
      </c>
      <c r="Q29" s="16">
        <f>0.6+0.3</f>
        <v>0.89999999999999991</v>
      </c>
      <c r="R29" s="16">
        <f>5.6+6.1</f>
        <v>11.7</v>
      </c>
      <c r="S29" s="16">
        <f>0.3+0.3</f>
        <v>0.6</v>
      </c>
      <c r="T29" s="16">
        <v>0.2</v>
      </c>
      <c r="U29" s="16">
        <v>0.4</v>
      </c>
      <c r="V29" s="16">
        <v>0.4</v>
      </c>
      <c r="W29" s="16">
        <v>0.3</v>
      </c>
      <c r="X29" s="16">
        <v>0.1</v>
      </c>
      <c r="Y29" s="16">
        <v>0.4</v>
      </c>
      <c r="Z29" s="16">
        <f>283+77.5+68.2+324.5</f>
        <v>753.2</v>
      </c>
      <c r="AA29" s="16">
        <f>34.6+54.1</f>
        <v>88.7</v>
      </c>
      <c r="AB29" s="16">
        <f>331.5+634.1</f>
        <v>965.6</v>
      </c>
      <c r="AC29" s="16">
        <f>108.9+42+61.7+321.3+15.2+64.2+57.9+53+159.6+51.5</f>
        <v>935.30000000000018</v>
      </c>
      <c r="AD29" s="16">
        <f>335.2+146.5</f>
        <v>481.7</v>
      </c>
      <c r="AE29" s="16">
        <f>58.1+26.9</f>
        <v>85</v>
      </c>
      <c r="AF29" s="16">
        <f>86.6+95.4</f>
        <v>182</v>
      </c>
      <c r="AG29" s="16">
        <f>3.3+5.7</f>
        <v>9</v>
      </c>
      <c r="AH29" s="16">
        <f>442+491.8</f>
        <v>933.8</v>
      </c>
      <c r="AI29" s="16">
        <f>1097.7+1083.7</f>
        <v>2181.4</v>
      </c>
      <c r="AJ29" s="16">
        <f>19.7+30.3+32.4+67.4</f>
        <v>149.80000000000001</v>
      </c>
      <c r="AK29" s="16">
        <f>132.1+97.1</f>
        <v>229.2</v>
      </c>
      <c r="AL29" s="16">
        <f>132.1+97.1</f>
        <v>229.2</v>
      </c>
      <c r="AM29" s="16">
        <f>172+79.9</f>
        <v>251.9</v>
      </c>
      <c r="AN29" s="16">
        <f>98+102.6+55.7+107.2</f>
        <v>363.5</v>
      </c>
      <c r="AO29" s="45">
        <v>0</v>
      </c>
      <c r="AP29" s="16">
        <f>1150.3+1133.7</f>
        <v>2284</v>
      </c>
      <c r="AQ29" s="16">
        <f>2.1+29.2</f>
        <v>31.3</v>
      </c>
      <c r="AR29" s="45">
        <v>0</v>
      </c>
      <c r="AS29" s="16">
        <v>105.2</v>
      </c>
      <c r="AT29" s="16">
        <f>-0.5+5.2</f>
        <v>4.7</v>
      </c>
      <c r="AU29" s="45">
        <v>0</v>
      </c>
      <c r="AV29" s="16">
        <v>0</v>
      </c>
      <c r="AW29" s="16">
        <v>39.4</v>
      </c>
      <c r="AX29" s="47">
        <v>0</v>
      </c>
      <c r="AY29" s="16">
        <f>5313.3+5223.9</f>
        <v>10537.2</v>
      </c>
    </row>
    <row r="30" spans="3:51" ht="48" x14ac:dyDescent="0.2">
      <c r="C30" t="s">
        <v>220</v>
      </c>
      <c r="D30" s="15" t="s">
        <v>242</v>
      </c>
      <c r="E30" s="14" t="s">
        <v>208</v>
      </c>
      <c r="F30" s="45">
        <v>0.8</v>
      </c>
      <c r="G30" s="45">
        <v>0</v>
      </c>
      <c r="H30" s="45">
        <v>0</v>
      </c>
      <c r="I30" s="45">
        <v>0.5</v>
      </c>
      <c r="J30" s="45">
        <v>7.1</v>
      </c>
      <c r="K30" s="45">
        <v>0.4</v>
      </c>
      <c r="L30" s="45">
        <v>0.3</v>
      </c>
      <c r="M30" s="45">
        <v>2</v>
      </c>
      <c r="N30" s="45">
        <v>0</v>
      </c>
      <c r="O30" s="55">
        <v>0</v>
      </c>
      <c r="P30" s="47">
        <v>0</v>
      </c>
      <c r="Q30" s="45">
        <v>0</v>
      </c>
      <c r="R30" s="45">
        <v>0.1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0.1</v>
      </c>
      <c r="Z30" s="16">
        <f>4.8+5.2</f>
        <v>10</v>
      </c>
      <c r="AA30" s="45">
        <v>6416.4</v>
      </c>
      <c r="AB30" s="45">
        <v>22</v>
      </c>
      <c r="AC30" s="16">
        <f>21.7+14.1+62.5+23.8+3.2</f>
        <v>125.3</v>
      </c>
      <c r="AD30" s="45">
        <v>10.199999999999999</v>
      </c>
      <c r="AE30" s="45">
        <v>3</v>
      </c>
      <c r="AF30" s="45">
        <v>10.5</v>
      </c>
      <c r="AG30" s="45">
        <v>0.3</v>
      </c>
      <c r="AH30" s="45">
        <v>30.6</v>
      </c>
      <c r="AI30" s="45">
        <v>324.60000000000002</v>
      </c>
      <c r="AJ30" s="16">
        <f>2.4+2.5</f>
        <v>4.9000000000000004</v>
      </c>
      <c r="AK30" s="45">
        <v>352</v>
      </c>
      <c r="AL30" s="45">
        <v>22.2</v>
      </c>
      <c r="AM30" s="45">
        <v>22.6</v>
      </c>
      <c r="AN30" s="16">
        <f>5.5+7.9</f>
        <v>13.4</v>
      </c>
      <c r="AO30" s="45">
        <v>0</v>
      </c>
      <c r="AP30" s="45">
        <v>0.8</v>
      </c>
      <c r="AQ30" s="45">
        <v>0</v>
      </c>
      <c r="AR30" s="45">
        <v>0</v>
      </c>
      <c r="AS30" s="45">
        <v>20309.2</v>
      </c>
      <c r="AT30" s="45">
        <v>0</v>
      </c>
      <c r="AU30" s="45">
        <v>0</v>
      </c>
      <c r="AV30" s="47">
        <v>0</v>
      </c>
      <c r="AW30" s="47">
        <v>0</v>
      </c>
      <c r="AX30" s="47">
        <v>0</v>
      </c>
      <c r="AY30" s="47">
        <v>27689.4</v>
      </c>
    </row>
    <row r="31" spans="3:51" ht="96" x14ac:dyDescent="0.2">
      <c r="C31" t="s">
        <v>220</v>
      </c>
      <c r="D31" s="15" t="s">
        <v>243</v>
      </c>
      <c r="E31" s="14" t="s">
        <v>208</v>
      </c>
      <c r="F31" s="45">
        <f>126.8+6.4</f>
        <v>133.19999999999999</v>
      </c>
      <c r="G31" s="45">
        <v>0</v>
      </c>
      <c r="H31" s="45">
        <v>0</v>
      </c>
      <c r="I31" s="45">
        <v>1495.6</v>
      </c>
      <c r="J31" s="46">
        <v>2232.6999999999998</v>
      </c>
      <c r="K31" s="45">
        <v>927.3</v>
      </c>
      <c r="L31" s="45">
        <v>177.9</v>
      </c>
      <c r="M31" s="45">
        <v>1432</v>
      </c>
      <c r="N31" s="46">
        <v>156.80000000000001</v>
      </c>
      <c r="O31" s="55">
        <f>475+186.5</f>
        <v>661.5</v>
      </c>
      <c r="P31" s="47">
        <v>0</v>
      </c>
      <c r="Q31" s="46">
        <v>413</v>
      </c>
      <c r="R31" s="45">
        <v>2226.6999999999998</v>
      </c>
      <c r="S31" s="45">
        <v>269.5</v>
      </c>
      <c r="T31" s="45">
        <v>451.8</v>
      </c>
      <c r="U31" s="45">
        <v>617.9</v>
      </c>
      <c r="V31" s="45">
        <v>297.5</v>
      </c>
      <c r="W31" s="45">
        <v>400.1</v>
      </c>
      <c r="X31" s="45">
        <v>169.8</v>
      </c>
      <c r="Y31" s="45">
        <v>517.20000000000005</v>
      </c>
      <c r="Z31" s="16">
        <f>1043.4+778.2</f>
        <v>1821.6000000000001</v>
      </c>
      <c r="AA31" s="45">
        <v>2181.4</v>
      </c>
      <c r="AB31" s="45">
        <v>27943.200000000001</v>
      </c>
      <c r="AC31" s="16">
        <f>1515.8+2987.4+3256.3+4252.8+512.1</f>
        <v>12524.4</v>
      </c>
      <c r="AD31" s="45">
        <v>2702.9</v>
      </c>
      <c r="AE31" s="45">
        <v>723.8</v>
      </c>
      <c r="AF31" s="45">
        <v>1630.7</v>
      </c>
      <c r="AG31" s="45">
        <v>65.599999999999994</v>
      </c>
      <c r="AH31" s="45">
        <v>3648.1</v>
      </c>
      <c r="AI31" s="45">
        <v>1369.8</v>
      </c>
      <c r="AJ31" s="16">
        <f>341.5+867.3</f>
        <v>1208.8</v>
      </c>
      <c r="AK31" s="45">
        <v>885.8</v>
      </c>
      <c r="AL31" s="45">
        <v>932.5</v>
      </c>
      <c r="AM31" s="45">
        <v>1431</v>
      </c>
      <c r="AN31" s="16">
        <f>646+1218.5</f>
        <v>1864.5</v>
      </c>
      <c r="AO31" s="45">
        <v>0</v>
      </c>
      <c r="AP31" s="45">
        <v>52574.8</v>
      </c>
      <c r="AQ31" s="45">
        <v>1.6</v>
      </c>
      <c r="AR31" s="45">
        <v>0.1</v>
      </c>
      <c r="AS31" s="45">
        <v>14530.6</v>
      </c>
      <c r="AT31" s="45">
        <v>508.6</v>
      </c>
      <c r="AU31" s="45">
        <v>0</v>
      </c>
      <c r="AV31" s="47">
        <v>467.9</v>
      </c>
      <c r="AW31" s="47">
        <v>37109.9</v>
      </c>
      <c r="AX31" s="47">
        <v>0</v>
      </c>
      <c r="AY31" s="47">
        <v>178708.3</v>
      </c>
    </row>
    <row r="32" spans="3:51" ht="60" x14ac:dyDescent="0.2">
      <c r="C32" t="s">
        <v>220</v>
      </c>
      <c r="D32" s="15" t="s">
        <v>244</v>
      </c>
      <c r="E32" s="14" t="s">
        <v>208</v>
      </c>
      <c r="F32" s="16">
        <f>3.7+0.3+1+0.1+0.9+0.1+2.3+0.2+0.2</f>
        <v>8.7999999999999972</v>
      </c>
      <c r="G32" s="16">
        <v>0</v>
      </c>
      <c r="H32" s="16">
        <v>0</v>
      </c>
      <c r="I32" s="16">
        <f>2232.7+81.6</f>
        <v>2314.2999999999997</v>
      </c>
      <c r="J32" s="16">
        <f>81.6+82.2+51.2+46.9+25.8</f>
        <v>287.7</v>
      </c>
      <c r="K32" s="16">
        <f>37.7+24.9+17.2+22.6+7</f>
        <v>109.4</v>
      </c>
      <c r="L32" s="16">
        <f>5.5+8.9+4.6+2.9+3</f>
        <v>24.9</v>
      </c>
      <c r="M32" s="16">
        <f>52.1+64.2+32.5+29.9+17</f>
        <v>195.70000000000002</v>
      </c>
      <c r="N32" s="16">
        <f>52.1+64.2+32.5+29.9+17</f>
        <v>195.70000000000002</v>
      </c>
      <c r="O32" s="54">
        <f>24.41+8.4+5.5+1.9+5.1+1.8+15.4+5.4+0.1+0.1</f>
        <v>68.109999999999985</v>
      </c>
      <c r="P32" s="47">
        <v>0</v>
      </c>
      <c r="Q32" s="16">
        <f>30.7+7+6.4+19.7+0.1</f>
        <v>63.9</v>
      </c>
      <c r="R32" s="16">
        <f>133.6+31.7+28+85.4+0.2</f>
        <v>278.89999999999998</v>
      </c>
      <c r="S32" s="16">
        <f>17.8+4.1+3.7+11.3</f>
        <v>36.9</v>
      </c>
      <c r="T32" s="16">
        <f>28.1+6.3+5.9+18+0.1</f>
        <v>58.4</v>
      </c>
      <c r="U32" s="16">
        <f>38.3+8.7+8.1+24.5+0.1</f>
        <v>79.699999999999989</v>
      </c>
      <c r="V32" s="16">
        <f>17.6+4+3.8+11.3+0.1</f>
        <v>36.800000000000004</v>
      </c>
      <c r="W32" s="16">
        <f>20.6+4.8+4.4+13.1</f>
        <v>42.900000000000006</v>
      </c>
      <c r="X32" s="16">
        <f>9.5+2.2+2+6.1</f>
        <v>19.799999999999997</v>
      </c>
      <c r="Y32" s="16">
        <f>4.7+1.3+1.1+2.6</f>
        <v>9.6999999999999993</v>
      </c>
      <c r="Z32" s="16">
        <f>35.7+35.2+12.7+22.3+10.1+11.6+22.3+20.5+6.3+14.3</f>
        <v>191.00000000000003</v>
      </c>
      <c r="AA32" s="16">
        <f>63.7+87.9+52.8+34.8+13.4</f>
        <v>252.60000000000005</v>
      </c>
      <c r="AB32" s="16">
        <f>1280.7+1948.6+1166.2+738.1+555.7</f>
        <v>5689.3</v>
      </c>
      <c r="AC32" s="16">
        <f>175.9+166.1+127.4+371.6+29.6+79.4+3565.3+1854.5+1484.4+609+48.2+1890.3+1008.6+479.8+342.4+35.6+4.1+31.4+161.6+0.8+24.9+326.9+42.9+57.1+573.4</f>
        <v>13491.199999999999</v>
      </c>
      <c r="AD32" s="16">
        <f>122.7+53.5+38.3+74.9+16.7</f>
        <v>306.09999999999997</v>
      </c>
      <c r="AE32" s="16">
        <f>28+20.5+20.3+16.7+26.4</f>
        <v>111.9</v>
      </c>
      <c r="AF32" s="16">
        <f>93.1+560.7+300.4+44+353.5</f>
        <v>1351.7</v>
      </c>
      <c r="AG32" s="16">
        <f>3.3+8.4+6.1+1.4+5.9</f>
        <v>25.099999999999994</v>
      </c>
      <c r="AH32" s="16">
        <f>210.1+972.2+473.6+59.7+779.4</f>
        <v>2495</v>
      </c>
      <c r="AI32" s="16">
        <f>60.8+67.8+404.4+30.2+161.6</f>
        <v>724.80000000000007</v>
      </c>
      <c r="AJ32" s="16">
        <f>17.9+41.8+16.5+141.7+31.2+72.3+7.6+17.4+31.5+51.9</f>
        <v>429.79999999999995</v>
      </c>
      <c r="AK32" s="16">
        <f>45.2+36.7+24+26.7+46.6</f>
        <v>179.2</v>
      </c>
      <c r="AL32" s="16">
        <f>44.9+32.6+21.4+26.5+23.2</f>
        <v>148.6</v>
      </c>
      <c r="AM32" s="16">
        <f>48.7+41.1+26.9+27.6+26.2</f>
        <v>170.5</v>
      </c>
      <c r="AN32" s="16">
        <f>28.1+65.5+27.5+111.9+17.5+55.6+16.4+35.6+23.8+59</f>
        <v>440.90000000000003</v>
      </c>
      <c r="AO32" s="45">
        <v>0</v>
      </c>
      <c r="AP32" s="16">
        <f>2572.2+1813.8+1065.9+1434.5+213.2</f>
        <v>7099.5999999999995</v>
      </c>
      <c r="AQ32" s="16">
        <f>0.2+0.1+5.5</f>
        <v>5.8</v>
      </c>
      <c r="AR32" s="45">
        <v>0</v>
      </c>
      <c r="AS32" s="16">
        <f>768.5+189.1+168.2+486.4+237.9</f>
        <v>1850.1</v>
      </c>
      <c r="AT32" s="16">
        <f>-1801+194.9+265.6+417.2+86.6</f>
        <v>-836.69999999999993</v>
      </c>
      <c r="AU32" s="45">
        <v>0</v>
      </c>
      <c r="AV32" s="16">
        <f>4706.2+1724.6+1965.7+14.2+67.5</f>
        <v>8478.2000000000007</v>
      </c>
      <c r="AW32" s="16">
        <f>2393.5+2708.3+11912.4+13749.2+1316.9</f>
        <v>32080.300000000003</v>
      </c>
      <c r="AX32" s="47">
        <v>0</v>
      </c>
      <c r="AY32" s="16">
        <f>12281.1+18682.6+21697.4+17871.3+5202</f>
        <v>75734.399999999994</v>
      </c>
    </row>
    <row r="33" spans="3:51" ht="72" x14ac:dyDescent="0.2">
      <c r="C33" t="s">
        <v>220</v>
      </c>
      <c r="D33" s="15" t="s">
        <v>245</v>
      </c>
      <c r="E33" s="14" t="s">
        <v>208</v>
      </c>
      <c r="F33" s="45">
        <v>0.2</v>
      </c>
      <c r="G33" s="45">
        <v>0</v>
      </c>
      <c r="H33" s="45">
        <v>0</v>
      </c>
      <c r="I33" s="45">
        <v>0.1</v>
      </c>
      <c r="J33" s="45">
        <v>0.3</v>
      </c>
      <c r="K33" s="45">
        <v>2.6</v>
      </c>
      <c r="L33" s="45">
        <v>1.2</v>
      </c>
      <c r="M33" s="45">
        <v>5.2</v>
      </c>
      <c r="N33" s="45">
        <v>0</v>
      </c>
      <c r="O33" s="55">
        <v>0</v>
      </c>
      <c r="P33" s="47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f>9.5+2.2+2+6.1</f>
        <v>19.799999999999997</v>
      </c>
      <c r="Y33" s="45">
        <v>0.1</v>
      </c>
      <c r="Z33" s="16">
        <f>4.7+7.2</f>
        <v>11.9</v>
      </c>
      <c r="AA33" s="45">
        <v>11.2</v>
      </c>
      <c r="AB33" s="45">
        <v>127</v>
      </c>
      <c r="AC33" s="16">
        <f>16.3+43.6+10.5+32.8+10.5</f>
        <v>113.7</v>
      </c>
      <c r="AD33" s="45">
        <v>71.7</v>
      </c>
      <c r="AE33" s="45">
        <v>16.8</v>
      </c>
      <c r="AF33" s="45">
        <v>32.6</v>
      </c>
      <c r="AG33" s="45">
        <v>2.5</v>
      </c>
      <c r="AH33" s="45">
        <v>214</v>
      </c>
      <c r="AI33" s="45">
        <v>95.9</v>
      </c>
      <c r="AJ33" s="16">
        <f>10.2+16.4</f>
        <v>26.599999999999998</v>
      </c>
      <c r="AK33" s="45">
        <v>13.9</v>
      </c>
      <c r="AL33" s="45">
        <v>33</v>
      </c>
      <c r="AM33" s="45">
        <v>19.600000000000001</v>
      </c>
      <c r="AN33" s="16">
        <f>8.3+24.2</f>
        <v>32.5</v>
      </c>
      <c r="AO33" s="45">
        <v>0</v>
      </c>
      <c r="AP33" s="45">
        <v>4934.2</v>
      </c>
      <c r="AQ33" s="45">
        <v>0</v>
      </c>
      <c r="AR33" s="45">
        <v>0</v>
      </c>
      <c r="AS33" s="45">
        <v>24.3</v>
      </c>
      <c r="AT33" s="45">
        <v>0</v>
      </c>
      <c r="AU33" s="45">
        <v>0</v>
      </c>
      <c r="AV33" s="47">
        <v>14832.2</v>
      </c>
      <c r="AW33" s="47">
        <v>0</v>
      </c>
      <c r="AX33" s="47">
        <v>0</v>
      </c>
      <c r="AY33" s="47">
        <v>20632.5</v>
      </c>
    </row>
    <row r="34" spans="3:51" ht="84" x14ac:dyDescent="0.2">
      <c r="C34" t="s">
        <v>220</v>
      </c>
      <c r="D34" s="15" t="s">
        <v>246</v>
      </c>
      <c r="E34" s="14" t="s">
        <v>208</v>
      </c>
      <c r="F34" s="45">
        <v>0.6</v>
      </c>
      <c r="G34" s="45">
        <v>0</v>
      </c>
      <c r="H34" s="45">
        <v>0</v>
      </c>
      <c r="I34" s="45">
        <v>0</v>
      </c>
      <c r="J34" s="46">
        <v>36.299999999999997</v>
      </c>
      <c r="K34" s="45">
        <v>5.6</v>
      </c>
      <c r="L34" s="45">
        <v>0.8</v>
      </c>
      <c r="M34" s="46">
        <v>8.6999999999999993</v>
      </c>
      <c r="N34" s="45">
        <v>0</v>
      </c>
      <c r="O34" s="55">
        <f>0.1+0.1</f>
        <v>0.2</v>
      </c>
      <c r="P34" s="47">
        <v>0</v>
      </c>
      <c r="Q34" s="45">
        <v>0.2</v>
      </c>
      <c r="R34" s="46">
        <v>0.2</v>
      </c>
      <c r="S34" s="46">
        <v>0</v>
      </c>
      <c r="T34" s="45">
        <v>0.2</v>
      </c>
      <c r="U34" s="45">
        <v>0.3</v>
      </c>
      <c r="V34" s="45">
        <v>0.1</v>
      </c>
      <c r="W34" s="45">
        <v>0.1</v>
      </c>
      <c r="X34" s="45">
        <v>0</v>
      </c>
      <c r="Y34" s="45">
        <v>0.1</v>
      </c>
      <c r="Z34" s="16">
        <f>5.5+3.2</f>
        <v>8.6999999999999993</v>
      </c>
      <c r="AA34" s="46">
        <v>22.4</v>
      </c>
      <c r="AB34" s="45">
        <v>240.5</v>
      </c>
      <c r="AC34" s="16">
        <f>16.5+21.9+29.2+28.1+9.8</f>
        <v>105.49999999999999</v>
      </c>
      <c r="AD34" s="45">
        <v>18.600000000000001</v>
      </c>
      <c r="AE34" s="45">
        <v>283.89999999999998</v>
      </c>
      <c r="AF34" s="45">
        <v>81.2</v>
      </c>
      <c r="AG34" s="45">
        <v>2.6</v>
      </c>
      <c r="AH34" s="45">
        <v>261.60000000000002</v>
      </c>
      <c r="AI34" s="45">
        <v>172.7</v>
      </c>
      <c r="AJ34" s="16">
        <f>38.2+11</f>
        <v>49.2</v>
      </c>
      <c r="AK34" s="45">
        <v>12</v>
      </c>
      <c r="AL34" s="45">
        <v>16.2</v>
      </c>
      <c r="AM34" s="45">
        <v>29.7</v>
      </c>
      <c r="AN34" s="16">
        <f>45.1+18.9</f>
        <v>64</v>
      </c>
      <c r="AO34" s="45">
        <v>0</v>
      </c>
      <c r="AP34" s="45">
        <v>575.29999999999995</v>
      </c>
      <c r="AQ34" s="45">
        <v>2.9</v>
      </c>
      <c r="AR34" s="45">
        <v>0</v>
      </c>
      <c r="AS34" s="45">
        <v>127.1</v>
      </c>
      <c r="AT34" s="45">
        <v>-6.1</v>
      </c>
      <c r="AU34" s="45">
        <v>0</v>
      </c>
      <c r="AV34" s="47">
        <v>114.3</v>
      </c>
      <c r="AW34" s="47">
        <v>3613.2</v>
      </c>
      <c r="AX34" s="47">
        <v>0</v>
      </c>
      <c r="AY34" s="47">
        <v>5832.4</v>
      </c>
    </row>
    <row r="35" spans="3:51" ht="36" x14ac:dyDescent="0.2">
      <c r="C35" t="s">
        <v>220</v>
      </c>
      <c r="D35" s="15" t="s">
        <v>247</v>
      </c>
      <c r="E35" s="14" t="s">
        <v>208</v>
      </c>
      <c r="F35" s="45">
        <f>0.7+0.1</f>
        <v>0.79999999999999993</v>
      </c>
      <c r="G35" s="45">
        <v>0</v>
      </c>
      <c r="H35" s="45">
        <v>0</v>
      </c>
      <c r="I35" s="45">
        <v>0.1</v>
      </c>
      <c r="J35" s="46">
        <v>1.8</v>
      </c>
      <c r="K35" s="45">
        <v>19.8</v>
      </c>
      <c r="L35" s="45">
        <v>9.6999999999999993</v>
      </c>
      <c r="M35" s="46">
        <v>39</v>
      </c>
      <c r="N35" s="45">
        <v>0</v>
      </c>
      <c r="O35" s="55">
        <f>0.2+0.1</f>
        <v>0.30000000000000004</v>
      </c>
      <c r="P35" s="47">
        <v>0</v>
      </c>
      <c r="Q35" s="45">
        <v>0.2</v>
      </c>
      <c r="R35" s="46">
        <v>0.5</v>
      </c>
      <c r="S35" s="46">
        <v>0.1</v>
      </c>
      <c r="T35" s="45">
        <v>0.2</v>
      </c>
      <c r="U35" s="45">
        <v>0.3</v>
      </c>
      <c r="V35" s="45">
        <v>0.3</v>
      </c>
      <c r="W35" s="45">
        <v>0.1</v>
      </c>
      <c r="X35" s="45">
        <v>0</v>
      </c>
      <c r="Y35" s="45">
        <v>0</v>
      </c>
      <c r="Z35" s="16">
        <f>18+37.6</f>
        <v>55.6</v>
      </c>
      <c r="AA35" s="46">
        <v>61.1</v>
      </c>
      <c r="AB35" s="45">
        <v>1248.2</v>
      </c>
      <c r="AC35" s="16">
        <f>82.6+1255.9+181+155.8+57.2</f>
        <v>1732.5</v>
      </c>
      <c r="AD35" s="45">
        <v>92.5</v>
      </c>
      <c r="AE35" s="45">
        <v>130.80000000000001</v>
      </c>
      <c r="AF35" s="45">
        <v>1310.7</v>
      </c>
      <c r="AG35" s="45">
        <v>30.8</v>
      </c>
      <c r="AH35" s="45">
        <v>2170.4</v>
      </c>
      <c r="AI35" s="45">
        <v>555.5</v>
      </c>
      <c r="AJ35" s="16">
        <f>102.1+142.3</f>
        <v>244.4</v>
      </c>
      <c r="AK35" s="45">
        <v>116.3</v>
      </c>
      <c r="AL35" s="45">
        <v>75.099999999999994</v>
      </c>
      <c r="AM35" s="45">
        <v>108.3</v>
      </c>
      <c r="AN35" s="16">
        <f>85.1+146.1</f>
        <v>231.2</v>
      </c>
      <c r="AO35" s="45">
        <v>0</v>
      </c>
      <c r="AP35" s="45">
        <v>1794</v>
      </c>
      <c r="AQ35" s="45">
        <v>7.7</v>
      </c>
      <c r="AR35" s="45">
        <v>0</v>
      </c>
      <c r="AS35" s="45">
        <v>295</v>
      </c>
      <c r="AT35" s="45">
        <v>152.5</v>
      </c>
      <c r="AU35" s="45">
        <v>0</v>
      </c>
      <c r="AV35" s="47">
        <v>1251</v>
      </c>
      <c r="AW35" s="47">
        <v>4880.8999999999996</v>
      </c>
      <c r="AX35" s="47">
        <v>0</v>
      </c>
      <c r="AY35" s="47">
        <v>16680.900000000001</v>
      </c>
    </row>
    <row r="36" spans="3:51" ht="60" x14ac:dyDescent="0.2">
      <c r="C36" t="s">
        <v>220</v>
      </c>
      <c r="D36" s="15" t="s">
        <v>248</v>
      </c>
      <c r="E36" s="14" t="s">
        <v>208</v>
      </c>
      <c r="F36" s="45">
        <v>0.2</v>
      </c>
      <c r="G36" s="45">
        <v>0</v>
      </c>
      <c r="H36" s="45">
        <v>0</v>
      </c>
      <c r="I36" s="45">
        <v>0.1</v>
      </c>
      <c r="J36" s="46">
        <v>10.5</v>
      </c>
      <c r="K36" s="45">
        <v>8.6999999999999993</v>
      </c>
      <c r="L36" s="45">
        <v>3.4</v>
      </c>
      <c r="M36" s="46">
        <v>18.7</v>
      </c>
      <c r="N36" s="45">
        <v>0</v>
      </c>
      <c r="O36" s="55">
        <v>0.1</v>
      </c>
      <c r="P36" s="47">
        <v>0</v>
      </c>
      <c r="Q36" s="45">
        <v>0</v>
      </c>
      <c r="R36" s="46">
        <v>0.2</v>
      </c>
      <c r="S36" s="46">
        <v>0</v>
      </c>
      <c r="T36" s="45">
        <v>0.1</v>
      </c>
      <c r="U36" s="45">
        <v>0.1</v>
      </c>
      <c r="V36" s="45">
        <v>0.1</v>
      </c>
      <c r="W36" s="45">
        <v>0.1</v>
      </c>
      <c r="X36" s="45">
        <v>0</v>
      </c>
      <c r="Y36" s="45">
        <v>0.1</v>
      </c>
      <c r="Z36" s="16">
        <f>5.8+7.2</f>
        <v>13</v>
      </c>
      <c r="AA36" s="46">
        <v>15.8</v>
      </c>
      <c r="AB36" s="45">
        <v>405.5</v>
      </c>
      <c r="AC36" s="16">
        <f>31.7+26.7+50.8+62.3+28</f>
        <v>199.5</v>
      </c>
      <c r="AD36" s="45">
        <v>24.9</v>
      </c>
      <c r="AE36" s="45">
        <v>30.3</v>
      </c>
      <c r="AF36" s="45">
        <v>159.6</v>
      </c>
      <c r="AG36" s="45">
        <v>18.8</v>
      </c>
      <c r="AH36" s="45">
        <v>730.6</v>
      </c>
      <c r="AI36" s="45">
        <v>176.3</v>
      </c>
      <c r="AJ36" s="16">
        <f>17.7+20.1</f>
        <v>37.799999999999997</v>
      </c>
      <c r="AK36" s="45">
        <v>59.2</v>
      </c>
      <c r="AL36" s="45">
        <v>30.6</v>
      </c>
      <c r="AM36" s="45">
        <v>23.3</v>
      </c>
      <c r="AN36" s="16">
        <f>17.1+24.5</f>
        <v>41.6</v>
      </c>
      <c r="AO36" s="45">
        <v>0</v>
      </c>
      <c r="AP36" s="45">
        <v>47</v>
      </c>
      <c r="AQ36" s="45">
        <v>0</v>
      </c>
      <c r="AR36" s="45">
        <v>0</v>
      </c>
      <c r="AS36" s="45">
        <v>296.39999999999998</v>
      </c>
      <c r="AT36" s="45">
        <v>45.2</v>
      </c>
      <c r="AU36" s="45">
        <v>0</v>
      </c>
      <c r="AV36" s="47">
        <v>15.6</v>
      </c>
      <c r="AW36" s="47">
        <v>2128.6</v>
      </c>
      <c r="AX36" s="47">
        <v>0</v>
      </c>
      <c r="AY36" s="47">
        <v>4556.3</v>
      </c>
    </row>
    <row r="37" spans="3:51" ht="72" x14ac:dyDescent="0.2">
      <c r="C37" t="s">
        <v>220</v>
      </c>
      <c r="D37" s="15" t="s">
        <v>249</v>
      </c>
      <c r="E37" s="14" t="s">
        <v>208</v>
      </c>
      <c r="F37" s="45">
        <f>1+0.1</f>
        <v>1.1000000000000001</v>
      </c>
      <c r="G37" s="45">
        <v>0</v>
      </c>
      <c r="H37" s="45">
        <v>0</v>
      </c>
      <c r="I37" s="45">
        <v>1.4</v>
      </c>
      <c r="J37" s="46">
        <v>13</v>
      </c>
      <c r="K37" s="45">
        <v>105.2</v>
      </c>
      <c r="L37" s="45">
        <v>43.8</v>
      </c>
      <c r="M37" s="46">
        <v>338.3</v>
      </c>
      <c r="N37" s="45">
        <v>0.4</v>
      </c>
      <c r="O37" s="55">
        <f>1+0.6</f>
        <v>1.6</v>
      </c>
      <c r="P37" s="47">
        <v>0</v>
      </c>
      <c r="Q37" s="45">
        <v>1.2</v>
      </c>
      <c r="R37" s="46">
        <v>11.5</v>
      </c>
      <c r="S37" s="46">
        <v>1.2</v>
      </c>
      <c r="T37" s="45">
        <v>0.9</v>
      </c>
      <c r="U37" s="45">
        <v>1.9</v>
      </c>
      <c r="V37" s="45">
        <v>1.1000000000000001</v>
      </c>
      <c r="W37" s="45">
        <v>0.7</v>
      </c>
      <c r="X37" s="45">
        <v>0.2</v>
      </c>
      <c r="Y37" s="45">
        <v>0.1</v>
      </c>
      <c r="Z37" s="16">
        <f>276.5+2302.4</f>
        <v>2578.9</v>
      </c>
      <c r="AA37" s="46">
        <v>245.3</v>
      </c>
      <c r="AB37" s="45">
        <v>6604.3</v>
      </c>
      <c r="AC37" s="16">
        <f>612.3+894+290.7+1091.8+201.7</f>
        <v>3090.5</v>
      </c>
      <c r="AD37" s="45">
        <v>420.5</v>
      </c>
      <c r="AE37" s="45">
        <v>248.8</v>
      </c>
      <c r="AF37" s="45">
        <v>630.4</v>
      </c>
      <c r="AG37" s="45">
        <v>64</v>
      </c>
      <c r="AH37" s="45">
        <v>24290.400000000001</v>
      </c>
      <c r="AI37" s="45">
        <v>12276.5</v>
      </c>
      <c r="AJ37" s="16">
        <f>343.3+708.1</f>
        <v>1051.4000000000001</v>
      </c>
      <c r="AK37" s="45">
        <v>170.4</v>
      </c>
      <c r="AL37" s="45">
        <v>451.6</v>
      </c>
      <c r="AM37" s="45">
        <v>318.8</v>
      </c>
      <c r="AN37" s="16">
        <f>317.7+806.3</f>
        <v>1124</v>
      </c>
      <c r="AO37" s="45">
        <v>0</v>
      </c>
      <c r="AP37" s="45">
        <v>21823</v>
      </c>
      <c r="AQ37" s="45">
        <v>0</v>
      </c>
      <c r="AR37" s="45">
        <v>357.8</v>
      </c>
      <c r="AS37" s="45">
        <v>465.8</v>
      </c>
      <c r="AT37" s="45">
        <v>4727</v>
      </c>
      <c r="AU37" s="45">
        <v>0</v>
      </c>
      <c r="AV37" s="47">
        <v>1071.5999999999999</v>
      </c>
      <c r="AW37" s="47">
        <v>41690.400000000001</v>
      </c>
      <c r="AX37" s="47">
        <v>0</v>
      </c>
      <c r="AY37" s="47">
        <v>122548.9</v>
      </c>
    </row>
    <row r="38" spans="3:51" ht="36" x14ac:dyDescent="0.2">
      <c r="C38" t="s">
        <v>220</v>
      </c>
      <c r="D38" s="15" t="s">
        <v>250</v>
      </c>
      <c r="E38" s="14" t="s">
        <v>208</v>
      </c>
      <c r="F38" s="45">
        <f>1.2+0.1</f>
        <v>1.3</v>
      </c>
      <c r="G38" s="45">
        <v>0</v>
      </c>
      <c r="H38" s="45">
        <v>0</v>
      </c>
      <c r="I38" s="45">
        <v>0.1</v>
      </c>
      <c r="J38" s="46">
        <v>0.5</v>
      </c>
      <c r="K38" s="45">
        <v>43.8</v>
      </c>
      <c r="L38" s="45">
        <v>13.3</v>
      </c>
      <c r="M38" s="46">
        <v>75.599999999999994</v>
      </c>
      <c r="N38" s="45">
        <v>0.1</v>
      </c>
      <c r="O38" s="55">
        <f>0.2+0.1</f>
        <v>0.30000000000000004</v>
      </c>
      <c r="P38" s="47">
        <v>0</v>
      </c>
      <c r="Q38" s="45">
        <v>0.6</v>
      </c>
      <c r="R38" s="46">
        <v>3.9</v>
      </c>
      <c r="S38" s="46">
        <v>0.6</v>
      </c>
      <c r="T38" s="45">
        <v>0.6</v>
      </c>
      <c r="U38" s="45">
        <v>1.1000000000000001</v>
      </c>
      <c r="V38" s="45">
        <v>0.8</v>
      </c>
      <c r="W38" s="45">
        <v>0.5</v>
      </c>
      <c r="X38" s="45">
        <v>0.2</v>
      </c>
      <c r="Y38" s="45">
        <v>0</v>
      </c>
      <c r="Z38" s="16">
        <f>94.7+304.4</f>
        <v>399.09999999999997</v>
      </c>
      <c r="AA38" s="46">
        <v>184.3</v>
      </c>
      <c r="AB38" s="45">
        <v>6868.2</v>
      </c>
      <c r="AC38" s="16">
        <f>277.2+168.6+218.1+2374.6+103.9</f>
        <v>3142.4</v>
      </c>
      <c r="AD38" s="45">
        <v>1385.9</v>
      </c>
      <c r="AE38" s="45">
        <v>401.2</v>
      </c>
      <c r="AF38" s="45">
        <v>390.3</v>
      </c>
      <c r="AG38" s="45">
        <v>58.1</v>
      </c>
      <c r="AH38" s="45">
        <v>4363.2</v>
      </c>
      <c r="AI38" s="45">
        <v>4322</v>
      </c>
      <c r="AJ38" s="16">
        <f>280.3+507.6</f>
        <v>787.90000000000009</v>
      </c>
      <c r="AK38" s="45">
        <v>77.2</v>
      </c>
      <c r="AL38" s="45">
        <v>301.89999999999998</v>
      </c>
      <c r="AM38" s="45">
        <v>522.4</v>
      </c>
      <c r="AN38" s="16">
        <f>613.9+1570.6</f>
        <v>2184.5</v>
      </c>
      <c r="AO38" s="45">
        <v>0</v>
      </c>
      <c r="AP38" s="45">
        <v>45744.2</v>
      </c>
      <c r="AQ38" s="45">
        <v>0</v>
      </c>
      <c r="AR38" s="45">
        <v>0</v>
      </c>
      <c r="AS38" s="45">
        <v>6108.7</v>
      </c>
      <c r="AT38" s="45">
        <v>0.6</v>
      </c>
      <c r="AU38" s="45">
        <v>0</v>
      </c>
      <c r="AV38" s="47">
        <v>3510.3</v>
      </c>
      <c r="AW38" s="47">
        <v>41.9</v>
      </c>
      <c r="AX38" s="47">
        <v>0</v>
      </c>
      <c r="AY38" s="47">
        <v>81027.8</v>
      </c>
    </row>
    <row r="39" spans="3:51" ht="60" x14ac:dyDescent="0.2">
      <c r="C39" t="s">
        <v>220</v>
      </c>
      <c r="D39" s="15" t="s">
        <v>251</v>
      </c>
      <c r="E39" s="14" t="s">
        <v>208</v>
      </c>
      <c r="F39" s="16">
        <f>2.9+0.3+1+0.1</f>
        <v>4.2999999999999989</v>
      </c>
      <c r="G39" s="16">
        <v>0</v>
      </c>
      <c r="H39" s="16">
        <v>0</v>
      </c>
      <c r="I39" s="16">
        <f>195.7+54.2</f>
        <v>249.89999999999998</v>
      </c>
      <c r="J39" s="16">
        <f>195.7+54.2</f>
        <v>249.89999999999998</v>
      </c>
      <c r="K39" s="16">
        <f>52.6+14.7</f>
        <v>67.3</v>
      </c>
      <c r="L39" s="16">
        <f>33.8+11.6</f>
        <v>45.4</v>
      </c>
      <c r="M39" s="16">
        <f>171.9+51.8</f>
        <v>223.7</v>
      </c>
      <c r="N39" s="16">
        <f>171.9+51.8</f>
        <v>223.7</v>
      </c>
      <c r="O39" s="54">
        <f>0.7+1+0.2+0.2</f>
        <v>2.1</v>
      </c>
      <c r="P39" s="47">
        <v>0</v>
      </c>
      <c r="Q39" s="16">
        <f>0.4+0.1</f>
        <v>0.5</v>
      </c>
      <c r="R39" s="16">
        <f>2+0.6</f>
        <v>2.6</v>
      </c>
      <c r="S39" s="16">
        <f>0.3+0.1</f>
        <v>0.4</v>
      </c>
      <c r="T39" s="16">
        <f>0.9+0.2</f>
        <v>1.1000000000000001</v>
      </c>
      <c r="U39" s="16">
        <f>1.6+0.4</f>
        <v>2</v>
      </c>
      <c r="V39" s="16">
        <v>1.2</v>
      </c>
      <c r="W39" s="16">
        <v>1.2</v>
      </c>
      <c r="X39" s="16">
        <v>0.4</v>
      </c>
      <c r="Y39" s="16">
        <v>1.5</v>
      </c>
      <c r="Z39" s="16">
        <f>42.6+77+12.7+33</f>
        <v>165.29999999999998</v>
      </c>
      <c r="AA39" s="16">
        <f>222.2+52.6</f>
        <v>274.8</v>
      </c>
      <c r="AB39" s="16">
        <f>3636.8+1305.3</f>
        <v>4942.1000000000004</v>
      </c>
      <c r="AC39" s="16">
        <f>205.9+195.3+263+371.8+103.4+146.3+138.3+194.2+214.4+95.9</f>
        <v>1928.5000000000002</v>
      </c>
      <c r="AD39" s="16">
        <f>197.4+74.8</f>
        <v>272.2</v>
      </c>
      <c r="AE39" s="16">
        <f>171.2+64.1</f>
        <v>235.29999999999998</v>
      </c>
      <c r="AF39" s="16">
        <f>556.7+296.8</f>
        <v>853.5</v>
      </c>
      <c r="AG39" s="16">
        <f>43.5+14.6</f>
        <v>58.1</v>
      </c>
      <c r="AH39" s="16">
        <f>2916.5+1002.8</f>
        <v>3919.3</v>
      </c>
      <c r="AI39" s="16">
        <f>1606+622.8</f>
        <v>2228.8000000000002</v>
      </c>
      <c r="AJ39" s="16">
        <f>461.1+267.2+85.2+244.6</f>
        <v>1058.0999999999999</v>
      </c>
      <c r="AK39" s="16">
        <f>387.7+110.3</f>
        <v>498</v>
      </c>
      <c r="AL39" s="16">
        <f>198.1+94.6</f>
        <v>292.7</v>
      </c>
      <c r="AM39" s="16">
        <f>283.9+134.6</f>
        <v>418.5</v>
      </c>
      <c r="AN39" s="16">
        <f>155.4+218.3+77.4+76.3</f>
        <v>527.4</v>
      </c>
      <c r="AO39" s="45">
        <v>0</v>
      </c>
      <c r="AP39" s="16">
        <f>447.2+141.4</f>
        <v>588.6</v>
      </c>
      <c r="AQ39" s="16">
        <v>6.7</v>
      </c>
      <c r="AR39" s="16">
        <v>303.10000000000002</v>
      </c>
      <c r="AS39" s="16">
        <f>2495.7+75.2</f>
        <v>2570.8999999999996</v>
      </c>
      <c r="AT39" s="16">
        <f>80.9+52</f>
        <v>132.9</v>
      </c>
      <c r="AU39" s="45">
        <v>0</v>
      </c>
      <c r="AV39" s="16">
        <f>541.9+1088.8</f>
        <v>1630.6999999999998</v>
      </c>
      <c r="AW39" s="16">
        <f>2254.3+1482.5</f>
        <v>3736.8</v>
      </c>
      <c r="AX39" s="47">
        <v>0</v>
      </c>
      <c r="AY39" s="16">
        <f>19182.5+8058.9</f>
        <v>27241.4</v>
      </c>
    </row>
    <row r="40" spans="3:51" ht="96" x14ac:dyDescent="0.2">
      <c r="C40" t="s">
        <v>220</v>
      </c>
      <c r="D40" s="15" t="s">
        <v>252</v>
      </c>
      <c r="E40" s="14" t="s">
        <v>208</v>
      </c>
      <c r="F40" s="45">
        <v>0.1</v>
      </c>
      <c r="G40" s="45">
        <v>0</v>
      </c>
      <c r="H40" s="45">
        <v>0</v>
      </c>
      <c r="I40" s="45">
        <v>0.1</v>
      </c>
      <c r="J40" s="45">
        <v>0.9</v>
      </c>
      <c r="K40" s="45">
        <v>3.1</v>
      </c>
      <c r="L40" s="45">
        <v>1.9</v>
      </c>
      <c r="M40" s="45">
        <v>6.6</v>
      </c>
      <c r="N40" s="45">
        <v>0</v>
      </c>
      <c r="O40" s="55">
        <v>0</v>
      </c>
      <c r="P40" s="47">
        <v>0</v>
      </c>
      <c r="Q40" s="45">
        <v>0</v>
      </c>
      <c r="R40" s="45">
        <v>0.3</v>
      </c>
      <c r="S40" s="45">
        <v>0</v>
      </c>
      <c r="T40" s="45">
        <v>0</v>
      </c>
      <c r="U40" s="45">
        <v>0.1</v>
      </c>
      <c r="V40" s="45">
        <v>0</v>
      </c>
      <c r="W40" s="45">
        <v>0.1</v>
      </c>
      <c r="X40" s="45">
        <v>0.1</v>
      </c>
      <c r="Y40" s="45">
        <v>0.1</v>
      </c>
      <c r="Z40" s="16">
        <f>5.8+13</f>
        <v>18.8</v>
      </c>
      <c r="AA40" s="45">
        <v>66.900000000000006</v>
      </c>
      <c r="AB40" s="45">
        <v>289.39999999999998</v>
      </c>
      <c r="AC40" s="16">
        <f>25.2+38.1+193.7+99.6+13.9</f>
        <v>370.5</v>
      </c>
      <c r="AD40" s="45">
        <v>39.9</v>
      </c>
      <c r="AE40" s="45">
        <v>17.3</v>
      </c>
      <c r="AF40" s="45">
        <v>38</v>
      </c>
      <c r="AG40" s="45">
        <v>2.7</v>
      </c>
      <c r="AH40" s="45">
        <v>307.10000000000002</v>
      </c>
      <c r="AI40" s="45">
        <v>89.7</v>
      </c>
      <c r="AJ40" s="16">
        <f>19.1+28.1</f>
        <v>47.2</v>
      </c>
      <c r="AK40" s="45">
        <v>309.3</v>
      </c>
      <c r="AL40" s="45">
        <v>31.1</v>
      </c>
      <c r="AM40" s="45">
        <v>24.3</v>
      </c>
      <c r="AN40" s="16">
        <f>22.9+40.1</f>
        <v>63</v>
      </c>
      <c r="AO40" s="45">
        <v>0</v>
      </c>
      <c r="AP40" s="45">
        <v>1988.1</v>
      </c>
      <c r="AQ40" s="45">
        <v>0</v>
      </c>
      <c r="AR40" s="45">
        <v>21947.599999999999</v>
      </c>
      <c r="AS40" s="45">
        <v>43</v>
      </c>
      <c r="AT40" s="45">
        <v>0</v>
      </c>
      <c r="AU40" s="45">
        <v>0</v>
      </c>
      <c r="AV40" s="47">
        <v>0</v>
      </c>
      <c r="AW40" s="47">
        <v>0</v>
      </c>
      <c r="AX40" s="47">
        <v>0</v>
      </c>
      <c r="AY40" s="47">
        <v>25719.599999999999</v>
      </c>
    </row>
    <row r="41" spans="3:51" ht="24" x14ac:dyDescent="0.2">
      <c r="C41" t="s">
        <v>220</v>
      </c>
      <c r="D41" s="15" t="s">
        <v>253</v>
      </c>
      <c r="E41" s="14" t="s">
        <v>208</v>
      </c>
      <c r="F41" s="45">
        <v>0.5</v>
      </c>
      <c r="G41" s="45">
        <v>0</v>
      </c>
      <c r="H41" s="45">
        <v>0</v>
      </c>
      <c r="I41" s="45">
        <v>0</v>
      </c>
      <c r="J41" s="45">
        <v>0.2</v>
      </c>
      <c r="K41" s="45">
        <v>9.3000000000000007</v>
      </c>
      <c r="L41" s="45">
        <v>6.1</v>
      </c>
      <c r="M41" s="45">
        <v>33.799999999999997</v>
      </c>
      <c r="N41" s="45">
        <v>0</v>
      </c>
      <c r="O41" s="55">
        <f>0.1+0.1</f>
        <v>0.2</v>
      </c>
      <c r="P41" s="47">
        <v>0</v>
      </c>
      <c r="Q41" s="45">
        <v>0.1</v>
      </c>
      <c r="R41" s="45">
        <v>1</v>
      </c>
      <c r="S41" s="45">
        <v>0.1</v>
      </c>
      <c r="T41" s="45">
        <v>0.1</v>
      </c>
      <c r="U41" s="45">
        <v>0.1</v>
      </c>
      <c r="V41" s="45">
        <v>0.2</v>
      </c>
      <c r="W41" s="45">
        <v>0.2</v>
      </c>
      <c r="X41" s="45">
        <v>0.1</v>
      </c>
      <c r="Y41" s="45">
        <v>0.1</v>
      </c>
      <c r="Z41" s="16">
        <f>12.8+20.3</f>
        <v>33.1</v>
      </c>
      <c r="AA41" s="45">
        <v>45.4</v>
      </c>
      <c r="AB41" s="45">
        <v>625.5</v>
      </c>
      <c r="AC41" s="16">
        <f>57.5+61.8+67.5+123.5+31.8</f>
        <v>342.1</v>
      </c>
      <c r="AD41" s="45">
        <v>46.6</v>
      </c>
      <c r="AE41" s="45">
        <v>30.3</v>
      </c>
      <c r="AF41" s="45">
        <v>128.5</v>
      </c>
      <c r="AG41" s="45">
        <v>13.9</v>
      </c>
      <c r="AH41" s="45">
        <v>710.2</v>
      </c>
      <c r="AI41" s="45">
        <v>300.8</v>
      </c>
      <c r="AJ41" s="16">
        <f>57.7+63.3</f>
        <v>121</v>
      </c>
      <c r="AK41" s="45">
        <v>163.1</v>
      </c>
      <c r="AL41" s="46">
        <v>469.2</v>
      </c>
      <c r="AM41" s="45">
        <v>89</v>
      </c>
      <c r="AN41" s="16">
        <f>34.3+87.5</f>
        <v>121.8</v>
      </c>
      <c r="AO41" s="45">
        <v>0</v>
      </c>
      <c r="AP41" s="45">
        <v>2918.9</v>
      </c>
      <c r="AQ41" s="45">
        <v>9128.7000000000007</v>
      </c>
      <c r="AR41" s="45">
        <v>2620.6999999999998</v>
      </c>
      <c r="AS41" s="45">
        <v>231.7</v>
      </c>
      <c r="AT41" s="45">
        <v>0</v>
      </c>
      <c r="AU41" s="45">
        <v>0</v>
      </c>
      <c r="AV41" s="47">
        <v>1707.7</v>
      </c>
      <c r="AW41" s="47">
        <v>0</v>
      </c>
      <c r="AX41" s="47">
        <v>0</v>
      </c>
      <c r="AY41" s="47">
        <v>19937.7</v>
      </c>
    </row>
    <row r="42" spans="3:51" ht="48" x14ac:dyDescent="0.2">
      <c r="C42" t="s">
        <v>220</v>
      </c>
      <c r="D42" s="15" t="s">
        <v>254</v>
      </c>
      <c r="E42" s="14" t="s">
        <v>208</v>
      </c>
      <c r="F42" s="45">
        <v>0</v>
      </c>
      <c r="G42" s="45">
        <v>0</v>
      </c>
      <c r="H42" s="45">
        <v>0</v>
      </c>
      <c r="I42" s="45">
        <v>0</v>
      </c>
      <c r="J42" s="45">
        <v>0.5</v>
      </c>
      <c r="K42" s="45">
        <v>3.9</v>
      </c>
      <c r="L42" s="45">
        <v>0.9</v>
      </c>
      <c r="M42" s="45">
        <v>3.8</v>
      </c>
      <c r="N42" s="45">
        <v>0</v>
      </c>
      <c r="O42" s="55">
        <v>0</v>
      </c>
      <c r="P42" s="47">
        <v>0</v>
      </c>
      <c r="Q42" s="45">
        <v>0</v>
      </c>
      <c r="R42" s="45">
        <v>0.1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16">
        <f>3.9+5.5</f>
        <v>9.4</v>
      </c>
      <c r="AA42" s="45">
        <v>9.6999999999999993</v>
      </c>
      <c r="AB42" s="45">
        <v>133.6</v>
      </c>
      <c r="AC42" s="16">
        <f>16.7+47.8+7.1+40.6+8.6</f>
        <v>120.79999999999998</v>
      </c>
      <c r="AD42" s="45">
        <v>16.100000000000001</v>
      </c>
      <c r="AE42" s="45">
        <v>4.7</v>
      </c>
      <c r="AF42" s="45">
        <v>16.399999999999999</v>
      </c>
      <c r="AG42" s="45">
        <v>1.1000000000000001</v>
      </c>
      <c r="AH42" s="45">
        <v>216.6</v>
      </c>
      <c r="AI42" s="45">
        <v>86.3</v>
      </c>
      <c r="AJ42" s="16">
        <f>11.1+18.6</f>
        <v>29.700000000000003</v>
      </c>
      <c r="AK42" s="45">
        <v>8.6999999999999993</v>
      </c>
      <c r="AL42" s="46">
        <v>35.1</v>
      </c>
      <c r="AM42" s="45">
        <v>257.7</v>
      </c>
      <c r="AN42" s="16">
        <f>15.6+25</f>
        <v>40.6</v>
      </c>
      <c r="AO42" s="45">
        <v>0</v>
      </c>
      <c r="AP42" s="45">
        <v>6118.6</v>
      </c>
      <c r="AQ42" s="45">
        <v>1570.9</v>
      </c>
      <c r="AR42" s="45">
        <v>10648</v>
      </c>
      <c r="AS42" s="45">
        <v>26.4</v>
      </c>
      <c r="AT42" s="45">
        <v>0</v>
      </c>
      <c r="AU42" s="45">
        <v>0</v>
      </c>
      <c r="AV42" s="47">
        <v>843.7</v>
      </c>
      <c r="AW42" s="47">
        <v>0</v>
      </c>
      <c r="AX42" s="47">
        <v>0</v>
      </c>
      <c r="AY42" s="47">
        <v>20211.2</v>
      </c>
    </row>
    <row r="43" spans="3:51" ht="96" x14ac:dyDescent="0.2">
      <c r="C43" t="s">
        <v>220</v>
      </c>
      <c r="D43" s="15" t="s">
        <v>255</v>
      </c>
      <c r="E43" s="14" t="s">
        <v>208</v>
      </c>
      <c r="F43" s="16">
        <f>0.4+0.1+3.5+0.5</f>
        <v>4.5</v>
      </c>
      <c r="G43" s="16">
        <v>0</v>
      </c>
      <c r="H43" s="16">
        <v>0</v>
      </c>
      <c r="I43" s="16">
        <f>17.8+145.8</f>
        <v>163.60000000000002</v>
      </c>
      <c r="J43" s="16">
        <f>17.8+145.8</f>
        <v>163.60000000000002</v>
      </c>
      <c r="K43" s="16">
        <f>2.7+52.9</f>
        <v>55.6</v>
      </c>
      <c r="L43" s="16">
        <f>1.2+16.1</f>
        <v>17.3</v>
      </c>
      <c r="M43" s="16">
        <f>11.8+95.6</f>
        <v>107.39999999999999</v>
      </c>
      <c r="N43" s="16">
        <f>11.8+95.6</f>
        <v>107.39999999999999</v>
      </c>
      <c r="O43" s="54">
        <f>2.7+2.2</f>
        <v>4.9000000000000004</v>
      </c>
      <c r="P43" s="47">
        <v>0</v>
      </c>
      <c r="Q43" s="16">
        <v>2.5</v>
      </c>
      <c r="R43" s="16">
        <f>0.2+18</f>
        <v>18.2</v>
      </c>
      <c r="S43" s="16">
        <v>2.4</v>
      </c>
      <c r="T43" s="16">
        <v>3.7</v>
      </c>
      <c r="U43" s="16">
        <v>6.4</v>
      </c>
      <c r="V43" s="16">
        <v>0</v>
      </c>
      <c r="W43" s="16">
        <v>9.8000000000000007</v>
      </c>
      <c r="X43" s="16">
        <v>3.3</v>
      </c>
      <c r="Y43" s="16">
        <v>0.5</v>
      </c>
      <c r="Z43" s="16">
        <f>7+10.8+65.5+71.8</f>
        <v>155.1</v>
      </c>
      <c r="AA43" s="16">
        <f>13.7+121.3</f>
        <v>135</v>
      </c>
      <c r="AB43" s="16">
        <f>237.9+1173.7</f>
        <v>1411.6000000000001</v>
      </c>
      <c r="AC43" s="16">
        <f>23+46.9+39.9+55.7+27.1+126.3+136.9+219.5+176.1+77.7</f>
        <v>929.1</v>
      </c>
      <c r="AD43" s="16">
        <f>21.3+207.4</f>
        <v>228.70000000000002</v>
      </c>
      <c r="AE43" s="16">
        <f>160.6+121.8</f>
        <v>282.39999999999998</v>
      </c>
      <c r="AF43" s="16">
        <f>70.2+174.3</f>
        <v>244.5</v>
      </c>
      <c r="AG43" s="16">
        <f>3.2+13.9</f>
        <v>17.100000000000001</v>
      </c>
      <c r="AH43" s="16">
        <f>480.7+1242.6</f>
        <v>1723.3</v>
      </c>
      <c r="AI43" s="16">
        <f>347.9+772.6</f>
        <v>1120.5</v>
      </c>
      <c r="AJ43" s="16">
        <f>55+132.9</f>
        <v>187.9</v>
      </c>
      <c r="AK43" s="16">
        <f>31+87.3</f>
        <v>118.3</v>
      </c>
      <c r="AL43" s="16">
        <f>43.3+80.4</f>
        <v>123.7</v>
      </c>
      <c r="AM43" s="16">
        <f>34.9+163.3</f>
        <v>198.20000000000002</v>
      </c>
      <c r="AN43" s="16">
        <f>732.5+110.2+162.9+498.9</f>
        <v>1504.5</v>
      </c>
      <c r="AO43" s="45">
        <v>0</v>
      </c>
      <c r="AP43" s="16">
        <f>1574.7+4484.5</f>
        <v>6059.2</v>
      </c>
      <c r="AQ43" s="16">
        <f>61+346</f>
        <v>407</v>
      </c>
      <c r="AR43" s="16">
        <v>0</v>
      </c>
      <c r="AS43" s="16">
        <f>155.1+606.3</f>
        <v>761.4</v>
      </c>
      <c r="AT43" s="16">
        <f>-5.5</f>
        <v>-5.5</v>
      </c>
      <c r="AU43" s="45">
        <v>0</v>
      </c>
      <c r="AV43" s="16">
        <f>2089.6+1116.4</f>
        <v>3206</v>
      </c>
      <c r="AW43" s="16">
        <v>318</v>
      </c>
      <c r="AX43" s="47">
        <v>0</v>
      </c>
      <c r="AY43" s="16">
        <f>6821.9+12840.8</f>
        <v>19662.699999999997</v>
      </c>
    </row>
    <row r="44" spans="3:51" ht="72" x14ac:dyDescent="0.2">
      <c r="C44" t="s">
        <v>220</v>
      </c>
      <c r="D44" s="15" t="s">
        <v>256</v>
      </c>
      <c r="E44" s="14" t="s">
        <v>208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58">
        <v>0</v>
      </c>
      <c r="Z44" s="58">
        <v>0</v>
      </c>
      <c r="AA44" s="58">
        <v>0</v>
      </c>
      <c r="AB44" s="58">
        <v>0</v>
      </c>
      <c r="AC44" s="58">
        <v>0</v>
      </c>
      <c r="AD44" s="58">
        <v>0</v>
      </c>
      <c r="AE44" s="58">
        <v>0</v>
      </c>
      <c r="AF44" s="58">
        <v>0</v>
      </c>
      <c r="AG44" s="58">
        <v>0</v>
      </c>
      <c r="AH44" s="58">
        <v>0</v>
      </c>
      <c r="AI44" s="58">
        <v>0</v>
      </c>
      <c r="AJ44" s="58">
        <v>0</v>
      </c>
      <c r="AK44" s="58">
        <v>0</v>
      </c>
      <c r="AL44" s="58">
        <v>0</v>
      </c>
      <c r="AM44" s="58">
        <v>0</v>
      </c>
      <c r="AN44" s="58">
        <v>0</v>
      </c>
      <c r="AO44" s="58">
        <v>0</v>
      </c>
      <c r="AP44" s="58">
        <v>4665</v>
      </c>
      <c r="AQ44" s="58">
        <v>0</v>
      </c>
      <c r="AR44" s="58">
        <v>0</v>
      </c>
      <c r="AS44" s="58">
        <v>0</v>
      </c>
      <c r="AT44" s="58">
        <v>0</v>
      </c>
      <c r="AU44" s="59">
        <v>0</v>
      </c>
      <c r="AV44" s="58">
        <v>0</v>
      </c>
      <c r="AW44" s="58">
        <v>0</v>
      </c>
      <c r="AX44" s="59">
        <v>0</v>
      </c>
      <c r="AY44" s="58">
        <v>4665</v>
      </c>
    </row>
    <row r="45" spans="3:51" ht="60" x14ac:dyDescent="0.2">
      <c r="C45" t="s">
        <v>257</v>
      </c>
      <c r="D45" s="15" t="s">
        <v>258</v>
      </c>
      <c r="E45" s="14" t="s">
        <v>208</v>
      </c>
      <c r="F45" s="16">
        <f>0.8+0.1+0.1</f>
        <v>1</v>
      </c>
      <c r="G45" s="45">
        <v>0</v>
      </c>
      <c r="H45" s="45">
        <v>0</v>
      </c>
      <c r="I45" s="16">
        <v>0</v>
      </c>
      <c r="J45" s="16">
        <f>143.9+4.2</f>
        <v>148.1</v>
      </c>
      <c r="K45" s="16">
        <f>1.5+0.2</f>
        <v>1.7</v>
      </c>
      <c r="L45" s="16">
        <v>0.4</v>
      </c>
      <c r="M45" s="16">
        <v>2.7</v>
      </c>
      <c r="N45" s="16">
        <v>0</v>
      </c>
      <c r="O45" s="16">
        <f>0.3+0.2</f>
        <v>0.5</v>
      </c>
      <c r="P45" s="45">
        <v>0</v>
      </c>
      <c r="Q45" s="16">
        <v>0.1</v>
      </c>
      <c r="R45" s="16">
        <v>0.4</v>
      </c>
      <c r="S45" s="16">
        <v>0</v>
      </c>
      <c r="T45" s="16">
        <v>0.1</v>
      </c>
      <c r="U45" s="16">
        <v>0.1</v>
      </c>
      <c r="V45" s="16">
        <v>0.1</v>
      </c>
      <c r="W45" s="16">
        <v>0.1</v>
      </c>
      <c r="X45" s="16">
        <v>0</v>
      </c>
      <c r="Y45" s="16">
        <v>0</v>
      </c>
      <c r="Z45" s="16">
        <f>36.3+5+14.8+2.1</f>
        <v>58.199999999999996</v>
      </c>
      <c r="AA45" s="16">
        <v>8.3000000000000007</v>
      </c>
      <c r="AB45" s="16">
        <v>43.8</v>
      </c>
      <c r="AC45" s="16">
        <f>'[1]OECD.Stat export'!$BD$54+'[1]OECD.Stat export'!$BF$54+'[1]OECD.Stat export'!$BH$54+'[1]OECD.Stat export'!$BJ$54+'[1]OECD.Stat export'!$BL$54+'[1]OECD.Stat export'!$BD$55+'[1]OECD.Stat export'!$BF$55+'[1]OECD.Stat export'!$BH$55+'[1]OECD.Stat export'!$BJ$55+'[1]OECD.Stat export'!$BL$55</f>
        <v>493.1</v>
      </c>
      <c r="AD45" s="16">
        <f>422.3+86.3</f>
        <v>508.6</v>
      </c>
      <c r="AE45" s="16">
        <f>3.3+1</f>
        <v>4.3</v>
      </c>
      <c r="AF45" s="16">
        <f>7.3+1.7</f>
        <v>9</v>
      </c>
      <c r="AG45" s="16">
        <v>0.2</v>
      </c>
      <c r="AH45" s="16">
        <f>7.7+1.4</f>
        <v>9.1</v>
      </c>
      <c r="AI45" s="16">
        <f>2.7+0.4</f>
        <v>3.1</v>
      </c>
      <c r="AJ45" s="16">
        <f>1.8+0.3+4.6+0.5</f>
        <v>7.1999999999999993</v>
      </c>
      <c r="AK45" s="16">
        <f>6.4+0.7</f>
        <v>7.1000000000000005</v>
      </c>
      <c r="AL45" s="16">
        <f>10.8+1.2</f>
        <v>12</v>
      </c>
      <c r="AM45" s="16">
        <f>18+1.6</f>
        <v>19.600000000000001</v>
      </c>
      <c r="AN45" s="16">
        <f>11.8+2.3+17.5+3.3</f>
        <v>34.9</v>
      </c>
      <c r="AO45" s="45">
        <v>0</v>
      </c>
      <c r="AP45" s="16">
        <f>4039.6+669.9</f>
        <v>4709.5</v>
      </c>
      <c r="AQ45" s="16">
        <v>0.1</v>
      </c>
      <c r="AR45" s="16">
        <v>0</v>
      </c>
      <c r="AS45" s="16">
        <v>3.5</v>
      </c>
      <c r="AT45" s="16">
        <v>10.6</v>
      </c>
      <c r="AU45" s="45">
        <f>33.6+2.6</f>
        <v>36.200000000000003</v>
      </c>
      <c r="AV45" s="16">
        <v>0</v>
      </c>
      <c r="AW45" s="16">
        <v>0</v>
      </c>
      <c r="AX45" s="45">
        <f>5242.7+891.3</f>
        <v>6134</v>
      </c>
      <c r="AY45" s="45">
        <v>0</v>
      </c>
    </row>
    <row r="46" spans="3:51" ht="84" x14ac:dyDescent="0.2">
      <c r="C46" t="s">
        <v>257</v>
      </c>
      <c r="D46" s="15" t="s">
        <v>259</v>
      </c>
      <c r="E46" s="14" t="s">
        <v>208</v>
      </c>
      <c r="F46" s="16">
        <f>15.7+1.5</f>
        <v>17.2</v>
      </c>
      <c r="G46" s="45">
        <v>0</v>
      </c>
      <c r="H46" s="45">
        <v>0</v>
      </c>
      <c r="I46" s="45">
        <v>169.3</v>
      </c>
      <c r="J46" s="45">
        <v>167.3</v>
      </c>
      <c r="K46" s="45">
        <v>136.5</v>
      </c>
      <c r="L46" s="45">
        <v>8.6999999999999993</v>
      </c>
      <c r="M46" s="45">
        <v>91.6</v>
      </c>
      <c r="N46" s="45">
        <v>18.100000000000001</v>
      </c>
      <c r="O46" s="16">
        <f>0.7</f>
        <v>0.7</v>
      </c>
      <c r="P46" s="45">
        <v>0</v>
      </c>
      <c r="Q46" s="45">
        <v>1.4</v>
      </c>
      <c r="R46" s="45">
        <v>43.7</v>
      </c>
      <c r="S46" s="45">
        <v>2.2000000000000002</v>
      </c>
      <c r="T46" s="45">
        <v>4.0999999999999996</v>
      </c>
      <c r="U46" s="45">
        <v>11.9</v>
      </c>
      <c r="V46" s="45">
        <v>8.1</v>
      </c>
      <c r="W46" s="45">
        <v>2.6</v>
      </c>
      <c r="X46" s="45">
        <v>1.7</v>
      </c>
      <c r="Y46" s="45">
        <v>9.6999999999999993</v>
      </c>
      <c r="Z46" s="16">
        <f>54.1+30.2</f>
        <v>84.3</v>
      </c>
      <c r="AA46" s="45">
        <v>3.8</v>
      </c>
      <c r="AB46" s="45">
        <v>22.3</v>
      </c>
      <c r="AC46" s="16">
        <f>129.4+1.9+39.4+1601.3+9.5</f>
        <v>1781.5</v>
      </c>
      <c r="AD46" s="45">
        <v>6</v>
      </c>
      <c r="AE46" s="45">
        <v>11.8</v>
      </c>
      <c r="AF46" s="45">
        <v>12.7</v>
      </c>
      <c r="AG46" s="45">
        <v>4.0999999999999996</v>
      </c>
      <c r="AH46" s="45">
        <v>44.4</v>
      </c>
      <c r="AI46" s="45">
        <v>11.6</v>
      </c>
      <c r="AJ46" s="16">
        <f>27.1+84.5</f>
        <v>111.6</v>
      </c>
      <c r="AK46" s="45">
        <v>7.7</v>
      </c>
      <c r="AL46" s="45">
        <v>30.2</v>
      </c>
      <c r="AM46" s="45">
        <v>16.2</v>
      </c>
      <c r="AN46" s="16">
        <f>14.1+22.3</f>
        <v>36.4</v>
      </c>
      <c r="AO46" s="45">
        <v>0</v>
      </c>
      <c r="AP46" s="45">
        <v>37.1</v>
      </c>
      <c r="AQ46" s="45">
        <v>0.6</v>
      </c>
      <c r="AR46" s="45">
        <v>0</v>
      </c>
      <c r="AS46" s="45">
        <v>3.7</v>
      </c>
      <c r="AT46" s="45">
        <v>31.4</v>
      </c>
      <c r="AU46" s="45">
        <v>0.4</v>
      </c>
      <c r="AV46" s="45">
        <v>0</v>
      </c>
      <c r="AW46" s="45">
        <v>0</v>
      </c>
      <c r="AX46" s="45">
        <v>2952.4</v>
      </c>
      <c r="AY46" s="45">
        <v>0</v>
      </c>
    </row>
    <row r="47" spans="3:51" ht="96" x14ac:dyDescent="0.2">
      <c r="C47" t="s">
        <v>257</v>
      </c>
      <c r="D47" s="15" t="s">
        <v>260</v>
      </c>
      <c r="E47" s="14" t="s">
        <v>208</v>
      </c>
      <c r="F47" s="16">
        <f>3.1+0.4</f>
        <v>3.5</v>
      </c>
      <c r="G47" s="45">
        <v>0</v>
      </c>
      <c r="H47" s="45">
        <v>0</v>
      </c>
      <c r="I47" s="45">
        <v>38.700000000000003</v>
      </c>
      <c r="J47" s="45">
        <v>20.2</v>
      </c>
      <c r="K47" s="46">
        <v>17.399999999999999</v>
      </c>
      <c r="L47" s="45">
        <v>1.3</v>
      </c>
      <c r="M47" s="45">
        <v>9.9</v>
      </c>
      <c r="N47" s="45">
        <v>0.5</v>
      </c>
      <c r="O47" s="16">
        <v>0.3</v>
      </c>
      <c r="P47" s="45">
        <v>0</v>
      </c>
      <c r="Q47" s="45">
        <v>0.9</v>
      </c>
      <c r="R47" s="45">
        <v>10.1</v>
      </c>
      <c r="S47" s="45">
        <v>0.6</v>
      </c>
      <c r="T47" s="45">
        <v>0.7</v>
      </c>
      <c r="U47" s="45">
        <v>2.4</v>
      </c>
      <c r="V47" s="45">
        <v>1.6</v>
      </c>
      <c r="W47" s="45">
        <v>0.4</v>
      </c>
      <c r="X47" s="45">
        <v>0.3</v>
      </c>
      <c r="Y47" s="45">
        <v>1.7</v>
      </c>
      <c r="Z47" s="16">
        <v>8.1999999999999993</v>
      </c>
      <c r="AA47" s="45">
        <v>2.1</v>
      </c>
      <c r="AB47" s="45">
        <v>3.7</v>
      </c>
      <c r="AC47" s="16">
        <f>18.6+0.2+4.8+286.2+0.9</f>
        <v>310.7</v>
      </c>
      <c r="AD47" s="45">
        <v>0.8</v>
      </c>
      <c r="AE47" s="45">
        <v>0.8</v>
      </c>
      <c r="AF47" s="45">
        <v>1.6</v>
      </c>
      <c r="AG47" s="45">
        <v>0.5</v>
      </c>
      <c r="AH47" s="45">
        <v>4.7</v>
      </c>
      <c r="AI47" s="45">
        <v>1.8</v>
      </c>
      <c r="AJ47" s="16">
        <f>5.7+10.8</f>
        <v>16.5</v>
      </c>
      <c r="AK47" s="45">
        <v>1.3</v>
      </c>
      <c r="AL47" s="45">
        <v>3.1</v>
      </c>
      <c r="AM47" s="45">
        <v>1.7</v>
      </c>
      <c r="AN47" s="16">
        <f>1.9+3</f>
        <v>4.9000000000000004</v>
      </c>
      <c r="AO47" s="45">
        <v>0</v>
      </c>
      <c r="AP47" s="45">
        <v>6.1</v>
      </c>
      <c r="AQ47" s="45">
        <v>0</v>
      </c>
      <c r="AR47" s="45">
        <v>0</v>
      </c>
      <c r="AS47" s="45">
        <v>1</v>
      </c>
      <c r="AT47" s="45">
        <v>1.1000000000000001</v>
      </c>
      <c r="AU47" s="45">
        <v>0.4</v>
      </c>
      <c r="AV47" s="45">
        <v>0</v>
      </c>
      <c r="AW47" s="45">
        <v>0</v>
      </c>
      <c r="AX47" s="45">
        <v>481.4</v>
      </c>
      <c r="AY47" s="45">
        <v>0</v>
      </c>
    </row>
    <row r="48" spans="3:51" ht="60" x14ac:dyDescent="0.2">
      <c r="C48" t="s">
        <v>257</v>
      </c>
      <c r="D48" s="15" t="s">
        <v>261</v>
      </c>
      <c r="E48" s="14" t="s">
        <v>208</v>
      </c>
      <c r="F48" s="16">
        <v>0.1</v>
      </c>
      <c r="G48" s="45">
        <v>0</v>
      </c>
      <c r="H48" s="45">
        <v>0</v>
      </c>
      <c r="I48" s="45">
        <v>8.8000000000000007</v>
      </c>
      <c r="J48" s="45">
        <v>0.3</v>
      </c>
      <c r="K48" s="46">
        <v>0.1</v>
      </c>
      <c r="L48" s="45">
        <v>0.1</v>
      </c>
      <c r="M48" s="45">
        <v>0.2</v>
      </c>
      <c r="N48" s="45">
        <v>0</v>
      </c>
      <c r="O48" s="16">
        <v>0</v>
      </c>
      <c r="P48" s="45">
        <v>0</v>
      </c>
      <c r="Q48" s="45">
        <v>0</v>
      </c>
      <c r="R48" s="45">
        <v>0.4</v>
      </c>
      <c r="S48" s="45">
        <v>0</v>
      </c>
      <c r="T48" s="45">
        <v>0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16">
        <v>0.2</v>
      </c>
      <c r="AA48" s="45">
        <v>0</v>
      </c>
      <c r="AB48" s="45">
        <v>0.5</v>
      </c>
      <c r="AC48" s="16">
        <f>0.5+0.1+0.3+0.1+0.1</f>
        <v>1.0999999999999999</v>
      </c>
      <c r="AD48" s="45">
        <v>0.1</v>
      </c>
      <c r="AE48" s="45">
        <v>0</v>
      </c>
      <c r="AF48" s="45">
        <v>0</v>
      </c>
      <c r="AG48" s="45">
        <v>0</v>
      </c>
      <c r="AH48" s="45">
        <v>0.3</v>
      </c>
      <c r="AI48" s="45">
        <v>0.1</v>
      </c>
      <c r="AJ48" s="16">
        <v>0.3</v>
      </c>
      <c r="AK48" s="45">
        <v>0</v>
      </c>
      <c r="AL48" s="45">
        <v>0.1</v>
      </c>
      <c r="AM48" s="45">
        <v>0</v>
      </c>
      <c r="AN48" s="16">
        <v>0</v>
      </c>
      <c r="AO48" s="45">
        <v>0</v>
      </c>
      <c r="AP48" s="45">
        <v>0.7</v>
      </c>
      <c r="AQ48" s="45">
        <v>0</v>
      </c>
      <c r="AR48" s="45">
        <v>0</v>
      </c>
      <c r="AS48" s="45">
        <v>0.3</v>
      </c>
      <c r="AT48" s="45">
        <v>0.3</v>
      </c>
      <c r="AU48" s="45">
        <v>0.1</v>
      </c>
      <c r="AV48" s="45">
        <v>0</v>
      </c>
      <c r="AW48" s="45">
        <v>0</v>
      </c>
      <c r="AX48" s="45">
        <v>14.6</v>
      </c>
      <c r="AY48" s="45">
        <v>0</v>
      </c>
    </row>
    <row r="49" spans="3:51" ht="72" x14ac:dyDescent="0.2">
      <c r="C49" t="s">
        <v>257</v>
      </c>
      <c r="D49" s="15" t="s">
        <v>262</v>
      </c>
      <c r="E49" s="14" t="s">
        <v>208</v>
      </c>
      <c r="F49" s="16">
        <f>8.7+0.7</f>
        <v>9.3999999999999986</v>
      </c>
      <c r="G49" s="45">
        <v>0</v>
      </c>
      <c r="H49" s="45">
        <v>0</v>
      </c>
      <c r="I49" s="45">
        <v>0.1</v>
      </c>
      <c r="J49" s="45">
        <v>426.5</v>
      </c>
      <c r="K49" s="46">
        <v>61.1</v>
      </c>
      <c r="L49" s="45">
        <v>42.1</v>
      </c>
      <c r="M49" s="45">
        <v>310.3</v>
      </c>
      <c r="N49" s="45">
        <v>2.2000000000000002</v>
      </c>
      <c r="O49" s="16">
        <f>15.4+8.2</f>
        <v>23.6</v>
      </c>
      <c r="P49" s="45">
        <v>0</v>
      </c>
      <c r="Q49" s="45">
        <v>2.6</v>
      </c>
      <c r="R49" s="45">
        <v>17.100000000000001</v>
      </c>
      <c r="S49" s="45">
        <v>1.4</v>
      </c>
      <c r="T49" s="45">
        <v>2.2999999999999998</v>
      </c>
      <c r="U49" s="45">
        <v>4</v>
      </c>
      <c r="V49" s="45">
        <v>2.6</v>
      </c>
      <c r="W49" s="45">
        <v>1.3</v>
      </c>
      <c r="X49" s="45">
        <v>0.5</v>
      </c>
      <c r="Y49" s="45">
        <v>0.4</v>
      </c>
      <c r="Z49" s="16">
        <f>201.6+106</f>
        <v>307.60000000000002</v>
      </c>
      <c r="AA49" s="45">
        <v>675.5</v>
      </c>
      <c r="AB49" s="45">
        <v>630.20000000000005</v>
      </c>
      <c r="AC49" s="16">
        <f>231.5+752.1+720.9+252.7+119.3</f>
        <v>2076.5</v>
      </c>
      <c r="AD49" s="45">
        <v>1084.7</v>
      </c>
      <c r="AE49" s="45">
        <v>84.2</v>
      </c>
      <c r="AF49" s="45">
        <v>156.19999999999999</v>
      </c>
      <c r="AG49" s="45">
        <v>7.6</v>
      </c>
      <c r="AH49" s="45">
        <v>467.1</v>
      </c>
      <c r="AI49" s="45">
        <v>165.8</v>
      </c>
      <c r="AJ49" s="16">
        <f>51.6+88.6</f>
        <v>140.19999999999999</v>
      </c>
      <c r="AK49" s="45">
        <v>58.5</v>
      </c>
      <c r="AL49" s="45">
        <v>73</v>
      </c>
      <c r="AM49" s="45">
        <v>325.3</v>
      </c>
      <c r="AN49" s="16">
        <f>83.8+195.1</f>
        <v>278.89999999999998</v>
      </c>
      <c r="AO49" s="45">
        <v>0</v>
      </c>
      <c r="AP49" s="45">
        <v>9342.1</v>
      </c>
      <c r="AQ49" s="45">
        <v>0</v>
      </c>
      <c r="AR49" s="45">
        <v>0</v>
      </c>
      <c r="AS49" s="45">
        <v>190.5</v>
      </c>
      <c r="AT49" s="45">
        <v>28.9</v>
      </c>
      <c r="AU49" s="45">
        <v>148.6</v>
      </c>
      <c r="AV49" s="45">
        <v>0</v>
      </c>
      <c r="AW49" s="45">
        <v>0</v>
      </c>
      <c r="AX49" s="45">
        <v>17148.7</v>
      </c>
      <c r="AY49" s="45">
        <v>0</v>
      </c>
    </row>
    <row r="50" spans="3:51" ht="84" x14ac:dyDescent="0.2">
      <c r="C50" t="s">
        <v>257</v>
      </c>
      <c r="D50" s="15" t="s">
        <v>263</v>
      </c>
      <c r="E50" s="14" t="s">
        <v>208</v>
      </c>
      <c r="F50" s="16">
        <v>0.6</v>
      </c>
      <c r="G50" s="45">
        <v>0</v>
      </c>
      <c r="H50" s="45">
        <v>0</v>
      </c>
      <c r="I50" s="45">
        <v>0.2</v>
      </c>
      <c r="J50" s="45">
        <v>20.5</v>
      </c>
      <c r="K50" s="46">
        <v>574.79999999999995</v>
      </c>
      <c r="L50" s="45">
        <v>2.5</v>
      </c>
      <c r="M50" s="45">
        <v>27.7</v>
      </c>
      <c r="N50" s="45">
        <v>0.1</v>
      </c>
      <c r="O50" s="16">
        <v>1</v>
      </c>
      <c r="P50" s="45">
        <v>0</v>
      </c>
      <c r="Q50" s="45">
        <v>0.6</v>
      </c>
      <c r="R50" s="45">
        <v>2.4</v>
      </c>
      <c r="S50" s="45">
        <v>0.3</v>
      </c>
      <c r="T50" s="45">
        <v>0.3</v>
      </c>
      <c r="U50" s="45">
        <v>0.6</v>
      </c>
      <c r="V50" s="45">
        <v>0.4</v>
      </c>
      <c r="W50" s="45">
        <v>0.7</v>
      </c>
      <c r="X50" s="45">
        <v>0.2</v>
      </c>
      <c r="Y50" s="45">
        <v>0.7</v>
      </c>
      <c r="Z50" s="16">
        <f>12.1+19</f>
        <v>31.1</v>
      </c>
      <c r="AA50" s="45">
        <v>13.8</v>
      </c>
      <c r="AB50" s="45">
        <v>288.5</v>
      </c>
      <c r="AC50" s="16">
        <f>117.2+135.9+100.9+136.6+73</f>
        <v>563.6</v>
      </c>
      <c r="AD50" s="45">
        <v>10.6</v>
      </c>
      <c r="AE50" s="45">
        <v>23.1</v>
      </c>
      <c r="AF50" s="45">
        <v>78.599999999999994</v>
      </c>
      <c r="AG50" s="45">
        <v>3.6</v>
      </c>
      <c r="AH50" s="45">
        <v>279.89999999999998</v>
      </c>
      <c r="AI50" s="45">
        <v>105.2</v>
      </c>
      <c r="AJ50" s="16">
        <f>25.8+55</f>
        <v>80.8</v>
      </c>
      <c r="AK50" s="45">
        <v>32.1</v>
      </c>
      <c r="AL50" s="45">
        <v>21</v>
      </c>
      <c r="AM50" s="45">
        <v>29.3</v>
      </c>
      <c r="AN50" s="16">
        <f>18.2+95.8</f>
        <v>114</v>
      </c>
      <c r="AO50" s="45">
        <v>0</v>
      </c>
      <c r="AP50" s="45">
        <v>9039.4</v>
      </c>
      <c r="AQ50" s="45">
        <v>0</v>
      </c>
      <c r="AR50" s="45">
        <v>0</v>
      </c>
      <c r="AS50" s="45">
        <v>57.1</v>
      </c>
      <c r="AT50" s="45">
        <v>224.2</v>
      </c>
      <c r="AU50" s="45">
        <v>94</v>
      </c>
      <c r="AV50" s="45">
        <v>0</v>
      </c>
      <c r="AW50" s="45">
        <v>0</v>
      </c>
      <c r="AX50" s="45">
        <v>11723.4</v>
      </c>
      <c r="AY50" s="45">
        <v>0</v>
      </c>
    </row>
    <row r="51" spans="3:51" ht="84" x14ac:dyDescent="0.2">
      <c r="C51" t="s">
        <v>257</v>
      </c>
      <c r="D51" s="15" t="s">
        <v>264</v>
      </c>
      <c r="E51" s="14" t="s">
        <v>208</v>
      </c>
      <c r="F51" s="16">
        <v>0.7</v>
      </c>
      <c r="G51" s="45">
        <v>0</v>
      </c>
      <c r="H51" s="45">
        <v>0</v>
      </c>
      <c r="I51" s="45">
        <v>0.1</v>
      </c>
      <c r="J51" s="45">
        <v>9.1</v>
      </c>
      <c r="K51" s="46">
        <v>0.2</v>
      </c>
      <c r="L51" s="45">
        <v>0</v>
      </c>
      <c r="M51" s="45">
        <v>0.2</v>
      </c>
      <c r="N51" s="45">
        <v>0</v>
      </c>
      <c r="O51" s="16">
        <v>0.1</v>
      </c>
      <c r="P51" s="45">
        <v>0</v>
      </c>
      <c r="Q51" s="45">
        <v>0.1</v>
      </c>
      <c r="R51" s="45">
        <v>0.9</v>
      </c>
      <c r="S51" s="45">
        <v>0.1</v>
      </c>
      <c r="T51" s="45">
        <v>0.1</v>
      </c>
      <c r="U51" s="45">
        <v>0.2</v>
      </c>
      <c r="V51" s="45">
        <v>0.1</v>
      </c>
      <c r="W51" s="45">
        <v>0.2</v>
      </c>
      <c r="X51" s="45">
        <v>0.1</v>
      </c>
      <c r="Y51" s="45">
        <v>0.1</v>
      </c>
      <c r="Z51" s="16">
        <f>0.7+0.8</f>
        <v>1.5</v>
      </c>
      <c r="AA51" s="45">
        <v>40.5</v>
      </c>
      <c r="AB51" s="45">
        <v>10.7</v>
      </c>
      <c r="AC51" s="16">
        <f>6.8+27.6+4.4+11.6+1.2</f>
        <v>51.6</v>
      </c>
      <c r="AD51" s="45">
        <v>0.6</v>
      </c>
      <c r="AE51" s="45">
        <v>0.6</v>
      </c>
      <c r="AF51" s="45">
        <v>1.8</v>
      </c>
      <c r="AG51" s="45">
        <v>0</v>
      </c>
      <c r="AH51" s="45">
        <v>8.5</v>
      </c>
      <c r="AI51" s="45">
        <v>1.9</v>
      </c>
      <c r="AJ51" s="16">
        <v>0.8</v>
      </c>
      <c r="AK51" s="45">
        <v>0.9</v>
      </c>
      <c r="AL51" s="45">
        <v>1</v>
      </c>
      <c r="AM51" s="45">
        <v>10.1</v>
      </c>
      <c r="AN51" s="16">
        <v>2.8</v>
      </c>
      <c r="AO51" s="45">
        <v>0</v>
      </c>
      <c r="AP51" s="45">
        <v>214.9</v>
      </c>
      <c r="AQ51" s="45">
        <v>0</v>
      </c>
      <c r="AR51" s="45">
        <v>0</v>
      </c>
      <c r="AS51" s="45">
        <v>28.8</v>
      </c>
      <c r="AT51" s="45">
        <v>230.3</v>
      </c>
      <c r="AU51" s="45">
        <v>6.2</v>
      </c>
      <c r="AV51" s="45">
        <v>0</v>
      </c>
      <c r="AW51" s="45">
        <v>0</v>
      </c>
      <c r="AX51" s="45">
        <v>626.1</v>
      </c>
      <c r="AY51" s="45">
        <v>0</v>
      </c>
    </row>
    <row r="52" spans="3:51" ht="60" x14ac:dyDescent="0.2">
      <c r="C52" t="s">
        <v>257</v>
      </c>
      <c r="D52" s="15" t="s">
        <v>265</v>
      </c>
      <c r="E52" s="14" t="s">
        <v>208</v>
      </c>
      <c r="F52" s="16">
        <f>2.7+0.3</f>
        <v>3</v>
      </c>
      <c r="G52" s="45">
        <v>0</v>
      </c>
      <c r="H52" s="45">
        <v>0</v>
      </c>
      <c r="I52" s="45">
        <v>0</v>
      </c>
      <c r="J52" s="45">
        <v>212.3</v>
      </c>
      <c r="K52" s="46">
        <v>49.8</v>
      </c>
      <c r="L52" s="45">
        <v>1.5</v>
      </c>
      <c r="M52" s="45">
        <v>224.4</v>
      </c>
      <c r="N52" s="45">
        <v>0.1</v>
      </c>
      <c r="O52" s="16">
        <v>1.8</v>
      </c>
      <c r="P52" s="45">
        <v>0</v>
      </c>
      <c r="Q52" s="45">
        <v>2.9</v>
      </c>
      <c r="R52" s="45">
        <v>2.6</v>
      </c>
      <c r="S52" s="45">
        <v>0.3</v>
      </c>
      <c r="T52" s="45">
        <v>1.4</v>
      </c>
      <c r="U52" s="45">
        <v>3.2</v>
      </c>
      <c r="V52" s="45">
        <v>1.1000000000000001</v>
      </c>
      <c r="W52" s="45">
        <v>0.5</v>
      </c>
      <c r="X52" s="45">
        <v>0.1</v>
      </c>
      <c r="Y52" s="45">
        <v>1</v>
      </c>
      <c r="Z52" s="16">
        <f>4.7+6</f>
        <v>10.7</v>
      </c>
      <c r="AA52" s="45">
        <v>129.1</v>
      </c>
      <c r="AB52" s="45">
        <v>127.9</v>
      </c>
      <c r="AC52" s="16">
        <f>32.4+47+23.1+46.2+14.9</f>
        <v>163.6</v>
      </c>
      <c r="AD52" s="45">
        <v>1.9</v>
      </c>
      <c r="AE52" s="45">
        <v>19.100000000000001</v>
      </c>
      <c r="AF52" s="45">
        <v>17.399999999999999</v>
      </c>
      <c r="AG52" s="45">
        <v>0.8</v>
      </c>
      <c r="AH52" s="45">
        <v>94.5</v>
      </c>
      <c r="AI52" s="45">
        <v>23.9</v>
      </c>
      <c r="AJ52" s="16">
        <f>6.9+8.2</f>
        <v>15.1</v>
      </c>
      <c r="AK52" s="45">
        <v>4.7</v>
      </c>
      <c r="AL52" s="45">
        <v>11.3</v>
      </c>
      <c r="AM52" s="45">
        <v>95.6</v>
      </c>
      <c r="AN52" s="16">
        <f>7+12.1</f>
        <v>19.100000000000001</v>
      </c>
      <c r="AO52" s="45">
        <v>0</v>
      </c>
      <c r="AP52" s="45">
        <v>442.5</v>
      </c>
      <c r="AQ52" s="45">
        <v>0</v>
      </c>
      <c r="AR52" s="45">
        <v>0</v>
      </c>
      <c r="AS52" s="45">
        <v>7.9</v>
      </c>
      <c r="AT52" s="45">
        <v>16.899999999999999</v>
      </c>
      <c r="AU52" s="45">
        <v>17</v>
      </c>
      <c r="AV52" s="45">
        <v>0</v>
      </c>
      <c r="AW52" s="45">
        <v>0</v>
      </c>
      <c r="AX52" s="45">
        <v>1724.9</v>
      </c>
      <c r="AY52" s="45">
        <v>0</v>
      </c>
    </row>
    <row r="53" spans="3:51" ht="60" x14ac:dyDescent="0.2">
      <c r="C53" t="s">
        <v>257</v>
      </c>
      <c r="D53" s="15" t="s">
        <v>266</v>
      </c>
      <c r="E53" s="14" t="s">
        <v>208</v>
      </c>
      <c r="F53" s="16">
        <v>1.1000000000000001</v>
      </c>
      <c r="G53" s="45">
        <v>0</v>
      </c>
      <c r="H53" s="45">
        <v>0</v>
      </c>
      <c r="I53" s="45">
        <v>15.2</v>
      </c>
      <c r="J53" s="45">
        <v>11.4</v>
      </c>
      <c r="K53" s="46">
        <v>3.1</v>
      </c>
      <c r="L53" s="45">
        <v>2</v>
      </c>
      <c r="M53" s="45">
        <v>11.2</v>
      </c>
      <c r="N53" s="45">
        <v>72.400000000000006</v>
      </c>
      <c r="O53" s="16">
        <f>116.1+20.2</f>
        <v>136.29999999999998</v>
      </c>
      <c r="P53" s="45">
        <v>0</v>
      </c>
      <c r="Q53" s="45">
        <v>51.2</v>
      </c>
      <c r="R53" s="45">
        <v>647.20000000000005</v>
      </c>
      <c r="S53" s="45">
        <v>47.2</v>
      </c>
      <c r="T53" s="45">
        <v>4.7</v>
      </c>
      <c r="U53" s="45">
        <v>15.5</v>
      </c>
      <c r="V53" s="45">
        <v>9.1</v>
      </c>
      <c r="W53" s="45">
        <v>10.1</v>
      </c>
      <c r="X53" s="45">
        <v>3.4</v>
      </c>
      <c r="Y53" s="45">
        <v>5.9</v>
      </c>
      <c r="Z53" s="16">
        <f>82+54.2</f>
        <v>136.19999999999999</v>
      </c>
      <c r="AA53" s="45">
        <v>3.9</v>
      </c>
      <c r="AB53" s="45">
        <v>4269.3</v>
      </c>
      <c r="AC53" s="16">
        <f>284+348.7+586.4+712.7+44</f>
        <v>1975.8</v>
      </c>
      <c r="AD53" s="45">
        <v>14.6</v>
      </c>
      <c r="AE53" s="45">
        <v>20.399999999999999</v>
      </c>
      <c r="AF53" s="45">
        <v>39.4</v>
      </c>
      <c r="AG53" s="45">
        <v>3.7</v>
      </c>
      <c r="AH53" s="45">
        <v>516.70000000000005</v>
      </c>
      <c r="AI53" s="45">
        <v>129.80000000000001</v>
      </c>
      <c r="AJ53" s="16">
        <f>23+94.5</f>
        <v>117.5</v>
      </c>
      <c r="AK53" s="45">
        <v>245.2</v>
      </c>
      <c r="AL53" s="45">
        <v>112.6</v>
      </c>
      <c r="AM53" s="45">
        <v>19.600000000000001</v>
      </c>
      <c r="AN53" s="16">
        <f>28.4+60.7</f>
        <v>89.1</v>
      </c>
      <c r="AO53" s="45">
        <v>0</v>
      </c>
      <c r="AP53" s="45">
        <v>3193.1</v>
      </c>
      <c r="AQ53" s="45">
        <v>0</v>
      </c>
      <c r="AR53" s="45">
        <v>0</v>
      </c>
      <c r="AS53" s="45">
        <v>12.3</v>
      </c>
      <c r="AT53" s="45">
        <v>1234</v>
      </c>
      <c r="AU53" s="45">
        <v>63.2</v>
      </c>
      <c r="AV53" s="45">
        <v>0</v>
      </c>
      <c r="AW53" s="45">
        <v>0</v>
      </c>
      <c r="AX53" s="45">
        <v>13543.9</v>
      </c>
      <c r="AY53" s="45">
        <v>0</v>
      </c>
    </row>
    <row r="54" spans="3:51" ht="84" x14ac:dyDescent="0.2">
      <c r="C54" t="s">
        <v>257</v>
      </c>
      <c r="D54" s="15" t="s">
        <v>267</v>
      </c>
      <c r="E54" s="14" t="s">
        <v>208</v>
      </c>
      <c r="F54" s="16">
        <f>2.1+0.1+0.1</f>
        <v>2.3000000000000003</v>
      </c>
      <c r="G54" s="45">
        <v>0</v>
      </c>
      <c r="H54" s="45">
        <v>0</v>
      </c>
      <c r="I54" s="33">
        <f>'[1]OECD.Stat export'!L$64+'[1]OECD.Stat export'!L$65</f>
        <v>11.6</v>
      </c>
      <c r="J54" s="33">
        <f>'[1]OECD.Stat export'!N$64+'[1]OECD.Stat export'!N$65</f>
        <v>35.099999999999994</v>
      </c>
      <c r="K54" s="33">
        <f>'[1]OECD.Stat export'!P$64+'[1]OECD.Stat export'!P$65</f>
        <v>22.7</v>
      </c>
      <c r="L54" s="33">
        <f>'[1]OECD.Stat export'!R$64+'[1]OECD.Stat export'!R$65</f>
        <v>11.9</v>
      </c>
      <c r="M54" s="33">
        <f>'[1]OECD.Stat export'!T$64+'[1]OECD.Stat export'!T$65</f>
        <v>95.3</v>
      </c>
      <c r="N54" s="33">
        <f>'[1]OECD.Stat export'!V$64+'[1]OECD.Stat export'!V$65</f>
        <v>28</v>
      </c>
      <c r="O54" s="33">
        <f>'[1]OECD.Stat export'!$X$64+'[1]OECD.Stat export'!$Z$64+'[1]OECD.Stat export'!$X$65+'[1]OECD.Stat export'!$Z$65</f>
        <v>416.6</v>
      </c>
      <c r="P54" s="48">
        <v>0</v>
      </c>
      <c r="Q54" s="33">
        <f>'[1]OECD.Stat export'!AD$64+'[1]OECD.Stat export'!AD$65</f>
        <v>77.7</v>
      </c>
      <c r="R54" s="33">
        <f>'[1]OECD.Stat export'!AF$64+'[1]OECD.Stat export'!AF$65</f>
        <v>202.7</v>
      </c>
      <c r="S54" s="33">
        <f>'[1]OECD.Stat export'!AH$64+'[1]OECD.Stat export'!AH$65</f>
        <v>19</v>
      </c>
      <c r="T54" s="33">
        <f>'[1]OECD.Stat export'!AJ$64+'[1]OECD.Stat export'!AJ$65</f>
        <v>38.299999999999997</v>
      </c>
      <c r="U54" s="33">
        <f>'[1]OECD.Stat export'!AL$64+'[1]OECD.Stat export'!AL$65</f>
        <v>107.9</v>
      </c>
      <c r="V54" s="33">
        <f>'[1]OECD.Stat export'!AN$64+'[1]OECD.Stat export'!AN$65</f>
        <v>28.900000000000002</v>
      </c>
      <c r="W54" s="33">
        <f>'[1]OECD.Stat export'!AP$64+'[1]OECD.Stat export'!AP$65</f>
        <v>20.8</v>
      </c>
      <c r="X54" s="33">
        <f>'[1]OECD.Stat export'!AR$64+'[1]OECD.Stat export'!AR$65</f>
        <v>6.3</v>
      </c>
      <c r="Y54" s="33">
        <f>'[1]OECD.Stat export'!AT$64+'[1]OECD.Stat export'!AT$65</f>
        <v>12.2</v>
      </c>
      <c r="Z54" s="33">
        <f>'[1]OECD.Stat export'!$AV$64+'[1]OECD.Stat export'!$AX$64+'[1]OECD.Stat export'!$AV$65+'[1]OECD.Stat export'!$AX$65</f>
        <v>175.4</v>
      </c>
      <c r="AA54" s="33">
        <f>'[1]OECD.Stat export'!$BB$64+'[1]OECD.Stat export'!$BB$65</f>
        <v>810.5</v>
      </c>
      <c r="AB54" s="33">
        <f>'[1]OECD.Stat export'!$AZ$64+'[1]OECD.Stat export'!$AZ$65</f>
        <v>7.8</v>
      </c>
      <c r="AC54" s="33">
        <f>'[1]OECD.Stat export'!$BD$64+'[1]OECD.Stat export'!$BF$64+'[1]OECD.Stat export'!$BH$64+'[1]OECD.Stat export'!$BJ$64+'[1]OECD.Stat export'!$BL$64+'[1]OECD.Stat export'!$BL$65+'[1]OECD.Stat export'!$BJ$65+'[1]OECD.Stat export'!$BH$65+'[1]OECD.Stat export'!$BF$65+'[1]OECD.Stat export'!$BD$65</f>
        <v>210.1</v>
      </c>
      <c r="AD54" s="33">
        <f>'[1]OECD.Stat export'!$BN$64+'[1]OECD.Stat export'!$BN$65</f>
        <v>25.3</v>
      </c>
      <c r="AE54" s="33">
        <f>'[1]OECD.Stat export'!$BP$64+'[1]OECD.Stat export'!$BP$65</f>
        <v>69.899999999999991</v>
      </c>
      <c r="AF54" s="33">
        <f>'[1]OECD.Stat export'!$BR$64+'[1]OECD.Stat export'!$BR$65</f>
        <v>23.4</v>
      </c>
      <c r="AG54" s="33">
        <f>'[1]OECD.Stat export'!$BT$64+'[1]OECD.Stat export'!$BT$65</f>
        <v>1.8</v>
      </c>
      <c r="AH54" s="33">
        <f>'[1]OECD.Stat export'!$BV$64+'[1]OECD.Stat export'!$BV$65</f>
        <v>134.80000000000001</v>
      </c>
      <c r="AI54" s="33">
        <f>'[1]OECD.Stat export'!$BX$64+'[1]OECD.Stat export'!$BX$65</f>
        <v>56.4</v>
      </c>
      <c r="AJ54" s="33">
        <f>'[1]OECD.Stat export'!$BZ$64+'[1]OECD.Stat export'!$CB$64+'[1]OECD.Stat export'!$BZ$65+'[1]OECD.Stat export'!$CB$65</f>
        <v>70.399999999999991</v>
      </c>
      <c r="AK54" s="33">
        <f>'[1]OECD.Stat export'!$CD$64+'[1]OECD.Stat export'!$CD$65</f>
        <v>92.100000000000009</v>
      </c>
      <c r="AL54" s="33">
        <f>'[1]OECD.Stat export'!$CF$64+'[1]OECD.Stat export'!$CF$65</f>
        <v>222</v>
      </c>
      <c r="AM54" s="33">
        <f>'[1]OECD.Stat export'!$CH$64+'[1]OECD.Stat export'!$CH$65</f>
        <v>158.30000000000001</v>
      </c>
      <c r="AN54" s="33">
        <f>'[1]OECD.Stat export'!$CJ$64+'[1]OECD.Stat export'!$CL$64+'[1]OECD.Stat export'!$CJ$65+'[1]OECD.Stat export'!$CL$65</f>
        <v>366.10000000000008</v>
      </c>
      <c r="AO54" s="48">
        <v>0</v>
      </c>
      <c r="AP54" s="33">
        <f>'[1]OECD.Stat export'!$CP$64+'[1]OECD.Stat export'!$CP$65</f>
        <v>4298.3</v>
      </c>
      <c r="AQ54" s="33">
        <v>0</v>
      </c>
      <c r="AR54" s="33">
        <v>0.4</v>
      </c>
      <c r="AS54" s="33">
        <f>'[1]OECD.Stat export'!$CV$64+'[1]OECD.Stat export'!$CV$65</f>
        <v>155.5</v>
      </c>
      <c r="AT54" s="33">
        <f>'[1]OECD.Stat export'!$CX$64+'[1]OECD.Stat export'!$CX$65</f>
        <v>253</v>
      </c>
      <c r="AU54" s="33">
        <f>'[1]OECD.Stat export'!$CZ$64+'[1]OECD.Stat export'!$CZ$65</f>
        <v>42</v>
      </c>
      <c r="AV54" s="33">
        <v>0</v>
      </c>
      <c r="AW54" s="48">
        <v>0</v>
      </c>
      <c r="AX54" s="33">
        <f>'[1]OECD.Stat export'!$DF$64+'[1]OECD.Stat export'!$DF$65</f>
        <v>8310.4</v>
      </c>
      <c r="AY54" s="45">
        <v>0</v>
      </c>
    </row>
    <row r="55" spans="3:51" ht="60" x14ac:dyDescent="0.2">
      <c r="C55" t="s">
        <v>257</v>
      </c>
      <c r="D55" s="15" t="s">
        <v>268</v>
      </c>
      <c r="E55" s="14" t="s">
        <v>208</v>
      </c>
      <c r="F55" s="16">
        <v>0.2</v>
      </c>
      <c r="G55" s="45">
        <v>0</v>
      </c>
      <c r="H55" s="45">
        <v>0</v>
      </c>
      <c r="I55" s="45">
        <v>1.4</v>
      </c>
      <c r="J55" s="45">
        <v>49.5</v>
      </c>
      <c r="K55" s="45" t="s">
        <v>269</v>
      </c>
      <c r="L55" s="45">
        <v>1.7</v>
      </c>
      <c r="M55" s="45">
        <v>21.7</v>
      </c>
      <c r="N55" s="45">
        <v>2.2999999999999998</v>
      </c>
      <c r="O55" s="16">
        <f>12.8</f>
        <v>12.8</v>
      </c>
      <c r="P55" s="45">
        <v>0</v>
      </c>
      <c r="Q55" s="45">
        <v>15.7</v>
      </c>
      <c r="R55" s="45">
        <v>41.9</v>
      </c>
      <c r="S55" s="45">
        <v>7.3</v>
      </c>
      <c r="T55" s="45">
        <v>28.6</v>
      </c>
      <c r="U55" s="45">
        <v>83.7</v>
      </c>
      <c r="V55" s="45">
        <v>30.4</v>
      </c>
      <c r="W55" s="45">
        <v>82.5</v>
      </c>
      <c r="X55" s="45">
        <v>15.9</v>
      </c>
      <c r="Y55" s="45">
        <v>10.9</v>
      </c>
      <c r="Z55" s="16">
        <f>2.4+34.1</f>
        <v>36.5</v>
      </c>
      <c r="AA55" s="45">
        <v>2.4</v>
      </c>
      <c r="AB55" s="45">
        <v>2002.7</v>
      </c>
      <c r="AC55" s="16">
        <f>17.9+2.3+2.4+14.1+3.3</f>
        <v>39.999999999999993</v>
      </c>
      <c r="AD55" s="45">
        <v>7</v>
      </c>
      <c r="AE55" s="45">
        <v>14.4</v>
      </c>
      <c r="AF55" s="45">
        <v>5</v>
      </c>
      <c r="AG55" s="45" t="s">
        <v>269</v>
      </c>
      <c r="AH55" s="45">
        <v>14.1</v>
      </c>
      <c r="AI55" s="45">
        <v>29.8</v>
      </c>
      <c r="AJ55" s="16">
        <f>1.6+3.5</f>
        <v>5.0999999999999996</v>
      </c>
      <c r="AK55" s="45">
        <v>6.7</v>
      </c>
      <c r="AL55" s="45">
        <v>2.1</v>
      </c>
      <c r="AM55" s="45">
        <v>2.2000000000000002</v>
      </c>
      <c r="AN55" s="16">
        <f>15.1+38.2</f>
        <v>53.300000000000004</v>
      </c>
      <c r="AO55" s="45">
        <v>0</v>
      </c>
      <c r="AP55" s="45">
        <v>326</v>
      </c>
      <c r="AQ55" s="45">
        <v>0</v>
      </c>
      <c r="AR55" s="45">
        <v>0.1</v>
      </c>
      <c r="AS55" s="45">
        <v>43.5</v>
      </c>
      <c r="AT55" s="45">
        <v>40.4</v>
      </c>
      <c r="AU55" s="45">
        <v>0.5</v>
      </c>
      <c r="AV55" s="45">
        <v>0</v>
      </c>
      <c r="AW55" s="45">
        <v>0</v>
      </c>
      <c r="AX55" s="45">
        <v>3064</v>
      </c>
      <c r="AY55" s="45">
        <v>0</v>
      </c>
    </row>
    <row r="56" spans="3:51" ht="60" x14ac:dyDescent="0.2">
      <c r="C56" t="s">
        <v>257</v>
      </c>
      <c r="D56" s="15" t="s">
        <v>270</v>
      </c>
      <c r="E56" s="14" t="s">
        <v>208</v>
      </c>
      <c r="F56" s="16">
        <v>0.1</v>
      </c>
      <c r="G56" s="45">
        <v>0</v>
      </c>
      <c r="H56" s="45">
        <v>0</v>
      </c>
      <c r="I56" s="45">
        <v>2.7</v>
      </c>
      <c r="J56" s="45">
        <v>25.6</v>
      </c>
      <c r="K56" s="45">
        <v>1.2</v>
      </c>
      <c r="L56" s="45">
        <v>0.9</v>
      </c>
      <c r="M56" s="45">
        <v>3.4</v>
      </c>
      <c r="N56" s="45">
        <v>8.4</v>
      </c>
      <c r="O56" s="16">
        <v>5.4</v>
      </c>
      <c r="P56" s="45">
        <v>0</v>
      </c>
      <c r="Q56" s="45">
        <v>247.1</v>
      </c>
      <c r="R56" s="45">
        <v>279.7</v>
      </c>
      <c r="S56" s="45">
        <v>26.1</v>
      </c>
      <c r="T56" s="45">
        <v>22.5</v>
      </c>
      <c r="U56" s="45">
        <v>61.5</v>
      </c>
      <c r="V56" s="45">
        <v>12.4</v>
      </c>
      <c r="W56" s="45">
        <v>37.700000000000003</v>
      </c>
      <c r="X56" s="45">
        <v>11.3</v>
      </c>
      <c r="Y56" s="45">
        <v>3.7</v>
      </c>
      <c r="Z56" s="16">
        <f>3.3+19.7</f>
        <v>23</v>
      </c>
      <c r="AA56" s="45">
        <v>36.299999999999997</v>
      </c>
      <c r="AB56" s="45">
        <v>115.8</v>
      </c>
      <c r="AC56" s="16">
        <f>1.7+1.7+3.2+16.2+7.9</f>
        <v>30.699999999999996</v>
      </c>
      <c r="AD56" s="45">
        <v>2.1</v>
      </c>
      <c r="AE56" s="45">
        <v>7.6</v>
      </c>
      <c r="AF56" s="45">
        <v>22</v>
      </c>
      <c r="AG56" s="45">
        <v>0.3</v>
      </c>
      <c r="AH56" s="45">
        <v>36.6</v>
      </c>
      <c r="AI56" s="45">
        <v>13.1</v>
      </c>
      <c r="AJ56" s="16">
        <f>2.4+4.9</f>
        <v>7.3000000000000007</v>
      </c>
      <c r="AK56" s="45">
        <v>70.099999999999994</v>
      </c>
      <c r="AL56" s="45">
        <v>49.5</v>
      </c>
      <c r="AM56" s="45">
        <v>2.9</v>
      </c>
      <c r="AN56" s="16">
        <f>11.3+26.6</f>
        <v>37.900000000000006</v>
      </c>
      <c r="AO56" s="45">
        <v>0</v>
      </c>
      <c r="AP56" s="45">
        <v>413.4</v>
      </c>
      <c r="AQ56" s="45">
        <v>0</v>
      </c>
      <c r="AR56" s="45">
        <v>0</v>
      </c>
      <c r="AS56" s="45">
        <v>32.799999999999997</v>
      </c>
      <c r="AT56" s="45">
        <v>23.1</v>
      </c>
      <c r="AU56" s="45">
        <v>0.3</v>
      </c>
      <c r="AV56" s="46">
        <v>0</v>
      </c>
      <c r="AW56" s="45">
        <v>0</v>
      </c>
      <c r="AX56" s="45">
        <v>1681.9</v>
      </c>
      <c r="AY56" s="45">
        <v>0</v>
      </c>
    </row>
    <row r="57" spans="3:51" ht="48" x14ac:dyDescent="0.2">
      <c r="C57" t="s">
        <v>257</v>
      </c>
      <c r="D57" s="15" t="s">
        <v>271</v>
      </c>
      <c r="E57" s="14" t="s">
        <v>208</v>
      </c>
      <c r="F57" s="16">
        <v>0.1</v>
      </c>
      <c r="G57" s="45">
        <v>0</v>
      </c>
      <c r="H57" s="45">
        <v>0</v>
      </c>
      <c r="I57" s="45">
        <v>4.2</v>
      </c>
      <c r="J57" s="45">
        <v>8</v>
      </c>
      <c r="K57" s="45">
        <v>0.7</v>
      </c>
      <c r="L57" s="45">
        <v>1.4</v>
      </c>
      <c r="M57" s="45">
        <v>6.9</v>
      </c>
      <c r="N57" s="45">
        <v>4</v>
      </c>
      <c r="O57" s="16">
        <v>2.9</v>
      </c>
      <c r="P57" s="45">
        <v>0</v>
      </c>
      <c r="Q57" s="45">
        <v>25.5</v>
      </c>
      <c r="R57" s="45">
        <v>4432</v>
      </c>
      <c r="S57" s="45">
        <v>373.4</v>
      </c>
      <c r="T57" s="45">
        <v>85.1</v>
      </c>
      <c r="U57" s="45">
        <v>377.3</v>
      </c>
      <c r="V57" s="45">
        <v>126.4</v>
      </c>
      <c r="W57" s="45">
        <v>42.3</v>
      </c>
      <c r="X57" s="45">
        <v>8.1999999999999993</v>
      </c>
      <c r="Y57" s="45">
        <v>29.4</v>
      </c>
      <c r="Z57" s="16">
        <f>5.4+67.6</f>
        <v>73</v>
      </c>
      <c r="AA57" s="45">
        <v>6.8</v>
      </c>
      <c r="AB57" s="45">
        <v>4291.3999999999996</v>
      </c>
      <c r="AC57" s="16">
        <f>4.7+11.4+9+40.1+2.3</f>
        <v>67.5</v>
      </c>
      <c r="AD57" s="45">
        <v>1.5</v>
      </c>
      <c r="AE57" s="45">
        <v>9.6999999999999993</v>
      </c>
      <c r="AF57" s="45">
        <v>6.9</v>
      </c>
      <c r="AG57" s="45">
        <v>0.6</v>
      </c>
      <c r="AH57" s="45">
        <v>50.6</v>
      </c>
      <c r="AI57" s="45">
        <v>32.4</v>
      </c>
      <c r="AJ57" s="16">
        <f>6.2+4.4</f>
        <v>10.600000000000001</v>
      </c>
      <c r="AK57" s="45">
        <v>11.4</v>
      </c>
      <c r="AL57" s="45">
        <v>12.1</v>
      </c>
      <c r="AM57" s="45">
        <v>1.9</v>
      </c>
      <c r="AN57" s="16">
        <f>12.2+19.9</f>
        <v>32.099999999999994</v>
      </c>
      <c r="AO57" s="45">
        <v>0</v>
      </c>
      <c r="AP57" s="45">
        <v>140.4</v>
      </c>
      <c r="AQ57" s="45">
        <v>0</v>
      </c>
      <c r="AR57" s="45">
        <v>0.1</v>
      </c>
      <c r="AS57" s="45">
        <v>210.9</v>
      </c>
      <c r="AT57" s="45">
        <v>334.5</v>
      </c>
      <c r="AU57" s="45">
        <v>0.7</v>
      </c>
      <c r="AV57" s="46">
        <v>0</v>
      </c>
      <c r="AW57" s="45">
        <v>0</v>
      </c>
      <c r="AX57" s="45">
        <v>10834.1</v>
      </c>
      <c r="AY57" s="45">
        <v>0</v>
      </c>
    </row>
    <row r="58" spans="3:51" ht="96" x14ac:dyDescent="0.2">
      <c r="C58" t="s">
        <v>257</v>
      </c>
      <c r="D58" s="15" t="s">
        <v>272</v>
      </c>
      <c r="E58" s="14" t="s">
        <v>208</v>
      </c>
      <c r="F58" s="16">
        <v>0.1</v>
      </c>
      <c r="G58" s="45">
        <v>0</v>
      </c>
      <c r="H58" s="45">
        <v>0</v>
      </c>
      <c r="I58" s="45">
        <v>3.2</v>
      </c>
      <c r="J58" s="45">
        <v>4</v>
      </c>
      <c r="K58" s="45">
        <v>0.8</v>
      </c>
      <c r="L58" s="45">
        <v>1.2</v>
      </c>
      <c r="M58" s="45">
        <v>2.8</v>
      </c>
      <c r="N58" s="45">
        <v>2.2000000000000002</v>
      </c>
      <c r="O58" s="16">
        <v>1.5</v>
      </c>
      <c r="P58" s="45">
        <v>0</v>
      </c>
      <c r="Q58" s="45">
        <v>10.7</v>
      </c>
      <c r="R58" s="45">
        <v>189.4</v>
      </c>
      <c r="S58" s="45">
        <v>59.7</v>
      </c>
      <c r="T58" s="45">
        <v>20.5</v>
      </c>
      <c r="U58" s="45">
        <v>65.900000000000006</v>
      </c>
      <c r="V58" s="45">
        <v>48.2</v>
      </c>
      <c r="W58" s="45">
        <v>27.3</v>
      </c>
      <c r="X58" s="45">
        <v>9.1</v>
      </c>
      <c r="Y58" s="45">
        <v>8.1999999999999993</v>
      </c>
      <c r="Z58" s="16">
        <f>2.6+13.2</f>
        <v>15.799999999999999</v>
      </c>
      <c r="AA58" s="45">
        <v>5.3</v>
      </c>
      <c r="AB58" s="45">
        <v>1962.5</v>
      </c>
      <c r="AC58" s="16">
        <f>2.2+4.3+3+25.1+1.5</f>
        <v>36.1</v>
      </c>
      <c r="AD58" s="45">
        <v>1.4</v>
      </c>
      <c r="AE58" s="45">
        <v>5.2</v>
      </c>
      <c r="AF58" s="45">
        <v>6.2</v>
      </c>
      <c r="AG58" s="45">
        <v>0.5</v>
      </c>
      <c r="AH58" s="45">
        <v>27.2</v>
      </c>
      <c r="AI58" s="45">
        <v>25.9</v>
      </c>
      <c r="AJ58" s="16">
        <f>3.7+8.8</f>
        <v>12.5</v>
      </c>
      <c r="AK58" s="45">
        <v>11.6</v>
      </c>
      <c r="AL58" s="45">
        <v>11.1</v>
      </c>
      <c r="AM58" s="45">
        <v>1.6</v>
      </c>
      <c r="AN58" s="16">
        <f>8.2+12</f>
        <v>20.2</v>
      </c>
      <c r="AO58" s="45">
        <v>0</v>
      </c>
      <c r="AP58" s="45">
        <v>337.9</v>
      </c>
      <c r="AQ58" s="45">
        <v>0</v>
      </c>
      <c r="AR58" s="45">
        <v>0</v>
      </c>
      <c r="AS58" s="45">
        <v>544.5</v>
      </c>
      <c r="AT58" s="45">
        <v>67.2</v>
      </c>
      <c r="AU58" s="45">
        <v>0.5</v>
      </c>
      <c r="AV58" s="46">
        <v>0</v>
      </c>
      <c r="AW58" s="45">
        <v>0</v>
      </c>
      <c r="AX58" s="45">
        <v>3551.3</v>
      </c>
      <c r="AY58" s="45">
        <v>0</v>
      </c>
    </row>
    <row r="59" spans="3:51" ht="60" x14ac:dyDescent="0.2">
      <c r="C59" t="s">
        <v>257</v>
      </c>
      <c r="D59" s="15" t="s">
        <v>273</v>
      </c>
      <c r="E59" s="14" t="s">
        <v>208</v>
      </c>
      <c r="F59" s="16">
        <v>0.1</v>
      </c>
      <c r="G59" s="45">
        <v>0</v>
      </c>
      <c r="H59" s="45">
        <v>0</v>
      </c>
      <c r="I59" s="45">
        <v>2</v>
      </c>
      <c r="J59" s="45">
        <v>3.9</v>
      </c>
      <c r="K59" s="45">
        <v>1.3</v>
      </c>
      <c r="L59" s="45">
        <v>0.4</v>
      </c>
      <c r="M59" s="45">
        <v>3.9</v>
      </c>
      <c r="N59" s="45">
        <v>2.9</v>
      </c>
      <c r="O59" s="16">
        <v>2.9</v>
      </c>
      <c r="P59" s="45">
        <v>0</v>
      </c>
      <c r="Q59" s="45">
        <v>3.8</v>
      </c>
      <c r="R59" s="45">
        <v>20</v>
      </c>
      <c r="S59" s="45">
        <v>4.4000000000000004</v>
      </c>
      <c r="T59" s="45">
        <v>383.9</v>
      </c>
      <c r="U59" s="45">
        <v>160.4</v>
      </c>
      <c r="V59" s="45">
        <v>52.7</v>
      </c>
      <c r="W59" s="45">
        <v>26</v>
      </c>
      <c r="X59" s="45">
        <v>11.7</v>
      </c>
      <c r="Y59" s="45">
        <v>9.6</v>
      </c>
      <c r="Z59" s="16">
        <f>47.6+62.9</f>
        <v>110.5</v>
      </c>
      <c r="AA59" s="45">
        <v>2.8</v>
      </c>
      <c r="AB59" s="45">
        <v>11177.4</v>
      </c>
      <c r="AC59" s="16">
        <f>4.2+12.5+10.6+21.5+111.5</f>
        <v>160.30000000000001</v>
      </c>
      <c r="AD59" s="45">
        <v>3.3</v>
      </c>
      <c r="AE59" s="45">
        <v>134.30000000000001</v>
      </c>
      <c r="AF59" s="45">
        <v>1133.8</v>
      </c>
      <c r="AG59" s="45">
        <v>18.2</v>
      </c>
      <c r="AH59" s="45">
        <v>167.4</v>
      </c>
      <c r="AI59" s="45">
        <v>62</v>
      </c>
      <c r="AJ59" s="16">
        <f>35.8+44.8</f>
        <v>80.599999999999994</v>
      </c>
      <c r="AK59" s="45">
        <v>72.7</v>
      </c>
      <c r="AL59" s="45">
        <v>101</v>
      </c>
      <c r="AM59" s="45">
        <v>7.2</v>
      </c>
      <c r="AN59" s="16">
        <f>99.4+240.8</f>
        <v>340.20000000000005</v>
      </c>
      <c r="AO59" s="45">
        <v>0</v>
      </c>
      <c r="AP59" s="45">
        <v>9143.6</v>
      </c>
      <c r="AQ59" s="45">
        <v>0</v>
      </c>
      <c r="AR59" s="45">
        <v>0.2</v>
      </c>
      <c r="AS59" s="45">
        <v>5931.7</v>
      </c>
      <c r="AT59" s="45">
        <v>30032.9</v>
      </c>
      <c r="AU59" s="45">
        <v>28</v>
      </c>
      <c r="AV59" s="46">
        <v>0</v>
      </c>
      <c r="AW59" s="45">
        <v>0</v>
      </c>
      <c r="AX59" s="45">
        <v>59402.6</v>
      </c>
      <c r="AY59" s="45">
        <v>0</v>
      </c>
    </row>
    <row r="60" spans="3:51" ht="36" x14ac:dyDescent="0.2">
      <c r="C60" t="s">
        <v>257</v>
      </c>
      <c r="D60" s="15" t="s">
        <v>274</v>
      </c>
      <c r="E60" s="14" t="s">
        <v>208</v>
      </c>
      <c r="F60" s="16">
        <v>0</v>
      </c>
      <c r="G60" s="45">
        <v>0</v>
      </c>
      <c r="H60" s="45">
        <v>0</v>
      </c>
      <c r="I60" s="45">
        <v>1.7</v>
      </c>
      <c r="J60" s="45">
        <v>3</v>
      </c>
      <c r="K60" s="45">
        <v>0.6</v>
      </c>
      <c r="L60" s="45">
        <v>0.4</v>
      </c>
      <c r="M60" s="45">
        <v>2.2999999999999998</v>
      </c>
      <c r="N60" s="45">
        <v>2.2999999999999998</v>
      </c>
      <c r="O60" s="16">
        <v>1.4</v>
      </c>
      <c r="P60" s="45">
        <v>0</v>
      </c>
      <c r="Q60" s="45">
        <v>4.9000000000000004</v>
      </c>
      <c r="R60" s="45">
        <v>39.6</v>
      </c>
      <c r="S60" s="45">
        <v>5.3</v>
      </c>
      <c r="T60" s="45">
        <v>116.7</v>
      </c>
      <c r="U60" s="45">
        <v>532.5</v>
      </c>
      <c r="V60" s="45">
        <v>94.1</v>
      </c>
      <c r="W60" s="45">
        <v>44.3</v>
      </c>
      <c r="X60" s="45">
        <v>13.2</v>
      </c>
      <c r="Y60" s="45">
        <v>12.1</v>
      </c>
      <c r="Z60" s="16">
        <f>69.2+55.9</f>
        <v>125.1</v>
      </c>
      <c r="AA60" s="45">
        <v>6.2</v>
      </c>
      <c r="AB60" s="45">
        <v>7475.3</v>
      </c>
      <c r="AC60" s="16">
        <f>4.8+10.3+5.6+15.7+57.3</f>
        <v>93.7</v>
      </c>
      <c r="AD60" s="45">
        <v>2.1</v>
      </c>
      <c r="AE60" s="45">
        <v>68.7</v>
      </c>
      <c r="AF60" s="45">
        <v>493</v>
      </c>
      <c r="AG60" s="45">
        <v>4.5999999999999996</v>
      </c>
      <c r="AH60" s="45">
        <v>68.599999999999994</v>
      </c>
      <c r="AI60" s="45">
        <v>82.6</v>
      </c>
      <c r="AJ60" s="16">
        <f>20.9+38.7</f>
        <v>59.6</v>
      </c>
      <c r="AK60" s="45">
        <v>33.799999999999997</v>
      </c>
      <c r="AL60" s="45">
        <v>42.4</v>
      </c>
      <c r="AM60" s="45">
        <v>3</v>
      </c>
      <c r="AN60" s="16">
        <f>58.8+150</f>
        <v>208.8</v>
      </c>
      <c r="AO60" s="45">
        <v>0</v>
      </c>
      <c r="AP60" s="45">
        <v>3707</v>
      </c>
      <c r="AQ60" s="45">
        <v>0</v>
      </c>
      <c r="AR60" s="45">
        <v>0.1</v>
      </c>
      <c r="AS60" s="45">
        <v>1859.7</v>
      </c>
      <c r="AT60" s="45">
        <v>98.9</v>
      </c>
      <c r="AU60" s="45">
        <v>11.8</v>
      </c>
      <c r="AV60" s="46">
        <v>0</v>
      </c>
      <c r="AW60" s="45">
        <v>0</v>
      </c>
      <c r="AX60" s="45">
        <v>15322.5</v>
      </c>
      <c r="AY60" s="45">
        <v>0</v>
      </c>
    </row>
    <row r="61" spans="3:51" ht="60" x14ac:dyDescent="0.2">
      <c r="C61" t="s">
        <v>257</v>
      </c>
      <c r="D61" s="15" t="s">
        <v>275</v>
      </c>
      <c r="E61" s="14" t="s">
        <v>208</v>
      </c>
      <c r="F61" s="16">
        <v>0.3</v>
      </c>
      <c r="G61" s="45">
        <v>0</v>
      </c>
      <c r="H61" s="45">
        <v>0</v>
      </c>
      <c r="I61" s="45">
        <v>14.2</v>
      </c>
      <c r="J61" s="45">
        <v>13.6</v>
      </c>
      <c r="K61" s="45">
        <v>3.4</v>
      </c>
      <c r="L61" s="45">
        <v>2.4</v>
      </c>
      <c r="M61" s="45">
        <v>12.1</v>
      </c>
      <c r="N61" s="45">
        <v>5.6</v>
      </c>
      <c r="O61" s="16">
        <v>5</v>
      </c>
      <c r="P61" s="45">
        <v>0</v>
      </c>
      <c r="Q61" s="45">
        <v>27.8</v>
      </c>
      <c r="R61" s="45">
        <v>219.2</v>
      </c>
      <c r="S61" s="45">
        <v>37.6</v>
      </c>
      <c r="T61" s="45">
        <v>24.8</v>
      </c>
      <c r="U61" s="45">
        <v>67.400000000000006</v>
      </c>
      <c r="V61" s="45">
        <v>223.3</v>
      </c>
      <c r="W61" s="45">
        <v>109</v>
      </c>
      <c r="X61" s="45">
        <v>37.5</v>
      </c>
      <c r="Y61" s="45">
        <v>20.8</v>
      </c>
      <c r="Z61" s="16">
        <f>116+19.5</f>
        <v>135.5</v>
      </c>
      <c r="AA61" s="45">
        <v>3.1</v>
      </c>
      <c r="AB61" s="45">
        <v>687.9</v>
      </c>
      <c r="AC61" s="16">
        <f>7.9+65.1+93.9+160.4+15.1</f>
        <v>342.40000000000003</v>
      </c>
      <c r="AD61" s="45">
        <v>3.6</v>
      </c>
      <c r="AE61" s="45">
        <v>9.5</v>
      </c>
      <c r="AF61" s="45">
        <v>32.799999999999997</v>
      </c>
      <c r="AG61" s="45">
        <v>0.4</v>
      </c>
      <c r="AH61" s="45">
        <v>235.2</v>
      </c>
      <c r="AI61" s="45">
        <v>57.6</v>
      </c>
      <c r="AJ61" s="16">
        <f>2.7+8</f>
        <v>10.7</v>
      </c>
      <c r="AK61" s="45">
        <v>13.3</v>
      </c>
      <c r="AL61" s="45">
        <v>17.8</v>
      </c>
      <c r="AM61" s="45">
        <v>29.6</v>
      </c>
      <c r="AN61" s="16">
        <f>12.4+19.5</f>
        <v>31.9</v>
      </c>
      <c r="AO61" s="45">
        <v>0</v>
      </c>
      <c r="AP61" s="45">
        <v>442.6</v>
      </c>
      <c r="AQ61" s="45">
        <v>0</v>
      </c>
      <c r="AR61" s="45">
        <v>0.2</v>
      </c>
      <c r="AS61" s="45">
        <v>6726.7</v>
      </c>
      <c r="AT61" s="45">
        <v>1303.5999999999999</v>
      </c>
      <c r="AU61" s="45">
        <v>0.8</v>
      </c>
      <c r="AV61" s="46">
        <v>0</v>
      </c>
      <c r="AW61" s="45">
        <v>0</v>
      </c>
      <c r="AX61" s="45">
        <v>10813.8</v>
      </c>
      <c r="AY61" s="45">
        <v>0</v>
      </c>
    </row>
    <row r="62" spans="3:51" ht="72" x14ac:dyDescent="0.2">
      <c r="C62" t="s">
        <v>257</v>
      </c>
      <c r="D62" s="15" t="s">
        <v>276</v>
      </c>
      <c r="E62" s="14" t="s">
        <v>208</v>
      </c>
      <c r="F62" s="16">
        <v>0</v>
      </c>
      <c r="G62" s="45">
        <v>0</v>
      </c>
      <c r="H62" s="45">
        <v>0</v>
      </c>
      <c r="I62" s="45">
        <v>0.3</v>
      </c>
      <c r="J62" s="45">
        <v>0.6</v>
      </c>
      <c r="K62" s="45">
        <v>0.3</v>
      </c>
      <c r="L62" s="45">
        <v>0.1</v>
      </c>
      <c r="M62" s="45">
        <v>0.5</v>
      </c>
      <c r="N62" s="45">
        <v>0.2</v>
      </c>
      <c r="O62" s="16">
        <v>0.2</v>
      </c>
      <c r="P62" s="45">
        <v>0</v>
      </c>
      <c r="Q62" s="45">
        <v>1.4</v>
      </c>
      <c r="R62" s="45">
        <v>6.5</v>
      </c>
      <c r="S62" s="45">
        <v>1.1000000000000001</v>
      </c>
      <c r="T62" s="45">
        <v>2.1</v>
      </c>
      <c r="U62" s="45">
        <v>6.1</v>
      </c>
      <c r="V62" s="45">
        <v>8.5</v>
      </c>
      <c r="W62" s="45">
        <v>157.4</v>
      </c>
      <c r="X62" s="45">
        <v>4.3</v>
      </c>
      <c r="Y62" s="45">
        <v>1.1000000000000001</v>
      </c>
      <c r="Z62" s="16">
        <f>0.9+22.4</f>
        <v>23.299999999999997</v>
      </c>
      <c r="AA62" s="45">
        <v>0.3</v>
      </c>
      <c r="AB62" s="45">
        <v>406.1</v>
      </c>
      <c r="AC62" s="16">
        <f>20.3+19.1+13.7+5+15</f>
        <v>73.100000000000009</v>
      </c>
      <c r="AD62" s="45">
        <v>0.9</v>
      </c>
      <c r="AE62" s="45">
        <v>11.5</v>
      </c>
      <c r="AF62" s="45">
        <v>17.399999999999999</v>
      </c>
      <c r="AG62" s="45">
        <v>0.4</v>
      </c>
      <c r="AH62" s="45">
        <v>30.2</v>
      </c>
      <c r="AI62" s="45">
        <v>4.7</v>
      </c>
      <c r="AJ62" s="16">
        <f>2.2+9.6</f>
        <v>11.8</v>
      </c>
      <c r="AK62" s="45">
        <v>33.5</v>
      </c>
      <c r="AL62" s="45">
        <v>1.5</v>
      </c>
      <c r="AM62" s="45">
        <v>0.9</v>
      </c>
      <c r="AN62" s="16">
        <f>20.1+27.7</f>
        <v>47.8</v>
      </c>
      <c r="AO62" s="45">
        <v>0</v>
      </c>
      <c r="AP62" s="45">
        <v>1356.5</v>
      </c>
      <c r="AQ62" s="45">
        <v>0</v>
      </c>
      <c r="AR62" s="45">
        <v>0.1</v>
      </c>
      <c r="AS62" s="45">
        <v>1805.2</v>
      </c>
      <c r="AT62" s="45">
        <v>62</v>
      </c>
      <c r="AU62" s="45">
        <v>13.1</v>
      </c>
      <c r="AV62" s="46">
        <v>0</v>
      </c>
      <c r="AW62" s="45">
        <v>0</v>
      </c>
      <c r="AX62" s="45">
        <v>4090.8</v>
      </c>
      <c r="AY62" s="45">
        <v>0</v>
      </c>
    </row>
    <row r="63" spans="3:51" ht="48" x14ac:dyDescent="0.2">
      <c r="C63" t="s">
        <v>257</v>
      </c>
      <c r="D63" s="15" t="s">
        <v>277</v>
      </c>
      <c r="E63" s="14" t="s">
        <v>208</v>
      </c>
      <c r="F63" s="16">
        <v>0</v>
      </c>
      <c r="G63" s="45">
        <v>0</v>
      </c>
      <c r="H63" s="45">
        <v>0</v>
      </c>
      <c r="I63" s="45">
        <v>0.1</v>
      </c>
      <c r="J63" s="45">
        <v>0.4</v>
      </c>
      <c r="K63" s="45">
        <v>0.1</v>
      </c>
      <c r="L63" s="45">
        <v>0.1</v>
      </c>
      <c r="M63" s="45">
        <v>0.5</v>
      </c>
      <c r="N63" s="45">
        <v>0.1</v>
      </c>
      <c r="O63" s="16">
        <v>0.2</v>
      </c>
      <c r="P63" s="45">
        <v>0</v>
      </c>
      <c r="Q63" s="45">
        <v>1.1000000000000001</v>
      </c>
      <c r="R63" s="45">
        <v>5.4</v>
      </c>
      <c r="S63" s="45">
        <v>0.6</v>
      </c>
      <c r="T63" s="45">
        <v>1.1000000000000001</v>
      </c>
      <c r="U63" s="45">
        <v>2.2000000000000002</v>
      </c>
      <c r="V63" s="45">
        <v>4.5</v>
      </c>
      <c r="W63" s="45">
        <v>189.6</v>
      </c>
      <c r="X63" s="45">
        <v>120.9</v>
      </c>
      <c r="Y63" s="45">
        <v>4.4000000000000004</v>
      </c>
      <c r="Z63" s="16">
        <f>0.3+20.1</f>
        <v>20.400000000000002</v>
      </c>
      <c r="AA63" s="45">
        <v>0.2</v>
      </c>
      <c r="AB63" s="45">
        <v>455.2</v>
      </c>
      <c r="AC63" s="16">
        <f>16.4+49.3+79.6+5.5+12.8</f>
        <v>163.6</v>
      </c>
      <c r="AD63" s="45">
        <v>0.8</v>
      </c>
      <c r="AE63" s="45">
        <v>20.100000000000001</v>
      </c>
      <c r="AF63" s="45">
        <v>10.1</v>
      </c>
      <c r="AG63" s="45">
        <v>0.3</v>
      </c>
      <c r="AH63" s="45">
        <v>49.6</v>
      </c>
      <c r="AI63" s="45">
        <v>3.8</v>
      </c>
      <c r="AJ63" s="16">
        <f>4.2+7.6</f>
        <v>11.8</v>
      </c>
      <c r="AK63" s="45">
        <v>87.5</v>
      </c>
      <c r="AL63" s="45">
        <v>1</v>
      </c>
      <c r="AM63" s="45">
        <v>0.7</v>
      </c>
      <c r="AN63" s="16">
        <f>26+38.5</f>
        <v>64.5</v>
      </c>
      <c r="AO63" s="45">
        <v>0</v>
      </c>
      <c r="AP63" s="45">
        <v>873</v>
      </c>
      <c r="AQ63" s="45">
        <v>0</v>
      </c>
      <c r="AR63" s="45">
        <v>0</v>
      </c>
      <c r="AS63" s="45">
        <v>4731.6000000000004</v>
      </c>
      <c r="AT63" s="45">
        <v>944.3</v>
      </c>
      <c r="AU63" s="45">
        <v>0.3</v>
      </c>
      <c r="AV63" s="46">
        <v>0</v>
      </c>
      <c r="AW63" s="45">
        <v>0</v>
      </c>
      <c r="AX63" s="45">
        <v>7770.4</v>
      </c>
      <c r="AY63" s="45">
        <v>0</v>
      </c>
    </row>
    <row r="64" spans="3:51" ht="120" x14ac:dyDescent="0.2">
      <c r="C64" t="s">
        <v>257</v>
      </c>
      <c r="D64" s="15" t="s">
        <v>278</v>
      </c>
      <c r="E64" s="14" t="s">
        <v>208</v>
      </c>
      <c r="F64" s="16">
        <v>0.1</v>
      </c>
      <c r="G64" s="45">
        <v>0</v>
      </c>
      <c r="H64" s="45">
        <v>0</v>
      </c>
      <c r="I64" s="45">
        <v>1</v>
      </c>
      <c r="J64" s="45">
        <v>2.9</v>
      </c>
      <c r="K64" s="45">
        <v>1.3</v>
      </c>
      <c r="L64" s="45">
        <v>0.4</v>
      </c>
      <c r="M64" s="45">
        <v>4.9000000000000004</v>
      </c>
      <c r="N64" s="45">
        <v>0.2</v>
      </c>
      <c r="O64" s="16">
        <v>0.6</v>
      </c>
      <c r="P64" s="45">
        <v>0</v>
      </c>
      <c r="Q64" s="45">
        <v>1.4</v>
      </c>
      <c r="R64" s="45">
        <v>30.3</v>
      </c>
      <c r="S64" s="45">
        <v>4.5999999999999996</v>
      </c>
      <c r="T64" s="45">
        <v>2.6</v>
      </c>
      <c r="U64" s="45">
        <v>3.8</v>
      </c>
      <c r="V64" s="45">
        <v>2.5</v>
      </c>
      <c r="W64" s="45">
        <v>5.2</v>
      </c>
      <c r="X64" s="45">
        <v>2.8</v>
      </c>
      <c r="Y64" s="45">
        <v>2.8</v>
      </c>
      <c r="Z64" s="16">
        <f>3.1+7.8</f>
        <v>10.9</v>
      </c>
      <c r="AA64" s="45">
        <v>5.8</v>
      </c>
      <c r="AB64" s="45">
        <v>310.8</v>
      </c>
      <c r="AC64" s="16">
        <f>7.1+11.6+18+4.8+4.9</f>
        <v>46.4</v>
      </c>
      <c r="AD64" s="45">
        <v>2.9</v>
      </c>
      <c r="AE64" s="45">
        <v>7.9</v>
      </c>
      <c r="AF64" s="45">
        <v>13</v>
      </c>
      <c r="AG64" s="45">
        <v>0.4</v>
      </c>
      <c r="AH64" s="45">
        <v>294.8</v>
      </c>
      <c r="AI64" s="45">
        <v>56.9</v>
      </c>
      <c r="AJ64" s="16">
        <f>2.8+7.3</f>
        <v>10.1</v>
      </c>
      <c r="AK64" s="45">
        <v>31.5</v>
      </c>
      <c r="AL64" s="45">
        <v>33.1</v>
      </c>
      <c r="AM64" s="45">
        <v>4.3</v>
      </c>
      <c r="AN64" s="16">
        <f>22.9+16.2</f>
        <v>39.099999999999994</v>
      </c>
      <c r="AO64" s="45">
        <v>0</v>
      </c>
      <c r="AP64" s="45">
        <v>958.8</v>
      </c>
      <c r="AQ64" s="45">
        <v>0</v>
      </c>
      <c r="AR64" s="45">
        <v>0.1</v>
      </c>
      <c r="AS64" s="45">
        <v>339.2</v>
      </c>
      <c r="AT64" s="45">
        <v>8494.4</v>
      </c>
      <c r="AU64" s="45">
        <v>82.2</v>
      </c>
      <c r="AV64" s="46">
        <v>0</v>
      </c>
      <c r="AW64" s="45">
        <v>0</v>
      </c>
      <c r="AX64" s="45">
        <v>10821.1</v>
      </c>
      <c r="AY64" s="45">
        <v>0</v>
      </c>
    </row>
    <row r="65" spans="3:51" ht="108" x14ac:dyDescent="0.2">
      <c r="C65" t="s">
        <v>257</v>
      </c>
      <c r="D65" s="15" t="s">
        <v>279</v>
      </c>
      <c r="E65" s="14" t="s">
        <v>208</v>
      </c>
      <c r="F65" s="16">
        <v>0.1</v>
      </c>
      <c r="G65" s="45">
        <v>0</v>
      </c>
      <c r="H65" s="45">
        <v>0</v>
      </c>
      <c r="I65" s="33">
        <f>'[1]OECD.Stat export'!$L$76+'[1]OECD.Stat export'!$L$77</f>
        <v>0.1</v>
      </c>
      <c r="J65" s="33">
        <f>'[1]OECD.Stat export'!$N$76+'[1]OECD.Stat export'!$N$77</f>
        <v>15.8</v>
      </c>
      <c r="K65" s="33">
        <f>'[1]OECD.Stat export'!$P$76+'[1]OECD.Stat export'!$P$77</f>
        <v>2.2000000000000002</v>
      </c>
      <c r="L65" s="33">
        <f>'[1]OECD.Stat export'!$R$76+'[1]OECD.Stat export'!$R$77</f>
        <v>1.4</v>
      </c>
      <c r="M65" s="33">
        <f>'[1]OECD.Stat export'!$T$76+'[1]OECD.Stat export'!$T$77</f>
        <v>11.700000000000001</v>
      </c>
      <c r="N65" s="33">
        <f>'[1]OECD.Stat export'!$V$76+'[1]OECD.Stat export'!$V$77</f>
        <v>0.1</v>
      </c>
      <c r="O65" s="33">
        <f>'[1]OECD.Stat export'!$X$76+'[1]OECD.Stat export'!$Z$76+'[1]OECD.Stat export'!$X$77+'[1]OECD.Stat export'!$Z$77</f>
        <v>0.4</v>
      </c>
      <c r="P65" s="48">
        <v>0</v>
      </c>
      <c r="Q65" s="33">
        <f>'[1]OECD.Stat export'!$AD$76+'[1]OECD.Stat export'!$AD$77</f>
        <v>0.2</v>
      </c>
      <c r="R65" s="33">
        <f>'[1]OECD.Stat export'!$AF$76+'[1]OECD.Stat export'!$AF$77</f>
        <v>2.7</v>
      </c>
      <c r="S65" s="33">
        <f>'[1]OECD.Stat export'!$AH$76+'[1]OECD.Stat export'!$AH$77</f>
        <v>0.2</v>
      </c>
      <c r="T65" s="33">
        <f>'[1]OECD.Stat export'!$AJ$76+'[1]OECD.Stat export'!$AJ$77</f>
        <v>0.2</v>
      </c>
      <c r="U65" s="33">
        <f>'[1]OECD.Stat export'!$AL$76+'[1]OECD.Stat export'!$AL$77</f>
        <v>0.4</v>
      </c>
      <c r="V65" s="33">
        <f>'[1]OECD.Stat export'!$AN$76+'[1]OECD.Stat export'!$AN$77</f>
        <v>0.2</v>
      </c>
      <c r="W65" s="33">
        <f>'[1]OECD.Stat export'!$AP$76+'[1]OECD.Stat export'!$AP$77</f>
        <v>0.2</v>
      </c>
      <c r="X65" s="33">
        <f>'[1]OECD.Stat export'!$AR$76+'[1]OECD.Stat export'!$AR$77</f>
        <v>0.1</v>
      </c>
      <c r="Y65" s="33">
        <f>'[1]OECD.Stat export'!$AT$76+'[1]OECD.Stat export'!$AT$77</f>
        <v>0.1</v>
      </c>
      <c r="Z65" s="33">
        <f>'[1]OECD.Stat export'!$AV$76+'[1]OECD.Stat export'!$AX$76+'[1]OECD.Stat export'!$AV$77+'[1]OECD.Stat export'!$AX$77</f>
        <v>60.4</v>
      </c>
      <c r="AA65" s="33">
        <f>'[1]OECD.Stat export'!$AZ$76+'[1]OECD.Stat export'!$AZ$77</f>
        <v>6.9</v>
      </c>
      <c r="AB65" s="33">
        <f>'[1]OECD.Stat export'!$BB$76+'[1]OECD.Stat export'!$BB$77</f>
        <v>64.5</v>
      </c>
      <c r="AC65" s="33">
        <f>'[1]OECD.Stat export'!$BD$76+'[1]OECD.Stat export'!$BF$76+'[1]OECD.Stat export'!$BH$76+'[1]OECD.Stat export'!$BJ$76+'[1]OECD.Stat export'!$BL$76+'[1]OECD.Stat export'!$BD$77+'[1]OECD.Stat export'!$BF$77+'[1]OECD.Stat export'!$BH$77+'[1]OECD.Stat export'!$BJ$77+'[1]OECD.Stat export'!$BL$77</f>
        <v>93.59999999999998</v>
      </c>
      <c r="AD65" s="33">
        <f>'[1]OECD.Stat export'!$BN$76+'[1]OECD.Stat export'!$BN$77</f>
        <v>61.8</v>
      </c>
      <c r="AE65" s="33">
        <f>'[1]OECD.Stat export'!$BP$76+'[1]OECD.Stat export'!$BP$77</f>
        <v>10.4</v>
      </c>
      <c r="AF65" s="33">
        <f>'[1]OECD.Stat export'!$BR$76+'[1]OECD.Stat export'!$BR$77</f>
        <v>15.7</v>
      </c>
      <c r="AG65" s="33">
        <f>'[1]OECD.Stat export'!$BT$76+'[1]OECD.Stat export'!$BT$77</f>
        <v>0.6</v>
      </c>
      <c r="AH65" s="33">
        <f>'[1]OECD.Stat export'!$BV$76+'[1]OECD.Stat export'!$BV$77</f>
        <v>71.5</v>
      </c>
      <c r="AI65" s="33">
        <f>'[1]OECD.Stat export'!$BX$76+'[1]OECD.Stat export'!$BX$77</f>
        <v>174.60000000000002</v>
      </c>
      <c r="AJ65" s="33">
        <f>'[1]OECD.Stat export'!$BZ$76+'[1]OECD.Stat export'!$CB$76+'[1]OECD.Stat export'!$BZ$77+'[1]OECD.Stat export'!$CB$77</f>
        <v>8.7999999999999989</v>
      </c>
      <c r="AK65" s="33">
        <f>'[1]OECD.Stat export'!CD$76+'[1]OECD.Stat export'!CD$77</f>
        <v>22.8</v>
      </c>
      <c r="AL65" s="33">
        <f>'[1]OECD.Stat export'!CF$76+'[1]OECD.Stat export'!CF$77</f>
        <v>19.100000000000001</v>
      </c>
      <c r="AM65" s="33">
        <f>'[1]OECD.Stat export'!CH$76+'[1]OECD.Stat export'!CH$77</f>
        <v>31.2</v>
      </c>
      <c r="AN65" s="33">
        <f>'[1]OECD.Stat export'!$CJ$76+'[1]OECD.Stat export'!$CL$76+'[1]OECD.Stat export'!$CJ$77+'[1]OECD.Stat export'!$CL$77</f>
        <v>36</v>
      </c>
      <c r="AO65" s="48">
        <v>0</v>
      </c>
      <c r="AP65" s="33">
        <f>'[1]OECD.Stat export'!CP$76+'[1]OECD.Stat export'!CP$77</f>
        <v>214.4</v>
      </c>
      <c r="AQ65" s="33">
        <f>'[1]OECD.Stat export'!CR$76+'[1]OECD.Stat export'!CR$77</f>
        <v>0.4</v>
      </c>
      <c r="AR65" s="33">
        <f>'[1]OECD.Stat export'!CT$76+'[1]OECD.Stat export'!CT$77</f>
        <v>0</v>
      </c>
      <c r="AS65" s="33">
        <f>'[1]OECD.Stat export'!CV$76+'[1]OECD.Stat export'!CV$77</f>
        <v>5.0999999999999996</v>
      </c>
      <c r="AT65" s="33">
        <f>'[1]OECD.Stat export'!CX$76+'[1]OECD.Stat export'!CX$77</f>
        <v>7.6</v>
      </c>
      <c r="AU65" s="33">
        <f>'[1]OECD.Stat export'!CZ$76+'[1]OECD.Stat export'!CZ$77</f>
        <v>0.60000000000000009</v>
      </c>
      <c r="AV65" s="33">
        <f>'[1]OECD.Stat export'!DB$76+'[1]OECD.Stat export'!DB$77</f>
        <v>0</v>
      </c>
      <c r="AW65" s="48">
        <v>0</v>
      </c>
      <c r="AX65" s="33">
        <f>'[1]OECD.Stat export'!$DF$76+'[1]OECD.Stat export'!$DF$77</f>
        <v>942.2</v>
      </c>
      <c r="AY65" s="45">
        <v>0</v>
      </c>
    </row>
    <row r="66" spans="3:51" ht="48" x14ac:dyDescent="0.2">
      <c r="C66" t="s">
        <v>257</v>
      </c>
      <c r="D66" s="15" t="s">
        <v>280</v>
      </c>
      <c r="E66" s="14" t="s">
        <v>208</v>
      </c>
      <c r="F66" s="16">
        <v>0</v>
      </c>
      <c r="G66" s="45">
        <v>0</v>
      </c>
      <c r="H66" s="45">
        <v>0</v>
      </c>
      <c r="I66" s="45">
        <v>0</v>
      </c>
      <c r="J66" s="45">
        <v>0.4</v>
      </c>
      <c r="K66" s="45">
        <v>0.2</v>
      </c>
      <c r="L66" s="45">
        <v>0</v>
      </c>
      <c r="M66" s="45">
        <v>0.3</v>
      </c>
      <c r="N66" s="45">
        <v>0</v>
      </c>
      <c r="O66" s="16">
        <v>0.2</v>
      </c>
      <c r="P66" s="45">
        <v>0</v>
      </c>
      <c r="Q66" s="45">
        <v>0.3</v>
      </c>
      <c r="R66" s="45">
        <v>2</v>
      </c>
      <c r="S66" s="45">
        <v>0.2</v>
      </c>
      <c r="T66" s="45">
        <v>0.2</v>
      </c>
      <c r="U66" s="45">
        <v>0.4</v>
      </c>
      <c r="V66" s="45">
        <v>0.2</v>
      </c>
      <c r="W66" s="45">
        <v>0.2</v>
      </c>
      <c r="X66" s="45">
        <v>0.1</v>
      </c>
      <c r="Y66" s="45">
        <v>0</v>
      </c>
      <c r="Z66" s="16">
        <f>0.2+0.2</f>
        <v>0.4</v>
      </c>
      <c r="AA66" s="45">
        <v>0.6</v>
      </c>
      <c r="AB66" s="45">
        <v>9.3000000000000007</v>
      </c>
      <c r="AC66" s="16">
        <f>0.4+0.7+0.8+0.8+0.2</f>
        <v>2.9000000000000004</v>
      </c>
      <c r="AD66" s="45">
        <v>0.5</v>
      </c>
      <c r="AE66" s="45">
        <v>0.2</v>
      </c>
      <c r="AF66" s="45">
        <v>0.8</v>
      </c>
      <c r="AG66" s="45">
        <v>0</v>
      </c>
      <c r="AH66" s="45">
        <v>2</v>
      </c>
      <c r="AI66" s="45">
        <v>1.3</v>
      </c>
      <c r="AJ66" s="16">
        <f>0.3+0.3</f>
        <v>0.6</v>
      </c>
      <c r="AK66" s="45">
        <v>0.5</v>
      </c>
      <c r="AL66" s="45">
        <v>0.3</v>
      </c>
      <c r="AM66" s="45">
        <v>0.4</v>
      </c>
      <c r="AN66" s="16">
        <v>0.6</v>
      </c>
      <c r="AO66" s="45">
        <v>0</v>
      </c>
      <c r="AP66" s="45">
        <v>12.4</v>
      </c>
      <c r="AQ66" s="45">
        <v>0</v>
      </c>
      <c r="AR66" s="45">
        <v>0</v>
      </c>
      <c r="AS66" s="45">
        <v>6</v>
      </c>
      <c r="AT66" s="45">
        <v>9.6999999999999993</v>
      </c>
      <c r="AU66" s="45">
        <v>1.6</v>
      </c>
      <c r="AV66" s="45">
        <v>0</v>
      </c>
      <c r="AW66" s="45">
        <v>0</v>
      </c>
      <c r="AX66" s="45">
        <v>55</v>
      </c>
      <c r="AY66" s="45">
        <v>0</v>
      </c>
    </row>
    <row r="67" spans="3:51" ht="96" x14ac:dyDescent="0.2">
      <c r="C67" t="s">
        <v>257</v>
      </c>
      <c r="D67" s="15" t="s">
        <v>281</v>
      </c>
      <c r="E67" s="14" t="s">
        <v>208</v>
      </c>
      <c r="F67" s="16">
        <v>4.3</v>
      </c>
      <c r="G67" s="45">
        <v>0</v>
      </c>
      <c r="H67" s="45">
        <v>0</v>
      </c>
      <c r="I67" s="45">
        <v>10.3</v>
      </c>
      <c r="J67" s="45">
        <v>180</v>
      </c>
      <c r="K67" s="45">
        <v>123.4</v>
      </c>
      <c r="L67" s="45">
        <v>14.4</v>
      </c>
      <c r="M67" s="45">
        <v>131.4</v>
      </c>
      <c r="N67" s="45">
        <v>15.4</v>
      </c>
      <c r="O67" s="16">
        <f>69+30.3</f>
        <v>99.3</v>
      </c>
      <c r="P67" s="45">
        <v>0</v>
      </c>
      <c r="Q67" s="45">
        <v>48.6</v>
      </c>
      <c r="R67" s="45">
        <v>523.6</v>
      </c>
      <c r="S67" s="46">
        <v>47.5</v>
      </c>
      <c r="T67" s="46">
        <v>69.3</v>
      </c>
      <c r="U67" s="45">
        <v>139.6</v>
      </c>
      <c r="V67" s="45">
        <v>59.8</v>
      </c>
      <c r="W67" s="45">
        <v>70.5</v>
      </c>
      <c r="X67" s="45">
        <v>19.3</v>
      </c>
      <c r="Y67" s="45">
        <v>12.2</v>
      </c>
      <c r="Z67" s="16">
        <f>86.5+95.1</f>
        <v>181.6</v>
      </c>
      <c r="AA67" s="45">
        <v>202.8</v>
      </c>
      <c r="AB67" s="45">
        <v>3388</v>
      </c>
      <c r="AC67" s="16">
        <f>135.6+334.9+331.4+261.8+77.2</f>
        <v>1140.9000000000001</v>
      </c>
      <c r="AD67" s="45">
        <v>352.3</v>
      </c>
      <c r="AE67" s="45">
        <v>76.400000000000006</v>
      </c>
      <c r="AF67" s="45">
        <v>231.8</v>
      </c>
      <c r="AG67" s="45">
        <v>6.1</v>
      </c>
      <c r="AH67" s="45">
        <v>397.8</v>
      </c>
      <c r="AI67" s="45">
        <v>133.80000000000001</v>
      </c>
      <c r="AJ67" s="16">
        <f>34.9+67.3</f>
        <v>102.19999999999999</v>
      </c>
      <c r="AK67" s="45">
        <v>99.9</v>
      </c>
      <c r="AL67" s="45">
        <v>105</v>
      </c>
      <c r="AM67" s="45">
        <v>151.6</v>
      </c>
      <c r="AN67" s="16">
        <f>75.8+177</f>
        <v>252.8</v>
      </c>
      <c r="AO67" s="45">
        <v>0</v>
      </c>
      <c r="AP67" s="45">
        <v>8042.2</v>
      </c>
      <c r="AQ67" s="45">
        <v>0.1</v>
      </c>
      <c r="AR67" s="45">
        <v>0.4</v>
      </c>
      <c r="AS67" s="45">
        <v>2123.6999999999998</v>
      </c>
      <c r="AT67" s="45">
        <v>5071.5</v>
      </c>
      <c r="AU67" s="45">
        <v>108.4</v>
      </c>
      <c r="AV67" s="45">
        <v>0</v>
      </c>
      <c r="AW67" s="45">
        <v>0</v>
      </c>
      <c r="AX67" s="45">
        <v>23738.3</v>
      </c>
      <c r="AY67" s="45">
        <v>0</v>
      </c>
    </row>
    <row r="68" spans="3:51" ht="60" x14ac:dyDescent="0.2">
      <c r="C68" t="s">
        <v>257</v>
      </c>
      <c r="D68" s="15" t="s">
        <v>282</v>
      </c>
      <c r="E68" s="14" t="s">
        <v>208</v>
      </c>
      <c r="F68" s="16">
        <f>1.2+0.1+0.1+0.1+0.3+0.1</f>
        <v>1.9000000000000004</v>
      </c>
      <c r="G68" s="45">
        <v>0</v>
      </c>
      <c r="H68" s="45">
        <v>0</v>
      </c>
      <c r="I68" s="33">
        <f>'[1]OECD.Stat export'!$L$80+'[1]OECD.Stat export'!$L$81+'[1]OECD.Stat export'!$L$82+'[1]OECD.Stat export'!$L$83+'[1]OECD.Stat export'!$L$84</f>
        <v>10.1</v>
      </c>
      <c r="J68" s="33">
        <f>'[1]OECD.Stat export'!$L$80+'[1]OECD.Stat export'!$L$81+'[1]OECD.Stat export'!$L$82+'[1]OECD.Stat export'!$L$83+'[1]OECD.Stat export'!$L$84</f>
        <v>10.1</v>
      </c>
      <c r="K68" s="33">
        <f>'[1]OECD.Stat export'!$L$80+'[1]OECD.Stat export'!$L$81+'[1]OECD.Stat export'!$L$82+'[1]OECD.Stat export'!$L$83+'[1]OECD.Stat export'!$L$84</f>
        <v>10.1</v>
      </c>
      <c r="L68" s="33">
        <f>'[1]OECD.Stat export'!$L$80+'[1]OECD.Stat export'!$L$81+'[1]OECD.Stat export'!$L$82+'[1]OECD.Stat export'!$L$83+'[1]OECD.Stat export'!$L$84</f>
        <v>10.1</v>
      </c>
      <c r="M68" s="33">
        <f>'[1]OECD.Stat export'!$L$80+'[1]OECD.Stat export'!$L$81+'[1]OECD.Stat export'!$L$82+'[1]OECD.Stat export'!$L$83+'[1]OECD.Stat export'!$L$84</f>
        <v>10.1</v>
      </c>
      <c r="N68" s="33">
        <f>'[1]OECD.Stat export'!$L$80+'[1]OECD.Stat export'!$L$81+'[1]OECD.Stat export'!$L$82+'[1]OECD.Stat export'!$L$83+'[1]OECD.Stat export'!$L$84</f>
        <v>10.1</v>
      </c>
      <c r="O68" s="33">
        <f>'[1]OECD.Stat export'!$X$80+'[1]OECD.Stat export'!$Z$80+'[1]OECD.Stat export'!$X$81+'[1]OECD.Stat export'!$Z$81+'[1]OECD.Stat export'!$X$82+'[1]OECD.Stat export'!$Z$82+'[1]OECD.Stat export'!$X$83+'[1]OECD.Stat export'!$Z$83+'[1]OECD.Stat export'!$X$84+'[1]OECD.Stat export'!$Z$84</f>
        <v>20.9</v>
      </c>
      <c r="P68" s="48">
        <v>0</v>
      </c>
      <c r="Q68" s="33">
        <f>'[1]OECD.Stat export'!$AD$80+'[1]OECD.Stat export'!$AD$81+'[1]OECD.Stat export'!$AD$82+'[1]OECD.Stat export'!$AD$83+'[1]OECD.Stat export'!$AD$84</f>
        <v>20.3</v>
      </c>
      <c r="R68" s="33">
        <f>'[1]OECD.Stat export'!$AF$80+'[1]OECD.Stat export'!$AF$81+'[1]OECD.Stat export'!$AF$82+'[1]OECD.Stat export'!$AF$83+'[1]OECD.Stat export'!$AF$84</f>
        <v>186</v>
      </c>
      <c r="S68" s="33">
        <f>'[1]OECD.Stat export'!AH$80+'[1]OECD.Stat export'!AH$81+'[1]OECD.Stat export'!AH$82+'[1]OECD.Stat export'!AH$83+'[1]OECD.Stat export'!AH$84</f>
        <v>18.099999999999998</v>
      </c>
      <c r="T68" s="33">
        <f>'[1]OECD.Stat export'!AJ$80+'[1]OECD.Stat export'!AJ$81+'[1]OECD.Stat export'!AJ$82+'[1]OECD.Stat export'!AJ$83+'[1]OECD.Stat export'!AJ$84</f>
        <v>19.900000000000002</v>
      </c>
      <c r="U68" s="33">
        <f>'[1]OECD.Stat export'!AL$80+'[1]OECD.Stat export'!AL$81+'[1]OECD.Stat export'!AL$82+'[1]OECD.Stat export'!AL$83+'[1]OECD.Stat export'!AL$84</f>
        <v>44.4</v>
      </c>
      <c r="V68" s="33">
        <f>'[1]OECD.Stat export'!AN$80+'[1]OECD.Stat export'!AN$81+'[1]OECD.Stat export'!AN$82+'[1]OECD.Stat export'!AN$83+'[1]OECD.Stat export'!AN$84</f>
        <v>20.100000000000001</v>
      </c>
      <c r="W68" s="33">
        <f>'[1]OECD.Stat export'!AP$80+'[1]OECD.Stat export'!AP$81+'[1]OECD.Stat export'!AP$82+'[1]OECD.Stat export'!AP$83+'[1]OECD.Stat export'!AP$84</f>
        <v>18.099999999999998</v>
      </c>
      <c r="X68" s="33">
        <f>'[1]OECD.Stat export'!AR$80+'[1]OECD.Stat export'!AR$81+'[1]OECD.Stat export'!AR$82+'[1]OECD.Stat export'!AR$83+'[1]OECD.Stat export'!AR$84</f>
        <v>6.9000000000000012</v>
      </c>
      <c r="Y68" s="33">
        <f>'[1]OECD.Stat export'!AT$80+'[1]OECD.Stat export'!AT$81+'[1]OECD.Stat export'!AT$82+'[1]OECD.Stat export'!AT$83+'[1]OECD.Stat export'!AT$84</f>
        <v>4.5999999999999996</v>
      </c>
      <c r="Z68" s="33">
        <f>'[1]OECD.Stat export'!$AV$80+'[1]OECD.Stat export'!$AX$80+'[1]OECD.Stat export'!$AV$81+'[1]OECD.Stat export'!$AX$82+'[1]OECD.Stat export'!$AX$81+'[1]OECD.Stat export'!$AV$82+'[1]OECD.Stat export'!$AV$83+'[1]OECD.Stat export'!$AX$83+'[1]OECD.Stat export'!$AV$84+'[1]OECD.Stat export'!$AX$84</f>
        <v>54.8</v>
      </c>
      <c r="AA68" s="33">
        <f>'[1]OECD.Stat export'!$AZ$80+'[1]OECD.Stat export'!$AZ$81+'[1]OECD.Stat export'!$AZ$82+'[1]OECD.Stat export'!$AZ$83+'[1]OECD.Stat export'!$AZ$84</f>
        <v>57.599999999999994</v>
      </c>
      <c r="AB68" s="33">
        <f>'[1]OECD.Stat export'!$BB$80+'[1]OECD.Stat export'!$BB$81+'[1]OECD.Stat export'!$BB$82+'[1]OECD.Stat export'!$AZ$83+'[1]OECD.Stat export'!$BB$84</f>
        <v>1235.0999999999999</v>
      </c>
      <c r="AC68" s="33">
        <f>'[1]OECD.Stat export'!$BD$80+'[1]OECD.Stat export'!$BF$80+'[1]OECD.Stat export'!$BH$80+'[1]OECD.Stat export'!$BJ$80+'[1]OECD.Stat export'!$BL$80+'[1]OECD.Stat export'!$BD$81+'[1]OECD.Stat export'!$BF$81+'[1]OECD.Stat export'!$BH$81+'[1]OECD.Stat export'!$BJ$81+'[1]OECD.Stat export'!$BL$81+'[1]OECD.Stat export'!$BD$82+'[1]OECD.Stat export'!$BF$82+'[1]OECD.Stat export'!$BH$82+'[1]OECD.Stat export'!$BJ$82+'[1]OECD.Stat export'!$BL$82+'[1]OECD.Stat export'!$BD$83+'[1]OECD.Stat export'!$BF$83+'[1]OECD.Stat export'!$BH$83+'[1]OECD.Stat export'!$BJ$83+'[1]OECD.Stat export'!$BL$83+'[1]OECD.Stat export'!$BD$84+'[1]OECD.Stat export'!$BF$84+'[1]OECD.Stat export'!$BH$84+'[1]OECD.Stat export'!$BJ$84+'[1]OECD.Stat export'!$BL$84</f>
        <v>1924.6999999999996</v>
      </c>
      <c r="AD68" s="33">
        <f>'[1]OECD.Stat export'!BN$80+'[1]OECD.Stat export'!BN$81+'[1]OECD.Stat export'!BN$82+'[1]OECD.Stat export'!BN$83+'[1]OECD.Stat export'!BN$84</f>
        <v>98.8</v>
      </c>
      <c r="AE68" s="33">
        <f>'[1]OECD.Stat export'!BP$80+'[1]OECD.Stat export'!BP$81+'[1]OECD.Stat export'!BP$82+'[1]OECD.Stat export'!BP$83+'[1]OECD.Stat export'!BP$84</f>
        <v>29.8</v>
      </c>
      <c r="AF68" s="33">
        <f>'[1]OECD.Stat export'!BR$80+'[1]OECD.Stat export'!BR$81+'[1]OECD.Stat export'!BR$82+'[1]OECD.Stat export'!BR$83+'[1]OECD.Stat export'!BR$84</f>
        <v>264.09999999999997</v>
      </c>
      <c r="AG68" s="33">
        <f>'[1]OECD.Stat export'!BT$80+'[1]OECD.Stat export'!BT$81+'[1]OECD.Stat export'!BT$82+'[1]OECD.Stat export'!BT$83+'[1]OECD.Stat export'!BT$84</f>
        <v>5.0999999999999996</v>
      </c>
      <c r="AH68" s="33">
        <f>'[1]OECD.Stat export'!BV$80+'[1]OECD.Stat export'!BV$81+'[1]OECD.Stat export'!BV$82+'[1]OECD.Stat export'!BV$83+'[1]OECD.Stat export'!BV$84</f>
        <v>475</v>
      </c>
      <c r="AI68" s="33">
        <f>'[1]OECD.Stat export'!BX$80+'[1]OECD.Stat export'!BX$81+'[1]OECD.Stat export'!BX$82+'[1]OECD.Stat export'!BX$83+'[1]OECD.Stat export'!BX$84</f>
        <v>87.6</v>
      </c>
      <c r="AJ68" s="33">
        <f>'[1]OECD.Stat export'!$BZ$80+'[1]OECD.Stat export'!$CB$80+'[1]OECD.Stat export'!$BZ$81+'[1]OECD.Stat export'!$CB$82+'[1]OECD.Stat export'!$CB$81+'[1]OECD.Stat export'!$BZ$82+'[1]OECD.Stat export'!$BZ$83+'[1]OECD.Stat export'!$CB$83+'[1]OECD.Stat export'!$BZ$84+'[1]OECD.Stat export'!$CB$84</f>
        <v>86.3</v>
      </c>
      <c r="AK68" s="33">
        <f>'[1]OECD.Stat export'!CD$80+'[1]OECD.Stat export'!CD$81+'[1]OECD.Stat export'!CD$82+'[1]OECD.Stat export'!CD$83+'[1]OECD.Stat export'!CD$84</f>
        <v>45.3</v>
      </c>
      <c r="AL68" s="33">
        <f>'[1]OECD.Stat export'!CF$80+'[1]OECD.Stat export'!CF$81+'[1]OECD.Stat export'!CF$82+'[1]OECD.Stat export'!CF$83+'[1]OECD.Stat export'!CF$84</f>
        <v>37.9</v>
      </c>
      <c r="AM68" s="33">
        <f>'[1]OECD.Stat export'!CH$80+'[1]OECD.Stat export'!CH$81+'[1]OECD.Stat export'!CH$82+'[1]OECD.Stat export'!CH$83+'[1]OECD.Stat export'!CH$84</f>
        <v>45.1</v>
      </c>
      <c r="AN68" s="33">
        <f>'[1]OECD.Stat export'!$CJ$80+'[1]OECD.Stat export'!$CL$80+'[1]OECD.Stat export'!$CJ$81+'[1]OECD.Stat export'!$CL$81+'[1]OECD.Stat export'!$CJ$82+'[1]OECD.Stat export'!$CL$82+'[1]OECD.Stat export'!$CJ$83+'[1]OECD.Stat export'!$CL$83+'[1]OECD.Stat export'!$CJ$84+'[1]OECD.Stat export'!$CL$84</f>
        <v>105.1</v>
      </c>
      <c r="AO68" s="48">
        <v>0</v>
      </c>
      <c r="AP68" s="33">
        <f>'[1]OECD.Stat export'!CP$80+'[1]OECD.Stat export'!CP$81+'[1]OECD.Stat export'!CP$82+'[1]OECD.Stat export'!CP$83+'[1]OECD.Stat export'!CP$84</f>
        <v>2106.2000000000003</v>
      </c>
      <c r="AQ68" s="33">
        <f>'[1]OECD.Stat export'!CR$80+'[1]OECD.Stat export'!CR$81+'[1]OECD.Stat export'!CR$82+'[1]OECD.Stat export'!CR$83+'[1]OECD.Stat export'!CR$84</f>
        <v>1.7000000000000002</v>
      </c>
      <c r="AR68" s="33">
        <f>'[1]OECD.Stat export'!CT$80+'[1]OECD.Stat export'!CT$81+'[1]OECD.Stat export'!CT$82+'[1]OECD.Stat export'!CT$83+'[1]OECD.Stat export'!CT$84</f>
        <v>0.1</v>
      </c>
      <c r="AS68" s="33">
        <f>'[1]OECD.Stat export'!CV$80+'[1]OECD.Stat export'!CV$81+'[1]OECD.Stat export'!CV$82+'[1]OECD.Stat export'!CV$83+'[1]OECD.Stat export'!CV$84</f>
        <v>682</v>
      </c>
      <c r="AT68" s="33">
        <f>'[1]OECD.Stat export'!CX$80+'[1]OECD.Stat export'!CX$81+'[1]OECD.Stat export'!CX$82+'[1]OECD.Stat export'!CX$83+'[1]OECD.Stat export'!CX$84</f>
        <v>1152.3</v>
      </c>
      <c r="AU68" s="33">
        <f>'[1]OECD.Stat export'!CZ$80+'[1]OECD.Stat export'!CZ$81+'[1]OECD.Stat export'!CZ$82+'[1]OECD.Stat export'!CZ$83+'[1]OECD.Stat export'!CZ$84</f>
        <v>636.1</v>
      </c>
      <c r="AV68" s="33">
        <f>'[1]OECD.Stat export'!DB$80+'[1]OECD.Stat export'!DB$81+'[1]OECD.Stat export'!DB$82+'[1]OECD.Stat export'!DB$83+'[1]OECD.Stat export'!DB$84</f>
        <v>0</v>
      </c>
      <c r="AW68" s="48">
        <v>0</v>
      </c>
      <c r="AX68" s="33">
        <f>'[1]OECD.Stat export'!DF$80+'[1]OECD.Stat export'!DF$81+'[1]OECD.Stat export'!DF$82+'[1]OECD.Stat export'!DF$83+'[1]OECD.Stat export'!DF$84</f>
        <v>9887</v>
      </c>
      <c r="AY68" s="45">
        <v>0</v>
      </c>
    </row>
    <row r="69" spans="3:51" ht="72" x14ac:dyDescent="0.2">
      <c r="C69" t="s">
        <v>257</v>
      </c>
      <c r="D69" s="15" t="s">
        <v>283</v>
      </c>
      <c r="E69" s="14" t="s">
        <v>208</v>
      </c>
      <c r="F69" s="16">
        <v>0</v>
      </c>
      <c r="G69" s="45">
        <v>0</v>
      </c>
      <c r="H69" s="45">
        <v>0</v>
      </c>
      <c r="I69" s="45">
        <v>0</v>
      </c>
      <c r="J69" s="45">
        <v>0.3</v>
      </c>
      <c r="K69" s="45">
        <v>0.1</v>
      </c>
      <c r="L69" s="45">
        <v>0</v>
      </c>
      <c r="M69" s="45">
        <v>0.2</v>
      </c>
      <c r="N69" s="45">
        <v>0</v>
      </c>
      <c r="O69" s="16">
        <v>0</v>
      </c>
      <c r="P69" s="45">
        <v>0</v>
      </c>
      <c r="Q69" s="45">
        <v>0</v>
      </c>
      <c r="R69" s="45">
        <v>0.2</v>
      </c>
      <c r="S69" s="45">
        <v>0</v>
      </c>
      <c r="T69" s="45">
        <v>0</v>
      </c>
      <c r="U69" s="45">
        <v>0.1</v>
      </c>
      <c r="V69" s="45">
        <v>0</v>
      </c>
      <c r="W69" s="45">
        <v>0</v>
      </c>
      <c r="X69" s="45">
        <v>0</v>
      </c>
      <c r="Y69" s="45">
        <v>0</v>
      </c>
      <c r="Z69" s="16">
        <v>0.2</v>
      </c>
      <c r="AA69" s="45">
        <v>0.5</v>
      </c>
      <c r="AB69" s="45">
        <v>2.2999999999999998</v>
      </c>
      <c r="AC69" s="16">
        <f>0.2+0.7+0.6+0.3+0.2</f>
        <v>2</v>
      </c>
      <c r="AD69" s="45">
        <v>0.8</v>
      </c>
      <c r="AE69" s="45">
        <v>0.1</v>
      </c>
      <c r="AF69" s="45">
        <v>0.3</v>
      </c>
      <c r="AG69" s="45">
        <v>0</v>
      </c>
      <c r="AH69" s="45">
        <v>0.9</v>
      </c>
      <c r="AI69" s="45">
        <v>0.3</v>
      </c>
      <c r="AJ69" s="16">
        <v>0.2</v>
      </c>
      <c r="AK69" s="45">
        <v>0.1</v>
      </c>
      <c r="AL69" s="45">
        <v>0.1</v>
      </c>
      <c r="AM69" s="45">
        <v>0.3</v>
      </c>
      <c r="AN69" s="16">
        <f>0.2+0.2</f>
        <v>0.4</v>
      </c>
      <c r="AO69" s="45">
        <v>0</v>
      </c>
      <c r="AP69" s="45">
        <v>10.7</v>
      </c>
      <c r="AQ69" s="45">
        <v>0</v>
      </c>
      <c r="AR69" s="45">
        <v>0</v>
      </c>
      <c r="AS69" s="45">
        <v>1.2</v>
      </c>
      <c r="AT69" s="45">
        <v>4.5999999999999996</v>
      </c>
      <c r="AU69" s="45">
        <v>1302.9000000000001</v>
      </c>
      <c r="AV69" s="45">
        <v>0</v>
      </c>
      <c r="AW69" s="45">
        <v>0</v>
      </c>
      <c r="AX69" s="45">
        <v>1329.3</v>
      </c>
      <c r="AY69" s="45">
        <v>0</v>
      </c>
    </row>
    <row r="70" spans="3:51" ht="84" x14ac:dyDescent="0.2">
      <c r="C70" t="s">
        <v>257</v>
      </c>
      <c r="D70" s="15" t="s">
        <v>284</v>
      </c>
      <c r="E70" s="14" t="s">
        <v>208</v>
      </c>
      <c r="F70" s="16">
        <v>1.6</v>
      </c>
      <c r="G70" s="45">
        <v>0</v>
      </c>
      <c r="H70" s="45">
        <v>0</v>
      </c>
      <c r="I70" s="45">
        <v>0</v>
      </c>
      <c r="J70" s="45">
        <v>36.299999999999997</v>
      </c>
      <c r="K70" s="45">
        <v>10</v>
      </c>
      <c r="L70" s="45">
        <v>0.6</v>
      </c>
      <c r="M70" s="45">
        <v>12.8</v>
      </c>
      <c r="N70" s="45">
        <v>0.2</v>
      </c>
      <c r="O70" s="16">
        <v>0.3</v>
      </c>
      <c r="P70" s="45">
        <v>0</v>
      </c>
      <c r="Q70" s="45">
        <v>0.6</v>
      </c>
      <c r="R70" s="45">
        <v>2</v>
      </c>
      <c r="S70" s="45">
        <v>0.2</v>
      </c>
      <c r="T70" s="45">
        <v>0.9</v>
      </c>
      <c r="U70" s="45">
        <v>1.3</v>
      </c>
      <c r="V70" s="45">
        <v>0.5</v>
      </c>
      <c r="W70" s="45">
        <v>0.3</v>
      </c>
      <c r="X70" s="45">
        <v>0.1</v>
      </c>
      <c r="Y70" s="45">
        <v>0.2</v>
      </c>
      <c r="Z70" s="16">
        <f>6.8+4.6</f>
        <v>11.399999999999999</v>
      </c>
      <c r="AA70" s="45">
        <v>55.6</v>
      </c>
      <c r="AB70" s="45">
        <v>189.8</v>
      </c>
      <c r="AC70" s="16">
        <f>28+44.4+40+42.5+9.8</f>
        <v>164.70000000000002</v>
      </c>
      <c r="AD70" s="45">
        <v>9.6999999999999993</v>
      </c>
      <c r="AE70" s="45">
        <v>147.80000000000001</v>
      </c>
      <c r="AF70" s="45">
        <v>55.3</v>
      </c>
      <c r="AG70" s="45">
        <v>2</v>
      </c>
      <c r="AH70" s="45">
        <v>199.2</v>
      </c>
      <c r="AI70" s="45">
        <v>85.6</v>
      </c>
      <c r="AJ70" s="16">
        <f>23.9+10.2</f>
        <v>34.099999999999994</v>
      </c>
      <c r="AK70" s="45">
        <v>10.199999999999999</v>
      </c>
      <c r="AL70" s="45">
        <v>21.3</v>
      </c>
      <c r="AM70" s="45">
        <v>81.2</v>
      </c>
      <c r="AN70" s="16">
        <f>29.6+17.7</f>
        <v>47.3</v>
      </c>
      <c r="AO70" s="45">
        <v>0</v>
      </c>
      <c r="AP70" s="45">
        <v>615.4</v>
      </c>
      <c r="AQ70" s="45">
        <v>1.2</v>
      </c>
      <c r="AR70" s="45">
        <v>0.1</v>
      </c>
      <c r="AS70" s="45">
        <v>67.8</v>
      </c>
      <c r="AT70" s="45">
        <v>19</v>
      </c>
      <c r="AU70" s="45">
        <v>21.7</v>
      </c>
      <c r="AV70" s="45">
        <v>0</v>
      </c>
      <c r="AW70" s="45">
        <v>0</v>
      </c>
      <c r="AX70" s="45">
        <v>1908.6</v>
      </c>
      <c r="AY70" s="45">
        <v>0</v>
      </c>
    </row>
    <row r="71" spans="3:51" ht="36" x14ac:dyDescent="0.2">
      <c r="C71" t="s">
        <v>257</v>
      </c>
      <c r="D71" s="15" t="s">
        <v>285</v>
      </c>
      <c r="E71" s="14" t="s">
        <v>208</v>
      </c>
      <c r="F71" s="16">
        <v>0</v>
      </c>
      <c r="G71" s="45">
        <v>0</v>
      </c>
      <c r="H71" s="45">
        <v>0</v>
      </c>
      <c r="I71" s="45">
        <v>0</v>
      </c>
      <c r="J71" s="45">
        <v>1.8</v>
      </c>
      <c r="K71" s="45">
        <v>0.6</v>
      </c>
      <c r="L71" s="45">
        <v>0.2</v>
      </c>
      <c r="M71" s="45">
        <v>1.1000000000000001</v>
      </c>
      <c r="N71" s="45">
        <v>0</v>
      </c>
      <c r="O71" s="16">
        <v>0</v>
      </c>
      <c r="P71" s="45">
        <v>0</v>
      </c>
      <c r="Q71" s="45">
        <v>0</v>
      </c>
      <c r="R71" s="45">
        <v>0.8</v>
      </c>
      <c r="S71" s="45">
        <v>0.1</v>
      </c>
      <c r="T71" s="45">
        <v>0.2</v>
      </c>
      <c r="U71" s="45">
        <v>0.2</v>
      </c>
      <c r="V71" s="45">
        <v>0.1</v>
      </c>
      <c r="W71" s="45">
        <v>0.1</v>
      </c>
      <c r="X71" s="45">
        <v>0</v>
      </c>
      <c r="Y71" s="45">
        <v>0</v>
      </c>
      <c r="Z71" s="16">
        <v>1.5</v>
      </c>
      <c r="AA71" s="45">
        <v>1.7</v>
      </c>
      <c r="AB71" s="45">
        <v>36</v>
      </c>
      <c r="AC71" s="16">
        <f>2+25.9+4.4+3.7+3.4</f>
        <v>39.4</v>
      </c>
      <c r="AD71" s="45">
        <v>2.6</v>
      </c>
      <c r="AE71" s="45">
        <v>3.8</v>
      </c>
      <c r="AF71" s="45">
        <v>30.1</v>
      </c>
      <c r="AG71" s="45">
        <v>0.7</v>
      </c>
      <c r="AH71" s="45">
        <v>46.8</v>
      </c>
      <c r="AI71" s="45">
        <v>12.2</v>
      </c>
      <c r="AJ71" s="16">
        <f>2.4+3.3</f>
        <v>5.6999999999999993</v>
      </c>
      <c r="AK71" s="45">
        <v>2.8</v>
      </c>
      <c r="AL71" s="45">
        <v>1.9</v>
      </c>
      <c r="AM71" s="45">
        <v>2.7</v>
      </c>
      <c r="AN71" s="16">
        <f>2.2+3.7</f>
        <v>5.9</v>
      </c>
      <c r="AO71" s="45">
        <v>0</v>
      </c>
      <c r="AP71" s="45">
        <v>48.2</v>
      </c>
      <c r="AQ71" s="45">
        <v>0.2</v>
      </c>
      <c r="AR71" s="45">
        <v>0</v>
      </c>
      <c r="AS71" s="45">
        <v>11.2</v>
      </c>
      <c r="AT71" s="45">
        <v>9.1999999999999993</v>
      </c>
      <c r="AU71" s="45">
        <v>84.7</v>
      </c>
      <c r="AV71" s="45">
        <v>0</v>
      </c>
      <c r="AW71" s="45">
        <v>0</v>
      </c>
      <c r="AX71" s="45">
        <v>352.5</v>
      </c>
      <c r="AY71" s="45">
        <v>0</v>
      </c>
    </row>
    <row r="72" spans="3:51" ht="60" x14ac:dyDescent="0.2">
      <c r="C72" t="s">
        <v>257</v>
      </c>
      <c r="D72" s="15" t="s">
        <v>286</v>
      </c>
      <c r="E72" s="14" t="s">
        <v>208</v>
      </c>
      <c r="F72" s="16">
        <v>0.1</v>
      </c>
      <c r="G72" s="45">
        <v>0</v>
      </c>
      <c r="H72" s="45">
        <v>0</v>
      </c>
      <c r="I72" s="45">
        <v>0</v>
      </c>
      <c r="J72" s="45">
        <v>10.5</v>
      </c>
      <c r="K72" s="45">
        <v>3.5</v>
      </c>
      <c r="L72" s="45">
        <v>1.3</v>
      </c>
      <c r="M72" s="45">
        <v>7.4</v>
      </c>
      <c r="N72" s="45">
        <v>0</v>
      </c>
      <c r="O72" s="16">
        <v>0.1</v>
      </c>
      <c r="P72" s="45">
        <v>0</v>
      </c>
      <c r="Q72" s="45">
        <v>0.1</v>
      </c>
      <c r="R72" s="45">
        <v>2.4</v>
      </c>
      <c r="S72" s="45">
        <v>0.2</v>
      </c>
      <c r="T72" s="45">
        <v>0.4</v>
      </c>
      <c r="U72" s="45">
        <v>0.6</v>
      </c>
      <c r="V72" s="45">
        <v>0.2</v>
      </c>
      <c r="W72" s="45">
        <v>0.4</v>
      </c>
      <c r="X72" s="45">
        <v>0.1</v>
      </c>
      <c r="Y72" s="45">
        <v>0.1</v>
      </c>
      <c r="Z72" s="16">
        <v>5.4</v>
      </c>
      <c r="AA72" s="45">
        <v>8.1999999999999993</v>
      </c>
      <c r="AB72" s="45">
        <v>162.1</v>
      </c>
      <c r="AC72" s="16">
        <f>12+10.9+19.1+22.1+9.8</f>
        <v>73.899999999999991</v>
      </c>
      <c r="AD72" s="45">
        <v>10</v>
      </c>
      <c r="AE72" s="45">
        <v>12.1</v>
      </c>
      <c r="AF72" s="45">
        <v>57.6</v>
      </c>
      <c r="AG72" s="45">
        <v>6.3</v>
      </c>
      <c r="AH72" s="45">
        <v>235.9</v>
      </c>
      <c r="AI72" s="45">
        <v>57.3</v>
      </c>
      <c r="AJ72" s="16">
        <f>6.7+7.5</f>
        <v>14.2</v>
      </c>
      <c r="AK72" s="45">
        <v>20.6</v>
      </c>
      <c r="AL72" s="45">
        <v>11.5</v>
      </c>
      <c r="AM72" s="45">
        <v>11.7</v>
      </c>
      <c r="AN72" s="16">
        <f>6.8+9.6</f>
        <v>16.399999999999999</v>
      </c>
      <c r="AO72" s="45">
        <v>0</v>
      </c>
      <c r="AP72" s="45">
        <v>51.1</v>
      </c>
      <c r="AQ72" s="45">
        <v>0</v>
      </c>
      <c r="AR72" s="45">
        <v>0.1</v>
      </c>
      <c r="AS72" s="45">
        <v>111.9</v>
      </c>
      <c r="AT72" s="45">
        <v>24.9</v>
      </c>
      <c r="AU72" s="45">
        <v>1.9</v>
      </c>
      <c r="AV72" s="45">
        <v>0</v>
      </c>
      <c r="AW72" s="45">
        <v>0</v>
      </c>
      <c r="AX72" s="45">
        <v>921.1</v>
      </c>
      <c r="AY72" s="45">
        <v>0</v>
      </c>
    </row>
    <row r="73" spans="3:51" ht="60" x14ac:dyDescent="0.2">
      <c r="C73" t="s">
        <v>257</v>
      </c>
      <c r="D73" s="15" t="s">
        <v>287</v>
      </c>
      <c r="E73" s="14" t="s">
        <v>208</v>
      </c>
      <c r="F73" s="16">
        <v>0</v>
      </c>
      <c r="G73" s="45">
        <v>0</v>
      </c>
      <c r="H73" s="45">
        <v>0</v>
      </c>
      <c r="I73" s="45">
        <v>0.1</v>
      </c>
      <c r="J73" s="45">
        <v>13</v>
      </c>
      <c r="K73" s="45">
        <v>3.8</v>
      </c>
      <c r="L73" s="45">
        <v>1.5</v>
      </c>
      <c r="M73" s="45">
        <v>12</v>
      </c>
      <c r="N73" s="45">
        <v>0</v>
      </c>
      <c r="O73" s="16">
        <v>0</v>
      </c>
      <c r="P73" s="45">
        <v>0</v>
      </c>
      <c r="Q73" s="45">
        <v>0.1</v>
      </c>
      <c r="R73" s="45">
        <v>0.6</v>
      </c>
      <c r="S73" s="45">
        <v>0.1</v>
      </c>
      <c r="T73" s="45">
        <v>0.1</v>
      </c>
      <c r="U73" s="45">
        <v>0.1</v>
      </c>
      <c r="V73" s="45">
        <v>0.1</v>
      </c>
      <c r="W73" s="45">
        <v>0.1</v>
      </c>
      <c r="X73" s="45">
        <v>0</v>
      </c>
      <c r="Y73" s="45">
        <v>0</v>
      </c>
      <c r="Z73" s="16">
        <f>9.6+7.8</f>
        <v>17.399999999999999</v>
      </c>
      <c r="AA73" s="45">
        <v>8.5</v>
      </c>
      <c r="AB73" s="45">
        <v>235</v>
      </c>
      <c r="AC73" s="16">
        <f>16.8+26.9+10.3+34.2+6.5</f>
        <v>94.7</v>
      </c>
      <c r="AD73" s="45">
        <v>14</v>
      </c>
      <c r="AE73" s="45">
        <v>9.5</v>
      </c>
      <c r="AF73" s="45">
        <v>24.1</v>
      </c>
      <c r="AG73" s="45">
        <v>2.2999999999999998</v>
      </c>
      <c r="AH73" s="45">
        <v>1287.2</v>
      </c>
      <c r="AI73" s="45">
        <v>357.9</v>
      </c>
      <c r="AJ73" s="16">
        <f>12.4+23.6</f>
        <v>36</v>
      </c>
      <c r="AK73" s="45">
        <v>6.4</v>
      </c>
      <c r="AL73" s="45">
        <v>14.7</v>
      </c>
      <c r="AM73" s="45">
        <v>11.4</v>
      </c>
      <c r="AN73" s="16">
        <f>11.2+29.8</f>
        <v>41</v>
      </c>
      <c r="AO73" s="45">
        <v>0</v>
      </c>
      <c r="AP73" s="45">
        <v>661.8</v>
      </c>
      <c r="AQ73" s="45">
        <v>0</v>
      </c>
      <c r="AR73" s="45">
        <v>14</v>
      </c>
      <c r="AS73" s="45">
        <v>31.9</v>
      </c>
      <c r="AT73" s="45">
        <v>2.6</v>
      </c>
      <c r="AU73" s="45">
        <v>70.5</v>
      </c>
      <c r="AV73" s="45">
        <v>0</v>
      </c>
      <c r="AW73" s="45">
        <v>0</v>
      </c>
      <c r="AX73" s="45">
        <v>2972.6</v>
      </c>
      <c r="AY73" s="45">
        <v>0</v>
      </c>
    </row>
    <row r="74" spans="3:51" ht="36" x14ac:dyDescent="0.2">
      <c r="C74" t="s">
        <v>257</v>
      </c>
      <c r="D74" s="15" t="s">
        <v>288</v>
      </c>
      <c r="E74" s="14" t="s">
        <v>208</v>
      </c>
      <c r="F74" s="16">
        <v>0</v>
      </c>
      <c r="G74" s="45">
        <v>0</v>
      </c>
      <c r="H74" s="45">
        <v>0</v>
      </c>
      <c r="I74" s="45">
        <v>0</v>
      </c>
      <c r="J74" s="45">
        <v>0.5</v>
      </c>
      <c r="K74" s="45">
        <v>0.2</v>
      </c>
      <c r="L74" s="45">
        <v>0.1</v>
      </c>
      <c r="M74" s="45">
        <v>0.4</v>
      </c>
      <c r="N74" s="45">
        <v>0</v>
      </c>
      <c r="O74" s="16">
        <v>0</v>
      </c>
      <c r="P74" s="45">
        <v>0</v>
      </c>
      <c r="Q74" s="45">
        <v>0</v>
      </c>
      <c r="R74" s="45">
        <v>0.2</v>
      </c>
      <c r="S74" s="45">
        <v>0</v>
      </c>
      <c r="T74" s="45">
        <v>0.1</v>
      </c>
      <c r="U74" s="45">
        <v>0.1</v>
      </c>
      <c r="V74" s="45">
        <v>0</v>
      </c>
      <c r="W74" s="45">
        <v>0</v>
      </c>
      <c r="X74" s="45">
        <v>0</v>
      </c>
      <c r="Y74" s="45">
        <v>0</v>
      </c>
      <c r="Z74" s="16">
        <f>0.4+1.3</f>
        <v>1.7000000000000002</v>
      </c>
      <c r="AA74" s="45">
        <v>0.9</v>
      </c>
      <c r="AB74" s="45">
        <v>30.6</v>
      </c>
      <c r="AC74" s="16">
        <f>1.2+1.4+1.4+9.4+0.6</f>
        <v>14</v>
      </c>
      <c r="AD74" s="45">
        <v>5.9</v>
      </c>
      <c r="AE74" s="45">
        <v>1.8</v>
      </c>
      <c r="AF74" s="45">
        <v>2.1</v>
      </c>
      <c r="AG74" s="45">
        <v>0.2</v>
      </c>
      <c r="AH74" s="45">
        <v>18.600000000000001</v>
      </c>
      <c r="AI74" s="45">
        <v>16.3</v>
      </c>
      <c r="AJ74" s="16">
        <f>1.2+2.1</f>
        <v>3.3</v>
      </c>
      <c r="AK74" s="45">
        <v>0.5</v>
      </c>
      <c r="AL74" s="45">
        <v>1.3</v>
      </c>
      <c r="AM74" s="45">
        <v>2.2999999999999998</v>
      </c>
      <c r="AN74" s="16">
        <f>2.6+6.5</f>
        <v>9.1</v>
      </c>
      <c r="AO74" s="45">
        <v>0</v>
      </c>
      <c r="AP74" s="45">
        <v>25</v>
      </c>
      <c r="AQ74" s="45">
        <v>0</v>
      </c>
      <c r="AR74" s="45">
        <v>0.1</v>
      </c>
      <c r="AS74" s="45">
        <v>26</v>
      </c>
      <c r="AT74" s="45">
        <v>4.0999999999999996</v>
      </c>
      <c r="AU74" s="45">
        <v>229.3</v>
      </c>
      <c r="AV74" s="45">
        <v>0</v>
      </c>
      <c r="AW74" s="45">
        <v>0</v>
      </c>
      <c r="AX74" s="45">
        <v>395.1</v>
      </c>
      <c r="AY74" s="45">
        <v>0</v>
      </c>
    </row>
    <row r="75" spans="3:51" ht="60" x14ac:dyDescent="0.2">
      <c r="C75" t="s">
        <v>257</v>
      </c>
      <c r="D75" s="15" t="s">
        <v>289</v>
      </c>
      <c r="E75" s="14" t="s">
        <v>208</v>
      </c>
      <c r="F75" s="16">
        <f>0.2+0.1</f>
        <v>0.30000000000000004</v>
      </c>
      <c r="G75" s="45">
        <v>0</v>
      </c>
      <c r="H75" s="45">
        <v>0</v>
      </c>
      <c r="I75" s="33">
        <f>'[1]OECD.Stat export'!L$91+'[1]OECD.Stat export'!L$92</f>
        <v>0.7</v>
      </c>
      <c r="J75" s="33">
        <f>'[1]OECD.Stat export'!N$91+'[1]OECD.Stat export'!N$92</f>
        <v>20.700000000000003</v>
      </c>
      <c r="K75" s="33">
        <f>'[1]OECD.Stat export'!P$91+'[1]OECD.Stat export'!P$92</f>
        <v>6</v>
      </c>
      <c r="L75" s="33">
        <f>'[1]OECD.Stat export'!R$91+'[1]OECD.Stat export'!R$92</f>
        <v>4.0999999999999996</v>
      </c>
      <c r="M75" s="33">
        <f>'[1]OECD.Stat export'!T$91+'[1]OECD.Stat export'!T$92</f>
        <v>19.2</v>
      </c>
      <c r="N75" s="33">
        <f>'[1]OECD.Stat export'!V$91+'[1]OECD.Stat export'!V$92</f>
        <v>0.1</v>
      </c>
      <c r="O75" s="33">
        <f>'[1]OECD.Stat export'!$X$91+'[1]OECD.Stat export'!$Z$91+'[1]OECD.Stat export'!$X$92+'[1]OECD.Stat export'!$Z$92</f>
        <v>0.7</v>
      </c>
      <c r="P75" s="48">
        <v>0</v>
      </c>
      <c r="Q75" s="33">
        <f>'[1]OECD.Stat export'!AD$91+'[1]OECD.Stat export'!AD$92</f>
        <v>0.30000000000000004</v>
      </c>
      <c r="R75" s="33">
        <f>'[1]OECD.Stat export'!AF$91+'[1]OECD.Stat export'!AF$92</f>
        <v>3.5999999999999996</v>
      </c>
      <c r="S75" s="33">
        <f>'[1]OECD.Stat export'!AH$91+'[1]OECD.Stat export'!AH$92</f>
        <v>0.30000000000000004</v>
      </c>
      <c r="T75" s="33">
        <f>'[1]OECD.Stat export'!AJ$91+'[1]OECD.Stat export'!AJ$92</f>
        <v>0.6</v>
      </c>
      <c r="U75" s="33">
        <f>'[1]OECD.Stat export'!AL$91+'[1]OECD.Stat export'!AL$92</f>
        <v>1.4000000000000001</v>
      </c>
      <c r="V75" s="33">
        <f>'[1]OECD.Stat export'!AN$91+'[1]OECD.Stat export'!AN$92</f>
        <v>0.89999999999999991</v>
      </c>
      <c r="W75" s="33">
        <f>'[1]OECD.Stat export'!AP$91+'[1]OECD.Stat export'!AP$92</f>
        <v>1</v>
      </c>
      <c r="X75" s="33">
        <f>'[1]OECD.Stat export'!AR$91+'[1]OECD.Stat export'!AR$92</f>
        <v>0.4</v>
      </c>
      <c r="Y75" s="33">
        <f>'[1]OECD.Stat export'!AT$91+'[1]OECD.Stat export'!AT$92</f>
        <v>0.4</v>
      </c>
      <c r="Z75" s="33">
        <f>'[1]OECD.Stat export'!$AV$91+'[1]OECD.Stat export'!$AX$91+'[1]OECD.Stat export'!$AV$92+'[1]OECD.Stat export'!$AX$92</f>
        <v>15.4</v>
      </c>
      <c r="AA75" s="33">
        <f>'[1]OECD.Stat export'!AZ$91+'[1]OECD.Stat export'!AZ$92</f>
        <v>25.7</v>
      </c>
      <c r="AB75" s="33">
        <f>'[1]OECD.Stat export'!BB$91+'[1]OECD.Stat export'!BB$92</f>
        <v>485.7</v>
      </c>
      <c r="AC75" s="33">
        <f>'[1]OECD.Stat export'!$BD$91+'[1]OECD.Stat export'!$BF$91+'[1]OECD.Stat export'!$BH$91+'[1]OECD.Stat export'!$BJ$91+'[1]OECD.Stat export'!$BL$91+'[1]OECD.Stat export'!$BL$92+'[1]OECD.Stat export'!$BJ$92+'[1]OECD.Stat export'!$BH$92+'[1]OECD.Stat export'!$BF$92+'[1]OECD.Stat export'!$BD$92</f>
        <v>283</v>
      </c>
      <c r="AD75" s="33">
        <f>'[1]OECD.Stat export'!BP$91+'[1]OECD.Stat export'!BN$92</f>
        <v>24.700000000000003</v>
      </c>
      <c r="AE75" s="33">
        <f>'[1]OECD.Stat export'!BP$91+'[1]OECD.Stat export'!BP$92</f>
        <v>22.6</v>
      </c>
      <c r="AF75" s="33">
        <f>'[1]OECD.Stat export'!BR$91+'[1]OECD.Stat export'!BR$92</f>
        <v>92.8</v>
      </c>
      <c r="AG75" s="33">
        <f>'[1]OECD.Stat export'!BT$91+'[1]OECD.Stat export'!BT$92</f>
        <v>4.8</v>
      </c>
      <c r="AH75" s="33">
        <f>'[1]OECD.Stat export'!BV$91+'[1]OECD.Stat export'!BV$92</f>
        <v>322.89999999999998</v>
      </c>
      <c r="AI75" s="33">
        <f>'[1]OECD.Stat export'!BX$91+'[1]OECD.Stat export'!BX$92</f>
        <v>175.6</v>
      </c>
      <c r="AJ75" s="33">
        <f>'[1]OECD.Stat export'!$BZ$91+'[1]OECD.Stat export'!$CB$91+'[1]OECD.Stat export'!$BZ$92+'[1]OECD.Stat export'!$CB$92</f>
        <v>89</v>
      </c>
      <c r="AK75" s="33">
        <f>'[1]OECD.Stat export'!CD$91+'[1]OECD.Stat export'!CD$92</f>
        <v>36.6</v>
      </c>
      <c r="AL75" s="33">
        <f>'[1]OECD.Stat export'!CF$91+'[1]OECD.Stat export'!CF$92</f>
        <v>22</v>
      </c>
      <c r="AM75" s="33">
        <f>'[1]OECD.Stat export'!CH$91+'[1]OECD.Stat export'!CH$92</f>
        <v>35</v>
      </c>
      <c r="AN75" s="33">
        <f>'[1]OECD.Stat export'!CJ$91+'[1]OECD.Stat export'!CJ$92+'[1]OECD.Stat export'!$CL$91+'[1]OECD.Stat export'!$CL$92</f>
        <v>50.3</v>
      </c>
      <c r="AO75" s="48">
        <v>0</v>
      </c>
      <c r="AP75" s="33">
        <f>'[1]OECD.Stat export'!CP$91+'[1]OECD.Stat export'!CP$92</f>
        <v>124.69999999999999</v>
      </c>
      <c r="AQ75" s="33">
        <f>'[1]OECD.Stat export'!CR$91+'[1]OECD.Stat export'!CR$92</f>
        <v>1</v>
      </c>
      <c r="AR75" s="33">
        <f>'[1]OECD.Stat export'!CT$91+'[1]OECD.Stat export'!CT$92</f>
        <v>45.2</v>
      </c>
      <c r="AS75" s="33">
        <f>'[1]OECD.Stat export'!CV$91+'[1]OECD.Stat export'!CV$92</f>
        <v>86.1</v>
      </c>
      <c r="AT75" s="33">
        <f>'[1]OECD.Stat export'!CX$91+'[1]OECD.Stat export'!CX$92</f>
        <v>24.700000000000003</v>
      </c>
      <c r="AU75" s="33">
        <f>'[1]OECD.Stat export'!CZ$91+'[1]OECD.Stat export'!CZ$92</f>
        <v>105.9</v>
      </c>
      <c r="AV75" s="33">
        <f>'[1]OECD.Stat export'!DB$91+'[1]OECD.Stat export'!DB$92</f>
        <v>0</v>
      </c>
      <c r="AW75" s="48">
        <v>0</v>
      </c>
      <c r="AX75" s="33">
        <f>'[1]OECD.Stat export'!DF$91+'[1]OECD.Stat export'!DF$92</f>
        <v>2133.8999999999996</v>
      </c>
      <c r="AY75" s="45">
        <v>0</v>
      </c>
    </row>
    <row r="76" spans="3:51" ht="96" x14ac:dyDescent="0.2">
      <c r="C76" t="s">
        <v>257</v>
      </c>
      <c r="D76" s="15" t="s">
        <v>290</v>
      </c>
      <c r="E76" s="14" t="s">
        <v>208</v>
      </c>
      <c r="F76" s="16">
        <v>0</v>
      </c>
      <c r="G76" s="45">
        <v>0</v>
      </c>
      <c r="H76" s="45">
        <v>0</v>
      </c>
      <c r="I76" s="45">
        <v>0</v>
      </c>
      <c r="J76" s="45">
        <v>0.9</v>
      </c>
      <c r="K76" s="45">
        <v>0.2</v>
      </c>
      <c r="L76" s="45">
        <v>0.1</v>
      </c>
      <c r="M76" s="45">
        <v>0.5</v>
      </c>
      <c r="N76" s="45">
        <v>0</v>
      </c>
      <c r="O76" s="16">
        <v>0.3</v>
      </c>
      <c r="P76" s="45">
        <v>0</v>
      </c>
      <c r="Q76" s="45">
        <v>0.1</v>
      </c>
      <c r="R76" s="45">
        <v>1.7</v>
      </c>
      <c r="S76" s="45">
        <v>0.1</v>
      </c>
      <c r="T76" s="45">
        <v>0.1</v>
      </c>
      <c r="U76" s="45">
        <v>0</v>
      </c>
      <c r="V76" s="45">
        <v>0.1</v>
      </c>
      <c r="W76" s="45">
        <v>0.1</v>
      </c>
      <c r="X76" s="45">
        <v>0</v>
      </c>
      <c r="Y76" s="45">
        <v>0</v>
      </c>
      <c r="Z76" s="16">
        <v>0.7</v>
      </c>
      <c r="AA76" s="45">
        <v>0.8</v>
      </c>
      <c r="AB76" s="45">
        <v>8.5</v>
      </c>
      <c r="AC76" s="16">
        <f>0.6+2.4+2.6+1.6+0.4</f>
        <v>7.6</v>
      </c>
      <c r="AD76" s="45">
        <v>3</v>
      </c>
      <c r="AE76" s="45">
        <v>0.4</v>
      </c>
      <c r="AF76" s="45">
        <v>1</v>
      </c>
      <c r="AG76" s="45">
        <v>0</v>
      </c>
      <c r="AH76" s="45">
        <v>3.2</v>
      </c>
      <c r="AI76" s="45">
        <v>1.2</v>
      </c>
      <c r="AJ76" s="16">
        <v>0.7</v>
      </c>
      <c r="AK76" s="45">
        <v>0.4</v>
      </c>
      <c r="AL76" s="45">
        <v>0.4</v>
      </c>
      <c r="AM76" s="45">
        <v>0.8</v>
      </c>
      <c r="AN76" s="16">
        <v>1</v>
      </c>
      <c r="AO76" s="45">
        <v>0</v>
      </c>
      <c r="AP76" s="45">
        <v>35.700000000000003</v>
      </c>
      <c r="AQ76" s="45">
        <v>0</v>
      </c>
      <c r="AR76" s="45">
        <v>0.2</v>
      </c>
      <c r="AS76" s="45">
        <v>4.4000000000000004</v>
      </c>
      <c r="AT76" s="45">
        <v>12</v>
      </c>
      <c r="AU76" s="45">
        <v>4.7</v>
      </c>
      <c r="AV76" s="45">
        <v>0</v>
      </c>
      <c r="AW76" s="45">
        <v>0</v>
      </c>
      <c r="AX76" s="45">
        <v>91.6</v>
      </c>
      <c r="AY76" s="45">
        <v>0</v>
      </c>
    </row>
    <row r="77" spans="3:51" ht="24" x14ac:dyDescent="0.2">
      <c r="C77" t="s">
        <v>257</v>
      </c>
      <c r="D77" s="15" t="s">
        <v>291</v>
      </c>
      <c r="E77" s="14" t="s">
        <v>208</v>
      </c>
      <c r="F77" s="16">
        <v>0</v>
      </c>
      <c r="G77" s="45">
        <v>0</v>
      </c>
      <c r="H77" s="45">
        <v>0</v>
      </c>
      <c r="I77" s="45">
        <v>0</v>
      </c>
      <c r="J77" s="45">
        <v>0.2</v>
      </c>
      <c r="K77" s="45">
        <v>0.1</v>
      </c>
      <c r="L77" s="45">
        <v>0</v>
      </c>
      <c r="M77" s="45">
        <v>0.1</v>
      </c>
      <c r="N77" s="45">
        <v>0</v>
      </c>
      <c r="O77" s="16">
        <v>0</v>
      </c>
      <c r="P77" s="45">
        <v>0</v>
      </c>
      <c r="Q77" s="45">
        <v>0</v>
      </c>
      <c r="R77" s="45">
        <v>0.1</v>
      </c>
      <c r="S77" s="45">
        <v>0</v>
      </c>
      <c r="T77" s="45">
        <v>0</v>
      </c>
      <c r="U77" s="45">
        <v>0.2</v>
      </c>
      <c r="V77" s="46">
        <v>0</v>
      </c>
      <c r="W77" s="45">
        <v>0</v>
      </c>
      <c r="X77" s="45">
        <v>0</v>
      </c>
      <c r="Y77" s="45">
        <v>0</v>
      </c>
      <c r="Z77" s="16">
        <v>0.1</v>
      </c>
      <c r="AA77" s="45">
        <v>0.2</v>
      </c>
      <c r="AB77" s="45">
        <v>2.2000000000000002</v>
      </c>
      <c r="AC77" s="16">
        <f>0.2+0.5+0.4+0.4+0.1</f>
        <v>1.6</v>
      </c>
      <c r="AD77" s="45">
        <v>0.2</v>
      </c>
      <c r="AE77" s="45">
        <v>0.1</v>
      </c>
      <c r="AF77" s="45">
        <v>0.4</v>
      </c>
      <c r="AG77" s="45">
        <v>0</v>
      </c>
      <c r="AH77" s="45">
        <v>1.5</v>
      </c>
      <c r="AI77" s="45">
        <v>0.6</v>
      </c>
      <c r="AJ77" s="16">
        <v>0.3</v>
      </c>
      <c r="AK77" s="45">
        <v>0.2</v>
      </c>
      <c r="AL77" s="45">
        <v>0.1</v>
      </c>
      <c r="AM77" s="45">
        <v>0.2</v>
      </c>
      <c r="AN77" s="16">
        <v>0.3</v>
      </c>
      <c r="AO77" s="45">
        <v>0</v>
      </c>
      <c r="AP77" s="45">
        <v>6</v>
      </c>
      <c r="AQ77" s="45">
        <v>0</v>
      </c>
      <c r="AR77" s="45">
        <v>0.1</v>
      </c>
      <c r="AS77" s="45">
        <v>1.4</v>
      </c>
      <c r="AT77" s="45">
        <v>5.3</v>
      </c>
      <c r="AU77" s="45">
        <v>135.5</v>
      </c>
      <c r="AV77" s="45">
        <v>0</v>
      </c>
      <c r="AW77" s="45">
        <v>0</v>
      </c>
      <c r="AX77" s="45">
        <v>157</v>
      </c>
      <c r="AY77" s="45">
        <v>0</v>
      </c>
    </row>
    <row r="78" spans="3:51" ht="48" x14ac:dyDescent="0.2">
      <c r="C78" t="s">
        <v>257</v>
      </c>
      <c r="D78" s="15" t="s">
        <v>292</v>
      </c>
      <c r="E78" s="14" t="s">
        <v>208</v>
      </c>
      <c r="F78" s="16">
        <v>0</v>
      </c>
      <c r="G78" s="45">
        <v>0</v>
      </c>
      <c r="H78" s="45">
        <v>0</v>
      </c>
      <c r="I78" s="45">
        <v>0</v>
      </c>
      <c r="J78" s="45">
        <v>0.5</v>
      </c>
      <c r="K78" s="45">
        <v>0.3</v>
      </c>
      <c r="L78" s="45">
        <v>0</v>
      </c>
      <c r="M78" s="45">
        <v>0.3</v>
      </c>
      <c r="N78" s="45">
        <v>0</v>
      </c>
      <c r="O78" s="16">
        <v>0.3</v>
      </c>
      <c r="P78" s="45">
        <v>0</v>
      </c>
      <c r="Q78" s="45">
        <v>0.1</v>
      </c>
      <c r="R78" s="45">
        <v>0.6</v>
      </c>
      <c r="S78" s="45">
        <v>0.1</v>
      </c>
      <c r="T78" s="45">
        <v>0.1</v>
      </c>
      <c r="U78" s="45">
        <v>0.1</v>
      </c>
      <c r="V78" s="46">
        <v>0.1</v>
      </c>
      <c r="W78" s="45">
        <v>0.1</v>
      </c>
      <c r="X78" s="45">
        <v>0</v>
      </c>
      <c r="Y78" s="45">
        <v>0</v>
      </c>
      <c r="Z78" s="16">
        <v>0.4</v>
      </c>
      <c r="AA78" s="45">
        <v>0.5</v>
      </c>
      <c r="AB78" s="45">
        <v>7.5</v>
      </c>
      <c r="AC78" s="16">
        <f>0.4+1+0.9+0.7+2</f>
        <v>5</v>
      </c>
      <c r="AD78" s="45">
        <v>1</v>
      </c>
      <c r="AE78" s="45">
        <v>0.2</v>
      </c>
      <c r="AF78" s="45">
        <v>0.7</v>
      </c>
      <c r="AG78" s="45">
        <v>0</v>
      </c>
      <c r="AH78" s="45">
        <v>1.5</v>
      </c>
      <c r="AI78" s="45">
        <v>0.5</v>
      </c>
      <c r="AJ78" s="16">
        <v>0.3</v>
      </c>
      <c r="AK78" s="45">
        <v>0.3</v>
      </c>
      <c r="AL78" s="45">
        <v>0.3</v>
      </c>
      <c r="AM78" s="45">
        <v>0.5</v>
      </c>
      <c r="AN78" s="16">
        <v>0.6</v>
      </c>
      <c r="AO78" s="45">
        <v>0</v>
      </c>
      <c r="AP78" s="45">
        <v>18.600000000000001</v>
      </c>
      <c r="AQ78" s="45">
        <v>0</v>
      </c>
      <c r="AR78" s="45">
        <v>0</v>
      </c>
      <c r="AS78" s="45">
        <v>3.4</v>
      </c>
      <c r="AT78" s="45">
        <v>17.100000000000001</v>
      </c>
      <c r="AU78" s="45">
        <v>58.1</v>
      </c>
      <c r="AV78" s="45">
        <v>0</v>
      </c>
      <c r="AW78" s="45">
        <v>0</v>
      </c>
      <c r="AX78" s="45">
        <v>117.5</v>
      </c>
      <c r="AY78" s="45">
        <v>0</v>
      </c>
    </row>
    <row r="79" spans="3:51" ht="96" x14ac:dyDescent="0.2">
      <c r="C79" t="s">
        <v>257</v>
      </c>
      <c r="D79" s="15" t="s">
        <v>293</v>
      </c>
      <c r="E79" s="14" t="s">
        <v>208</v>
      </c>
      <c r="F79" s="16">
        <v>0</v>
      </c>
      <c r="G79" s="45">
        <v>0</v>
      </c>
      <c r="H79" s="45">
        <v>0</v>
      </c>
      <c r="I79" s="33">
        <f>'[1]OECD.Stat export'!L$96+'[1]OECD.Stat export'!L$97</f>
        <v>0</v>
      </c>
      <c r="J79" s="33">
        <f>'[1]OECD.Stat export'!N$96+'[1]OECD.Stat export'!N$97</f>
        <v>1.5</v>
      </c>
      <c r="K79" s="33">
        <f>'[1]OECD.Stat export'!P$96+'[1]OECD.Stat export'!P$97</f>
        <v>0.4</v>
      </c>
      <c r="L79" s="33">
        <f>'[1]OECD.Stat export'!R$96+'[1]OECD.Stat export'!R$97</f>
        <v>0.1</v>
      </c>
      <c r="M79" s="33">
        <f>'[1]OECD.Stat export'!T$96+'[1]OECD.Stat export'!T$97</f>
        <v>1.1000000000000001</v>
      </c>
      <c r="N79" s="33">
        <f>'[1]OECD.Stat export'!V$96+'[1]OECD.Stat export'!V$97</f>
        <v>0.1</v>
      </c>
      <c r="O79" s="33">
        <f>'[1]OECD.Stat export'!$X$96+'[1]OECD.Stat export'!$Z$96+'[1]OECD.Stat export'!$X$97+'[1]OECD.Stat export'!$Z$97</f>
        <v>0.5</v>
      </c>
      <c r="P79" s="48">
        <v>0</v>
      </c>
      <c r="Q79" s="33">
        <f>'[1]OECD.Stat export'!AD$96+'[1]OECD.Stat export'!AD$97</f>
        <v>0.2</v>
      </c>
      <c r="R79" s="33">
        <f>'[1]OECD.Stat export'!AF$96+'[1]OECD.Stat export'!AF$97</f>
        <v>1.3</v>
      </c>
      <c r="S79" s="33">
        <f>'[1]OECD.Stat export'!AH$96+'[1]OECD.Stat export'!AH$97</f>
        <v>0.1</v>
      </c>
      <c r="T79" s="33">
        <f>'[1]OECD.Stat export'!AJ$96+'[1]OECD.Stat export'!AJ$97</f>
        <v>0.2</v>
      </c>
      <c r="U79" s="33">
        <f>'[1]OECD.Stat export'!AL$96+'[1]OECD.Stat export'!AL$97</f>
        <v>0.5</v>
      </c>
      <c r="V79" s="33">
        <f>'[1]OECD.Stat export'!AN$96+'[1]OECD.Stat export'!AN$97</f>
        <v>0.1</v>
      </c>
      <c r="W79" s="33">
        <f>'[1]OECD.Stat export'!AP$96+'[1]OECD.Stat export'!AP$97</f>
        <v>0.2</v>
      </c>
      <c r="X79" s="33">
        <f>'[1]OECD.Stat export'!AR$96+'[1]OECD.Stat export'!AR$97</f>
        <v>0</v>
      </c>
      <c r="Y79" s="33">
        <f>'[1]OECD.Stat export'!AT$96+'[1]OECD.Stat export'!AT$97</f>
        <v>0</v>
      </c>
      <c r="Z79" s="33">
        <f>'[1]OECD.Stat export'!$AV$96+'[1]OECD.Stat export'!$AX$96+'[1]OECD.Stat export'!$AV$97+'[1]OECD.Stat export'!$AX$97</f>
        <v>1.1000000000000001</v>
      </c>
      <c r="AA79" s="33">
        <f>'[1]OECD.Stat export'!AZ$96+'[1]OECD.Stat export'!AZ$97</f>
        <v>1.4</v>
      </c>
      <c r="AB79" s="33">
        <f>'[1]OECD.Stat export'!BB$96+'[1]OECD.Stat export'!BB$97</f>
        <v>23</v>
      </c>
      <c r="AC79" s="33">
        <f>'[1]OECD.Stat export'!$BD$96+'[1]OECD.Stat export'!$BF$96+'[1]OECD.Stat export'!$BH$96+'[1]OECD.Stat export'!$BJ$96+'[1]OECD.Stat export'!$BL$96+'[1]OECD.Stat export'!$BL$97+'[1]OECD.Stat export'!$BJ$97+'[1]OECD.Stat export'!$BH$97+'[1]OECD.Stat export'!$BF$97+'[1]OECD.Stat export'!$BD$97</f>
        <v>14.200000000000001</v>
      </c>
      <c r="AD79" s="33">
        <f>'[1]OECD.Stat export'!BN$96+'[1]OECD.Stat export'!BN$97</f>
        <v>2</v>
      </c>
      <c r="AE79" s="33">
        <f>'[1]OECD.Stat export'!BP$96+'[1]OECD.Stat export'!BP$97</f>
        <v>8.9</v>
      </c>
      <c r="AF79" s="33">
        <f>'[1]OECD.Stat export'!BR$96+'[1]OECD.Stat export'!BR$97</f>
        <v>3.8</v>
      </c>
      <c r="AG79" s="33">
        <f>'[1]OECD.Stat export'!BT$96+'[1]OECD.Stat export'!BT$97</f>
        <v>0.1</v>
      </c>
      <c r="AH79" s="33">
        <f>'[1]OECD.Stat export'!BV$96+'[1]OECD.Stat export'!BV$97</f>
        <v>20.5</v>
      </c>
      <c r="AI79" s="33">
        <f>'[1]OECD.Stat export'!BX$96+'[1]OECD.Stat export'!BX$97</f>
        <v>13.5</v>
      </c>
      <c r="AJ79" s="33">
        <f>'[1]OECD.Stat export'!$BZ$96+'[1]OECD.Stat export'!$CB$96+'[1]OECD.Stat export'!$BZ$97+'[1]OECD.Stat export'!$CB$97</f>
        <v>5</v>
      </c>
      <c r="AK79" s="33">
        <f>'[1]OECD.Stat export'!CD$96+'[1]OECD.Stat export'!CD$97</f>
        <v>1.7</v>
      </c>
      <c r="AL79" s="33">
        <f>'[1]OECD.Stat export'!CF$96+'[1]OECD.Stat export'!CF$97</f>
        <v>2.2999999999999998</v>
      </c>
      <c r="AM79" s="33">
        <f>'[1]OECD.Stat export'!CH$96+'[1]OECD.Stat export'!CH$97</f>
        <v>2.4</v>
      </c>
      <c r="AN79" s="33">
        <f>'[1]OECD.Stat export'!$CJ$96+'[1]OECD.Stat export'!$CL$96+'[1]OECD.Stat export'!$CJ$97+'[1]OECD.Stat export'!$CL$97</f>
        <v>38.9</v>
      </c>
      <c r="AO79" s="48">
        <v>0</v>
      </c>
      <c r="AP79" s="33">
        <f>'[1]OECD.Stat export'!CP$96+'[1]OECD.Stat export'!CP$97</f>
        <v>89.3</v>
      </c>
      <c r="AQ79" s="33">
        <f>'[1]OECD.Stat export'!CR$96+'[1]OECD.Stat export'!CR$97</f>
        <v>1.3</v>
      </c>
      <c r="AR79" s="33">
        <f>'[1]OECD.Stat export'!CT$96+'[1]OECD.Stat export'!CT$97</f>
        <v>0</v>
      </c>
      <c r="AS79" s="33">
        <f>'[1]OECD.Stat export'!CV$96+'[1]OECD.Stat export'!CV$97</f>
        <v>17.2</v>
      </c>
      <c r="AT79" s="33">
        <f>'[1]OECD.Stat export'!CX$96+'[1]OECD.Stat export'!CX$97</f>
        <v>23.8</v>
      </c>
      <c r="AU79" s="33">
        <f>'[1]OECD.Stat export'!CZ$96+'[1]OECD.Stat export'!CZ$97</f>
        <v>210.7</v>
      </c>
      <c r="AV79" s="33">
        <f>'[1]OECD.Stat export'!DB$96+'[1]OECD.Stat export'!DB97</f>
        <v>0</v>
      </c>
      <c r="AW79" s="48">
        <v>0</v>
      </c>
      <c r="AX79" s="33">
        <f>'[1]OECD.Stat export'!DF$96+'[1]OECD.Stat export'!DF$97</f>
        <v>488</v>
      </c>
      <c r="AY79" s="45">
        <v>0</v>
      </c>
    </row>
    <row r="80" spans="3:51" ht="72" x14ac:dyDescent="0.2">
      <c r="C80" t="s">
        <v>257</v>
      </c>
      <c r="D80" s="15" t="s">
        <v>294</v>
      </c>
      <c r="E80" s="14" t="s">
        <v>208</v>
      </c>
      <c r="F80" s="16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16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16">
        <v>0</v>
      </c>
      <c r="AA80" s="45">
        <v>0</v>
      </c>
      <c r="AB80" s="45">
        <v>0</v>
      </c>
      <c r="AC80" s="16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  <c r="AJ80" s="16">
        <v>0</v>
      </c>
      <c r="AK80" s="45">
        <v>0</v>
      </c>
      <c r="AL80" s="45">
        <v>0</v>
      </c>
      <c r="AM80" s="45">
        <v>0</v>
      </c>
      <c r="AN80" s="16">
        <v>0</v>
      </c>
      <c r="AO80" s="45">
        <v>0</v>
      </c>
      <c r="AP80" s="45">
        <v>0</v>
      </c>
      <c r="AQ80" s="45">
        <v>0</v>
      </c>
      <c r="AR80" s="45">
        <v>0</v>
      </c>
      <c r="AS80" s="45">
        <v>0</v>
      </c>
      <c r="AT80" s="45">
        <v>0</v>
      </c>
      <c r="AU80" s="45">
        <v>0</v>
      </c>
      <c r="AV80" s="45">
        <v>0</v>
      </c>
      <c r="AW80" s="45">
        <v>0</v>
      </c>
      <c r="AX80" s="45">
        <v>0</v>
      </c>
      <c r="AY80" s="45">
        <v>0</v>
      </c>
    </row>
    <row r="81" spans="4:51" ht="132" x14ac:dyDescent="0.2">
      <c r="D81" s="15" t="s">
        <v>135</v>
      </c>
      <c r="E81" s="14" t="s">
        <v>208</v>
      </c>
      <c r="F81" s="16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16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16">
        <v>0</v>
      </c>
      <c r="AA81" s="45">
        <v>0</v>
      </c>
      <c r="AB81" s="45">
        <v>0</v>
      </c>
      <c r="AC81" s="16">
        <v>-0.1</v>
      </c>
      <c r="AD81" s="45">
        <v>-0.1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  <c r="AJ81" s="16">
        <v>0</v>
      </c>
      <c r="AK81" s="45">
        <v>0</v>
      </c>
      <c r="AL81" s="45">
        <v>0</v>
      </c>
      <c r="AM81" s="45">
        <v>0</v>
      </c>
      <c r="AN81" s="16">
        <v>0</v>
      </c>
      <c r="AO81" s="45">
        <v>0</v>
      </c>
      <c r="AP81" s="45">
        <v>0</v>
      </c>
      <c r="AQ81" s="45">
        <v>0</v>
      </c>
      <c r="AR81" s="45">
        <v>0</v>
      </c>
      <c r="AS81" s="45">
        <v>0</v>
      </c>
      <c r="AT81" s="45">
        <v>0</v>
      </c>
      <c r="AU81" s="45">
        <v>57.3</v>
      </c>
      <c r="AV81" s="45">
        <v>0</v>
      </c>
      <c r="AW81" s="45">
        <v>0</v>
      </c>
      <c r="AX81" s="45">
        <v>57.1</v>
      </c>
      <c r="AY81" s="45">
        <v>0</v>
      </c>
    </row>
    <row r="82" spans="4:51" ht="180" x14ac:dyDescent="0.2">
      <c r="D82" s="15" t="s">
        <v>136</v>
      </c>
      <c r="E82" s="14" t="s">
        <v>208</v>
      </c>
      <c r="F82" s="16">
        <f>2.8+0.2</f>
        <v>3</v>
      </c>
      <c r="G82" s="45">
        <v>0</v>
      </c>
      <c r="H82" s="45">
        <v>0</v>
      </c>
      <c r="I82" s="45">
        <v>35.799999999999997</v>
      </c>
      <c r="J82" s="45">
        <v>64.3</v>
      </c>
      <c r="K82" s="45">
        <v>31.4</v>
      </c>
      <c r="L82" s="45">
        <v>7</v>
      </c>
      <c r="M82" s="45">
        <v>47.9</v>
      </c>
      <c r="N82" s="45">
        <v>17.5</v>
      </c>
      <c r="O82" s="16">
        <f>30.7+8.5</f>
        <v>39.200000000000003</v>
      </c>
      <c r="P82" s="45">
        <v>0</v>
      </c>
      <c r="Q82" s="45">
        <v>20</v>
      </c>
      <c r="R82" s="45">
        <v>162.69999999999999</v>
      </c>
      <c r="S82" s="45">
        <v>14.4</v>
      </c>
      <c r="T82" s="45">
        <v>34.1</v>
      </c>
      <c r="U82" s="45">
        <v>27.1</v>
      </c>
      <c r="V82" s="45">
        <v>12.1</v>
      </c>
      <c r="W82" s="45">
        <v>26.6</v>
      </c>
      <c r="X82" s="45">
        <v>4.8</v>
      </c>
      <c r="Y82" s="45">
        <v>13.7</v>
      </c>
      <c r="Z82" s="16">
        <f>55.6+61.1</f>
        <v>116.7</v>
      </c>
      <c r="AA82" s="45">
        <v>231.5</v>
      </c>
      <c r="AB82" s="45">
        <v>2799.5</v>
      </c>
      <c r="AC82" s="16">
        <f>104.9+350.7+239.3+392.1+67.7</f>
        <v>1154.7</v>
      </c>
      <c r="AD82" s="45">
        <v>117.8</v>
      </c>
      <c r="AE82" s="45">
        <v>84.1</v>
      </c>
      <c r="AF82" s="45">
        <v>263</v>
      </c>
      <c r="AG82" s="45">
        <v>10.4</v>
      </c>
      <c r="AH82" s="45">
        <v>1344.4</v>
      </c>
      <c r="AI82" s="45">
        <v>635.29999999999995</v>
      </c>
      <c r="AJ82" s="16">
        <f>51.8+99.6</f>
        <v>151.39999999999998</v>
      </c>
      <c r="AK82" s="45">
        <v>123.1</v>
      </c>
      <c r="AL82" s="45">
        <v>94.8</v>
      </c>
      <c r="AM82" s="45">
        <v>77.099999999999994</v>
      </c>
      <c r="AN82" s="16">
        <f>113.3+162.8</f>
        <v>276.10000000000002</v>
      </c>
      <c r="AO82" s="45">
        <v>0</v>
      </c>
      <c r="AP82" s="45">
        <v>3739.1</v>
      </c>
      <c r="AQ82" s="45">
        <v>29.6</v>
      </c>
      <c r="AR82" s="45">
        <v>-29.4</v>
      </c>
      <c r="AS82" s="45">
        <v>1750.4</v>
      </c>
      <c r="AT82" s="45">
        <v>0</v>
      </c>
      <c r="AU82" s="45">
        <v>0</v>
      </c>
      <c r="AV82" s="45">
        <v>-42.9</v>
      </c>
      <c r="AW82" s="45">
        <v>0</v>
      </c>
      <c r="AX82" s="45">
        <v>0</v>
      </c>
      <c r="AY82" s="45">
        <v>13488.4</v>
      </c>
    </row>
    <row r="83" spans="4:51" ht="96" x14ac:dyDescent="0.2">
      <c r="D83" s="15" t="s">
        <v>137</v>
      </c>
      <c r="E83" s="14" t="s">
        <v>208</v>
      </c>
      <c r="F83" s="16">
        <f>269.5+34.7</f>
        <v>304.2</v>
      </c>
      <c r="G83" s="45">
        <v>0</v>
      </c>
      <c r="H83" s="45">
        <v>0</v>
      </c>
      <c r="I83" s="45">
        <v>8028.3</v>
      </c>
      <c r="J83" s="45">
        <v>6194.7</v>
      </c>
      <c r="K83" s="45">
        <v>2727.5</v>
      </c>
      <c r="L83" s="45">
        <v>532.4</v>
      </c>
      <c r="M83" s="45">
        <v>4555.6000000000004</v>
      </c>
      <c r="N83" s="45">
        <v>377.9</v>
      </c>
      <c r="O83" s="16">
        <f>1159.8+452</f>
        <v>1611.8</v>
      </c>
      <c r="P83" s="45">
        <v>0</v>
      </c>
      <c r="Q83" s="45">
        <v>1228.3</v>
      </c>
      <c r="R83" s="45">
        <v>11480.1</v>
      </c>
      <c r="S83" s="45">
        <v>1130.5999999999999</v>
      </c>
      <c r="T83" s="45">
        <v>1446.5</v>
      </c>
      <c r="U83" s="45">
        <v>2665.6</v>
      </c>
      <c r="V83" s="45">
        <v>1189.9000000000001</v>
      </c>
      <c r="W83" s="45">
        <v>1424.9</v>
      </c>
      <c r="X83" s="45">
        <v>499</v>
      </c>
      <c r="Y83" s="45">
        <v>715.8</v>
      </c>
      <c r="Z83" s="16">
        <f>2971.3+3200.1</f>
        <v>6171.4</v>
      </c>
      <c r="AA83" s="45">
        <v>12195.5</v>
      </c>
      <c r="AB83" s="45">
        <v>104745.4</v>
      </c>
      <c r="AC83" s="16">
        <f>5658.2+16315.8+12040.1+17264+4079.3</f>
        <v>55357.4</v>
      </c>
      <c r="AD83" s="45">
        <v>8861.7000000000007</v>
      </c>
      <c r="AE83" s="45">
        <v>3649.8</v>
      </c>
      <c r="AF83" s="45">
        <v>10369.200000000001</v>
      </c>
      <c r="AG83" s="45">
        <v>464.7</v>
      </c>
      <c r="AH83" s="45">
        <v>53727.3</v>
      </c>
      <c r="AI83" s="45">
        <v>28542.2</v>
      </c>
      <c r="AJ83" s="16">
        <f>2707.8+4500.8</f>
        <v>7208.6</v>
      </c>
      <c r="AK83" s="45">
        <v>4524.5</v>
      </c>
      <c r="AL83" s="45">
        <v>4403.8</v>
      </c>
      <c r="AM83" s="45">
        <v>5448</v>
      </c>
      <c r="AN83" s="16">
        <f>4177.3+7398.2</f>
        <v>11575.5</v>
      </c>
      <c r="AO83" s="45">
        <v>0</v>
      </c>
      <c r="AP83" s="45">
        <v>230751.9</v>
      </c>
      <c r="AQ83" s="45">
        <v>11199.9</v>
      </c>
      <c r="AR83" s="45">
        <v>35909.800000000003</v>
      </c>
      <c r="AS83" s="45">
        <v>77220.899999999994</v>
      </c>
      <c r="AT83" s="45">
        <v>61910.2</v>
      </c>
      <c r="AU83" s="45">
        <v>3576.1</v>
      </c>
      <c r="AV83" s="45">
        <v>37530.199999999997</v>
      </c>
      <c r="AW83" s="45">
        <v>139110.70000000001</v>
      </c>
      <c r="AX83" s="45">
        <v>235559.1</v>
      </c>
      <c r="AY83" s="45">
        <v>1196127.2</v>
      </c>
    </row>
    <row r="84" spans="4:51" ht="48" x14ac:dyDescent="0.2">
      <c r="D84" s="15" t="s">
        <v>139</v>
      </c>
      <c r="E84" s="14" t="s">
        <v>208</v>
      </c>
      <c r="F84" s="16">
        <f>179.8+30.3</f>
        <v>210.10000000000002</v>
      </c>
      <c r="G84" s="45">
        <v>0</v>
      </c>
      <c r="H84" s="45">
        <v>0</v>
      </c>
      <c r="I84" s="45">
        <v>76.3</v>
      </c>
      <c r="J84" s="45">
        <v>2573.5</v>
      </c>
      <c r="K84" s="45">
        <v>265.2</v>
      </c>
      <c r="L84" s="45">
        <v>213.6</v>
      </c>
      <c r="M84" s="45">
        <v>133.1</v>
      </c>
      <c r="N84" s="45">
        <v>35.299999999999997</v>
      </c>
      <c r="O84" s="16">
        <f>38+22.9</f>
        <v>60.9</v>
      </c>
      <c r="P84" s="45">
        <v>0</v>
      </c>
      <c r="Q84" s="45">
        <v>50</v>
      </c>
      <c r="R84" s="45">
        <v>28.2</v>
      </c>
      <c r="S84" s="45">
        <v>75.599999999999994</v>
      </c>
      <c r="T84" s="45">
        <v>51.7</v>
      </c>
      <c r="U84" s="45">
        <v>45.3</v>
      </c>
      <c r="V84" s="45">
        <v>47.2</v>
      </c>
      <c r="W84" s="45">
        <v>43.4</v>
      </c>
      <c r="X84" s="45">
        <v>20.399999999999999</v>
      </c>
      <c r="Y84" s="45">
        <v>92</v>
      </c>
      <c r="Z84" s="16">
        <f>2341.9+2023.8</f>
        <v>4365.7</v>
      </c>
      <c r="AA84" s="45">
        <v>15493.8</v>
      </c>
      <c r="AB84" s="45">
        <v>73962.899999999994</v>
      </c>
      <c r="AC84" s="16">
        <f>6622.9+2366.9+9657.3+606.9+1122.7</f>
        <v>20376.7</v>
      </c>
      <c r="AD84" s="45">
        <v>11770.9</v>
      </c>
      <c r="AE84" s="45">
        <v>2182.6</v>
      </c>
      <c r="AF84" s="45">
        <v>6311.7</v>
      </c>
      <c r="AG84" s="45">
        <v>4091.6</v>
      </c>
      <c r="AH84" s="45">
        <v>68821.600000000006</v>
      </c>
      <c r="AI84" s="45">
        <v>52485.599999999999</v>
      </c>
      <c r="AJ84" s="16">
        <f>16474.7+3558.1</f>
        <v>20032.8</v>
      </c>
      <c r="AK84" s="45">
        <v>21195.1</v>
      </c>
      <c r="AL84" s="45">
        <v>15533.9</v>
      </c>
      <c r="AM84" s="45">
        <v>14763.2</v>
      </c>
      <c r="AN84" s="16">
        <f>2644.6+5442.6</f>
        <v>8087.2000000000007</v>
      </c>
      <c r="AO84" s="45">
        <v>4665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348162.1</v>
      </c>
    </row>
    <row r="85" spans="4:51" ht="36" x14ac:dyDescent="0.2">
      <c r="D85" s="15" t="s">
        <v>141</v>
      </c>
      <c r="E85" s="14" t="s">
        <v>208</v>
      </c>
      <c r="F85" s="16">
        <f>449.3+65</f>
        <v>514.29999999999995</v>
      </c>
      <c r="G85" s="45">
        <v>0</v>
      </c>
      <c r="H85" s="45">
        <v>0</v>
      </c>
      <c r="I85" s="45">
        <v>8104.5</v>
      </c>
      <c r="J85" s="45">
        <v>8768.1</v>
      </c>
      <c r="K85" s="45">
        <v>2992.7</v>
      </c>
      <c r="L85" s="45">
        <v>746</v>
      </c>
      <c r="M85" s="45">
        <v>4688.8</v>
      </c>
      <c r="N85" s="45">
        <v>413.2</v>
      </c>
      <c r="O85" s="16">
        <f>1197.8+474.8</f>
        <v>1672.6</v>
      </c>
      <c r="P85" s="45">
        <v>0</v>
      </c>
      <c r="Q85" s="45">
        <v>1278.3</v>
      </c>
      <c r="R85" s="45">
        <v>11508.3</v>
      </c>
      <c r="S85" s="45">
        <v>1206.2</v>
      </c>
      <c r="T85" s="45">
        <v>1498.2</v>
      </c>
      <c r="U85" s="45">
        <v>2710.9</v>
      </c>
      <c r="V85" s="45">
        <v>1237.0999999999999</v>
      </c>
      <c r="W85" s="45">
        <v>1468.2</v>
      </c>
      <c r="X85" s="45">
        <v>519.5</v>
      </c>
      <c r="Y85" s="45">
        <v>807.8</v>
      </c>
      <c r="Z85" s="16">
        <f>5313.3+5223.9</f>
        <v>10537.2</v>
      </c>
      <c r="AA85" s="45">
        <v>27689.4</v>
      </c>
      <c r="AB85" s="45">
        <v>178708.3</v>
      </c>
      <c r="AC85" s="16">
        <f>12281.1+18682.6+21697.4+17871.3+5202</f>
        <v>75734.399999999994</v>
      </c>
      <c r="AD85" s="45">
        <v>20632.5</v>
      </c>
      <c r="AE85" s="45">
        <v>5832.4</v>
      </c>
      <c r="AF85" s="45">
        <v>16680.900000000001</v>
      </c>
      <c r="AG85" s="45">
        <v>4556.3</v>
      </c>
      <c r="AH85" s="45">
        <v>122548.9</v>
      </c>
      <c r="AI85" s="45">
        <v>81027.8</v>
      </c>
      <c r="AJ85" s="16">
        <f>19182.5+8058.9</f>
        <v>27241.4</v>
      </c>
      <c r="AK85" s="45">
        <v>25719.599999999999</v>
      </c>
      <c r="AL85" s="45">
        <v>19937.7</v>
      </c>
      <c r="AM85" s="45">
        <v>20211.2</v>
      </c>
      <c r="AN85" s="16">
        <f>6821.9+12840.8</f>
        <v>19662.699999999997</v>
      </c>
      <c r="AO85" s="45">
        <v>4665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0</v>
      </c>
      <c r="AY85" s="45">
        <v>711520.5</v>
      </c>
    </row>
    <row r="86" spans="4:51" x14ac:dyDescent="0.2">
      <c r="D86" s="17" t="s">
        <v>295</v>
      </c>
      <c r="G86" s="45"/>
      <c r="H86" s="45"/>
      <c r="P86" s="45"/>
      <c r="AO86" s="45"/>
      <c r="AW86" s="45"/>
    </row>
    <row r="87" spans="4:51" x14ac:dyDescent="0.2">
      <c r="G87" s="45"/>
      <c r="H87" s="45"/>
      <c r="P87" s="45"/>
      <c r="AO87" s="45"/>
      <c r="AW87" s="45"/>
    </row>
    <row r="88" spans="4:51" x14ac:dyDescent="0.2">
      <c r="G88" s="45"/>
      <c r="H88" s="45"/>
      <c r="P88" s="45"/>
      <c r="AO88" s="45"/>
      <c r="AW88" s="45"/>
    </row>
    <row r="89" spans="4:51" x14ac:dyDescent="0.2">
      <c r="G89" s="45"/>
      <c r="H89" s="45"/>
      <c r="P89" s="45"/>
      <c r="AO89" s="45"/>
      <c r="AW89" s="45"/>
    </row>
    <row r="90" spans="4:51" x14ac:dyDescent="0.2">
      <c r="G90" s="45"/>
      <c r="H90" s="45"/>
      <c r="P90" s="45"/>
      <c r="AO90" s="45"/>
      <c r="AW90" s="45"/>
    </row>
    <row r="91" spans="4:51" x14ac:dyDescent="0.2">
      <c r="G91" s="45"/>
      <c r="H91" s="45"/>
      <c r="P91" s="45"/>
      <c r="AO91" s="45"/>
    </row>
    <row r="92" spans="4:51" x14ac:dyDescent="0.2">
      <c r="G92" s="45"/>
      <c r="H92" s="45"/>
      <c r="P92" s="45"/>
      <c r="AO92" s="45"/>
      <c r="AW92" s="45"/>
    </row>
    <row r="93" spans="4:51" x14ac:dyDescent="0.2">
      <c r="G93" s="45"/>
      <c r="H93" s="45"/>
      <c r="P93" s="45"/>
    </row>
    <row r="94" spans="4:51" x14ac:dyDescent="0.2">
      <c r="G94" s="45"/>
      <c r="H94" s="45"/>
      <c r="P94" s="45"/>
    </row>
    <row r="125" spans="100:100" x14ac:dyDescent="0.2">
      <c r="CV125">
        <v>0</v>
      </c>
    </row>
    <row r="126" spans="100:100" x14ac:dyDescent="0.2">
      <c r="CV126" t="s">
        <v>296</v>
      </c>
    </row>
  </sheetData>
  <mergeCells count="9">
    <mergeCell ref="D6:E6"/>
    <mergeCell ref="F6:AY6"/>
    <mergeCell ref="D7:E7"/>
    <mergeCell ref="D3:E3"/>
    <mergeCell ref="F3:AY3"/>
    <mergeCell ref="D4:E4"/>
    <mergeCell ref="F4:AY4"/>
    <mergeCell ref="D5:E5"/>
    <mergeCell ref="F5:AY5"/>
  </mergeCells>
  <hyperlinks>
    <hyperlink ref="F3" r:id="rId1" display="http://stats.oecd.org/OECDStat_Metadata/ShowMetadata.ashx?Dataset=IOTSI4_2018&amp;Coords=[VAR].[DOMIMP]&amp;ShowOnWeb=true&amp;Lang=en" xr:uid="{00000000-0004-0000-0400-000000000000}"/>
    <hyperlink ref="D86" r:id="rId2" display="https://stats-2.oecd.org/index.aspx?DatasetCode=IOTSI4_2018" xr:uid="{00000000-0004-0000-04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224"/>
  <sheetViews>
    <sheetView topLeftCell="A124" zoomScale="85" zoomScaleNormal="85" workbookViewId="0">
      <selection activeCell="C196" sqref="C196"/>
    </sheetView>
  </sheetViews>
  <sheetFormatPr baseColWidth="10" defaultColWidth="8.83203125" defaultRowHeight="15" x14ac:dyDescent="0.2"/>
  <cols>
    <col min="1" max="1" width="45.1640625" bestFit="1" customWidth="1"/>
    <col min="2" max="2" width="20.1640625" customWidth="1"/>
    <col min="3" max="3" width="32.6640625" customWidth="1"/>
    <col min="4" max="4" width="21" customWidth="1"/>
    <col min="5" max="5" width="17" customWidth="1"/>
    <col min="6" max="6" width="19.5" customWidth="1"/>
    <col min="7" max="7" width="19.83203125" customWidth="1"/>
    <col min="8" max="8" width="33.5" customWidth="1"/>
    <col min="9" max="9" width="20.6640625" customWidth="1"/>
    <col min="10" max="10" width="39.5" bestFit="1" customWidth="1"/>
    <col min="11" max="11" width="30.6640625" customWidth="1"/>
    <col min="12" max="12" width="20.1640625" customWidth="1"/>
    <col min="13" max="13" width="14.5" customWidth="1"/>
    <col min="14" max="14" width="33.5" customWidth="1"/>
    <col min="15" max="15" width="28.83203125" bestFit="1" customWidth="1"/>
    <col min="16" max="16" width="22.1640625" customWidth="1"/>
    <col min="17" max="17" width="24" bestFit="1" customWidth="1"/>
    <col min="18" max="18" width="33.5" bestFit="1" customWidth="1"/>
    <col min="19" max="19" width="42.33203125" bestFit="1" customWidth="1"/>
    <col min="20" max="20" width="30" bestFit="1" customWidth="1"/>
    <col min="21" max="21" width="75.5" bestFit="1" customWidth="1"/>
    <col min="22" max="22" width="74" bestFit="1" customWidth="1"/>
    <col min="23" max="23" width="20.1640625" bestFit="1" customWidth="1"/>
    <col min="24" max="24" width="55.5" bestFit="1" customWidth="1"/>
    <col min="25" max="25" width="32.6640625" bestFit="1" customWidth="1"/>
    <col min="26" max="26" width="37.6640625" bestFit="1" customWidth="1"/>
    <col min="27" max="27" width="54" bestFit="1" customWidth="1"/>
    <col min="28" max="28" width="24.1640625" bestFit="1" customWidth="1"/>
    <col min="29" max="29" width="38.5" bestFit="1" customWidth="1"/>
    <col min="30" max="30" width="38.33203125" bestFit="1" customWidth="1"/>
    <col min="31" max="31" width="24" bestFit="1" customWidth="1"/>
    <col min="32" max="32" width="35.83203125" bestFit="1" customWidth="1"/>
    <col min="33" max="33" width="54.33203125" bestFit="1" customWidth="1"/>
    <col min="34" max="34" width="20.1640625" bestFit="1" customWidth="1"/>
    <col min="35" max="35" width="35.5" bestFit="1" customWidth="1"/>
    <col min="36" max="36" width="61.83203125" bestFit="1" customWidth="1"/>
    <col min="37" max="37" width="47.83203125" bestFit="1" customWidth="1"/>
    <col min="38" max="38" width="48.5" bestFit="1" customWidth="1"/>
    <col min="39" max="39" width="77.5" bestFit="1" customWidth="1"/>
    <col min="40" max="40" width="56.6640625" bestFit="1" customWidth="1"/>
    <col min="41" max="41" width="33.5" bestFit="1" customWidth="1"/>
    <col min="42" max="42" width="28.5" bestFit="1" customWidth="1"/>
    <col min="43" max="43" width="54.1640625" bestFit="1" customWidth="1"/>
    <col min="44" max="44" width="55.5" bestFit="1" customWidth="1"/>
    <col min="45" max="45" width="26.5" bestFit="1" customWidth="1"/>
    <col min="46" max="46" width="27" bestFit="1" customWidth="1"/>
  </cols>
  <sheetData>
    <row r="1" spans="1:46" s="2" customFormat="1" x14ac:dyDescent="0.2">
      <c r="A1" s="2" t="s">
        <v>297</v>
      </c>
    </row>
    <row r="2" spans="1:46" s="20" customFormat="1" x14ac:dyDescent="0.2">
      <c r="A2" s="21" t="s">
        <v>298</v>
      </c>
    </row>
    <row r="3" spans="1:46" x14ac:dyDescent="0.2">
      <c r="B3" t="str">
        <f>'OECD Data IO Table - Total (USD'!E8</f>
        <v>D01T03: Agriculture, forestry and fishing</v>
      </c>
      <c r="C3" t="str">
        <f>'OECD Data IO Table - Total (USD'!F8</f>
        <v>D05T06: Mining and extraction of energy producing products</v>
      </c>
      <c r="D3" t="str">
        <f>'OECD Data IO Table - Total (USD'!G8</f>
        <v>D07T08: Mining and quarrying of non-energy producing products</v>
      </c>
      <c r="E3" t="str">
        <f>'OECD Data IO Table - Total (USD'!H8</f>
        <v>D09: Mining support service activities</v>
      </c>
      <c r="F3" t="str">
        <f>'OECD Data IO Table - Total (USD'!I8</f>
        <v>D10T12: Food products, beverages and tobacco</v>
      </c>
      <c r="G3" t="str">
        <f>'OECD Data IO Table - Total (USD'!J8</f>
        <v>D13T15: Textiles, wearing apparel, leather and related products</v>
      </c>
      <c r="H3" t="str">
        <f>'OECD Data IO Table - Total (USD'!K8</f>
        <v>D16: Wood and products of wood and cork</v>
      </c>
      <c r="I3" t="str">
        <f>'OECD Data IO Table - Total (USD'!L8</f>
        <v>D17T18: Paper products and printing</v>
      </c>
      <c r="J3" t="str">
        <f>'OECD Data IO Table - Total (USD'!M8</f>
        <v>D19: Coke and refined petroleum products</v>
      </c>
      <c r="K3" t="str">
        <f>'OECD Data IO Table - Total (USD'!N8</f>
        <v>D20T21: Chemicals and pharmaceutical products</v>
      </c>
      <c r="L3" t="str">
        <f>'OECD Data IO Table - Total (USD'!O8</f>
        <v>D22: Rubber and plastic products</v>
      </c>
      <c r="M3" t="str">
        <f>'OECD Data IO Table - Total (USD'!P8</f>
        <v>D23: Other non-metallic mineral products</v>
      </c>
      <c r="N3" t="str">
        <f>'OECD Data IO Table - Total (USD'!Q8</f>
        <v>D24: Basic metals</v>
      </c>
      <c r="O3" t="str">
        <f>'OECD Data IO Table - Total (USD'!R8</f>
        <v>D25: Fabricated metal products</v>
      </c>
      <c r="P3" t="str">
        <f>'OECD Data IO Table - Total (USD'!S8</f>
        <v>D26: Computer, electronic and optical products</v>
      </c>
      <c r="Q3" t="str">
        <f>'OECD Data IO Table - Total (USD'!T8</f>
        <v>D27: Electrical equipment</v>
      </c>
      <c r="R3" t="str">
        <f>'OECD Data IO Table - Total (USD'!U8</f>
        <v>D28: Machinery and equipment, nec</v>
      </c>
      <c r="S3" t="str">
        <f>'OECD Data IO Table - Total (USD'!V8</f>
        <v>D29: Motor vehicles, trailers and semi-trailers</v>
      </c>
      <c r="T3" t="str">
        <f>'OECD Data IO Table - Total (USD'!W8</f>
        <v>D30: Other transport equipment</v>
      </c>
      <c r="U3" t="str">
        <f>'OECD Data IO Table - Total (USD'!X8</f>
        <v>D31T33: Other manufacturing; repair and installation of machinery and equipment</v>
      </c>
      <c r="V3" t="str">
        <f>'OECD Data IO Table - Total (USD'!Y8</f>
        <v>D35T39: Electricity, gas, water supply, sewerage, waste and remediation services</v>
      </c>
      <c r="W3" t="str">
        <f>'OECD Data IO Table - Total (USD'!Z8</f>
        <v>D41T43: Construction</v>
      </c>
      <c r="X3" t="str">
        <f>'OECD Data IO Table - Total (USD'!AA8</f>
        <v>D45T47: Wholesale and retail trade; repair of motor vehicles</v>
      </c>
      <c r="Y3" t="str">
        <f>'OECD Data IO Table - Total (USD'!AB8</f>
        <v>D49T53: Transportation and storage</v>
      </c>
      <c r="Z3" t="str">
        <f>'OECD Data IO Table - Total (USD'!AC8</f>
        <v>D55T56: Accomodation and food services</v>
      </c>
      <c r="AA3" t="str">
        <f>'OECD Data IO Table - Total (USD'!AD8</f>
        <v>D58T60: Publishing, audiovisual and broadcasting activities</v>
      </c>
      <c r="AB3" t="str">
        <f>'OECD Data IO Table - Total (USD'!AE8</f>
        <v>D61: Telecommunications</v>
      </c>
      <c r="AC3" t="str">
        <f>'OECD Data IO Table - Total (USD'!AF8</f>
        <v>D62T63: IT and other information services</v>
      </c>
      <c r="AD3" t="str">
        <f>'OECD Data IO Table - Total (USD'!AG8</f>
        <v>D64T66: Financial and insurance activities</v>
      </c>
      <c r="AE3" t="str">
        <f>'OECD Data IO Table - Total (USD'!AH8</f>
        <v>D68: Real estate activities</v>
      </c>
      <c r="AF3" t="str">
        <f>'OECD Data IO Table - Total (USD'!AI8</f>
        <v>D69T82: Other business sector services</v>
      </c>
      <c r="AG3" t="str">
        <f>'OECD Data IO Table - Total (USD'!AJ8</f>
        <v>D84: Public admin. and defence; compulsory social security</v>
      </c>
      <c r="AH3" t="str">
        <f>'OECD Data IO Table - Total (USD'!AK8</f>
        <v>D85: Education</v>
      </c>
      <c r="AI3" t="str">
        <f>'OECD Data IO Table - Total (USD'!AL8</f>
        <v>D86T88: Human health and social work</v>
      </c>
      <c r="AJ3" t="str">
        <f>'OECD Data IO Table - Total (USD'!AM8</f>
        <v>D90T96: Arts, entertainment, recreation and other service activities</v>
      </c>
      <c r="AK3" t="str">
        <f>'OECD Data IO Table - Total (USD'!AN8</f>
        <v>D97T98: Private households with employed persons</v>
      </c>
      <c r="AL3" t="str">
        <f>'OECD Data IO Table - Total (USD'!AO8</f>
        <v>HFCE: Final consumption expenditure of households</v>
      </c>
      <c r="AM3" t="str">
        <f>'OECD Data IO Table - Total (USD'!AP8</f>
        <v>NPISH: Final consumption expenditure of non-profit institutions serving households</v>
      </c>
      <c r="AN3" t="str">
        <f>'OECD Data IO Table - Total (USD'!AQ8</f>
        <v>GGFC: Final consumption expenditure of general government</v>
      </c>
      <c r="AO3" t="str">
        <f>'OECD Data IO Table - Total (USD'!AR8</f>
        <v>GFCF: Gross Fixed Capital Formation</v>
      </c>
      <c r="AP3" t="str">
        <f>'OECD Data IO Table - Total (USD'!AS8</f>
        <v>INVNT: Changes in inventories</v>
      </c>
      <c r="AQ3" t="str">
        <f>'OECD Data IO Table - Total (USD'!AT8</f>
        <v>CONS_ABR: Direct purchases abroad by residents (imports)</v>
      </c>
      <c r="AR3" t="str">
        <f>'OECD Data IO Table - Total (USD'!AU8</f>
        <v>CONS_NONRES: Direct purchases by non-residents (exports)</v>
      </c>
      <c r="AS3" t="str">
        <f>'OECD Data IO Table - Total (USD'!AV8</f>
        <v>EXPO: Exports (cross border)</v>
      </c>
      <c r="AT3" t="str">
        <f>'OECD Data IO Table - Total (USD'!AW8</f>
        <v>IMPO: Imports (cross border)</v>
      </c>
    </row>
    <row r="4" spans="1:46" x14ac:dyDescent="0.2">
      <c r="B4" t="str">
        <f>'OECD Data IO Table - Total (USD'!E2</f>
        <v>nonenergy industries</v>
      </c>
      <c r="C4" t="str">
        <f>'OECD Data IO Table - Total (USD'!F2</f>
        <v>natural gas and petroleum suppliers</v>
      </c>
      <c r="D4" t="str">
        <f>'OECD Data IO Table - Total (USD'!G2</f>
        <v>nonenergy industries</v>
      </c>
      <c r="E4" t="str">
        <f>'OECD Data IO Table - Total (USD'!H2</f>
        <v>nonenergy industries</v>
      </c>
      <c r="F4" t="str">
        <f>'OECD Data IO Table - Total (USD'!I2</f>
        <v>nonenergy industries</v>
      </c>
      <c r="G4" t="str">
        <f>'OECD Data IO Table - Total (USD'!J2</f>
        <v>nonenergy industries</v>
      </c>
      <c r="H4" t="str">
        <f>'OECD Data IO Table - Total (USD'!K2</f>
        <v>nonenergy industries</v>
      </c>
      <c r="I4" t="str">
        <f>'OECD Data IO Table - Total (USD'!L2</f>
        <v>nonenergy industries</v>
      </c>
      <c r="J4" t="str">
        <f>'OECD Data IO Table - Total (USD'!M2</f>
        <v>natural gas and petroleum suppliers</v>
      </c>
      <c r="K4" t="str">
        <f>'OECD Data IO Table - Total (USD'!N2</f>
        <v>nonenergy industries</v>
      </c>
      <c r="L4" t="str">
        <f>'OECD Data IO Table - Total (USD'!O2</f>
        <v>nonenergy industries</v>
      </c>
      <c r="M4" t="str">
        <f>'OECD Data IO Table - Total (USD'!P2</f>
        <v>nonenergy industries</v>
      </c>
      <c r="N4" t="str">
        <f>'OECD Data IO Table - Total (USD'!Q2</f>
        <v>nonenergy industries</v>
      </c>
      <c r="O4" t="str">
        <f>'OECD Data IO Table - Total (USD'!R2</f>
        <v>nonenergy industries</v>
      </c>
      <c r="P4" t="str">
        <f>'OECD Data IO Table - Total (USD'!S2</f>
        <v>nonenergy industries</v>
      </c>
      <c r="Q4" t="str">
        <f>'OECD Data IO Table - Total (USD'!T2</f>
        <v>nonenergy industries</v>
      </c>
      <c r="R4" t="str">
        <f>'OECD Data IO Table - Total (USD'!U2</f>
        <v>nonenergy industries</v>
      </c>
      <c r="S4" t="str">
        <f>'OECD Data IO Table - Total (USD'!V2</f>
        <v>nonenergy industries</v>
      </c>
      <c r="T4" t="str">
        <f>'OECD Data IO Table - Total (USD'!W2</f>
        <v>nonenergy industries</v>
      </c>
      <c r="U4" t="str">
        <f>'OECD Data IO Table - Total (USD'!X2</f>
        <v>nonenergy industries</v>
      </c>
      <c r="V4" t="str">
        <f>'OECD Data IO Table - Total (USD'!Y2</f>
        <v>energy suppliers</v>
      </c>
      <c r="W4" t="str">
        <f>'OECD Data IO Table - Total (USD'!Z2</f>
        <v>nonenergy industries</v>
      </c>
      <c r="X4" t="str">
        <f>'OECD Data IO Table - Total (USD'!AA2</f>
        <v>nonenergy industries</v>
      </c>
      <c r="Y4" t="str">
        <f>'OECD Data IO Table - Total (USD'!AB2</f>
        <v>nonenergy industries</v>
      </c>
      <c r="Z4" t="str">
        <f>'OECD Data IO Table - Total (USD'!AC2</f>
        <v>nonenergy industries</v>
      </c>
      <c r="AA4" t="str">
        <f>'OECD Data IO Table - Total (USD'!AD2</f>
        <v>nonenergy industries</v>
      </c>
      <c r="AB4" t="str">
        <f>'OECD Data IO Table - Total (USD'!AE2</f>
        <v>nonenergy industries</v>
      </c>
      <c r="AC4" t="str">
        <f>'OECD Data IO Table - Total (USD'!AF2</f>
        <v>nonenergy industries</v>
      </c>
      <c r="AD4" t="str">
        <f>'OECD Data IO Table - Total (USD'!AG2</f>
        <v>nonenergy industries</v>
      </c>
      <c r="AE4" t="str">
        <f>'OECD Data IO Table - Total (USD'!AH2</f>
        <v>nonenergy industries</v>
      </c>
      <c r="AF4" t="str">
        <f>'OECD Data IO Table - Total (USD'!AI2</f>
        <v>nonenergy industries</v>
      </c>
      <c r="AG4" t="str">
        <f>'OECD Data IO Table - Total (USD'!AJ2</f>
        <v>government</v>
      </c>
      <c r="AH4" t="str">
        <f>'OECD Data IO Table - Total (USD'!AK2</f>
        <v>nonenergy industries</v>
      </c>
      <c r="AI4" t="str">
        <f>'OECD Data IO Table - Total (USD'!AL2</f>
        <v>nonenergy industries</v>
      </c>
      <c r="AJ4" t="str">
        <f>'OECD Data IO Table - Total (USD'!AM2</f>
        <v>nonenergy industries</v>
      </c>
      <c r="AK4" t="str">
        <f>'OECD Data IO Table - Total (USD'!AN2</f>
        <v>labor and consumers</v>
      </c>
      <c r="AL4" t="str">
        <f>'OECD Data IO Table - Total (USD'!AO2</f>
        <v>labor and consumers</v>
      </c>
      <c r="AM4" t="str">
        <f>'OECD Data IO Table - Total (USD'!AP2</f>
        <v>nonenergy industries</v>
      </c>
      <c r="AN4" t="str">
        <f>'OECD Data IO Table - Total (USD'!AQ2</f>
        <v>government</v>
      </c>
      <c r="AO4" t="str">
        <f>'OECD Data IO Table - Total (USD'!AR2</f>
        <v>capital formation</v>
      </c>
      <c r="AP4" t="str">
        <f>'OECD Data IO Table - Total (USD'!AS2</f>
        <v>inventory</v>
      </c>
      <c r="AQ4" t="str">
        <f>'OECD Data IO Table - Total (USD'!AT2</f>
        <v>imports</v>
      </c>
      <c r="AR4" t="str">
        <f>'OECD Data IO Table - Total (USD'!AU2</f>
        <v>foreign entities</v>
      </c>
      <c r="AS4" t="str">
        <f>'OECD Data IO Table - Total (USD'!AV2</f>
        <v>foreign entities</v>
      </c>
      <c r="AT4" t="str">
        <f>'OECD Data IO Table - Total (USD'!AW2</f>
        <v>imports</v>
      </c>
    </row>
    <row r="5" spans="1:46" x14ac:dyDescent="0.2">
      <c r="A5" t="s">
        <v>77</v>
      </c>
      <c r="B5">
        <f>SUMIF('OECD Data IO Table - Total (USD'!$A$10:$A$50,Calculations!$A5,'OECD Data IO Table - Total (USD'!E$10:E$50)</f>
        <v>0.1</v>
      </c>
      <c r="C5">
        <f>SUMIF('OECD Data IO Table - Total (USD'!$A$10:$A$50,Calculations!$A5,'OECD Data IO Table - Total (USD'!F$10:F$50)</f>
        <v>0</v>
      </c>
      <c r="D5">
        <f>SUMIF('OECD Data IO Table - Total (USD'!$A$10:$A$50,Calculations!$A5,'OECD Data IO Table - Total (USD'!G$10:G$50)</f>
        <v>0</v>
      </c>
      <c r="E5">
        <f>SUMIF('OECD Data IO Table - Total (USD'!$A$10:$A$50,Calculations!$A5,'OECD Data IO Table - Total (USD'!H$10:H$50)</f>
        <v>4.4000000000000004</v>
      </c>
      <c r="F5">
        <f>SUMIF('OECD Data IO Table - Total (USD'!$A$10:$A$50,Calculations!$A5,'OECD Data IO Table - Total (USD'!I$10:I$50)</f>
        <v>41.4</v>
      </c>
      <c r="G5">
        <f>SUMIF('OECD Data IO Table - Total (USD'!$A$10:$A$50,Calculations!$A5,'OECD Data IO Table - Total (USD'!J$10:J$50)</f>
        <v>1.6</v>
      </c>
      <c r="H5">
        <f>SUMIF('OECD Data IO Table - Total (USD'!$A$10:$A$50,Calculations!$A5,'OECD Data IO Table - Total (USD'!K$10:K$50)</f>
        <v>1.4</v>
      </c>
      <c r="I5">
        <f>SUMIF('OECD Data IO Table - Total (USD'!$A$10:$A$50,Calculations!$A5,'OECD Data IO Table - Total (USD'!L$10:L$50)</f>
        <v>5.3</v>
      </c>
      <c r="J5">
        <f>SUMIF('OECD Data IO Table - Total (USD'!$A$10:$A$50,Calculations!$A5,'OECD Data IO Table - Total (USD'!M$10:M$50)</f>
        <v>14</v>
      </c>
      <c r="K5">
        <f>SUMIF('OECD Data IO Table - Total (USD'!$A$10:$A$50,Calculations!$A5,'OECD Data IO Table - Total (USD'!N$10:N$50)</f>
        <v>20.6</v>
      </c>
      <c r="L5">
        <f>SUMIF('OECD Data IO Table - Total (USD'!$A$10:$A$50,Calculations!$A5,'OECD Data IO Table - Total (USD'!O$10:O$50)</f>
        <v>0</v>
      </c>
      <c r="M5">
        <f>SUMIF('OECD Data IO Table - Total (USD'!$A$10:$A$50,Calculations!$A5,'OECD Data IO Table - Total (USD'!P$10:P$50)</f>
        <v>402.6</v>
      </c>
      <c r="N5">
        <f>SUMIF('OECD Data IO Table - Total (USD'!$A$10:$A$50,Calculations!$A5,'OECD Data IO Table - Total (USD'!Q$10:Q$50)</f>
        <v>451.1</v>
      </c>
      <c r="O5">
        <f>SUMIF('OECD Data IO Table - Total (USD'!$A$10:$A$50,Calculations!$A5,'OECD Data IO Table - Total (USD'!R$10:R$50)</f>
        <v>42.1</v>
      </c>
      <c r="P5">
        <f>SUMIF('OECD Data IO Table - Total (USD'!$A$10:$A$50,Calculations!$A5,'OECD Data IO Table - Total (USD'!S$10:S$50)</f>
        <v>36.299999999999997</v>
      </c>
      <c r="Q5">
        <f>SUMIF('OECD Data IO Table - Total (USD'!$A$10:$A$50,Calculations!$A5,'OECD Data IO Table - Total (USD'!T$10:T$50)</f>
        <v>98.8</v>
      </c>
      <c r="R5">
        <f>SUMIF('OECD Data IO Table - Total (USD'!$A$10:$A$50,Calculations!$A5,'OECD Data IO Table - Total (USD'!U$10:U$50)</f>
        <v>19.8</v>
      </c>
      <c r="S5">
        <f>SUMIF('OECD Data IO Table - Total (USD'!$A$10:$A$50,Calculations!$A5,'OECD Data IO Table - Total (USD'!V$10:V$50)</f>
        <v>61.1</v>
      </c>
      <c r="T5">
        <f>SUMIF('OECD Data IO Table - Total (USD'!$A$10:$A$50,Calculations!$A5,'OECD Data IO Table - Total (USD'!W$10:W$50)</f>
        <v>18.399999999999999</v>
      </c>
      <c r="U5">
        <f>SUMIF('OECD Data IO Table - Total (USD'!$A$10:$A$50,Calculations!$A5,'OECD Data IO Table - Total (USD'!X$10:X$50)</f>
        <v>6</v>
      </c>
      <c r="V5">
        <f>SUMIF('OECD Data IO Table - Total (USD'!$A$10:$A$50,Calculations!$A5,'OECD Data IO Table - Total (USD'!Y$10:Y$50)</f>
        <v>37.299999999999997</v>
      </c>
      <c r="W5">
        <f>SUMIF('OECD Data IO Table - Total (USD'!$A$10:$A$50,Calculations!$A5,'OECD Data IO Table - Total (USD'!Z$10:Z$50)</f>
        <v>58.7</v>
      </c>
      <c r="X5">
        <f>SUMIF('OECD Data IO Table - Total (USD'!$A$10:$A$50,Calculations!$A5,'OECD Data IO Table - Total (USD'!AA$10:AA$50)</f>
        <v>183.1</v>
      </c>
      <c r="Y5">
        <f>SUMIF('OECD Data IO Table - Total (USD'!$A$10:$A$50,Calculations!$A5,'OECD Data IO Table - Total (USD'!AB$10:AB$50)</f>
        <v>49.5</v>
      </c>
      <c r="Z5">
        <f>SUMIF('OECD Data IO Table - Total (USD'!$A$10:$A$50,Calculations!$A5,'OECD Data IO Table - Total (USD'!AC$10:AC$50)</f>
        <v>3.2</v>
      </c>
      <c r="AA5">
        <f>SUMIF('OECD Data IO Table - Total (USD'!$A$10:$A$50,Calculations!$A5,'OECD Data IO Table - Total (USD'!AD$10:AD$50)</f>
        <v>12.2</v>
      </c>
      <c r="AB5">
        <f>SUMIF('OECD Data IO Table - Total (USD'!$A$10:$A$50,Calculations!$A5,'OECD Data IO Table - Total (USD'!AE$10:AE$50)</f>
        <v>35.799999999999997</v>
      </c>
      <c r="AC5">
        <f>SUMIF('OECD Data IO Table - Total (USD'!$A$10:$A$50,Calculations!$A5,'OECD Data IO Table - Total (USD'!AF$10:AF$50)</f>
        <v>0.4</v>
      </c>
      <c r="AD5">
        <f>SUMIF('OECD Data IO Table - Total (USD'!$A$10:$A$50,Calculations!$A5,'OECD Data IO Table - Total (USD'!AG$10:AG$50)</f>
        <v>61.3</v>
      </c>
      <c r="AE5">
        <f>SUMIF('OECD Data IO Table - Total (USD'!$A$10:$A$50,Calculations!$A5,'OECD Data IO Table - Total (USD'!AH$10:AH$50)</f>
        <v>22</v>
      </c>
      <c r="AF5">
        <f>SUMIF('OECD Data IO Table - Total (USD'!$A$10:$A$50,Calculations!$A5,'OECD Data IO Table - Total (USD'!AI$10:AI$50)</f>
        <v>11.8</v>
      </c>
      <c r="AG5">
        <f>SUMIF('OECD Data IO Table - Total (USD'!$A$10:$A$50,Calculations!$A5,'OECD Data IO Table - Total (USD'!AJ$10:AJ$50)</f>
        <v>115.8</v>
      </c>
      <c r="AH5">
        <f>SUMIF('OECD Data IO Table - Total (USD'!$A$10:$A$50,Calculations!$A5,'OECD Data IO Table - Total (USD'!AK$10:AK$50)</f>
        <v>81.2</v>
      </c>
      <c r="AI5">
        <f>SUMIF('OECD Data IO Table - Total (USD'!$A$10:$A$50,Calculations!$A5,'OECD Data IO Table - Total (USD'!AL$10:AL$50)</f>
        <v>4.5999999999999996</v>
      </c>
      <c r="AJ5">
        <f>SUMIF('OECD Data IO Table - Total (USD'!$A$10:$A$50,Calculations!$A5,'OECD Data IO Table - Total (USD'!AM$10:AM$50)</f>
        <v>61.5</v>
      </c>
      <c r="AK5">
        <f>SUMIF('OECD Data IO Table - Total (USD'!$A$10:$A$50,Calculations!$A5,'OECD Data IO Table - Total (USD'!AN$10:AN$50)</f>
        <v>0</v>
      </c>
      <c r="AL5">
        <f>SUMIF('OECD Data IO Table - Total (USD'!$A$10:$A$50,Calculations!$A5,'OECD Data IO Table - Total (USD'!AO$10:AO$50)</f>
        <v>672.5</v>
      </c>
      <c r="AM5">
        <f>SUMIF('OECD Data IO Table - Total (USD'!$A$10:$A$50,Calculations!$A5,'OECD Data IO Table - Total (USD'!AP$10:AP$50)</f>
        <v>0</v>
      </c>
      <c r="AN5">
        <f>SUMIF('OECD Data IO Table - Total (USD'!$A$10:$A$50,Calculations!$A5,'OECD Data IO Table - Total (USD'!AQ$10:AQ$50)</f>
        <v>0</v>
      </c>
      <c r="AO5">
        <f>SUMIF('OECD Data IO Table - Total (USD'!$A$10:$A$50,Calculations!$A5,'OECD Data IO Table - Total (USD'!AR$10:AR$50)</f>
        <v>49.4</v>
      </c>
      <c r="AP5">
        <f>SUMIF('OECD Data IO Table - Total (USD'!$A$10:$A$50,Calculations!$A5,'OECD Data IO Table - Total (USD'!AS$10:AS$50)</f>
        <v>165.7</v>
      </c>
      <c r="AQ5">
        <f>SUMIF('OECD Data IO Table - Total (USD'!$A$10:$A$50,Calculations!$A5,'OECD Data IO Table - Total (USD'!AT$10:AT$50)</f>
        <v>0.3</v>
      </c>
      <c r="AR5">
        <f>SUMIF('OECD Data IO Table - Total (USD'!$A$10:$A$50,Calculations!$A5,'OECD Data IO Table - Total (USD'!AU$10:AU$50)</f>
        <v>0</v>
      </c>
      <c r="AS5">
        <f>SUMIF('OECD Data IO Table - Total (USD'!$A$10:$A$50,Calculations!$A5,'OECD Data IO Table - Total (USD'!AV$10:AV$50)</f>
        <v>108.8</v>
      </c>
      <c r="AT5">
        <f>SUMIF('OECD Data IO Table - Total (USD'!$A$10:$A$50,Calculations!$A5,'OECD Data IO Table - Total (USD'!AW$10:AW$50)</f>
        <v>-1681.9</v>
      </c>
    </row>
    <row r="6" spans="1:46" x14ac:dyDescent="0.2">
      <c r="A6" t="s">
        <v>81</v>
      </c>
      <c r="B6">
        <f>SUMIF('OECD Data IO Table - Total (USD'!$A$10:$A$50,Calculations!$A6,'OECD Data IO Table - Total (USD'!E$10:E$50)</f>
        <v>1.1000000000000001</v>
      </c>
      <c r="C6">
        <f>SUMIF('OECD Data IO Table - Total (USD'!$A$10:$A$50,Calculations!$A6,'OECD Data IO Table - Total (USD'!F$10:F$50)</f>
        <v>0</v>
      </c>
      <c r="D6">
        <f>SUMIF('OECD Data IO Table - Total (USD'!$A$10:$A$50,Calculations!$A6,'OECD Data IO Table - Total (USD'!G$10:G$50)</f>
        <v>0</v>
      </c>
      <c r="E6">
        <f>SUMIF('OECD Data IO Table - Total (USD'!$A$10:$A$50,Calculations!$A6,'OECD Data IO Table - Total (USD'!H$10:H$50)</f>
        <v>15.7</v>
      </c>
      <c r="F6">
        <f>SUMIF('OECD Data IO Table - Total (USD'!$A$10:$A$50,Calculations!$A6,'OECD Data IO Table - Total (USD'!I$10:I$50)</f>
        <v>11.7</v>
      </c>
      <c r="G6">
        <f>SUMIF('OECD Data IO Table - Total (USD'!$A$10:$A$50,Calculations!$A6,'OECD Data IO Table - Total (USD'!J$10:J$50)</f>
        <v>3.1</v>
      </c>
      <c r="H6">
        <f>SUMIF('OECD Data IO Table - Total (USD'!$A$10:$A$50,Calculations!$A6,'OECD Data IO Table - Total (USD'!K$10:K$50)</f>
        <v>2.1</v>
      </c>
      <c r="I6">
        <f>SUMIF('OECD Data IO Table - Total (USD'!$A$10:$A$50,Calculations!$A6,'OECD Data IO Table - Total (USD'!L$10:L$50)</f>
        <v>11.4</v>
      </c>
      <c r="J6">
        <f>SUMIF('OECD Data IO Table - Total (USD'!$A$10:$A$50,Calculations!$A6,'OECD Data IO Table - Total (USD'!M$10:M$50)</f>
        <v>74.900000000000006</v>
      </c>
      <c r="K6">
        <f>SUMIF('OECD Data IO Table - Total (USD'!$A$10:$A$50,Calculations!$A6,'OECD Data IO Table - Total (USD'!N$10:N$50)</f>
        <v>140.4</v>
      </c>
      <c r="L6">
        <f>SUMIF('OECD Data IO Table - Total (USD'!$A$10:$A$50,Calculations!$A6,'OECD Data IO Table - Total (USD'!O$10:O$50)</f>
        <v>0</v>
      </c>
      <c r="M6">
        <f>SUMIF('OECD Data IO Table - Total (USD'!$A$10:$A$50,Calculations!$A6,'OECD Data IO Table - Total (USD'!P$10:P$50)</f>
        <v>52.8</v>
      </c>
      <c r="N6">
        <f>SUMIF('OECD Data IO Table - Total (USD'!$A$10:$A$50,Calculations!$A6,'OECD Data IO Table - Total (USD'!Q$10:Q$50)</f>
        <v>667.4</v>
      </c>
      <c r="O6">
        <f>SUMIF('OECD Data IO Table - Total (USD'!$A$10:$A$50,Calculations!$A6,'OECD Data IO Table - Total (USD'!R$10:R$50)</f>
        <v>48.7</v>
      </c>
      <c r="P6">
        <f>SUMIF('OECD Data IO Table - Total (USD'!$A$10:$A$50,Calculations!$A6,'OECD Data IO Table - Total (USD'!S$10:S$50)</f>
        <v>4.8</v>
      </c>
      <c r="Q6">
        <f>SUMIF('OECD Data IO Table - Total (USD'!$A$10:$A$50,Calculations!$A6,'OECD Data IO Table - Total (USD'!T$10:T$50)</f>
        <v>15.9</v>
      </c>
      <c r="R6">
        <f>SUMIF('OECD Data IO Table - Total (USD'!$A$10:$A$50,Calculations!$A6,'OECD Data IO Table - Total (USD'!U$10:U$50)</f>
        <v>9.3000000000000007</v>
      </c>
      <c r="S6">
        <f>SUMIF('OECD Data IO Table - Total (USD'!$A$10:$A$50,Calculations!$A6,'OECD Data IO Table - Total (USD'!V$10:V$50)</f>
        <v>10.4</v>
      </c>
      <c r="T6">
        <f>SUMIF('OECD Data IO Table - Total (USD'!$A$10:$A$50,Calculations!$A6,'OECD Data IO Table - Total (USD'!W$10:W$50)</f>
        <v>3.5</v>
      </c>
      <c r="U6">
        <f>SUMIF('OECD Data IO Table - Total (USD'!$A$10:$A$50,Calculations!$A6,'OECD Data IO Table - Total (USD'!X$10:X$50)</f>
        <v>6.1</v>
      </c>
      <c r="V6">
        <f>SUMIF('OECD Data IO Table - Total (USD'!$A$10:$A$50,Calculations!$A6,'OECD Data IO Table - Total (USD'!Y$10:Y$50)</f>
        <v>140.5</v>
      </c>
      <c r="W6">
        <f>SUMIF('OECD Data IO Table - Total (USD'!$A$10:$A$50,Calculations!$A6,'OECD Data IO Table - Total (USD'!Z$10:Z$50)</f>
        <v>4</v>
      </c>
      <c r="X6">
        <f>SUMIF('OECD Data IO Table - Total (USD'!$A$10:$A$50,Calculations!$A6,'OECD Data IO Table - Total (USD'!AA$10:AA$50)</f>
        <v>4405.8</v>
      </c>
      <c r="Y6">
        <f>SUMIF('OECD Data IO Table - Total (USD'!$A$10:$A$50,Calculations!$A6,'OECD Data IO Table - Total (USD'!AB$10:AB$50)</f>
        <v>2354.6999999999998</v>
      </c>
      <c r="Z6">
        <f>SUMIF('OECD Data IO Table - Total (USD'!$A$10:$A$50,Calculations!$A6,'OECD Data IO Table - Total (USD'!AC$10:AC$50)</f>
        <v>15</v>
      </c>
      <c r="AA6">
        <f>SUMIF('OECD Data IO Table - Total (USD'!$A$10:$A$50,Calculations!$A6,'OECD Data IO Table - Total (USD'!AD$10:AD$50)</f>
        <v>800.1</v>
      </c>
      <c r="AB6">
        <f>SUMIF('OECD Data IO Table - Total (USD'!$A$10:$A$50,Calculations!$A6,'OECD Data IO Table - Total (USD'!AE$10:AE$50)</f>
        <v>40.700000000000003</v>
      </c>
      <c r="AC6">
        <f>SUMIF('OECD Data IO Table - Total (USD'!$A$10:$A$50,Calculations!$A6,'OECD Data IO Table - Total (USD'!AF$10:AF$50)</f>
        <v>3.9</v>
      </c>
      <c r="AD6">
        <f>SUMIF('OECD Data IO Table - Total (USD'!$A$10:$A$50,Calculations!$A6,'OECD Data IO Table - Total (USD'!AG$10:AG$50)</f>
        <v>535</v>
      </c>
      <c r="AE6">
        <f>SUMIF('OECD Data IO Table - Total (USD'!$A$10:$A$50,Calculations!$A6,'OECD Data IO Table - Total (USD'!AH$10:AH$50)</f>
        <v>134.4</v>
      </c>
      <c r="AF6">
        <f>SUMIF('OECD Data IO Table - Total (USD'!$A$10:$A$50,Calculations!$A6,'OECD Data IO Table - Total (USD'!AI$10:AI$50)</f>
        <v>121.4</v>
      </c>
      <c r="AG6">
        <f>SUMIF('OECD Data IO Table - Total (USD'!$A$10:$A$50,Calculations!$A6,'OECD Data IO Table - Total (USD'!AJ$10:AJ$50)</f>
        <v>253.3</v>
      </c>
      <c r="AH6">
        <f>SUMIF('OECD Data IO Table - Total (USD'!$A$10:$A$50,Calculations!$A6,'OECD Data IO Table - Total (USD'!AK$10:AK$50)</f>
        <v>116.1</v>
      </c>
      <c r="AI6">
        <f>SUMIF('OECD Data IO Table - Total (USD'!$A$10:$A$50,Calculations!$A6,'OECD Data IO Table - Total (USD'!AL$10:AL$50)</f>
        <v>20.100000000000001</v>
      </c>
      <c r="AJ6">
        <f>SUMIF('OECD Data IO Table - Total (USD'!$A$10:$A$50,Calculations!$A6,'OECD Data IO Table - Total (USD'!AM$10:AM$50)</f>
        <v>91.6</v>
      </c>
      <c r="AK6">
        <f>SUMIF('OECD Data IO Table - Total (USD'!$A$10:$A$50,Calculations!$A6,'OECD Data IO Table - Total (USD'!AN$10:AN$50)</f>
        <v>0</v>
      </c>
      <c r="AL6">
        <f>SUMIF('OECD Data IO Table - Total (USD'!$A$10:$A$50,Calculations!$A6,'OECD Data IO Table - Total (USD'!AO$10:AO$50)</f>
        <v>3345.6</v>
      </c>
      <c r="AM6">
        <f>SUMIF('OECD Data IO Table - Total (USD'!$A$10:$A$50,Calculations!$A6,'OECD Data IO Table - Total (USD'!AP$10:AP$50)</f>
        <v>0</v>
      </c>
      <c r="AN6">
        <f>SUMIF('OECD Data IO Table - Total (USD'!$A$10:$A$50,Calculations!$A6,'OECD Data IO Table - Total (USD'!AQ$10:AQ$50)</f>
        <v>0</v>
      </c>
      <c r="AO6">
        <f>SUMIF('OECD Data IO Table - Total (USD'!$A$10:$A$50,Calculations!$A6,'OECD Data IO Table - Total (USD'!AR$10:AR$50)</f>
        <v>12.6</v>
      </c>
      <c r="AP6">
        <f>SUMIF('OECD Data IO Table - Total (USD'!$A$10:$A$50,Calculations!$A6,'OECD Data IO Table - Total (USD'!AS$10:AS$50)</f>
        <v>1096.5999999999999</v>
      </c>
      <c r="AQ6">
        <f>SUMIF('OECD Data IO Table - Total (USD'!$A$10:$A$50,Calculations!$A6,'OECD Data IO Table - Total (USD'!AT$10:AT$50)</f>
        <v>63.2</v>
      </c>
      <c r="AR6">
        <f>SUMIF('OECD Data IO Table - Total (USD'!$A$10:$A$50,Calculations!$A6,'OECD Data IO Table - Total (USD'!AU$10:AU$50)</f>
        <v>69</v>
      </c>
      <c r="AS6">
        <f>SUMIF('OECD Data IO Table - Total (USD'!$A$10:$A$50,Calculations!$A6,'OECD Data IO Table - Total (USD'!AV$10:AV$50)</f>
        <v>33.1</v>
      </c>
      <c r="AT6">
        <f>SUMIF('OECD Data IO Table - Total (USD'!$A$10:$A$50,Calculations!$A6,'OECD Data IO Table - Total (USD'!AW$10:AW$50)</f>
        <v>-13543.9</v>
      </c>
    </row>
    <row r="7" spans="1:46" x14ac:dyDescent="0.2">
      <c r="A7" t="s">
        <v>86</v>
      </c>
      <c r="B7">
        <f>SUMIF('OECD Data IO Table - Total (USD'!$A$10:$A$50,Calculations!$A7,'OECD Data IO Table - Total (USD'!E$10:E$50)</f>
        <v>0.1</v>
      </c>
      <c r="C7">
        <f>SUMIF('OECD Data IO Table - Total (USD'!$A$10:$A$50,Calculations!$A7,'OECD Data IO Table - Total (USD'!F$10:F$50)</f>
        <v>0</v>
      </c>
      <c r="D7">
        <f>SUMIF('OECD Data IO Table - Total (USD'!$A$10:$A$50,Calculations!$A7,'OECD Data IO Table - Total (USD'!G$10:G$50)</f>
        <v>0</v>
      </c>
      <c r="E7">
        <f>SUMIF('OECD Data IO Table - Total (USD'!$A$10:$A$50,Calculations!$A7,'OECD Data IO Table - Total (USD'!H$10:H$50)</f>
        <v>5.3</v>
      </c>
      <c r="F7">
        <f>SUMIF('OECD Data IO Table - Total (USD'!$A$10:$A$50,Calculations!$A7,'OECD Data IO Table - Total (USD'!I$10:I$50)</f>
        <v>10.3</v>
      </c>
      <c r="G7">
        <f>SUMIF('OECD Data IO Table - Total (USD'!$A$10:$A$50,Calculations!$A7,'OECD Data IO Table - Total (USD'!J$10:J$50)</f>
        <v>0.9</v>
      </c>
      <c r="H7">
        <f>SUMIF('OECD Data IO Table - Total (USD'!$A$10:$A$50,Calculations!$A7,'OECD Data IO Table - Total (USD'!K$10:K$50)</f>
        <v>1.7</v>
      </c>
      <c r="I7">
        <f>SUMIF('OECD Data IO Table - Total (USD'!$A$10:$A$50,Calculations!$A7,'OECD Data IO Table - Total (USD'!L$10:L$50)</f>
        <v>8.6999999999999993</v>
      </c>
      <c r="J7">
        <f>SUMIF('OECD Data IO Table - Total (USD'!$A$10:$A$50,Calculations!$A7,'OECD Data IO Table - Total (USD'!M$10:M$50)</f>
        <v>5</v>
      </c>
      <c r="K7">
        <f>SUMIF('OECD Data IO Table - Total (USD'!$A$10:$A$50,Calculations!$A7,'OECD Data IO Table - Total (USD'!N$10:N$50)</f>
        <v>18.399999999999999</v>
      </c>
      <c r="L7">
        <f>SUMIF('OECD Data IO Table - Total (USD'!$A$10:$A$50,Calculations!$A7,'OECD Data IO Table - Total (USD'!O$10:O$50)</f>
        <v>0</v>
      </c>
      <c r="M7">
        <f>SUMIF('OECD Data IO Table - Total (USD'!$A$10:$A$50,Calculations!$A7,'OECD Data IO Table - Total (USD'!P$10:P$50)</f>
        <v>31.6</v>
      </c>
      <c r="N7">
        <f>SUMIF('OECD Data IO Table - Total (USD'!$A$10:$A$50,Calculations!$A7,'OECD Data IO Table - Total (USD'!Q$10:Q$50)</f>
        <v>5839.2</v>
      </c>
      <c r="O7">
        <f>SUMIF('OECD Data IO Table - Total (USD'!$A$10:$A$50,Calculations!$A7,'OECD Data IO Table - Total (USD'!R$10:R$50)</f>
        <v>476</v>
      </c>
      <c r="P7">
        <f>SUMIF('OECD Data IO Table - Total (USD'!$A$10:$A$50,Calculations!$A7,'OECD Data IO Table - Total (USD'!S$10:S$50)</f>
        <v>110.9</v>
      </c>
      <c r="Q7">
        <f>SUMIF('OECD Data IO Table - Total (USD'!$A$10:$A$50,Calculations!$A7,'OECD Data IO Table - Total (USD'!T$10:T$50)</f>
        <v>489.7</v>
      </c>
      <c r="R7">
        <f>SUMIF('OECD Data IO Table - Total (USD'!$A$10:$A$50,Calculations!$A7,'OECD Data IO Table - Total (USD'!U$10:U$50)</f>
        <v>157.6</v>
      </c>
      <c r="S7">
        <f>SUMIF('OECD Data IO Table - Total (USD'!$A$10:$A$50,Calculations!$A7,'OECD Data IO Table - Total (USD'!V$10:V$50)</f>
        <v>52.9</v>
      </c>
      <c r="T7">
        <f>SUMIF('OECD Data IO Table - Total (USD'!$A$10:$A$50,Calculations!$A7,'OECD Data IO Table - Total (USD'!W$10:W$50)</f>
        <v>10.1</v>
      </c>
      <c r="U7">
        <f>SUMIF('OECD Data IO Table - Total (USD'!$A$10:$A$50,Calculations!$A7,'OECD Data IO Table - Total (USD'!X$10:X$50)</f>
        <v>37.9</v>
      </c>
      <c r="V7">
        <f>SUMIF('OECD Data IO Table - Total (USD'!$A$10:$A$50,Calculations!$A7,'OECD Data IO Table - Total (USD'!Y$10:Y$50)</f>
        <v>94.1</v>
      </c>
      <c r="W7">
        <f>SUMIF('OECD Data IO Table - Total (USD'!$A$10:$A$50,Calculations!$A7,'OECD Data IO Table - Total (USD'!Z$10:Z$50)</f>
        <v>8.3000000000000007</v>
      </c>
      <c r="X7">
        <f>SUMIF('OECD Data IO Table - Total (USD'!$A$10:$A$50,Calculations!$A7,'OECD Data IO Table - Total (USD'!AA$10:AA$50)</f>
        <v>5508.3</v>
      </c>
      <c r="Y7">
        <f>SUMIF('OECD Data IO Table - Total (USD'!$A$10:$A$50,Calculations!$A7,'OECD Data IO Table - Total (USD'!AB$10:AB$50)</f>
        <v>81.7</v>
      </c>
      <c r="Z7">
        <f>SUMIF('OECD Data IO Table - Total (USD'!$A$10:$A$50,Calculations!$A7,'OECD Data IO Table - Total (USD'!AC$10:AC$50)</f>
        <v>1.7</v>
      </c>
      <c r="AA7">
        <f>SUMIF('OECD Data IO Table - Total (USD'!$A$10:$A$50,Calculations!$A7,'OECD Data IO Table - Total (USD'!AD$10:AD$50)</f>
        <v>12.2</v>
      </c>
      <c r="AB7">
        <f>SUMIF('OECD Data IO Table - Total (USD'!$A$10:$A$50,Calculations!$A7,'OECD Data IO Table - Total (USD'!AE$10:AE$50)</f>
        <v>8.3000000000000007</v>
      </c>
      <c r="AC7">
        <f>SUMIF('OECD Data IO Table - Total (USD'!$A$10:$A$50,Calculations!$A7,'OECD Data IO Table - Total (USD'!AF$10:AF$50)</f>
        <v>0.7</v>
      </c>
      <c r="AD7">
        <f>SUMIF('OECD Data IO Table - Total (USD'!$A$10:$A$50,Calculations!$A7,'OECD Data IO Table - Total (USD'!AG$10:AG$50)</f>
        <v>62</v>
      </c>
      <c r="AE7">
        <f>SUMIF('OECD Data IO Table - Total (USD'!$A$10:$A$50,Calculations!$A7,'OECD Data IO Table - Total (USD'!AH$10:AH$50)</f>
        <v>41</v>
      </c>
      <c r="AF7">
        <f>SUMIF('OECD Data IO Table - Total (USD'!$A$10:$A$50,Calculations!$A7,'OECD Data IO Table - Total (USD'!AI$10:AI$50)</f>
        <v>12.9</v>
      </c>
      <c r="AG7">
        <f>SUMIF('OECD Data IO Table - Total (USD'!$A$10:$A$50,Calculations!$A7,'OECD Data IO Table - Total (USD'!AJ$10:AJ$50)</f>
        <v>13.7</v>
      </c>
      <c r="AH7">
        <f>SUMIF('OECD Data IO Table - Total (USD'!$A$10:$A$50,Calculations!$A7,'OECD Data IO Table - Total (USD'!AK$10:AK$50)</f>
        <v>14.6</v>
      </c>
      <c r="AI7">
        <f>SUMIF('OECD Data IO Table - Total (USD'!$A$10:$A$50,Calculations!$A7,'OECD Data IO Table - Total (USD'!AL$10:AL$50)</f>
        <v>2.2999999999999998</v>
      </c>
      <c r="AJ7">
        <f>SUMIF('OECD Data IO Table - Total (USD'!$A$10:$A$50,Calculations!$A7,'OECD Data IO Table - Total (USD'!AM$10:AM$50)</f>
        <v>40.1</v>
      </c>
      <c r="AK7">
        <f>SUMIF('OECD Data IO Table - Total (USD'!$A$10:$A$50,Calculations!$A7,'OECD Data IO Table - Total (USD'!AN$10:AN$50)</f>
        <v>0</v>
      </c>
      <c r="AL7">
        <f>SUMIF('OECD Data IO Table - Total (USD'!$A$10:$A$50,Calculations!$A7,'OECD Data IO Table - Total (USD'!AO$10:AO$50)</f>
        <v>158.6</v>
      </c>
      <c r="AM7">
        <f>SUMIF('OECD Data IO Table - Total (USD'!$A$10:$A$50,Calculations!$A7,'OECD Data IO Table - Total (USD'!AP$10:AP$50)</f>
        <v>0</v>
      </c>
      <c r="AN7">
        <f>SUMIF('OECD Data IO Table - Total (USD'!$A$10:$A$50,Calculations!$A7,'OECD Data IO Table - Total (USD'!AQ$10:AQ$50)</f>
        <v>0.1</v>
      </c>
      <c r="AO7">
        <f>SUMIF('OECD Data IO Table - Total (USD'!$A$10:$A$50,Calculations!$A7,'OECD Data IO Table - Total (USD'!AR$10:AR$50)</f>
        <v>263.3</v>
      </c>
      <c r="AP7">
        <f>SUMIF('OECD Data IO Table - Total (USD'!$A$10:$A$50,Calculations!$A7,'OECD Data IO Table - Total (USD'!AS$10:AS$50)</f>
        <v>295.39999999999998</v>
      </c>
      <c r="AQ7">
        <f>SUMIF('OECD Data IO Table - Total (USD'!$A$10:$A$50,Calculations!$A7,'OECD Data IO Table - Total (USD'!AT$10:AT$50)</f>
        <v>0.7</v>
      </c>
      <c r="AR7">
        <f>SUMIF('OECD Data IO Table - Total (USD'!$A$10:$A$50,Calculations!$A7,'OECD Data IO Table - Total (USD'!AU$10:AU$50)</f>
        <v>0</v>
      </c>
      <c r="AS7">
        <f>SUMIF('OECD Data IO Table - Total (USD'!$A$10:$A$50,Calculations!$A7,'OECD Data IO Table - Total (USD'!AV$10:AV$50)</f>
        <v>8466.2999999999993</v>
      </c>
      <c r="AT7">
        <f>SUMIF('OECD Data IO Table - Total (USD'!$A$10:$A$50,Calculations!$A7,'OECD Data IO Table - Total (USD'!AW$10:AW$50)</f>
        <v>-10834.1</v>
      </c>
    </row>
    <row r="8" spans="1:46" x14ac:dyDescent="0.2">
      <c r="A8" t="s">
        <v>89</v>
      </c>
      <c r="B8">
        <f>SUMIF('OECD Data IO Table - Total (USD'!$A$10:$A$50,Calculations!$A8,'OECD Data IO Table - Total (USD'!E$10:E$50)</f>
        <v>2.3000000000000003</v>
      </c>
      <c r="C8">
        <f>SUMIF('OECD Data IO Table - Total (USD'!$A$10:$A$50,Calculations!$A8,'OECD Data IO Table - Total (USD'!F$10:F$50)</f>
        <v>0</v>
      </c>
      <c r="D8">
        <f>SUMIF('OECD Data IO Table - Total (USD'!$A$10:$A$50,Calculations!$A8,'OECD Data IO Table - Total (USD'!G$10:G$50)</f>
        <v>0</v>
      </c>
      <c r="E8">
        <f>SUMIF('OECD Data IO Table - Total (USD'!$A$10:$A$50,Calculations!$A8,'OECD Data IO Table - Total (USD'!H$10:H$50)</f>
        <v>11.6</v>
      </c>
      <c r="F8">
        <f>SUMIF('OECD Data IO Table - Total (USD'!$A$10:$A$50,Calculations!$A8,'OECD Data IO Table - Total (USD'!I$10:I$50)</f>
        <v>35.299999999999997</v>
      </c>
      <c r="G8">
        <f>SUMIF('OECD Data IO Table - Total (USD'!$A$10:$A$50,Calculations!$A8,'OECD Data IO Table - Total (USD'!J$10:J$50)</f>
        <v>25.1</v>
      </c>
      <c r="H8">
        <f>SUMIF('OECD Data IO Table - Total (USD'!$A$10:$A$50,Calculations!$A8,'OECD Data IO Table - Total (USD'!K$10:K$50)</f>
        <v>11.9</v>
      </c>
      <c r="I8">
        <f>SUMIF('OECD Data IO Table - Total (USD'!$A$10:$A$50,Calculations!$A8,'OECD Data IO Table - Total (USD'!L$10:L$50)</f>
        <v>95.699999999999989</v>
      </c>
      <c r="J8">
        <f>SUMIF('OECD Data IO Table - Total (USD'!$A$10:$A$50,Calculations!$A8,'OECD Data IO Table - Total (USD'!M$10:M$50)</f>
        <v>28.099999999999998</v>
      </c>
      <c r="K8">
        <f>SUMIF('OECD Data IO Table - Total (USD'!$A$10:$A$50,Calculations!$A8,'OECD Data IO Table - Total (USD'!N$10:N$50)</f>
        <v>421.79999999999995</v>
      </c>
      <c r="L8">
        <f>SUMIF('OECD Data IO Table - Total (USD'!$A$10:$A$50,Calculations!$A8,'OECD Data IO Table - Total (USD'!O$10:O$50)</f>
        <v>0</v>
      </c>
      <c r="M8">
        <f>SUMIF('OECD Data IO Table - Total (USD'!$A$10:$A$50,Calculations!$A8,'OECD Data IO Table - Total (USD'!P$10:P$50)</f>
        <v>78</v>
      </c>
      <c r="N8">
        <f>SUMIF('OECD Data IO Table - Total (USD'!$A$10:$A$50,Calculations!$A8,'OECD Data IO Table - Total (USD'!Q$10:Q$50)</f>
        <v>865</v>
      </c>
      <c r="O8">
        <f>SUMIF('OECD Data IO Table - Total (USD'!$A$10:$A$50,Calculations!$A8,'OECD Data IO Table - Total (USD'!R$10:R$50)</f>
        <v>19</v>
      </c>
      <c r="P8">
        <f>SUMIF('OECD Data IO Table - Total (USD'!$A$10:$A$50,Calculations!$A8,'OECD Data IO Table - Total (USD'!S$10:S$50)</f>
        <v>38.5</v>
      </c>
      <c r="Q8">
        <f>SUMIF('OECD Data IO Table - Total (USD'!$A$10:$A$50,Calculations!$A8,'OECD Data IO Table - Total (USD'!T$10:T$50)</f>
        <v>108.3</v>
      </c>
      <c r="R8">
        <f>SUMIF('OECD Data IO Table - Total (USD'!$A$10:$A$50,Calculations!$A8,'OECD Data IO Table - Total (USD'!U$10:U$50)</f>
        <v>29.099999999999998</v>
      </c>
      <c r="S8">
        <f>SUMIF('OECD Data IO Table - Total (USD'!$A$10:$A$50,Calculations!$A8,'OECD Data IO Table - Total (USD'!V$10:V$50)</f>
        <v>20.9</v>
      </c>
      <c r="T8">
        <f>SUMIF('OECD Data IO Table - Total (USD'!$A$10:$A$50,Calculations!$A8,'OECD Data IO Table - Total (USD'!W$10:W$50)</f>
        <v>6.3</v>
      </c>
      <c r="U8">
        <f>SUMIF('OECD Data IO Table - Total (USD'!$A$10:$A$50,Calculations!$A8,'OECD Data IO Table - Total (USD'!X$10:X$50)</f>
        <v>12.299999999999999</v>
      </c>
      <c r="V8">
        <f>SUMIF('OECD Data IO Table - Total (USD'!$A$10:$A$50,Calculations!$A8,'OECD Data IO Table - Total (USD'!Y$10:Y$50)</f>
        <v>176.20000000000002</v>
      </c>
      <c r="W8">
        <f>SUMIF('OECD Data IO Table - Total (USD'!$A$10:$A$50,Calculations!$A8,'OECD Data IO Table - Total (USD'!Z$10:Z$50)</f>
        <v>7.8</v>
      </c>
      <c r="X8">
        <f>SUMIF('OECD Data IO Table - Total (USD'!$A$10:$A$50,Calculations!$A8,'OECD Data IO Table - Total (USD'!AA$10:AA$50)</f>
        <v>815.3</v>
      </c>
      <c r="Y8">
        <f>SUMIF('OECD Data IO Table - Total (USD'!$A$10:$A$50,Calculations!$A8,'OECD Data IO Table - Total (USD'!AB$10:AB$50)</f>
        <v>211.50000000000003</v>
      </c>
      <c r="Z8">
        <f>SUMIF('OECD Data IO Table - Total (USD'!$A$10:$A$50,Calculations!$A8,'OECD Data IO Table - Total (USD'!AC$10:AC$50)</f>
        <v>25.4</v>
      </c>
      <c r="AA8">
        <f>SUMIF('OECD Data IO Table - Total (USD'!$A$10:$A$50,Calculations!$A8,'OECD Data IO Table - Total (USD'!AD$10:AD$50)</f>
        <v>70.3</v>
      </c>
      <c r="AB8">
        <f>SUMIF('OECD Data IO Table - Total (USD'!$A$10:$A$50,Calculations!$A8,'OECD Data IO Table - Total (USD'!AE$10:AE$50)</f>
        <v>23.5</v>
      </c>
      <c r="AC8">
        <f>SUMIF('OECD Data IO Table - Total (USD'!$A$10:$A$50,Calculations!$A8,'OECD Data IO Table - Total (USD'!AF$10:AF$50)</f>
        <v>1.8</v>
      </c>
      <c r="AD8">
        <f>SUMIF('OECD Data IO Table - Total (USD'!$A$10:$A$50,Calculations!$A8,'OECD Data IO Table - Total (USD'!AG$10:AG$50)</f>
        <v>135.70000000000002</v>
      </c>
      <c r="AE8">
        <f>SUMIF('OECD Data IO Table - Total (USD'!$A$10:$A$50,Calculations!$A8,'OECD Data IO Table - Total (USD'!AH$10:AH$50)</f>
        <v>56.7</v>
      </c>
      <c r="AF8">
        <f>SUMIF('OECD Data IO Table - Total (USD'!$A$10:$A$50,Calculations!$A8,'OECD Data IO Table - Total (USD'!AI$10:AI$50)</f>
        <v>70.8</v>
      </c>
      <c r="AG8">
        <f>SUMIF('OECD Data IO Table - Total (USD'!$A$10:$A$50,Calculations!$A8,'OECD Data IO Table - Total (USD'!AJ$10:AJ$50)</f>
        <v>92.6</v>
      </c>
      <c r="AH8">
        <f>SUMIF('OECD Data IO Table - Total (USD'!$A$10:$A$50,Calculations!$A8,'OECD Data IO Table - Total (USD'!AK$10:AK$50)</f>
        <v>224</v>
      </c>
      <c r="AI8">
        <f>SUMIF('OECD Data IO Table - Total (USD'!$A$10:$A$50,Calculations!$A8,'OECD Data IO Table - Total (USD'!AL$10:AL$50)</f>
        <v>163.5</v>
      </c>
      <c r="AJ8">
        <f>SUMIF('OECD Data IO Table - Total (USD'!$A$10:$A$50,Calculations!$A8,'OECD Data IO Table - Total (USD'!AM$10:AM$50)</f>
        <v>368.6</v>
      </c>
      <c r="AK8">
        <f>SUMIF('OECD Data IO Table - Total (USD'!$A$10:$A$50,Calculations!$A8,'OECD Data IO Table - Total (USD'!AN$10:AN$50)</f>
        <v>0</v>
      </c>
      <c r="AL8">
        <f>SUMIF('OECD Data IO Table - Total (USD'!$A$10:$A$50,Calculations!$A8,'OECD Data IO Table - Total (USD'!AO$10:AO$50)</f>
        <v>4398.5</v>
      </c>
      <c r="AM8">
        <f>SUMIF('OECD Data IO Table - Total (USD'!$A$10:$A$50,Calculations!$A8,'OECD Data IO Table - Total (USD'!AP$10:AP$50)</f>
        <v>0</v>
      </c>
      <c r="AN8">
        <f>SUMIF('OECD Data IO Table - Total (USD'!$A$10:$A$50,Calculations!$A8,'OECD Data IO Table - Total (USD'!AQ$10:AQ$50)</f>
        <v>0.4</v>
      </c>
      <c r="AO8">
        <f>SUMIF('OECD Data IO Table - Total (USD'!$A$10:$A$50,Calculations!$A8,'OECD Data IO Table - Total (USD'!AR$10:AR$50)</f>
        <v>157.6</v>
      </c>
      <c r="AP8">
        <f>SUMIF('OECD Data IO Table - Total (USD'!$A$10:$A$50,Calculations!$A8,'OECD Data IO Table - Total (USD'!AS$10:AS$50)</f>
        <v>1248.7</v>
      </c>
      <c r="AQ8">
        <f>SUMIF('OECD Data IO Table - Total (USD'!$A$10:$A$50,Calculations!$A8,'OECD Data IO Table - Total (USD'!AT$10:AT$50)</f>
        <v>42</v>
      </c>
      <c r="AR8">
        <f>SUMIF('OECD Data IO Table - Total (USD'!$A$10:$A$50,Calculations!$A8,'OECD Data IO Table - Total (USD'!AU$10:AU$50)</f>
        <v>50.6</v>
      </c>
      <c r="AS8">
        <f>SUMIF('OECD Data IO Table - Total (USD'!$A$10:$A$50,Calculations!$A8,'OECD Data IO Table - Total (USD'!AV$10:AV$50)</f>
        <v>495.5</v>
      </c>
      <c r="AT8">
        <f>SUMIF('OECD Data IO Table - Total (USD'!$A$10:$A$50,Calculations!$A8,'OECD Data IO Table - Total (USD'!AW$10:AW$50)</f>
        <v>-8310.4</v>
      </c>
    </row>
    <row r="9" spans="1:46" x14ac:dyDescent="0.2">
      <c r="A9" t="s">
        <v>92</v>
      </c>
      <c r="B9">
        <f>SUMIF('OECD Data IO Table - Total (USD'!$A$10:$A$50,Calculations!$A9,'OECD Data IO Table - Total (USD'!E$10:E$50)</f>
        <v>0</v>
      </c>
      <c r="C9">
        <f>SUMIF('OECD Data IO Table - Total (USD'!$A$10:$A$50,Calculations!$A9,'OECD Data IO Table - Total (USD'!F$10:F$50)</f>
        <v>0</v>
      </c>
      <c r="D9">
        <f>SUMIF('OECD Data IO Table - Total (USD'!$A$10:$A$50,Calculations!$A9,'OECD Data IO Table - Total (USD'!G$10:G$50)</f>
        <v>0</v>
      </c>
      <c r="E9">
        <f>SUMIF('OECD Data IO Table - Total (USD'!$A$10:$A$50,Calculations!$A9,'OECD Data IO Table - Total (USD'!H$10:H$50)</f>
        <v>0</v>
      </c>
      <c r="F9">
        <f>SUMIF('OECD Data IO Table - Total (USD'!$A$10:$A$50,Calculations!$A9,'OECD Data IO Table - Total (USD'!I$10:I$50)</f>
        <v>0</v>
      </c>
      <c r="G9">
        <f>SUMIF('OECD Data IO Table - Total (USD'!$A$10:$A$50,Calculations!$A9,'OECD Data IO Table - Total (USD'!J$10:J$50)</f>
        <v>0</v>
      </c>
      <c r="H9">
        <f>SUMIF('OECD Data IO Table - Total (USD'!$A$10:$A$50,Calculations!$A9,'OECD Data IO Table - Total (USD'!K$10:K$50)</f>
        <v>0</v>
      </c>
      <c r="I9">
        <f>SUMIF('OECD Data IO Table - Total (USD'!$A$10:$A$50,Calculations!$A9,'OECD Data IO Table - Total (USD'!L$10:L$50)</f>
        <v>0</v>
      </c>
      <c r="J9">
        <f>SUMIF('OECD Data IO Table - Total (USD'!$A$10:$A$50,Calculations!$A9,'OECD Data IO Table - Total (USD'!M$10:M$50)</f>
        <v>0</v>
      </c>
      <c r="K9">
        <f>SUMIF('OECD Data IO Table - Total (USD'!$A$10:$A$50,Calculations!$A9,'OECD Data IO Table - Total (USD'!N$10:N$50)</f>
        <v>0</v>
      </c>
      <c r="L9">
        <f>SUMIF('OECD Data IO Table - Total (USD'!$A$10:$A$50,Calculations!$A9,'OECD Data IO Table - Total (USD'!O$10:O$50)</f>
        <v>0</v>
      </c>
      <c r="M9">
        <f>SUMIF('OECD Data IO Table - Total (USD'!$A$10:$A$50,Calculations!$A9,'OECD Data IO Table - Total (USD'!P$10:P$50)</f>
        <v>0</v>
      </c>
      <c r="N9">
        <f>SUMIF('OECD Data IO Table - Total (USD'!$A$10:$A$50,Calculations!$A9,'OECD Data IO Table - Total (USD'!Q$10:Q$50)</f>
        <v>0</v>
      </c>
      <c r="O9">
        <f>SUMIF('OECD Data IO Table - Total (USD'!$A$10:$A$50,Calculations!$A9,'OECD Data IO Table - Total (USD'!R$10:R$50)</f>
        <v>0</v>
      </c>
      <c r="P9">
        <f>SUMIF('OECD Data IO Table - Total (USD'!$A$10:$A$50,Calculations!$A9,'OECD Data IO Table - Total (USD'!S$10:S$50)</f>
        <v>0</v>
      </c>
      <c r="Q9">
        <f>SUMIF('OECD Data IO Table - Total (USD'!$A$10:$A$50,Calculations!$A9,'OECD Data IO Table - Total (USD'!T$10:T$50)</f>
        <v>0</v>
      </c>
      <c r="R9">
        <f>SUMIF('OECD Data IO Table - Total (USD'!$A$10:$A$50,Calculations!$A9,'OECD Data IO Table - Total (USD'!U$10:U$50)</f>
        <v>0</v>
      </c>
      <c r="S9">
        <f>SUMIF('OECD Data IO Table - Total (USD'!$A$10:$A$50,Calculations!$A9,'OECD Data IO Table - Total (USD'!V$10:V$50)</f>
        <v>0</v>
      </c>
      <c r="T9">
        <f>SUMIF('OECD Data IO Table - Total (USD'!$A$10:$A$50,Calculations!$A9,'OECD Data IO Table - Total (USD'!W$10:W$50)</f>
        <v>0</v>
      </c>
      <c r="U9">
        <f>SUMIF('OECD Data IO Table - Total (USD'!$A$10:$A$50,Calculations!$A9,'OECD Data IO Table - Total (USD'!X$10:X$50)</f>
        <v>0</v>
      </c>
      <c r="V9">
        <f>SUMIF('OECD Data IO Table - Total (USD'!$A$10:$A$50,Calculations!$A9,'OECD Data IO Table - Total (USD'!Y$10:Y$50)</f>
        <v>0</v>
      </c>
      <c r="W9">
        <f>SUMIF('OECD Data IO Table - Total (USD'!$A$10:$A$50,Calculations!$A9,'OECD Data IO Table - Total (USD'!Z$10:Z$50)</f>
        <v>0</v>
      </c>
      <c r="X9">
        <f>SUMIF('OECD Data IO Table - Total (USD'!$A$10:$A$50,Calculations!$A9,'OECD Data IO Table - Total (USD'!AA$10:AA$50)</f>
        <v>0</v>
      </c>
      <c r="Y9">
        <f>SUMIF('OECD Data IO Table - Total (USD'!$A$10:$A$50,Calculations!$A9,'OECD Data IO Table - Total (USD'!AB$10:AB$50)</f>
        <v>0</v>
      </c>
      <c r="Z9">
        <f>SUMIF('OECD Data IO Table - Total (USD'!$A$10:$A$50,Calculations!$A9,'OECD Data IO Table - Total (USD'!AC$10:AC$50)</f>
        <v>0</v>
      </c>
      <c r="AA9">
        <f>SUMIF('OECD Data IO Table - Total (USD'!$A$10:$A$50,Calculations!$A9,'OECD Data IO Table - Total (USD'!AD$10:AD$50)</f>
        <v>0</v>
      </c>
      <c r="AB9">
        <f>SUMIF('OECD Data IO Table - Total (USD'!$A$10:$A$50,Calculations!$A9,'OECD Data IO Table - Total (USD'!AE$10:AE$50)</f>
        <v>0</v>
      </c>
      <c r="AC9">
        <f>SUMIF('OECD Data IO Table - Total (USD'!$A$10:$A$50,Calculations!$A9,'OECD Data IO Table - Total (USD'!AF$10:AF$50)</f>
        <v>0</v>
      </c>
      <c r="AD9">
        <f>SUMIF('OECD Data IO Table - Total (USD'!$A$10:$A$50,Calculations!$A9,'OECD Data IO Table - Total (USD'!AG$10:AG$50)</f>
        <v>0</v>
      </c>
      <c r="AE9">
        <f>SUMIF('OECD Data IO Table - Total (USD'!$A$10:$A$50,Calculations!$A9,'OECD Data IO Table - Total (USD'!AH$10:AH$50)</f>
        <v>0</v>
      </c>
      <c r="AF9">
        <f>SUMIF('OECD Data IO Table - Total (USD'!$A$10:$A$50,Calculations!$A9,'OECD Data IO Table - Total (USD'!AI$10:AI$50)</f>
        <v>0</v>
      </c>
      <c r="AG9">
        <f>SUMIF('OECD Data IO Table - Total (USD'!$A$10:$A$50,Calculations!$A9,'OECD Data IO Table - Total (USD'!AJ$10:AJ$50)</f>
        <v>0</v>
      </c>
      <c r="AH9">
        <f>SUMIF('OECD Data IO Table - Total (USD'!$A$10:$A$50,Calculations!$A9,'OECD Data IO Table - Total (USD'!AK$10:AK$50)</f>
        <v>0</v>
      </c>
      <c r="AI9">
        <f>SUMIF('OECD Data IO Table - Total (USD'!$A$10:$A$50,Calculations!$A9,'OECD Data IO Table - Total (USD'!AL$10:AL$50)</f>
        <v>0</v>
      </c>
      <c r="AJ9">
        <f>SUMIF('OECD Data IO Table - Total (USD'!$A$10:$A$50,Calculations!$A9,'OECD Data IO Table - Total (USD'!AM$10:AM$50)</f>
        <v>0</v>
      </c>
      <c r="AK9">
        <f>SUMIF('OECD Data IO Table - Total (USD'!$A$10:$A$50,Calculations!$A9,'OECD Data IO Table - Total (USD'!AN$10:AN$50)</f>
        <v>0</v>
      </c>
      <c r="AL9">
        <f>SUMIF('OECD Data IO Table - Total (USD'!$A$10:$A$50,Calculations!$A9,'OECD Data IO Table - Total (USD'!AO$10:AO$50)</f>
        <v>0</v>
      </c>
      <c r="AM9">
        <f>SUMIF('OECD Data IO Table - Total (USD'!$A$10:$A$50,Calculations!$A9,'OECD Data IO Table - Total (USD'!AP$10:AP$50)</f>
        <v>0</v>
      </c>
      <c r="AN9">
        <f>SUMIF('OECD Data IO Table - Total (USD'!$A$10:$A$50,Calculations!$A9,'OECD Data IO Table - Total (USD'!AQ$10:AQ$50)</f>
        <v>0</v>
      </c>
      <c r="AO9">
        <f>SUMIF('OECD Data IO Table - Total (USD'!$A$10:$A$50,Calculations!$A9,'OECD Data IO Table - Total (USD'!AR$10:AR$50)</f>
        <v>0</v>
      </c>
      <c r="AP9">
        <f>SUMIF('OECD Data IO Table - Total (USD'!$A$10:$A$50,Calculations!$A9,'OECD Data IO Table - Total (USD'!AS$10:AS$50)</f>
        <v>0</v>
      </c>
      <c r="AQ9">
        <f>SUMIF('OECD Data IO Table - Total (USD'!$A$10:$A$50,Calculations!$A9,'OECD Data IO Table - Total (USD'!AT$10:AT$50)</f>
        <v>0</v>
      </c>
      <c r="AR9">
        <f>SUMIF('OECD Data IO Table - Total (USD'!$A$10:$A$50,Calculations!$A9,'OECD Data IO Table - Total (USD'!AU$10:AU$50)</f>
        <v>0</v>
      </c>
      <c r="AS9">
        <f>SUMIF('OECD Data IO Table - Total (USD'!$A$10:$A$50,Calculations!$A9,'OECD Data IO Table - Total (USD'!AV$10:AV$50)</f>
        <v>0</v>
      </c>
      <c r="AT9">
        <f>SUMIF('OECD Data IO Table - Total (USD'!$A$10:$A$50,Calculations!$A9,'OECD Data IO Table - Total (USD'!AW$10:AW$50)</f>
        <v>0</v>
      </c>
    </row>
    <row r="10" spans="1:46" x14ac:dyDescent="0.2">
      <c r="A10" t="s">
        <v>95</v>
      </c>
      <c r="B10">
        <f>SUMIF('OECD Data IO Table - Total (USD'!$A$10:$A$50,Calculations!$A10,'OECD Data IO Table - Total (USD'!E$10:E$50)</f>
        <v>0</v>
      </c>
      <c r="C10">
        <f>SUMIF('OECD Data IO Table - Total (USD'!$A$10:$A$50,Calculations!$A10,'OECD Data IO Table - Total (USD'!F$10:F$50)</f>
        <v>0</v>
      </c>
      <c r="D10">
        <f>SUMIF('OECD Data IO Table - Total (USD'!$A$10:$A$50,Calculations!$A10,'OECD Data IO Table - Total (USD'!G$10:G$50)</f>
        <v>0</v>
      </c>
      <c r="E10">
        <f>SUMIF('OECD Data IO Table - Total (USD'!$A$10:$A$50,Calculations!$A10,'OECD Data IO Table - Total (USD'!H$10:H$50)</f>
        <v>0</v>
      </c>
      <c r="F10">
        <f>SUMIF('OECD Data IO Table - Total (USD'!$A$10:$A$50,Calculations!$A10,'OECD Data IO Table - Total (USD'!I$10:I$50)</f>
        <v>0</v>
      </c>
      <c r="G10">
        <f>SUMIF('OECD Data IO Table - Total (USD'!$A$10:$A$50,Calculations!$A10,'OECD Data IO Table - Total (USD'!J$10:J$50)</f>
        <v>0</v>
      </c>
      <c r="H10">
        <f>SUMIF('OECD Data IO Table - Total (USD'!$A$10:$A$50,Calculations!$A10,'OECD Data IO Table - Total (USD'!K$10:K$50)</f>
        <v>0</v>
      </c>
      <c r="I10">
        <f>SUMIF('OECD Data IO Table - Total (USD'!$A$10:$A$50,Calculations!$A10,'OECD Data IO Table - Total (USD'!L$10:L$50)</f>
        <v>0</v>
      </c>
      <c r="J10">
        <f>SUMIF('OECD Data IO Table - Total (USD'!$A$10:$A$50,Calculations!$A10,'OECD Data IO Table - Total (USD'!M$10:M$50)</f>
        <v>0</v>
      </c>
      <c r="K10">
        <f>SUMIF('OECD Data IO Table - Total (USD'!$A$10:$A$50,Calculations!$A10,'OECD Data IO Table - Total (USD'!N$10:N$50)</f>
        <v>0</v>
      </c>
      <c r="L10">
        <f>SUMIF('OECD Data IO Table - Total (USD'!$A$10:$A$50,Calculations!$A10,'OECD Data IO Table - Total (USD'!O$10:O$50)</f>
        <v>0</v>
      </c>
      <c r="M10">
        <f>SUMIF('OECD Data IO Table - Total (USD'!$A$10:$A$50,Calculations!$A10,'OECD Data IO Table - Total (USD'!P$10:P$50)</f>
        <v>0</v>
      </c>
      <c r="N10">
        <f>SUMIF('OECD Data IO Table - Total (USD'!$A$10:$A$50,Calculations!$A10,'OECD Data IO Table - Total (USD'!Q$10:Q$50)</f>
        <v>0</v>
      </c>
      <c r="O10">
        <f>SUMIF('OECD Data IO Table - Total (USD'!$A$10:$A$50,Calculations!$A10,'OECD Data IO Table - Total (USD'!R$10:R$50)</f>
        <v>0</v>
      </c>
      <c r="P10">
        <f>SUMIF('OECD Data IO Table - Total (USD'!$A$10:$A$50,Calculations!$A10,'OECD Data IO Table - Total (USD'!S$10:S$50)</f>
        <v>0</v>
      </c>
      <c r="Q10">
        <f>SUMIF('OECD Data IO Table - Total (USD'!$A$10:$A$50,Calculations!$A10,'OECD Data IO Table - Total (USD'!T$10:T$50)</f>
        <v>0</v>
      </c>
      <c r="R10">
        <f>SUMIF('OECD Data IO Table - Total (USD'!$A$10:$A$50,Calculations!$A10,'OECD Data IO Table - Total (USD'!U$10:U$50)</f>
        <v>0</v>
      </c>
      <c r="S10">
        <f>SUMIF('OECD Data IO Table - Total (USD'!$A$10:$A$50,Calculations!$A10,'OECD Data IO Table - Total (USD'!V$10:V$50)</f>
        <v>0</v>
      </c>
      <c r="T10">
        <f>SUMIF('OECD Data IO Table - Total (USD'!$A$10:$A$50,Calculations!$A10,'OECD Data IO Table - Total (USD'!W$10:W$50)</f>
        <v>0</v>
      </c>
      <c r="U10">
        <f>SUMIF('OECD Data IO Table - Total (USD'!$A$10:$A$50,Calculations!$A10,'OECD Data IO Table - Total (USD'!X$10:X$50)</f>
        <v>0</v>
      </c>
      <c r="V10">
        <f>SUMIF('OECD Data IO Table - Total (USD'!$A$10:$A$50,Calculations!$A10,'OECD Data IO Table - Total (USD'!Y$10:Y$50)</f>
        <v>0</v>
      </c>
      <c r="W10">
        <f>SUMIF('OECD Data IO Table - Total (USD'!$A$10:$A$50,Calculations!$A10,'OECD Data IO Table - Total (USD'!Z$10:Z$50)</f>
        <v>0</v>
      </c>
      <c r="X10">
        <f>SUMIF('OECD Data IO Table - Total (USD'!$A$10:$A$50,Calculations!$A10,'OECD Data IO Table - Total (USD'!AA$10:AA$50)</f>
        <v>0</v>
      </c>
      <c r="Y10">
        <f>SUMIF('OECD Data IO Table - Total (USD'!$A$10:$A$50,Calculations!$A10,'OECD Data IO Table - Total (USD'!AB$10:AB$50)</f>
        <v>0</v>
      </c>
      <c r="Z10">
        <f>SUMIF('OECD Data IO Table - Total (USD'!$A$10:$A$50,Calculations!$A10,'OECD Data IO Table - Total (USD'!AC$10:AC$50)</f>
        <v>0</v>
      </c>
      <c r="AA10">
        <f>SUMIF('OECD Data IO Table - Total (USD'!$A$10:$A$50,Calculations!$A10,'OECD Data IO Table - Total (USD'!AD$10:AD$50)</f>
        <v>0</v>
      </c>
      <c r="AB10">
        <f>SUMIF('OECD Data IO Table - Total (USD'!$A$10:$A$50,Calculations!$A10,'OECD Data IO Table - Total (USD'!AE$10:AE$50)</f>
        <v>0</v>
      </c>
      <c r="AC10">
        <f>SUMIF('OECD Data IO Table - Total (USD'!$A$10:$A$50,Calculations!$A10,'OECD Data IO Table - Total (USD'!AF$10:AF$50)</f>
        <v>0</v>
      </c>
      <c r="AD10">
        <f>SUMIF('OECD Data IO Table - Total (USD'!$A$10:$A$50,Calculations!$A10,'OECD Data IO Table - Total (USD'!AG$10:AG$50)</f>
        <v>0</v>
      </c>
      <c r="AE10">
        <f>SUMIF('OECD Data IO Table - Total (USD'!$A$10:$A$50,Calculations!$A10,'OECD Data IO Table - Total (USD'!AH$10:AH$50)</f>
        <v>0</v>
      </c>
      <c r="AF10">
        <f>SUMIF('OECD Data IO Table - Total (USD'!$A$10:$A$50,Calculations!$A10,'OECD Data IO Table - Total (USD'!AI$10:AI$50)</f>
        <v>0</v>
      </c>
      <c r="AG10">
        <f>SUMIF('OECD Data IO Table - Total (USD'!$A$10:$A$50,Calculations!$A10,'OECD Data IO Table - Total (USD'!AJ$10:AJ$50)</f>
        <v>0</v>
      </c>
      <c r="AH10">
        <f>SUMIF('OECD Data IO Table - Total (USD'!$A$10:$A$50,Calculations!$A10,'OECD Data IO Table - Total (USD'!AK$10:AK$50)</f>
        <v>0</v>
      </c>
      <c r="AI10">
        <f>SUMIF('OECD Data IO Table - Total (USD'!$A$10:$A$50,Calculations!$A10,'OECD Data IO Table - Total (USD'!AL$10:AL$50)</f>
        <v>0</v>
      </c>
      <c r="AJ10">
        <f>SUMIF('OECD Data IO Table - Total (USD'!$A$10:$A$50,Calculations!$A10,'OECD Data IO Table - Total (USD'!AM$10:AM$50)</f>
        <v>0</v>
      </c>
      <c r="AK10">
        <f>SUMIF('OECD Data IO Table - Total (USD'!$A$10:$A$50,Calculations!$A10,'OECD Data IO Table - Total (USD'!AN$10:AN$50)</f>
        <v>0</v>
      </c>
      <c r="AL10">
        <f>SUMIF('OECD Data IO Table - Total (USD'!$A$10:$A$50,Calculations!$A10,'OECD Data IO Table - Total (USD'!AO$10:AO$50)</f>
        <v>0</v>
      </c>
      <c r="AM10">
        <f>SUMIF('OECD Data IO Table - Total (USD'!$A$10:$A$50,Calculations!$A10,'OECD Data IO Table - Total (USD'!AP$10:AP$50)</f>
        <v>0</v>
      </c>
      <c r="AN10">
        <f>SUMIF('OECD Data IO Table - Total (USD'!$A$10:$A$50,Calculations!$A10,'OECD Data IO Table - Total (USD'!AQ$10:AQ$50)</f>
        <v>0</v>
      </c>
      <c r="AO10">
        <f>SUMIF('OECD Data IO Table - Total (USD'!$A$10:$A$50,Calculations!$A10,'OECD Data IO Table - Total (USD'!AR$10:AR$50)</f>
        <v>0</v>
      </c>
      <c r="AP10">
        <f>SUMIF('OECD Data IO Table - Total (USD'!$A$10:$A$50,Calculations!$A10,'OECD Data IO Table - Total (USD'!AS$10:AS$50)</f>
        <v>0</v>
      </c>
      <c r="AQ10">
        <f>SUMIF('OECD Data IO Table - Total (USD'!$A$10:$A$50,Calculations!$A10,'OECD Data IO Table - Total (USD'!AT$10:AT$50)</f>
        <v>0</v>
      </c>
      <c r="AR10">
        <f>SUMIF('OECD Data IO Table - Total (USD'!$A$10:$A$50,Calculations!$A10,'OECD Data IO Table - Total (USD'!AU$10:AU$50)</f>
        <v>0</v>
      </c>
      <c r="AS10">
        <f>SUMIF('OECD Data IO Table - Total (USD'!$A$10:$A$50,Calculations!$A10,'OECD Data IO Table - Total (USD'!AV$10:AV$50)</f>
        <v>0</v>
      </c>
      <c r="AT10">
        <f>SUMIF('OECD Data IO Table - Total (USD'!$A$10:$A$50,Calculations!$A10,'OECD Data IO Table - Total (USD'!AW$10:AW$50)</f>
        <v>0</v>
      </c>
    </row>
    <row r="11" spans="1:46" x14ac:dyDescent="0.2">
      <c r="A11" t="s">
        <v>97</v>
      </c>
      <c r="B11">
        <f>SUMIF('OECD Data IO Table - Total (USD'!$A$10:$A$50,Calculations!$A11,'OECD Data IO Table - Total (USD'!E$10:E$50)</f>
        <v>1.1000000000000001</v>
      </c>
      <c r="C11">
        <f>SUMIF('OECD Data IO Table - Total (USD'!$A$10:$A$50,Calculations!$A11,'OECD Data IO Table - Total (USD'!F$10:F$50)</f>
        <v>0</v>
      </c>
      <c r="D11">
        <f>SUMIF('OECD Data IO Table - Total (USD'!$A$10:$A$50,Calculations!$A11,'OECD Data IO Table - Total (USD'!G$10:G$50)</f>
        <v>0</v>
      </c>
      <c r="E11">
        <f>SUMIF('OECD Data IO Table - Total (USD'!$A$10:$A$50,Calculations!$A11,'OECD Data IO Table - Total (USD'!H$10:H$50)</f>
        <v>1.2333592481749999E-3</v>
      </c>
      <c r="F11">
        <f>SUMIF('OECD Data IO Table - Total (USD'!$A$10:$A$50,Calculations!$A11,'OECD Data IO Table - Total (USD'!I$10:I$50)</f>
        <v>159.30000000000001</v>
      </c>
      <c r="G11">
        <f>SUMIF('OECD Data IO Table - Total (USD'!$A$10:$A$50,Calculations!$A11,'OECD Data IO Table - Total (USD'!J$10:J$50)</f>
        <v>1.8</v>
      </c>
      <c r="H11">
        <f>SUMIF('OECD Data IO Table - Total (USD'!$A$10:$A$50,Calculations!$A11,'OECD Data IO Table - Total (USD'!K$10:K$50)</f>
        <v>0.6</v>
      </c>
      <c r="I11">
        <f>SUMIF('OECD Data IO Table - Total (USD'!$A$10:$A$50,Calculations!$A11,'OECD Data IO Table - Total (USD'!L$10:L$50)</f>
        <v>3.1</v>
      </c>
      <c r="J11">
        <f>SUMIF('OECD Data IO Table - Total (USD'!$A$10:$A$50,Calculations!$A11,'OECD Data IO Table - Total (USD'!M$10:M$50)</f>
        <v>0</v>
      </c>
      <c r="K11">
        <f>SUMIF('OECD Data IO Table - Total (USD'!$A$10:$A$50,Calculations!$A11,'OECD Data IO Table - Total (USD'!N$10:N$50)</f>
        <v>0.5</v>
      </c>
      <c r="L11">
        <f>SUMIF('OECD Data IO Table - Total (USD'!$A$10:$A$50,Calculations!$A11,'OECD Data IO Table - Total (USD'!O$10:O$50)</f>
        <v>0</v>
      </c>
      <c r="M11">
        <f>SUMIF('OECD Data IO Table - Total (USD'!$A$10:$A$50,Calculations!$A11,'OECD Data IO Table - Total (USD'!P$10:P$50)</f>
        <v>0.1</v>
      </c>
      <c r="N11">
        <f>SUMIF('OECD Data IO Table - Total (USD'!$A$10:$A$50,Calculations!$A11,'OECD Data IO Table - Total (USD'!Q$10:Q$50)</f>
        <v>0.4</v>
      </c>
      <c r="O11">
        <f>SUMIF('OECD Data IO Table - Total (USD'!$A$10:$A$50,Calculations!$A11,'OECD Data IO Table - Total (USD'!R$10:R$50)</f>
        <v>0</v>
      </c>
      <c r="P11">
        <f>SUMIF('OECD Data IO Table - Total (USD'!$A$10:$A$50,Calculations!$A11,'OECD Data IO Table - Total (USD'!S$10:S$50)</f>
        <v>0.1</v>
      </c>
      <c r="Q11">
        <f>SUMIF('OECD Data IO Table - Total (USD'!$A$10:$A$50,Calculations!$A11,'OECD Data IO Table - Total (USD'!T$10:T$50)</f>
        <v>0.1</v>
      </c>
      <c r="R11">
        <f>SUMIF('OECD Data IO Table - Total (USD'!$A$10:$A$50,Calculations!$A11,'OECD Data IO Table - Total (USD'!U$10:U$50)</f>
        <v>0.1</v>
      </c>
      <c r="S11">
        <f>SUMIF('OECD Data IO Table - Total (USD'!$A$10:$A$50,Calculations!$A11,'OECD Data IO Table - Total (USD'!V$10:V$50)</f>
        <v>0.1</v>
      </c>
      <c r="T11">
        <f>SUMIF('OECD Data IO Table - Total (USD'!$A$10:$A$50,Calculations!$A11,'OECD Data IO Table - Total (USD'!W$10:W$50)</f>
        <v>1.6348852007582799E-5</v>
      </c>
      <c r="U11">
        <f>SUMIF('OECD Data IO Table - Total (USD'!$A$10:$A$50,Calculations!$A11,'OECD Data IO Table - Total (USD'!X$10:X$50)</f>
        <v>0</v>
      </c>
      <c r="V11">
        <f>SUMIF('OECD Data IO Table - Total (USD'!$A$10:$A$50,Calculations!$A11,'OECD Data IO Table - Total (USD'!Y$10:Y$50)</f>
        <v>67.900000000000006</v>
      </c>
      <c r="W11">
        <f>SUMIF('OECD Data IO Table - Total (USD'!$A$10:$A$50,Calculations!$A11,'OECD Data IO Table - Total (USD'!Z$10:Z$50)</f>
        <v>9.2000000000000011</v>
      </c>
      <c r="X11">
        <f>SUMIF('OECD Data IO Table - Total (USD'!$A$10:$A$50,Calculations!$A11,'OECD Data IO Table - Total (USD'!AA$10:AA$50)</f>
        <v>47.9</v>
      </c>
      <c r="Y11">
        <f>SUMIF('OECD Data IO Table - Total (USD'!$A$10:$A$50,Calculations!$A11,'OECD Data IO Table - Total (USD'!AB$10:AB$50)</f>
        <v>549.29999999999995</v>
      </c>
      <c r="Z11">
        <f>SUMIF('OECD Data IO Table - Total (USD'!$A$10:$A$50,Calculations!$A11,'OECD Data IO Table - Total (USD'!AC$10:AC$50)</f>
        <v>544.5</v>
      </c>
      <c r="AA11">
        <f>SUMIF('OECD Data IO Table - Total (USD'!$A$10:$A$50,Calculations!$A11,'OECD Data IO Table - Total (USD'!AD$10:AD$50)</f>
        <v>4.5999999999999996</v>
      </c>
      <c r="AB11">
        <f>SUMIF('OECD Data IO Table - Total (USD'!$A$10:$A$50,Calculations!$A11,'OECD Data IO Table - Total (USD'!AE$10:AE$50)</f>
        <v>10.100000000000001</v>
      </c>
      <c r="AC11">
        <f>SUMIF('OECD Data IO Table - Total (USD'!$A$10:$A$50,Calculations!$A11,'OECD Data IO Table - Total (USD'!AF$10:AF$50)</f>
        <v>0.2</v>
      </c>
      <c r="AD11">
        <f>SUMIF('OECD Data IO Table - Total (USD'!$A$10:$A$50,Calculations!$A11,'OECD Data IO Table - Total (USD'!AG$10:AG$50)</f>
        <v>10.1</v>
      </c>
      <c r="AE11">
        <f>SUMIF('OECD Data IO Table - Total (USD'!$A$10:$A$50,Calculations!$A11,'OECD Data IO Table - Total (USD'!AH$10:AH$50)</f>
        <v>3.3</v>
      </c>
      <c r="AF11">
        <f>SUMIF('OECD Data IO Table - Total (USD'!$A$10:$A$50,Calculations!$A11,'OECD Data IO Table - Total (USD'!AI$10:AI$50)</f>
        <v>8.1</v>
      </c>
      <c r="AG11">
        <f>SUMIF('OECD Data IO Table - Total (USD'!$A$10:$A$50,Calculations!$A11,'OECD Data IO Table - Total (USD'!AJ$10:AJ$50)</f>
        <v>7.8</v>
      </c>
      <c r="AH11">
        <f>SUMIF('OECD Data IO Table - Total (USD'!$A$10:$A$50,Calculations!$A11,'OECD Data IO Table - Total (USD'!AK$10:AK$50)</f>
        <v>13.100000000000001</v>
      </c>
      <c r="AI11">
        <f>SUMIF('OECD Data IO Table - Total (USD'!$A$10:$A$50,Calculations!$A11,'OECD Data IO Table - Total (USD'!AL$10:AL$50)</f>
        <v>21</v>
      </c>
      <c r="AJ11">
        <f>SUMIF('OECD Data IO Table - Total (USD'!$A$10:$A$50,Calculations!$A11,'OECD Data IO Table - Total (USD'!AM$10:AM$50)</f>
        <v>38.6</v>
      </c>
      <c r="AK11">
        <f>SUMIF('OECD Data IO Table - Total (USD'!$A$10:$A$50,Calculations!$A11,'OECD Data IO Table - Total (USD'!AN$10:AN$50)</f>
        <v>0</v>
      </c>
      <c r="AL11">
        <f>SUMIF('OECD Data IO Table - Total (USD'!$A$10:$A$50,Calculations!$A11,'OECD Data IO Table - Total (USD'!AO$10:AO$50)</f>
        <v>5078.8</v>
      </c>
      <c r="AM11">
        <f>SUMIF('OECD Data IO Table - Total (USD'!$A$10:$A$50,Calculations!$A11,'OECD Data IO Table - Total (USD'!AP$10:AP$50)</f>
        <v>0.1</v>
      </c>
      <c r="AN11">
        <f>SUMIF('OECD Data IO Table - Total (USD'!$A$10:$A$50,Calculations!$A11,'OECD Data IO Table - Total (USD'!AQ$10:AQ$50)</f>
        <v>0</v>
      </c>
      <c r="AO11">
        <f>SUMIF('OECD Data IO Table - Total (USD'!$A$10:$A$50,Calculations!$A11,'OECD Data IO Table - Total (USD'!AR$10:AR$50)</f>
        <v>3.5</v>
      </c>
      <c r="AP11">
        <f>SUMIF('OECD Data IO Table - Total (USD'!$A$10:$A$50,Calculations!$A11,'OECD Data IO Table - Total (USD'!AS$10:AS$50)</f>
        <v>10.600000000000001</v>
      </c>
      <c r="AQ11">
        <f>SUMIF('OECD Data IO Table - Total (USD'!$A$10:$A$50,Calculations!$A11,'OECD Data IO Table - Total (USD'!AT$10:AT$50)</f>
        <v>36.200000000000003</v>
      </c>
      <c r="AR11">
        <f>SUMIF('OECD Data IO Table - Total (USD'!$A$10:$A$50,Calculations!$A11,'OECD Data IO Table - Total (USD'!AU$10:AU$50)</f>
        <v>3.6</v>
      </c>
      <c r="AS11">
        <f>SUMIF('OECD Data IO Table - Total (USD'!$A$10:$A$50,Calculations!$A11,'OECD Data IO Table - Total (USD'!AV$10:AV$50)</f>
        <v>12</v>
      </c>
      <c r="AT11">
        <f>SUMIF('OECD Data IO Table - Total (USD'!$A$10:$A$50,Calculations!$A11,'OECD Data IO Table - Total (USD'!AW$10:AW$50)</f>
        <v>-6134</v>
      </c>
    </row>
    <row r="12" spans="1:46" x14ac:dyDescent="0.2">
      <c r="A12" t="s">
        <v>100</v>
      </c>
      <c r="B12">
        <f>SUMIF('OECD Data IO Table - Total (USD'!$A$10:$A$50,Calculations!$A12,'OECD Data IO Table - Total (USD'!E$10:E$50)</f>
        <v>129.69999999999999</v>
      </c>
      <c r="C12">
        <f>SUMIF('OECD Data IO Table - Total (USD'!$A$10:$A$50,Calculations!$A12,'OECD Data IO Table - Total (USD'!F$10:F$50)</f>
        <v>0</v>
      </c>
      <c r="D12">
        <f>SUMIF('OECD Data IO Table - Total (USD'!$A$10:$A$50,Calculations!$A12,'OECD Data IO Table - Total (USD'!G$10:G$50)</f>
        <v>0</v>
      </c>
      <c r="E12">
        <f>SUMIF('OECD Data IO Table - Total (USD'!$A$10:$A$50,Calculations!$A12,'OECD Data IO Table - Total (USD'!H$10:H$50)</f>
        <v>6384.4000000000005</v>
      </c>
      <c r="F12">
        <f>SUMIF('OECD Data IO Table - Total (USD'!$A$10:$A$50,Calculations!$A12,'OECD Data IO Table - Total (USD'!I$10:I$50)</f>
        <v>1764.6000000000004</v>
      </c>
      <c r="G12">
        <f>SUMIF('OECD Data IO Table - Total (USD'!$A$10:$A$50,Calculations!$A12,'OECD Data IO Table - Total (USD'!J$10:J$50)</f>
        <v>1095.8000000000002</v>
      </c>
      <c r="H12">
        <f>SUMIF('OECD Data IO Table - Total (USD'!$A$10:$A$50,Calculations!$A12,'OECD Data IO Table - Total (USD'!K$10:K$50)</f>
        <v>117.2</v>
      </c>
      <c r="I12">
        <f>SUMIF('OECD Data IO Table - Total (USD'!$A$10:$A$50,Calculations!$A12,'OECD Data IO Table - Total (USD'!L$10:L$50)</f>
        <v>1525.2</v>
      </c>
      <c r="J12">
        <f>SUMIF('OECD Data IO Table - Total (USD'!$A$10:$A$50,Calculations!$A12,'OECD Data IO Table - Total (USD'!M$10:M$50)</f>
        <v>41.100000000000009</v>
      </c>
      <c r="K12">
        <f>SUMIF('OECD Data IO Table - Total (USD'!$A$10:$A$50,Calculations!$A12,'OECD Data IO Table - Total (USD'!N$10:N$50)</f>
        <v>106.8</v>
      </c>
      <c r="L12">
        <f>SUMIF('OECD Data IO Table - Total (USD'!$A$10:$A$50,Calculations!$A12,'OECD Data IO Table - Total (USD'!O$10:O$50)</f>
        <v>0</v>
      </c>
      <c r="M12">
        <f>SUMIF('OECD Data IO Table - Total (USD'!$A$10:$A$50,Calculations!$A12,'OECD Data IO Table - Total (USD'!P$10:P$50)</f>
        <v>88.899999999999977</v>
      </c>
      <c r="N12">
        <f>SUMIF('OECD Data IO Table - Total (USD'!$A$10:$A$50,Calculations!$A12,'OECD Data IO Table - Total (USD'!Q$10:Q$50)</f>
        <v>871.50000000000011</v>
      </c>
      <c r="O12">
        <f>SUMIF('OECD Data IO Table - Total (USD'!$A$10:$A$50,Calculations!$A12,'OECD Data IO Table - Total (USD'!R$10:R$50)</f>
        <v>151.19999999999999</v>
      </c>
      <c r="P12">
        <f>SUMIF('OECD Data IO Table - Total (USD'!$A$10:$A$50,Calculations!$A12,'OECD Data IO Table - Total (USD'!S$10:S$50)</f>
        <v>612.00000000000023</v>
      </c>
      <c r="Q12">
        <f>SUMIF('OECD Data IO Table - Total (USD'!$A$10:$A$50,Calculations!$A12,'OECD Data IO Table - Total (USD'!T$10:T$50)</f>
        <v>1025.7</v>
      </c>
      <c r="R12">
        <f>SUMIF('OECD Data IO Table - Total (USD'!$A$10:$A$50,Calculations!$A12,'OECD Data IO Table - Total (USD'!U$10:U$50)</f>
        <v>536.9</v>
      </c>
      <c r="S12">
        <f>SUMIF('OECD Data IO Table - Total (USD'!$A$10:$A$50,Calculations!$A12,'OECD Data IO Table - Total (USD'!V$10:V$50)</f>
        <v>705.2</v>
      </c>
      <c r="T12">
        <f>SUMIF('OECD Data IO Table - Total (USD'!$A$10:$A$50,Calculations!$A12,'OECD Data IO Table - Total (USD'!W$10:W$50)</f>
        <v>234.4</v>
      </c>
      <c r="U12">
        <f>SUMIF('OECD Data IO Table - Total (USD'!$A$10:$A$50,Calculations!$A12,'OECD Data IO Table - Total (USD'!X$10:X$50)</f>
        <v>90.999999999999986</v>
      </c>
      <c r="V12">
        <f>SUMIF('OECD Data IO Table - Total (USD'!$A$10:$A$50,Calculations!$A12,'OECD Data IO Table - Total (USD'!Y$10:Y$50)</f>
        <v>1055.2</v>
      </c>
      <c r="W12">
        <f>SUMIF('OECD Data IO Table - Total (USD'!$A$10:$A$50,Calculations!$A12,'OECD Data IO Table - Total (USD'!Z$10:Z$50)</f>
        <v>1492.9</v>
      </c>
      <c r="X12">
        <f>SUMIF('OECD Data IO Table - Total (USD'!$A$10:$A$50,Calculations!$A12,'OECD Data IO Table - Total (USD'!AA$10:AA$50)</f>
        <v>27369.700000000004</v>
      </c>
      <c r="Y12">
        <f>SUMIF('OECD Data IO Table - Total (USD'!$A$10:$A$50,Calculations!$A12,'OECD Data IO Table - Total (USD'!AB$10:AB$50)</f>
        <v>7950.7</v>
      </c>
      <c r="Z12">
        <f>SUMIF('OECD Data IO Table - Total (USD'!$A$10:$A$50,Calculations!$A12,'OECD Data IO Table - Total (USD'!AC$10:AC$50)</f>
        <v>1448.6999999999998</v>
      </c>
      <c r="AA12">
        <f>SUMIF('OECD Data IO Table - Total (USD'!$A$10:$A$50,Calculations!$A12,'OECD Data IO Table - Total (USD'!AD$10:AD$50)</f>
        <v>2699.1999999999994</v>
      </c>
      <c r="AB12">
        <f>SUMIF('OECD Data IO Table - Total (USD'!$A$10:$A$50,Calculations!$A12,'OECD Data IO Table - Total (USD'!AE$10:AE$50)</f>
        <v>2146.3000000000002</v>
      </c>
      <c r="AC12">
        <f>SUMIF('OECD Data IO Table - Total (USD'!$A$10:$A$50,Calculations!$A12,'OECD Data IO Table - Total (USD'!AF$10:AF$50)</f>
        <v>48.79999999999999</v>
      </c>
      <c r="AD12">
        <f>SUMIF('OECD Data IO Table - Total (USD'!$A$10:$A$50,Calculations!$A12,'OECD Data IO Table - Total (USD'!AG$10:AG$50)</f>
        <v>2480.2999999999997</v>
      </c>
      <c r="AE12">
        <f>SUMIF('OECD Data IO Table - Total (USD'!$A$10:$A$50,Calculations!$A12,'OECD Data IO Table - Total (USD'!AH$10:AH$50)</f>
        <v>869.5</v>
      </c>
      <c r="AF12">
        <f>SUMIF('OECD Data IO Table - Total (USD'!$A$10:$A$50,Calculations!$A12,'OECD Data IO Table - Total (USD'!AI$10:AI$50)</f>
        <v>849.8</v>
      </c>
      <c r="AG12">
        <f>SUMIF('OECD Data IO Table - Total (USD'!$A$10:$A$50,Calculations!$A12,'OECD Data IO Table - Total (USD'!AJ$10:AJ$50)</f>
        <v>476.3</v>
      </c>
      <c r="AH12">
        <f>SUMIF('OECD Data IO Table - Total (USD'!$A$10:$A$50,Calculations!$A12,'OECD Data IO Table - Total (USD'!AK$10:AK$50)</f>
        <v>497.1</v>
      </c>
      <c r="AI12">
        <f>SUMIF('OECD Data IO Table - Total (USD'!$A$10:$A$50,Calculations!$A12,'OECD Data IO Table - Total (USD'!AL$10:AL$50)</f>
        <v>896.7</v>
      </c>
      <c r="AJ12">
        <f>SUMIF('OECD Data IO Table - Total (USD'!$A$10:$A$50,Calculations!$A12,'OECD Data IO Table - Total (USD'!AM$10:AM$50)</f>
        <v>1476</v>
      </c>
      <c r="AK12">
        <f>SUMIF('OECD Data IO Table - Total (USD'!$A$10:$A$50,Calculations!$A12,'OECD Data IO Table - Total (USD'!AN$10:AN$50)</f>
        <v>0</v>
      </c>
      <c r="AL12">
        <f>SUMIF('OECD Data IO Table - Total (USD'!$A$10:$A$50,Calculations!$A12,'OECD Data IO Table - Total (USD'!AO$10:AO$50)</f>
        <v>42081.599999999991</v>
      </c>
      <c r="AM12">
        <f>SUMIF('OECD Data IO Table - Total (USD'!$A$10:$A$50,Calculations!$A12,'OECD Data IO Table - Total (USD'!AP$10:AP$50)</f>
        <v>0.6</v>
      </c>
      <c r="AN12">
        <f>SUMIF('OECD Data IO Table - Total (USD'!$A$10:$A$50,Calculations!$A12,'OECD Data IO Table - Total (USD'!AQ$10:AQ$50)</f>
        <v>0.8</v>
      </c>
      <c r="AO12">
        <f>SUMIF('OECD Data IO Table - Total (USD'!$A$10:$A$50,Calculations!$A12,'OECD Data IO Table - Total (USD'!AR$10:AR$50)</f>
        <v>24059.1</v>
      </c>
      <c r="AP12">
        <f>SUMIF('OECD Data IO Table - Total (USD'!$A$10:$A$50,Calculations!$A12,'OECD Data IO Table - Total (USD'!AS$10:AS$50)</f>
        <v>47981.8</v>
      </c>
      <c r="AQ12">
        <f>SUMIF('OECD Data IO Table - Total (USD'!$A$10:$A$50,Calculations!$A12,'OECD Data IO Table - Total (USD'!AT$10:AT$50)</f>
        <v>403.90000000000003</v>
      </c>
      <c r="AR12">
        <f>SUMIF('OECD Data IO Table - Total (USD'!$A$10:$A$50,Calculations!$A12,'OECD Data IO Table - Total (USD'!AU$10:AU$50)</f>
        <v>320.7</v>
      </c>
      <c r="AS12">
        <f>SUMIF('OECD Data IO Table - Total (USD'!$A$10:$A$50,Calculations!$A12,'OECD Data IO Table - Total (USD'!AV$10:AV$50)</f>
        <v>4355.5</v>
      </c>
      <c r="AT12">
        <f>SUMIF('OECD Data IO Table - Total (USD'!$A$10:$A$50,Calculations!$A12,'OECD Data IO Table - Total (USD'!AW$10:AW$50)</f>
        <v>-149508</v>
      </c>
    </row>
    <row r="15" spans="1:46" s="21" customFormat="1" x14ac:dyDescent="0.2">
      <c r="A15" s="21" t="s">
        <v>299</v>
      </c>
    </row>
    <row r="16" spans="1:46" x14ac:dyDescent="0.2">
      <c r="B16" s="3" t="s">
        <v>76</v>
      </c>
      <c r="C16" s="3" t="s">
        <v>79</v>
      </c>
      <c r="D16" s="3" t="s">
        <v>85</v>
      </c>
      <c r="E16" s="3" t="s">
        <v>88</v>
      </c>
      <c r="F16" s="3" t="s">
        <v>91</v>
      </c>
      <c r="G16" s="3" t="s">
        <v>94</v>
      </c>
      <c r="H16" s="3" t="s">
        <v>83</v>
      </c>
      <c r="I16" s="3" t="s">
        <v>99</v>
      </c>
      <c r="J16" s="3" t="s">
        <v>102</v>
      </c>
      <c r="K16" s="3" t="s">
        <v>300</v>
      </c>
      <c r="L16" s="3" t="s">
        <v>91</v>
      </c>
      <c r="M16" s="3" t="s">
        <v>94</v>
      </c>
      <c r="N16" s="3" t="s">
        <v>83</v>
      </c>
      <c r="O16" s="3" t="s">
        <v>99</v>
      </c>
      <c r="P16" s="3" t="s">
        <v>102</v>
      </c>
    </row>
    <row r="17" spans="1:16" x14ac:dyDescent="0.2">
      <c r="A17" t="s">
        <v>77</v>
      </c>
      <c r="B17">
        <f>SUMIF($B$4:$AT$4,B$16,$B5:$AT5)</f>
        <v>115.8</v>
      </c>
      <c r="C17">
        <f t="shared" ref="C17:J17" si="0">SUMIF($B$4:$AT$4,C$16,$B5:$AT5)</f>
        <v>1796.3</v>
      </c>
      <c r="D17">
        <f t="shared" si="0"/>
        <v>672.5</v>
      </c>
      <c r="E17">
        <f t="shared" si="0"/>
        <v>108.8</v>
      </c>
      <c r="F17">
        <f t="shared" si="0"/>
        <v>0</v>
      </c>
      <c r="G17">
        <f t="shared" si="0"/>
        <v>0</v>
      </c>
      <c r="H17">
        <f t="shared" si="0"/>
        <v>14</v>
      </c>
      <c r="I17">
        <f t="shared" si="0"/>
        <v>0</v>
      </c>
      <c r="J17">
        <f t="shared" si="0"/>
        <v>0</v>
      </c>
      <c r="K17">
        <f>SUMIF($B$4:$AT$4,"energy suppliers",$B5:$AT5)</f>
        <v>37.299999999999997</v>
      </c>
      <c r="L17">
        <f>0.5*K17</f>
        <v>18.649999999999999</v>
      </c>
      <c r="M17">
        <v>0</v>
      </c>
      <c r="N17">
        <f>0.5*L17</f>
        <v>9.3249999999999993</v>
      </c>
      <c r="O17">
        <v>0</v>
      </c>
      <c r="P17">
        <v>0</v>
      </c>
    </row>
    <row r="18" spans="1:16" x14ac:dyDescent="0.2">
      <c r="A18" t="s">
        <v>81</v>
      </c>
      <c r="B18">
        <f t="shared" ref="B18:J18" si="1">SUMIF($B$4:$AT$4,B$16,$B6:$AT6)</f>
        <v>253.3</v>
      </c>
      <c r="C18">
        <f t="shared" si="1"/>
        <v>9647.2000000000007</v>
      </c>
      <c r="D18">
        <f t="shared" si="1"/>
        <v>3345.6</v>
      </c>
      <c r="E18">
        <f t="shared" si="1"/>
        <v>102.1</v>
      </c>
      <c r="F18">
        <f t="shared" si="1"/>
        <v>0</v>
      </c>
      <c r="G18">
        <f t="shared" si="1"/>
        <v>0</v>
      </c>
      <c r="H18">
        <f t="shared" si="1"/>
        <v>74.900000000000006</v>
      </c>
      <c r="I18">
        <f t="shared" si="1"/>
        <v>0</v>
      </c>
      <c r="J18">
        <f t="shared" si="1"/>
        <v>0</v>
      </c>
      <c r="K18">
        <f t="shared" ref="K18:K24" si="2">SUMIF($B$4:$AT$4,"energy suppliers",$B6:$AT6)</f>
        <v>140.5</v>
      </c>
      <c r="L18">
        <f>K18</f>
        <v>140.5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86</v>
      </c>
      <c r="B19">
        <f t="shared" ref="B19:J19" si="3">SUMIF($B$4:$AT$4,B$16,$B7:$AT7)</f>
        <v>13.799999999999999</v>
      </c>
      <c r="C19">
        <f t="shared" si="3"/>
        <v>13045.400000000001</v>
      </c>
      <c r="D19">
        <f t="shared" si="3"/>
        <v>158.6</v>
      </c>
      <c r="E19">
        <f t="shared" si="3"/>
        <v>8466.2999999999993</v>
      </c>
      <c r="F19">
        <f t="shared" si="3"/>
        <v>0</v>
      </c>
      <c r="G19">
        <f t="shared" si="3"/>
        <v>0</v>
      </c>
      <c r="H19">
        <f t="shared" si="3"/>
        <v>5</v>
      </c>
      <c r="I19">
        <f t="shared" si="3"/>
        <v>0</v>
      </c>
      <c r="J19">
        <f t="shared" si="3"/>
        <v>0</v>
      </c>
      <c r="K19">
        <f t="shared" si="2"/>
        <v>94.1</v>
      </c>
      <c r="L19">
        <f>K19</f>
        <v>94.1</v>
      </c>
      <c r="M19">
        <v>0</v>
      </c>
      <c r="N19">
        <v>0</v>
      </c>
      <c r="O19">
        <v>0</v>
      </c>
      <c r="P19">
        <v>0</v>
      </c>
    </row>
    <row r="20" spans="1:16" x14ac:dyDescent="0.2">
      <c r="A20" t="s">
        <v>89</v>
      </c>
      <c r="B20">
        <f t="shared" ref="B20:J20" si="4">SUMIF($B$4:$AT$4,B$16,$B8:$AT8)</f>
        <v>93</v>
      </c>
      <c r="C20">
        <f t="shared" si="4"/>
        <v>3956</v>
      </c>
      <c r="D20">
        <f t="shared" si="4"/>
        <v>4398.5</v>
      </c>
      <c r="E20">
        <f t="shared" si="4"/>
        <v>546.1</v>
      </c>
      <c r="F20">
        <f t="shared" si="4"/>
        <v>0</v>
      </c>
      <c r="G20">
        <f t="shared" si="4"/>
        <v>0</v>
      </c>
      <c r="H20">
        <f t="shared" si="4"/>
        <v>28.099999999999998</v>
      </c>
      <c r="I20">
        <f t="shared" si="4"/>
        <v>0</v>
      </c>
      <c r="J20">
        <f t="shared" si="4"/>
        <v>0</v>
      </c>
      <c r="K20">
        <f t="shared" si="2"/>
        <v>176.20000000000002</v>
      </c>
      <c r="L20">
        <f>K20</f>
        <v>176.20000000000002</v>
      </c>
      <c r="M20">
        <v>0</v>
      </c>
      <c r="N20">
        <v>0</v>
      </c>
      <c r="O20">
        <v>0</v>
      </c>
      <c r="P20">
        <v>0</v>
      </c>
    </row>
    <row r="21" spans="1:16" x14ac:dyDescent="0.2">
      <c r="A21" t="s">
        <v>92</v>
      </c>
      <c r="B21">
        <f t="shared" ref="B21:J21" si="5">SUMIF($B$4:$AT$4,B$16,$B9:$AT9)</f>
        <v>0</v>
      </c>
      <c r="C21">
        <f t="shared" si="5"/>
        <v>0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0</v>
      </c>
      <c r="J21">
        <f t="shared" si="5"/>
        <v>0</v>
      </c>
      <c r="K21">
        <f t="shared" si="2"/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">
      <c r="A22" t="s">
        <v>95</v>
      </c>
      <c r="B22">
        <f t="shared" ref="B22:J22" si="6">SUMIF($B$4:$AT$4,B$16,$B10:$AT10)</f>
        <v>0</v>
      </c>
      <c r="C22">
        <f t="shared" si="6"/>
        <v>0</v>
      </c>
      <c r="D22">
        <f t="shared" si="6"/>
        <v>0</v>
      </c>
      <c r="E22">
        <f t="shared" si="6"/>
        <v>0</v>
      </c>
      <c r="F22">
        <f t="shared" si="6"/>
        <v>0</v>
      </c>
      <c r="G22">
        <f t="shared" si="6"/>
        <v>0</v>
      </c>
      <c r="H22">
        <f t="shared" si="6"/>
        <v>0</v>
      </c>
      <c r="I22">
        <f t="shared" si="6"/>
        <v>0</v>
      </c>
      <c r="J22">
        <f t="shared" si="6"/>
        <v>0</v>
      </c>
      <c r="K22">
        <f t="shared" si="2"/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">
      <c r="A23" t="s">
        <v>97</v>
      </c>
      <c r="B23">
        <f t="shared" ref="B23:J23" si="7">SUMIF($B$4:$AT$4,B$16,$B11:$AT11)</f>
        <v>7.8</v>
      </c>
      <c r="C23">
        <f t="shared" si="7"/>
        <v>1427.4012497080994</v>
      </c>
      <c r="D23">
        <f t="shared" si="7"/>
        <v>5078.8</v>
      </c>
      <c r="E23">
        <f t="shared" si="7"/>
        <v>15.6</v>
      </c>
      <c r="F23">
        <f t="shared" si="7"/>
        <v>0</v>
      </c>
      <c r="G23">
        <f t="shared" si="7"/>
        <v>0</v>
      </c>
      <c r="H23">
        <f t="shared" si="7"/>
        <v>0</v>
      </c>
      <c r="I23">
        <f t="shared" si="7"/>
        <v>0</v>
      </c>
      <c r="J23">
        <f t="shared" si="7"/>
        <v>0</v>
      </c>
      <c r="K23">
        <f t="shared" si="2"/>
        <v>67.900000000000006</v>
      </c>
      <c r="L23">
        <f>0.5*K23</f>
        <v>33.950000000000003</v>
      </c>
      <c r="M23">
        <v>0</v>
      </c>
      <c r="N23">
        <f>0.5*K23</f>
        <v>33.950000000000003</v>
      </c>
      <c r="O23">
        <v>0</v>
      </c>
      <c r="P23">
        <v>0</v>
      </c>
    </row>
    <row r="24" spans="1:16" x14ac:dyDescent="0.2">
      <c r="A24" t="s">
        <v>100</v>
      </c>
      <c r="B24">
        <f t="shared" ref="B24:J24" si="8">SUMIF($B$4:$AT$4,B$16,$B12:$AT12)</f>
        <v>477.1</v>
      </c>
      <c r="C24">
        <f t="shared" si="8"/>
        <v>65666.800000000017</v>
      </c>
      <c r="D24">
        <f t="shared" si="8"/>
        <v>42081.599999999991</v>
      </c>
      <c r="E24">
        <f t="shared" si="8"/>
        <v>4676.2</v>
      </c>
      <c r="F24">
        <f t="shared" si="8"/>
        <v>0</v>
      </c>
      <c r="G24">
        <f t="shared" si="8"/>
        <v>0</v>
      </c>
      <c r="H24">
        <f t="shared" si="8"/>
        <v>41.100000000000009</v>
      </c>
      <c r="I24">
        <f t="shared" si="8"/>
        <v>0</v>
      </c>
      <c r="J24">
        <f t="shared" si="8"/>
        <v>0</v>
      </c>
      <c r="K24">
        <f t="shared" si="2"/>
        <v>1055.2</v>
      </c>
      <c r="L24">
        <f>0.5*K24</f>
        <v>527.6</v>
      </c>
      <c r="M24">
        <v>0</v>
      </c>
      <c r="N24">
        <f>0.5*K24</f>
        <v>527.6</v>
      </c>
      <c r="O24">
        <v>0</v>
      </c>
      <c r="P24">
        <v>0</v>
      </c>
    </row>
    <row r="26" spans="1:16" s="21" customFormat="1" x14ac:dyDescent="0.2">
      <c r="A26" s="21" t="s">
        <v>301</v>
      </c>
    </row>
    <row r="27" spans="1:16" x14ac:dyDescent="0.2">
      <c r="B27" s="3" t="s">
        <v>76</v>
      </c>
      <c r="C27" s="3" t="s">
        <v>79</v>
      </c>
      <c r="D27" s="3" t="s">
        <v>85</v>
      </c>
      <c r="E27" s="3" t="s">
        <v>88</v>
      </c>
      <c r="F27" s="3" t="s">
        <v>91</v>
      </c>
      <c r="G27" s="3" t="s">
        <v>94</v>
      </c>
      <c r="H27" s="3" t="s">
        <v>83</v>
      </c>
      <c r="I27" s="3" t="s">
        <v>99</v>
      </c>
      <c r="J27" s="3" t="s">
        <v>102</v>
      </c>
    </row>
    <row r="28" spans="1:16" x14ac:dyDescent="0.2">
      <c r="A28" t="s">
        <v>77</v>
      </c>
      <c r="B28">
        <f>IFERROR(SUMIF($B$16:$P$16,B$27,$B17:$P17)/(SUM($B17:$P17)-$K17),0)</f>
        <v>4.2334232052278022E-2</v>
      </c>
      <c r="C28">
        <f t="shared" ref="C28:J28" si="9">IFERROR(SUMIF($B$16:$P$16,C$27,$B17:$P17)/(SUM($B17:$P17)-$K17),0)</f>
        <v>0.65669240963304842</v>
      </c>
      <c r="D28">
        <f t="shared" si="9"/>
        <v>0.24585294520860942</v>
      </c>
      <c r="E28">
        <f t="shared" si="9"/>
        <v>3.9775167938582462E-2</v>
      </c>
      <c r="F28">
        <f t="shared" si="9"/>
        <v>6.81807796006032E-3</v>
      </c>
      <c r="G28">
        <f t="shared" si="9"/>
        <v>0</v>
      </c>
      <c r="H28">
        <f t="shared" si="9"/>
        <v>8.5271672074212854E-3</v>
      </c>
      <c r="I28">
        <f t="shared" si="9"/>
        <v>0</v>
      </c>
      <c r="J28">
        <f t="shared" si="9"/>
        <v>0</v>
      </c>
    </row>
    <row r="29" spans="1:16" x14ac:dyDescent="0.2">
      <c r="A29" t="s">
        <v>81</v>
      </c>
      <c r="B29">
        <f t="shared" ref="B29:J35" si="10">IFERROR(SUMIF($B$16:$P$16,B$27,$B18:$P18)/(SUM($B18:$P18)-$K18),0)</f>
        <v>1.867498304284998E-2</v>
      </c>
      <c r="C29">
        <f t="shared" si="10"/>
        <v>0.7112565985431597</v>
      </c>
      <c r="D29">
        <f t="shared" si="10"/>
        <v>0.24666017871361584</v>
      </c>
      <c r="E29">
        <f t="shared" si="10"/>
        <v>7.5275000737267386E-3</v>
      </c>
      <c r="F29">
        <f t="shared" si="10"/>
        <v>1.0358606859535817E-2</v>
      </c>
      <c r="G29">
        <f t="shared" si="10"/>
        <v>0</v>
      </c>
      <c r="H29">
        <f t="shared" si="10"/>
        <v>5.5221327671119763E-3</v>
      </c>
      <c r="I29">
        <f t="shared" si="10"/>
        <v>0</v>
      </c>
      <c r="J29">
        <f t="shared" si="10"/>
        <v>0</v>
      </c>
    </row>
    <row r="30" spans="1:16" x14ac:dyDescent="0.2">
      <c r="A30" t="s">
        <v>86</v>
      </c>
      <c r="B30">
        <f t="shared" si="10"/>
        <v>6.3351573689816008E-4</v>
      </c>
      <c r="C30">
        <f t="shared" si="10"/>
        <v>0.59887436189356946</v>
      </c>
      <c r="D30">
        <f t="shared" si="10"/>
        <v>7.2808402805832027E-3</v>
      </c>
      <c r="E30">
        <f t="shared" si="10"/>
        <v>0.38866190458702121</v>
      </c>
      <c r="F30">
        <f t="shared" si="10"/>
        <v>4.31984281464615E-3</v>
      </c>
      <c r="G30">
        <f t="shared" si="10"/>
        <v>0</v>
      </c>
      <c r="H30">
        <f t="shared" si="10"/>
        <v>2.2953468728194207E-4</v>
      </c>
      <c r="I30">
        <f t="shared" si="10"/>
        <v>0</v>
      </c>
      <c r="J30">
        <f t="shared" si="10"/>
        <v>0</v>
      </c>
    </row>
    <row r="31" spans="1:16" x14ac:dyDescent="0.2">
      <c r="A31" t="s">
        <v>89</v>
      </c>
      <c r="B31">
        <f t="shared" si="10"/>
        <v>1.0111003598647516E-2</v>
      </c>
      <c r="C31">
        <f t="shared" si="10"/>
        <v>0.43009817458332872</v>
      </c>
      <c r="D31">
        <f t="shared" si="10"/>
        <v>0.47820698202850642</v>
      </c>
      <c r="E31">
        <f t="shared" si="10"/>
        <v>5.9372248013133427E-2</v>
      </c>
      <c r="F31">
        <f t="shared" si="10"/>
        <v>1.915654660302895E-2</v>
      </c>
      <c r="G31">
        <f t="shared" si="10"/>
        <v>0</v>
      </c>
      <c r="H31">
        <f t="shared" si="10"/>
        <v>3.0550451733547868E-3</v>
      </c>
      <c r="I31">
        <f t="shared" si="10"/>
        <v>0</v>
      </c>
      <c r="J31">
        <f t="shared" si="10"/>
        <v>0</v>
      </c>
    </row>
    <row r="32" spans="1:16" x14ac:dyDescent="0.2">
      <c r="A32" t="s">
        <v>92</v>
      </c>
      <c r="B32">
        <f t="shared" si="10"/>
        <v>0</v>
      </c>
      <c r="C32">
        <f t="shared" si="10"/>
        <v>0</v>
      </c>
      <c r="D32">
        <f t="shared" si="10"/>
        <v>0</v>
      </c>
      <c r="E32">
        <f t="shared" si="10"/>
        <v>0</v>
      </c>
      <c r="F32">
        <f t="shared" si="10"/>
        <v>0</v>
      </c>
      <c r="G32">
        <f t="shared" si="10"/>
        <v>0</v>
      </c>
      <c r="H32">
        <f t="shared" si="10"/>
        <v>0</v>
      </c>
      <c r="I32">
        <f t="shared" si="10"/>
        <v>0</v>
      </c>
      <c r="J32">
        <f t="shared" si="10"/>
        <v>0</v>
      </c>
    </row>
    <row r="33" spans="1:11" x14ac:dyDescent="0.2">
      <c r="A33" t="s">
        <v>95</v>
      </c>
      <c r="B33">
        <f t="shared" si="10"/>
        <v>0</v>
      </c>
      <c r="C33">
        <f t="shared" si="10"/>
        <v>0</v>
      </c>
      <c r="D33">
        <f t="shared" si="10"/>
        <v>0</v>
      </c>
      <c r="E33">
        <f t="shared" si="10"/>
        <v>0</v>
      </c>
      <c r="F33">
        <f t="shared" si="10"/>
        <v>0</v>
      </c>
      <c r="G33">
        <f t="shared" si="10"/>
        <v>0</v>
      </c>
      <c r="H33">
        <f t="shared" si="10"/>
        <v>0</v>
      </c>
      <c r="I33">
        <f t="shared" si="10"/>
        <v>0</v>
      </c>
      <c r="J33">
        <f t="shared" si="10"/>
        <v>0</v>
      </c>
    </row>
    <row r="34" spans="1:11" x14ac:dyDescent="0.2">
      <c r="A34" t="s">
        <v>97</v>
      </c>
      <c r="B34">
        <f t="shared" si="10"/>
        <v>1.1822657859057023E-3</v>
      </c>
      <c r="C34">
        <f t="shared" si="10"/>
        <v>0.21635482824217023</v>
      </c>
      <c r="D34">
        <f t="shared" si="10"/>
        <v>0.76980659916126681</v>
      </c>
      <c r="E34">
        <f t="shared" si="10"/>
        <v>2.3645315718114047E-3</v>
      </c>
      <c r="F34">
        <f t="shared" si="10"/>
        <v>5.1458876194228976E-3</v>
      </c>
      <c r="G34">
        <f t="shared" si="10"/>
        <v>0</v>
      </c>
      <c r="H34">
        <f t="shared" si="10"/>
        <v>5.1458876194228976E-3</v>
      </c>
      <c r="I34">
        <f t="shared" si="10"/>
        <v>0</v>
      </c>
      <c r="J34">
        <f t="shared" si="10"/>
        <v>0</v>
      </c>
    </row>
    <row r="35" spans="1:11" x14ac:dyDescent="0.2">
      <c r="A35" t="s">
        <v>100</v>
      </c>
      <c r="B35">
        <f t="shared" si="10"/>
        <v>4.1851611431779493E-3</v>
      </c>
      <c r="C35">
        <f t="shared" si="10"/>
        <v>0.57603466727486452</v>
      </c>
      <c r="D35">
        <f t="shared" si="10"/>
        <v>0.36914331830382974</v>
      </c>
      <c r="E35">
        <f t="shared" si="10"/>
        <v>4.1020017895050775E-2</v>
      </c>
      <c r="F35">
        <f t="shared" si="10"/>
        <v>4.6281513710766846E-3</v>
      </c>
      <c r="G35">
        <f t="shared" si="10"/>
        <v>0</v>
      </c>
      <c r="H35">
        <f t="shared" si="10"/>
        <v>4.98868401200021E-3</v>
      </c>
      <c r="I35">
        <f t="shared" si="10"/>
        <v>0</v>
      </c>
      <c r="J35">
        <f t="shared" si="10"/>
        <v>0</v>
      </c>
    </row>
    <row r="37" spans="1:11" s="5" customFormat="1" x14ac:dyDescent="0.2">
      <c r="A37" s="2" t="s">
        <v>302</v>
      </c>
    </row>
    <row r="38" spans="1:11" s="21" customFormat="1" x14ac:dyDescent="0.2">
      <c r="A38" s="21" t="s">
        <v>298</v>
      </c>
    </row>
    <row r="39" spans="1:11" x14ac:dyDescent="0.2">
      <c r="C39" t="s">
        <v>77</v>
      </c>
      <c r="D39" t="s">
        <v>81</v>
      </c>
      <c r="E39" t="s">
        <v>86</v>
      </c>
      <c r="F39" t="s">
        <v>89</v>
      </c>
      <c r="G39" t="s">
        <v>92</v>
      </c>
      <c r="H39" t="s">
        <v>95</v>
      </c>
      <c r="I39" t="s">
        <v>97</v>
      </c>
      <c r="J39" t="s">
        <v>100</v>
      </c>
      <c r="K39" s="10"/>
    </row>
    <row r="40" spans="1:11" x14ac:dyDescent="0.2">
      <c r="A40" t="str">
        <f>'OECD Data IO Table - Total (USD'!D10</f>
        <v>TTL_01T03: Agriculture, forestry and fishing</v>
      </c>
      <c r="B40" t="str">
        <f>'OECD Data IO Table - Total (USD'!B10</f>
        <v>nonenergy industries</v>
      </c>
      <c r="C40">
        <f>SUMIF('OECD Data IO Table - Total (USD'!$E$3:$AW$3,Calculations!C$39,'OECD Data IO Table - Total (USD'!$E10:$AW10)</f>
        <v>0.1</v>
      </c>
      <c r="D40">
        <f>SUMIF('OECD Data IO Table - Total (USD'!$E$3:$AW$3,Calculations!D$39,'OECD Data IO Table - Total (USD'!$E10:$AW10)</f>
        <v>0</v>
      </c>
      <c r="E40">
        <f>SUMIF('OECD Data IO Table - Total (USD'!$E$3:$AW$3,Calculations!E$39,'OECD Data IO Table - Total (USD'!$E10:$AW10)</f>
        <v>0.4</v>
      </c>
      <c r="F40">
        <f>SUMIF('OECD Data IO Table - Total (USD'!$E$3:$AW$3,Calculations!F$39,'OECD Data IO Table - Total (USD'!$E10:$AW10)</f>
        <v>0.5</v>
      </c>
      <c r="G40">
        <f>SUMIF('OECD Data IO Table - Total (USD'!$E$3:$AW$3,Calculations!G$39,'OECD Data IO Table - Total (USD'!$E10:$AW10)</f>
        <v>0</v>
      </c>
      <c r="H40">
        <f>SUMIF('OECD Data IO Table - Total (USD'!$E$3:$AW$3,Calculations!H$39,'OECD Data IO Table - Total (USD'!$E10:$AW10)</f>
        <v>0</v>
      </c>
      <c r="I40">
        <f>SUMIF('OECD Data IO Table - Total (USD'!$E$3:$AW$3,Calculations!I$39,'OECD Data IO Table - Total (USD'!$E10:$AW10)</f>
        <v>1.1000000000000001</v>
      </c>
      <c r="J40">
        <f>SUMIF('OECD Data IO Table - Total (USD'!$E$3:$AW$3,Calculations!J$39,'OECD Data IO Table - Total (USD'!$E10:$AW10)</f>
        <v>165.20124970810016</v>
      </c>
    </row>
    <row r="41" spans="1:11" x14ac:dyDescent="0.2">
      <c r="A41" t="str">
        <f>'OECD Data IO Table - Total (USD'!D11</f>
        <v>TTL_05T06: Mining and extraction of energy producing products</v>
      </c>
      <c r="B41" t="str">
        <f>'OECD Data IO Table - Total (USD'!B11</f>
        <v>natural gas and petroleum suppliers</v>
      </c>
      <c r="C41">
        <f>SUMIF('OECD Data IO Table - Total (USD'!$E$3:$AW$3,Calculations!C$39,'OECD Data IO Table - Total (USD'!$E11:$AW11)</f>
        <v>1.4</v>
      </c>
      <c r="D41">
        <f>SUMIF('OECD Data IO Table - Total (USD'!$E$3:$AW$3,Calculations!D$39,'OECD Data IO Table - Total (USD'!$E11:$AW11)</f>
        <v>18.100000000000001</v>
      </c>
      <c r="E41">
        <f>SUMIF('OECD Data IO Table - Total (USD'!$E$3:$AW$3,Calculations!E$39,'OECD Data IO Table - Total (USD'!$E11:$AW11)</f>
        <v>43.7</v>
      </c>
      <c r="F41">
        <f>SUMIF('OECD Data IO Table - Total (USD'!$E$3:$AW$3,Calculations!F$39,'OECD Data IO Table - Total (USD'!$E11:$AW11)</f>
        <v>0.7</v>
      </c>
      <c r="G41">
        <f>SUMIF('OECD Data IO Table - Total (USD'!$E$3:$AW$3,Calculations!G$39,'OECD Data IO Table - Total (USD'!$E11:$AW11)</f>
        <v>0</v>
      </c>
      <c r="H41">
        <f>SUMIF('OECD Data IO Table - Total (USD'!$E$3:$AW$3,Calculations!H$39,'OECD Data IO Table - Total (USD'!$E11:$AW11)</f>
        <v>0</v>
      </c>
      <c r="I41">
        <f>SUMIF('OECD Data IO Table - Total (USD'!$E$3:$AW$3,Calculations!I$39,'OECD Data IO Table - Total (USD'!$E11:$AW11)</f>
        <v>17.2</v>
      </c>
      <c r="J41">
        <f>SUMIF('OECD Data IO Table - Total (USD'!$E$3:$AW$3,Calculations!J$39,'OECD Data IO Table - Total (USD'!$E11:$AW11)</f>
        <v>613.70000000000016</v>
      </c>
    </row>
    <row r="42" spans="1:11" x14ac:dyDescent="0.2">
      <c r="A42" t="str">
        <f>'OECD Data IO Table - Total (USD'!D12</f>
        <v>TTL_07T08: Mining and quarrying of non-energy producing products</v>
      </c>
      <c r="B42" t="str">
        <f>'OECD Data IO Table - Total (USD'!B12</f>
        <v>nonenergy industries</v>
      </c>
      <c r="C42">
        <f>SUMIF('OECD Data IO Table - Total (USD'!$E$3:$AW$3,Calculations!C$39,'OECD Data IO Table - Total (USD'!$E12:$AW12)</f>
        <v>0.9</v>
      </c>
      <c r="D42">
        <f>SUMIF('OECD Data IO Table - Total (USD'!$E$3:$AW$3,Calculations!D$39,'OECD Data IO Table - Total (USD'!$E12:$AW12)</f>
        <v>0.5</v>
      </c>
      <c r="E42">
        <f>SUMIF('OECD Data IO Table - Total (USD'!$E$3:$AW$3,Calculations!E$39,'OECD Data IO Table - Total (USD'!$E12:$AW12)</f>
        <v>10.1</v>
      </c>
      <c r="F42">
        <f>SUMIF('OECD Data IO Table - Total (USD'!$E$3:$AW$3,Calculations!F$39,'OECD Data IO Table - Total (USD'!$E12:$AW12)</f>
        <v>0.30000000000000004</v>
      </c>
      <c r="G42">
        <f>SUMIF('OECD Data IO Table - Total (USD'!$E$3:$AW$3,Calculations!G$39,'OECD Data IO Table - Total (USD'!$E12:$AW12)</f>
        <v>0</v>
      </c>
      <c r="H42">
        <f>SUMIF('OECD Data IO Table - Total (USD'!$E$3:$AW$3,Calculations!H$39,'OECD Data IO Table - Total (USD'!$E12:$AW12)</f>
        <v>0</v>
      </c>
      <c r="I42">
        <f>SUMIF('OECD Data IO Table - Total (USD'!$E$3:$AW$3,Calculations!I$39,'OECD Data IO Table - Total (USD'!$E12:$AW12)</f>
        <v>3.5</v>
      </c>
      <c r="J42">
        <f>SUMIF('OECD Data IO Table - Total (USD'!$E$3:$AW$3,Calculations!J$39,'OECD Data IO Table - Total (USD'!$E12:$AW12)</f>
        <v>95.200000000000017</v>
      </c>
    </row>
    <row r="43" spans="1:11" x14ac:dyDescent="0.2">
      <c r="A43" t="str">
        <f>'OECD Data IO Table - Total (USD'!D13</f>
        <v>TTL_09: Mining support service activities</v>
      </c>
      <c r="B43" t="str">
        <f>'OECD Data IO Table - Total (USD'!B13</f>
        <v>nonenergy industries</v>
      </c>
      <c r="C43">
        <f>SUMIF('OECD Data IO Table - Total (USD'!$E$3:$AW$3,Calculations!C$39,'OECD Data IO Table - Total (USD'!$E13:$AW13)</f>
        <v>1.1000000000000001</v>
      </c>
      <c r="D43">
        <f>SUMIF('OECD Data IO Table - Total (USD'!$E$3:$AW$3,Calculations!D$39,'OECD Data IO Table - Total (USD'!$E13:$AW13)</f>
        <v>2.4</v>
      </c>
      <c r="E43">
        <f>SUMIF('OECD Data IO Table - Total (USD'!$E$3:$AW$3,Calculations!E$39,'OECD Data IO Table - Total (USD'!$E13:$AW13)</f>
        <v>131.80000000000001</v>
      </c>
      <c r="F43">
        <f>SUMIF('OECD Data IO Table - Total (USD'!$E$3:$AW$3,Calculations!F$39,'OECD Data IO Table - Total (USD'!$E13:$AW13)</f>
        <v>0.5</v>
      </c>
      <c r="G43">
        <f>SUMIF('OECD Data IO Table - Total (USD'!$E$3:$AW$3,Calculations!G$39,'OECD Data IO Table - Total (USD'!$E13:$AW13)</f>
        <v>0</v>
      </c>
      <c r="H43">
        <f>SUMIF('OECD Data IO Table - Total (USD'!$E$3:$AW$3,Calculations!H$39,'OECD Data IO Table - Total (USD'!$E13:$AW13)</f>
        <v>0</v>
      </c>
      <c r="I43">
        <f>SUMIF('OECD Data IO Table - Total (USD'!$E$3:$AW$3,Calculations!I$39,'OECD Data IO Table - Total (USD'!$E13:$AW13)</f>
        <v>82.4</v>
      </c>
      <c r="J43">
        <f>SUMIF('OECD Data IO Table - Total (USD'!$E$3:$AW$3,Calculations!J$39,'OECD Data IO Table - Total (USD'!$E13:$AW13)</f>
        <v>6550.2000000000016</v>
      </c>
    </row>
    <row r="44" spans="1:11" x14ac:dyDescent="0.2">
      <c r="A44" t="str">
        <f>'OECD Data IO Table - Total (USD'!D14</f>
        <v>TTL_10T12: Food products, beverages and tobacco</v>
      </c>
      <c r="B44" t="str">
        <f>'OECD Data IO Table - Total (USD'!B14</f>
        <v>nonenergy industries</v>
      </c>
      <c r="C44">
        <f>SUMIF('OECD Data IO Table - Total (USD'!$E$3:$AW$3,Calculations!C$39,'OECD Data IO Table - Total (USD'!$E14:$AW14)</f>
        <v>3.2</v>
      </c>
      <c r="D44">
        <f>SUMIF('OECD Data IO Table - Total (USD'!$E$3:$AW$3,Calculations!D$39,'OECD Data IO Table - Total (USD'!$E14:$AW14)</f>
        <v>2.8</v>
      </c>
      <c r="E44">
        <f>SUMIF('OECD Data IO Table - Total (USD'!$E$3:$AW$3,Calculations!E$39,'OECD Data IO Table - Total (USD'!$E14:$AW14)</f>
        <v>20.7</v>
      </c>
      <c r="F44">
        <f>SUMIF('OECD Data IO Table - Total (USD'!$E$3:$AW$3,Calculations!F$39,'OECD Data IO Table - Total (USD'!$E14:$AW14)</f>
        <v>30.2</v>
      </c>
      <c r="G44">
        <f>SUMIF('OECD Data IO Table - Total (USD'!$E$3:$AW$3,Calculations!G$39,'OECD Data IO Table - Total (USD'!$E14:$AW14)</f>
        <v>0</v>
      </c>
      <c r="H44">
        <f>SUMIF('OECD Data IO Table - Total (USD'!$E$3:$AW$3,Calculations!H$39,'OECD Data IO Table - Total (USD'!$E14:$AW14)</f>
        <v>0</v>
      </c>
      <c r="I44">
        <f>SUMIF('OECD Data IO Table - Total (USD'!$E$3:$AW$3,Calculations!I$39,'OECD Data IO Table - Total (USD'!$E14:$AW14)</f>
        <v>12.200000000000001</v>
      </c>
      <c r="J44">
        <f>SUMIF('OECD Data IO Table - Total (USD'!$E$3:$AW$3,Calculations!J$39,'OECD Data IO Table - Total (USD'!$E14:$AW14)</f>
        <v>1082.5</v>
      </c>
    </row>
    <row r="45" spans="1:11" x14ac:dyDescent="0.2">
      <c r="A45" t="str">
        <f>'OECD Data IO Table - Total (USD'!D15</f>
        <v>TTL_13T15: Textiles, wearing apparel, leather and related products</v>
      </c>
      <c r="B45" t="str">
        <f>'OECD Data IO Table - Total (USD'!B15</f>
        <v>nonenergy industries</v>
      </c>
      <c r="C45">
        <f>SUMIF('OECD Data IO Table - Total (USD'!$E$3:$AW$3,Calculations!C$39,'OECD Data IO Table - Total (USD'!$E15:$AW15)</f>
        <v>0.6</v>
      </c>
      <c r="D45">
        <f>SUMIF('OECD Data IO Table - Total (USD'!$E$3:$AW$3,Calculations!D$39,'OECD Data IO Table - Total (USD'!$E15:$AW15)</f>
        <v>0.1</v>
      </c>
      <c r="E45">
        <f>SUMIF('OECD Data IO Table - Total (USD'!$E$3:$AW$3,Calculations!E$39,'OECD Data IO Table - Total (USD'!$E15:$AW15)</f>
        <v>2.5</v>
      </c>
      <c r="F45">
        <f>SUMIF('OECD Data IO Table - Total (USD'!$E$3:$AW$3,Calculations!F$39,'OECD Data IO Table - Total (USD'!$E15:$AW15)</f>
        <v>1</v>
      </c>
      <c r="G45">
        <f>SUMIF('OECD Data IO Table - Total (USD'!$E$3:$AW$3,Calculations!G$39,'OECD Data IO Table - Total (USD'!$E15:$AW15)</f>
        <v>0</v>
      </c>
      <c r="H45">
        <f>SUMIF('OECD Data IO Table - Total (USD'!$E$3:$AW$3,Calculations!H$39,'OECD Data IO Table - Total (USD'!$E15:$AW15)</f>
        <v>0</v>
      </c>
      <c r="I45">
        <f>SUMIF('OECD Data IO Table - Total (USD'!$E$3:$AW$3,Calculations!I$39,'OECD Data IO Table - Total (USD'!$E15:$AW15)</f>
        <v>0.6</v>
      </c>
      <c r="J45">
        <f>SUMIF('OECD Data IO Table - Total (USD'!$E$3:$AW$3,Calculations!J$39,'OECD Data IO Table - Total (USD'!$E15:$AW15)</f>
        <v>702.39999999999986</v>
      </c>
    </row>
    <row r="46" spans="1:11" x14ac:dyDescent="0.2">
      <c r="A46" t="str">
        <f>'OECD Data IO Table - Total (USD'!D16</f>
        <v>TTL_16: Wood and of products of wood and cork (except furniture)</v>
      </c>
      <c r="B46" t="str">
        <f>'OECD Data IO Table - Total (USD'!B16</f>
        <v>nonenergy industries</v>
      </c>
      <c r="C46">
        <f>SUMIF('OECD Data IO Table - Total (USD'!$E$3:$AW$3,Calculations!C$39,'OECD Data IO Table - Total (USD'!$E16:$AW16)</f>
        <v>0.1</v>
      </c>
      <c r="D46">
        <f>SUMIF('OECD Data IO Table - Total (USD'!$E$3:$AW$3,Calculations!D$39,'OECD Data IO Table - Total (USD'!$E16:$AW16)</f>
        <v>0</v>
      </c>
      <c r="E46">
        <f>SUMIF('OECD Data IO Table - Total (USD'!$E$3:$AW$3,Calculations!E$39,'OECD Data IO Table - Total (USD'!$E16:$AW16)</f>
        <v>0.9</v>
      </c>
      <c r="F46">
        <f>SUMIF('OECD Data IO Table - Total (USD'!$E$3:$AW$3,Calculations!F$39,'OECD Data IO Table - Total (USD'!$E16:$AW16)</f>
        <v>0.1</v>
      </c>
      <c r="G46">
        <f>SUMIF('OECD Data IO Table - Total (USD'!$E$3:$AW$3,Calculations!G$39,'OECD Data IO Table - Total (USD'!$E16:$AW16)</f>
        <v>0</v>
      </c>
      <c r="H46">
        <f>SUMIF('OECD Data IO Table - Total (USD'!$E$3:$AW$3,Calculations!H$39,'OECD Data IO Table - Total (USD'!$E16:$AW16)</f>
        <v>0</v>
      </c>
      <c r="I46">
        <f>SUMIF('OECD Data IO Table - Total (USD'!$E$3:$AW$3,Calculations!I$39,'OECD Data IO Table - Total (USD'!$E16:$AW16)</f>
        <v>2.1</v>
      </c>
      <c r="J46">
        <f>SUMIF('OECD Data IO Table - Total (USD'!$E$3:$AW$3,Calculations!J$39,'OECD Data IO Table - Total (USD'!$E16:$AW16)</f>
        <v>26.900000000000006</v>
      </c>
    </row>
    <row r="47" spans="1:11" x14ac:dyDescent="0.2">
      <c r="A47" t="str">
        <f>'OECD Data IO Table - Total (USD'!D17</f>
        <v>TTL_17T18: Paper products and printing</v>
      </c>
      <c r="B47" t="str">
        <f>'OECD Data IO Table - Total (USD'!B17</f>
        <v>nonenergy industries</v>
      </c>
      <c r="C47">
        <f>SUMIF('OECD Data IO Table - Total (USD'!$E$3:$AW$3,Calculations!C$39,'OECD Data IO Table - Total (USD'!$E17:$AW17)</f>
        <v>10</v>
      </c>
      <c r="D47">
        <f>SUMIF('OECD Data IO Table - Total (USD'!$E$3:$AW$3,Calculations!D$39,'OECD Data IO Table - Total (USD'!$E17:$AW17)</f>
        <v>0.3</v>
      </c>
      <c r="E47">
        <f>SUMIF('OECD Data IO Table - Total (USD'!$E$3:$AW$3,Calculations!E$39,'OECD Data IO Table - Total (USD'!$E17:$AW17)</f>
        <v>6</v>
      </c>
      <c r="F47">
        <f>SUMIF('OECD Data IO Table - Total (USD'!$E$3:$AW$3,Calculations!F$39,'OECD Data IO Table - Total (USD'!$E17:$AW17)</f>
        <v>5.9</v>
      </c>
      <c r="G47">
        <f>SUMIF('OECD Data IO Table - Total (USD'!$E$3:$AW$3,Calculations!G$39,'OECD Data IO Table - Total (USD'!$E17:$AW17)</f>
        <v>0</v>
      </c>
      <c r="H47">
        <f>SUMIF('OECD Data IO Table - Total (USD'!$E$3:$AW$3,Calculations!H$39,'OECD Data IO Table - Total (USD'!$E17:$AW17)</f>
        <v>0</v>
      </c>
      <c r="I47">
        <f>SUMIF('OECD Data IO Table - Total (USD'!$E$3:$AW$3,Calculations!I$39,'OECD Data IO Table - Total (USD'!$E17:$AW17)</f>
        <v>10.6</v>
      </c>
      <c r="J47">
        <f>SUMIF('OECD Data IO Table - Total (USD'!$E$3:$AW$3,Calculations!J$39,'OECD Data IO Table - Total (USD'!$E17:$AW17)</f>
        <v>1752.6</v>
      </c>
    </row>
    <row r="48" spans="1:11" x14ac:dyDescent="0.2">
      <c r="A48" t="str">
        <f>'OECD Data IO Table - Total (USD'!D18</f>
        <v>TTL_19: Coke and refined petroleum products</v>
      </c>
      <c r="B48" t="str">
        <f>'OECD Data IO Table - Total (USD'!B18</f>
        <v>natural gas and petroleum suppliers</v>
      </c>
      <c r="C48">
        <f>SUMIF('OECD Data IO Table - Total (USD'!$E$3:$AW$3,Calculations!C$39,'OECD Data IO Table - Total (USD'!$E18:$AW18)</f>
        <v>52.8</v>
      </c>
      <c r="D48">
        <f>SUMIF('OECD Data IO Table - Total (USD'!$E$3:$AW$3,Calculations!D$39,'OECD Data IO Table - Total (USD'!$E18:$AW18)</f>
        <v>74.900000000000006</v>
      </c>
      <c r="E48">
        <f>SUMIF('OECD Data IO Table - Total (USD'!$E$3:$AW$3,Calculations!E$39,'OECD Data IO Table - Total (USD'!$E18:$AW18)</f>
        <v>667.4</v>
      </c>
      <c r="F48">
        <f>SUMIF('OECD Data IO Table - Total (USD'!$E$3:$AW$3,Calculations!F$39,'OECD Data IO Table - Total (USD'!$E18:$AW18)</f>
        <v>140.4</v>
      </c>
      <c r="G48">
        <f>SUMIF('OECD Data IO Table - Total (USD'!$E$3:$AW$3,Calculations!G$39,'OECD Data IO Table - Total (USD'!$E18:$AW18)</f>
        <v>0</v>
      </c>
      <c r="H48">
        <f>SUMIF('OECD Data IO Table - Total (USD'!$E$3:$AW$3,Calculations!H$39,'OECD Data IO Table - Total (USD'!$E18:$AW18)</f>
        <v>0</v>
      </c>
      <c r="I48">
        <f>SUMIF('OECD Data IO Table - Total (USD'!$E$3:$AW$3,Calculations!I$39,'OECD Data IO Table - Total (USD'!$E18:$AW18)</f>
        <v>1.1000000000000001</v>
      </c>
      <c r="J48">
        <f>SUMIF('OECD Data IO Table - Total (USD'!$E$3:$AW$3,Calculations!J$39,'OECD Data IO Table - Total (USD'!$E18:$AW18)</f>
        <v>142.69999999999999</v>
      </c>
    </row>
    <row r="49" spans="1:10" x14ac:dyDescent="0.2">
      <c r="A49" t="str">
        <f>'OECD Data IO Table - Total (USD'!D19</f>
        <v>TTL_20T21: Chemicals and pharmaceutical products</v>
      </c>
      <c r="B49" t="str">
        <f>'OECD Data IO Table - Total (USD'!B19</f>
        <v>nonenergy industries</v>
      </c>
      <c r="C49">
        <f>SUMIF('OECD Data IO Table - Total (USD'!$E$3:$AW$3,Calculations!C$39,'OECD Data IO Table - Total (USD'!$E19:$AW19)</f>
        <v>78</v>
      </c>
      <c r="D49">
        <f>SUMIF('OECD Data IO Table - Total (USD'!$E$3:$AW$3,Calculations!D$39,'OECD Data IO Table - Total (USD'!$E19:$AW19)</f>
        <v>28.099999999999998</v>
      </c>
      <c r="E49">
        <f>SUMIF('OECD Data IO Table - Total (USD'!$E$3:$AW$3,Calculations!E$39,'OECD Data IO Table - Total (USD'!$E19:$AW19)</f>
        <v>865</v>
      </c>
      <c r="F49">
        <f>SUMIF('OECD Data IO Table - Total (USD'!$E$3:$AW$3,Calculations!F$39,'OECD Data IO Table - Total (USD'!$E19:$AW19)</f>
        <v>421.79999999999995</v>
      </c>
      <c r="G49">
        <f>SUMIF('OECD Data IO Table - Total (USD'!$E$3:$AW$3,Calculations!G$39,'OECD Data IO Table - Total (USD'!$E19:$AW19)</f>
        <v>0</v>
      </c>
      <c r="H49">
        <f>SUMIF('OECD Data IO Table - Total (USD'!$E$3:$AW$3,Calculations!H$39,'OECD Data IO Table - Total (USD'!$E19:$AW19)</f>
        <v>0</v>
      </c>
      <c r="I49">
        <f>SUMIF('OECD Data IO Table - Total (USD'!$E$3:$AW$3,Calculations!I$39,'OECD Data IO Table - Total (USD'!$E19:$AW19)</f>
        <v>2.3000000000000003</v>
      </c>
      <c r="J49">
        <f>SUMIF('OECD Data IO Table - Total (USD'!$E$3:$AW$3,Calculations!J$39,'OECD Data IO Table - Total (USD'!$E19:$AW19)</f>
        <v>414</v>
      </c>
    </row>
    <row r="50" spans="1:10" x14ac:dyDescent="0.2">
      <c r="A50" t="str">
        <f>'OECD Data IO Table - Total (USD'!D20</f>
        <v>TTL_22: Rubber and plastics products</v>
      </c>
      <c r="B50" t="str">
        <f>'OECD Data IO Table - Total (USD'!B20</f>
        <v>nonenergy industries</v>
      </c>
      <c r="C50">
        <f>SUMIF('OECD Data IO Table - Total (USD'!$E$3:$AW$3,Calculations!C$39,'OECD Data IO Table - Total (USD'!$E20:$AW20)</f>
        <v>15.7</v>
      </c>
      <c r="D50">
        <f>SUMIF('OECD Data IO Table - Total (USD'!$E$3:$AW$3,Calculations!D$39,'OECD Data IO Table - Total (USD'!$E20:$AW20)</f>
        <v>2.2999999999999998</v>
      </c>
      <c r="E50">
        <f>SUMIF('OECD Data IO Table - Total (USD'!$E$3:$AW$3,Calculations!E$39,'OECD Data IO Table - Total (USD'!$E20:$AW20)</f>
        <v>41.9</v>
      </c>
      <c r="F50">
        <f>SUMIF('OECD Data IO Table - Total (USD'!$E$3:$AW$3,Calculations!F$39,'OECD Data IO Table - Total (USD'!$E20:$AW20)</f>
        <v>32.6</v>
      </c>
      <c r="G50">
        <f>SUMIF('OECD Data IO Table - Total (USD'!$E$3:$AW$3,Calculations!G$39,'OECD Data IO Table - Total (USD'!$E20:$AW20)</f>
        <v>0</v>
      </c>
      <c r="H50">
        <f>SUMIF('OECD Data IO Table - Total (USD'!$E$3:$AW$3,Calculations!H$39,'OECD Data IO Table - Total (USD'!$E20:$AW20)</f>
        <v>0</v>
      </c>
      <c r="I50">
        <f>SUMIF('OECD Data IO Table - Total (USD'!$E$3:$AW$3,Calculations!I$39,'OECD Data IO Table - Total (USD'!$E20:$AW20)</f>
        <v>0.2</v>
      </c>
      <c r="J50">
        <f>SUMIF('OECD Data IO Table - Total (USD'!$E$3:$AW$3,Calculations!J$39,'OECD Data IO Table - Total (USD'!$E20:$AW20)</f>
        <v>339.29999999999995</v>
      </c>
    </row>
    <row r="51" spans="1:10" x14ac:dyDescent="0.2">
      <c r="A51" t="str">
        <f>'OECD Data IO Table - Total (USD'!D21</f>
        <v>TTL_23: Other non-metallic mineral products</v>
      </c>
      <c r="B51" t="str">
        <f>'OECD Data IO Table - Total (USD'!B21</f>
        <v>nonenergy industries</v>
      </c>
      <c r="C51">
        <f>SUMIF('OECD Data IO Table - Total (USD'!$E$3:$AW$3,Calculations!C$39,'OECD Data IO Table - Total (USD'!$E21:$AW21)</f>
        <v>402.6</v>
      </c>
      <c r="D51">
        <f>SUMIF('OECD Data IO Table - Total (USD'!$E$3:$AW$3,Calculations!D$39,'OECD Data IO Table - Total (USD'!$E21:$AW21)</f>
        <v>14</v>
      </c>
      <c r="E51">
        <f>SUMIF('OECD Data IO Table - Total (USD'!$E$3:$AW$3,Calculations!E$39,'OECD Data IO Table - Total (USD'!$E21:$AW21)</f>
        <v>451.1</v>
      </c>
      <c r="F51">
        <f>SUMIF('OECD Data IO Table - Total (USD'!$E$3:$AW$3,Calculations!F$39,'OECD Data IO Table - Total (USD'!$E21:$AW21)</f>
        <v>20.6</v>
      </c>
      <c r="G51">
        <f>SUMIF('OECD Data IO Table - Total (USD'!$E$3:$AW$3,Calculations!G$39,'OECD Data IO Table - Total (USD'!$E21:$AW21)</f>
        <v>0</v>
      </c>
      <c r="H51">
        <f>SUMIF('OECD Data IO Table - Total (USD'!$E$3:$AW$3,Calculations!H$39,'OECD Data IO Table - Total (USD'!$E21:$AW21)</f>
        <v>0</v>
      </c>
      <c r="I51">
        <f>SUMIF('OECD Data IO Table - Total (USD'!$E$3:$AW$3,Calculations!I$39,'OECD Data IO Table - Total (USD'!$E21:$AW21)</f>
        <v>0.1</v>
      </c>
      <c r="J51">
        <f>SUMIF('OECD Data IO Table - Total (USD'!$E$3:$AW$3,Calculations!J$39,'OECD Data IO Table - Total (USD'!$E21:$AW21)</f>
        <v>336.6</v>
      </c>
    </row>
    <row r="52" spans="1:10" x14ac:dyDescent="0.2">
      <c r="A52" t="str">
        <f>'OECD Data IO Table - Total (USD'!D22</f>
        <v>TTL_24: Manufacture of basic metals</v>
      </c>
      <c r="B52" t="str">
        <f>'OECD Data IO Table - Total (USD'!B22</f>
        <v>nonenergy industries</v>
      </c>
      <c r="C52">
        <f>SUMIF('OECD Data IO Table - Total (USD'!$E$3:$AW$3,Calculations!C$39,'OECD Data IO Table - Total (USD'!$E22:$AW22)</f>
        <v>31.6</v>
      </c>
      <c r="D52">
        <f>SUMIF('OECD Data IO Table - Total (USD'!$E$3:$AW$3,Calculations!D$39,'OECD Data IO Table - Total (USD'!$E22:$AW22)</f>
        <v>5</v>
      </c>
      <c r="E52">
        <f>SUMIF('OECD Data IO Table - Total (USD'!$E$3:$AW$3,Calculations!E$39,'OECD Data IO Table - Total (USD'!$E22:$AW22)</f>
        <v>5839.2</v>
      </c>
      <c r="F52">
        <f>SUMIF('OECD Data IO Table - Total (USD'!$E$3:$AW$3,Calculations!F$39,'OECD Data IO Table - Total (USD'!$E22:$AW22)</f>
        <v>18.399999999999999</v>
      </c>
      <c r="G52">
        <f>SUMIF('OECD Data IO Table - Total (USD'!$E$3:$AW$3,Calculations!G$39,'OECD Data IO Table - Total (USD'!$E22:$AW22)</f>
        <v>0</v>
      </c>
      <c r="H52">
        <f>SUMIF('OECD Data IO Table - Total (USD'!$E$3:$AW$3,Calculations!H$39,'OECD Data IO Table - Total (USD'!$E22:$AW22)</f>
        <v>0</v>
      </c>
      <c r="I52">
        <f>SUMIF('OECD Data IO Table - Total (USD'!$E$3:$AW$3,Calculations!I$39,'OECD Data IO Table - Total (USD'!$E22:$AW22)</f>
        <v>0.1</v>
      </c>
      <c r="J52">
        <f>SUMIF('OECD Data IO Table - Total (USD'!$E$3:$AW$3,Calculations!J$39,'OECD Data IO Table - Total (USD'!$E22:$AW22)</f>
        <v>1362</v>
      </c>
    </row>
    <row r="53" spans="1:10" x14ac:dyDescent="0.2">
      <c r="A53" t="str">
        <f>'OECD Data IO Table - Total (USD'!D23</f>
        <v>TTL_25: Fabricated metal products, except machinery and equipment</v>
      </c>
      <c r="B53" t="str">
        <f>'OECD Data IO Table - Total (USD'!B23</f>
        <v>nonenergy industries</v>
      </c>
      <c r="C53">
        <f>SUMIF('OECD Data IO Table - Total (USD'!$E$3:$AW$3,Calculations!C$39,'OECD Data IO Table - Total (USD'!$E23:$AW23)</f>
        <v>13</v>
      </c>
      <c r="D53">
        <f>SUMIF('OECD Data IO Table - Total (USD'!$E$3:$AW$3,Calculations!D$39,'OECD Data IO Table - Total (USD'!$E23:$AW23)</f>
        <v>2.6</v>
      </c>
      <c r="E53">
        <f>SUMIF('OECD Data IO Table - Total (USD'!$E$3:$AW$3,Calculations!E$39,'OECD Data IO Table - Total (USD'!$E23:$AW23)</f>
        <v>275.8</v>
      </c>
      <c r="F53">
        <f>SUMIF('OECD Data IO Table - Total (USD'!$E$3:$AW$3,Calculations!F$39,'OECD Data IO Table - Total (USD'!$E23:$AW23)</f>
        <v>5.7</v>
      </c>
      <c r="G53">
        <f>SUMIF('OECD Data IO Table - Total (USD'!$E$3:$AW$3,Calculations!G$39,'OECD Data IO Table - Total (USD'!$E23:$AW23)</f>
        <v>0</v>
      </c>
      <c r="H53">
        <f>SUMIF('OECD Data IO Table - Total (USD'!$E$3:$AW$3,Calculations!H$39,'OECD Data IO Table - Total (USD'!$E23:$AW23)</f>
        <v>0</v>
      </c>
      <c r="I53">
        <f>SUMIF('OECD Data IO Table - Total (USD'!$E$3:$AW$3,Calculations!I$39,'OECD Data IO Table - Total (USD'!$E23:$AW23)</f>
        <v>0.1</v>
      </c>
      <c r="J53">
        <f>SUMIF('OECD Data IO Table - Total (USD'!$E$3:$AW$3,Calculations!J$39,'OECD Data IO Table - Total (USD'!$E23:$AW23)</f>
        <v>307.29999999999995</v>
      </c>
    </row>
    <row r="54" spans="1:10" x14ac:dyDescent="0.2">
      <c r="A54" t="str">
        <f>'OECD Data IO Table - Total (USD'!D24</f>
        <v>TTL_26: Computer, electronic and optical products</v>
      </c>
      <c r="B54" t="str">
        <f>'OECD Data IO Table - Total (USD'!B24</f>
        <v>nonenergy industries</v>
      </c>
      <c r="C54">
        <f>SUMIF('OECD Data IO Table - Total (USD'!$E$3:$AW$3,Calculations!C$39,'OECD Data IO Table - Total (USD'!$E24:$AW24)</f>
        <v>3.9</v>
      </c>
      <c r="D54">
        <f>SUMIF('OECD Data IO Table - Total (USD'!$E$3:$AW$3,Calculations!D$39,'OECD Data IO Table - Total (USD'!$E24:$AW24)</f>
        <v>2.9</v>
      </c>
      <c r="E54">
        <f>SUMIF('OECD Data IO Table - Total (USD'!$E$3:$AW$3,Calculations!E$39,'OECD Data IO Table - Total (USD'!$E24:$AW24)</f>
        <v>20</v>
      </c>
      <c r="F54">
        <f>SUMIF('OECD Data IO Table - Total (USD'!$E$3:$AW$3,Calculations!F$39,'OECD Data IO Table - Total (USD'!$E24:$AW24)</f>
        <v>7.6</v>
      </c>
      <c r="G54">
        <f>SUMIF('OECD Data IO Table - Total (USD'!$E$3:$AW$3,Calculations!G$39,'OECD Data IO Table - Total (USD'!$E24:$AW24)</f>
        <v>0</v>
      </c>
      <c r="H54">
        <f>SUMIF('OECD Data IO Table - Total (USD'!$E$3:$AW$3,Calculations!H$39,'OECD Data IO Table - Total (USD'!$E24:$AW24)</f>
        <v>0</v>
      </c>
      <c r="I54">
        <f>SUMIF('OECD Data IO Table - Total (USD'!$E$3:$AW$3,Calculations!I$39,'OECD Data IO Table - Total (USD'!$E24:$AW24)</f>
        <v>0.1</v>
      </c>
      <c r="J54">
        <f>SUMIF('OECD Data IO Table - Total (USD'!$E$3:$AW$3,Calculations!J$39,'OECD Data IO Table - Total (USD'!$E24:$AW24)</f>
        <v>661.7</v>
      </c>
    </row>
    <row r="55" spans="1:10" x14ac:dyDescent="0.2">
      <c r="A55" t="str">
        <f>'OECD Data IO Table - Total (USD'!D25</f>
        <v>TTL_27: Electrical equipment</v>
      </c>
      <c r="B55" t="str">
        <f>'OECD Data IO Table - Total (USD'!B25</f>
        <v>nonenergy industries</v>
      </c>
      <c r="C55">
        <f>SUMIF('OECD Data IO Table - Total (USD'!$E$3:$AW$3,Calculations!C$39,'OECD Data IO Table - Total (USD'!$E25:$AW25)</f>
        <v>5.3</v>
      </c>
      <c r="D55">
        <f>SUMIF('OECD Data IO Table - Total (USD'!$E$3:$AW$3,Calculations!D$39,'OECD Data IO Table - Total (USD'!$E25:$AW25)</f>
        <v>2.5</v>
      </c>
      <c r="E55">
        <f>SUMIF('OECD Data IO Table - Total (USD'!$E$3:$AW$3,Calculations!E$39,'OECD Data IO Table - Total (USD'!$E25:$AW25)</f>
        <v>42.3</v>
      </c>
      <c r="F55">
        <f>SUMIF('OECD Data IO Table - Total (USD'!$E$3:$AW$3,Calculations!F$39,'OECD Data IO Table - Total (USD'!$E25:$AW25)</f>
        <v>4.8000000000000007</v>
      </c>
      <c r="G55">
        <f>SUMIF('OECD Data IO Table - Total (USD'!$E$3:$AW$3,Calculations!G$39,'OECD Data IO Table - Total (USD'!$E25:$AW25)</f>
        <v>0</v>
      </c>
      <c r="H55">
        <f>SUMIF('OECD Data IO Table - Total (USD'!$E$3:$AW$3,Calculations!H$39,'OECD Data IO Table - Total (USD'!$E25:$AW25)</f>
        <v>0</v>
      </c>
      <c r="I55">
        <f>SUMIF('OECD Data IO Table - Total (USD'!$E$3:$AW$3,Calculations!I$39,'OECD Data IO Table - Total (USD'!$E25:$AW25)</f>
        <v>0</v>
      </c>
      <c r="J55">
        <f>SUMIF('OECD Data IO Table - Total (USD'!$E$3:$AW$3,Calculations!J$39,'OECD Data IO Table - Total (USD'!$E25:$AW25)</f>
        <v>900.09999999999991</v>
      </c>
    </row>
    <row r="56" spans="1:10" x14ac:dyDescent="0.2">
      <c r="A56" t="str">
        <f>'OECD Data IO Table - Total (USD'!D26</f>
        <v>TTL_28: Machinery and equipment n.e.c.</v>
      </c>
      <c r="B56" t="str">
        <f>'OECD Data IO Table - Total (USD'!B26</f>
        <v>nonenergy industries</v>
      </c>
      <c r="C56">
        <f>SUMIF('OECD Data IO Table - Total (USD'!$E$3:$AW$3,Calculations!C$39,'OECD Data IO Table - Total (USD'!$E26:$AW26)</f>
        <v>29.5</v>
      </c>
      <c r="D56">
        <f>SUMIF('OECD Data IO Table - Total (USD'!$E$3:$AW$3,Calculations!D$39,'OECD Data IO Table - Total (USD'!$E26:$AW26)</f>
        <v>5.9</v>
      </c>
      <c r="E56">
        <f>SUMIF('OECD Data IO Table - Total (USD'!$E$3:$AW$3,Calculations!E$39,'OECD Data IO Table - Total (USD'!$E26:$AW26)</f>
        <v>232.2</v>
      </c>
      <c r="F56">
        <f>SUMIF('OECD Data IO Table - Total (USD'!$E$3:$AW$3,Calculations!F$39,'OECD Data IO Table - Total (USD'!$E26:$AW26)</f>
        <v>14.8</v>
      </c>
      <c r="G56">
        <f>SUMIF('OECD Data IO Table - Total (USD'!$E$3:$AW$3,Calculations!G$39,'OECD Data IO Table - Total (USD'!$E26:$AW26)</f>
        <v>0</v>
      </c>
      <c r="H56">
        <f>SUMIF('OECD Data IO Table - Total (USD'!$E$3:$AW$3,Calculations!H$39,'OECD Data IO Table - Total (USD'!$E26:$AW26)</f>
        <v>0</v>
      </c>
      <c r="I56">
        <f>SUMIF('OECD Data IO Table - Total (USD'!$E$3:$AW$3,Calculations!I$39,'OECD Data IO Table - Total (USD'!$E26:$AW26)</f>
        <v>0.3</v>
      </c>
      <c r="J56">
        <f>SUMIF('OECD Data IO Table - Total (USD'!$E$3:$AW$3,Calculations!J$39,'OECD Data IO Table - Total (USD'!$E26:$AW26)</f>
        <v>600.9</v>
      </c>
    </row>
    <row r="57" spans="1:10" x14ac:dyDescent="0.2">
      <c r="A57" t="str">
        <f>'OECD Data IO Table - Total (USD'!D27</f>
        <v>TTL_29: Motor vehicles, trailers and semi-trailers</v>
      </c>
      <c r="B57" t="str">
        <f>'OECD Data IO Table - Total (USD'!B27</f>
        <v>nonenergy industries</v>
      </c>
      <c r="C57">
        <f>SUMIF('OECD Data IO Table - Total (USD'!$E$3:$AW$3,Calculations!C$39,'OECD Data IO Table - Total (USD'!$E27:$AW27)</f>
        <v>1.5</v>
      </c>
      <c r="D57">
        <f>SUMIF('OECD Data IO Table - Total (USD'!$E$3:$AW$3,Calculations!D$39,'OECD Data IO Table - Total (USD'!$E27:$AW27)</f>
        <v>0.2</v>
      </c>
      <c r="E57">
        <f>SUMIF('OECD Data IO Table - Total (USD'!$E$3:$AW$3,Calculations!E$39,'OECD Data IO Table - Total (USD'!$E27:$AW27)</f>
        <v>6.9</v>
      </c>
      <c r="F57">
        <f>SUMIF('OECD Data IO Table - Total (USD'!$E$3:$AW$3,Calculations!F$39,'OECD Data IO Table - Total (USD'!$E27:$AW27)</f>
        <v>0.60000000000000009</v>
      </c>
      <c r="G57">
        <f>SUMIF('OECD Data IO Table - Total (USD'!$E$3:$AW$3,Calculations!G$39,'OECD Data IO Table - Total (USD'!$E27:$AW27)</f>
        <v>0</v>
      </c>
      <c r="H57">
        <f>SUMIF('OECD Data IO Table - Total (USD'!$E$3:$AW$3,Calculations!H$39,'OECD Data IO Table - Total (USD'!$E27:$AW27)</f>
        <v>0</v>
      </c>
      <c r="I57">
        <f>SUMIF('OECD Data IO Table - Total (USD'!$E$3:$AW$3,Calculations!I$39,'OECD Data IO Table - Total (USD'!$E27:$AW27)</f>
        <v>0</v>
      </c>
      <c r="J57">
        <f>SUMIF('OECD Data IO Table - Total (USD'!$E$3:$AW$3,Calculations!J$39,'OECD Data IO Table - Total (USD'!$E27:$AW27)</f>
        <v>216.40000000000003</v>
      </c>
    </row>
    <row r="58" spans="1:10" x14ac:dyDescent="0.2">
      <c r="A58" t="str">
        <f>'OECD Data IO Table - Total (USD'!D28</f>
        <v>TTL_30: Other transport equipment</v>
      </c>
      <c r="B58" t="str">
        <f>'OECD Data IO Table - Total (USD'!B28</f>
        <v>nonenergy industries</v>
      </c>
      <c r="C58">
        <f>SUMIF('OECD Data IO Table - Total (USD'!$E$3:$AW$3,Calculations!C$39,'OECD Data IO Table - Total (USD'!$E28:$AW28)</f>
        <v>1.1000000000000001</v>
      </c>
      <c r="D58">
        <f>SUMIF('OECD Data IO Table - Total (USD'!$E$3:$AW$3,Calculations!D$39,'OECD Data IO Table - Total (USD'!$E28:$AW28)</f>
        <v>0.2</v>
      </c>
      <c r="E58">
        <f>SUMIF('OECD Data IO Table - Total (USD'!$E$3:$AW$3,Calculations!E$39,'OECD Data IO Table - Total (USD'!$E28:$AW28)</f>
        <v>5.5</v>
      </c>
      <c r="F58">
        <f>SUMIF('OECD Data IO Table - Total (USD'!$E$3:$AW$3,Calculations!F$39,'OECD Data IO Table - Total (USD'!$E28:$AW28)</f>
        <v>0.5</v>
      </c>
      <c r="G58">
        <f>SUMIF('OECD Data IO Table - Total (USD'!$E$3:$AW$3,Calculations!G$39,'OECD Data IO Table - Total (USD'!$E28:$AW28)</f>
        <v>0</v>
      </c>
      <c r="H58">
        <f>SUMIF('OECD Data IO Table - Total (USD'!$E$3:$AW$3,Calculations!H$39,'OECD Data IO Table - Total (USD'!$E28:$AW28)</f>
        <v>0</v>
      </c>
      <c r="I58">
        <f>SUMIF('OECD Data IO Table - Total (USD'!$E$3:$AW$3,Calculations!I$39,'OECD Data IO Table - Total (USD'!$E28:$AW28)</f>
        <v>0</v>
      </c>
      <c r="J58">
        <f>SUMIF('OECD Data IO Table - Total (USD'!$E$3:$AW$3,Calculations!J$39,'OECD Data IO Table - Total (USD'!$E28:$AW28)</f>
        <v>340.90000000000003</v>
      </c>
    </row>
    <row r="59" spans="1:10" x14ac:dyDescent="0.2">
      <c r="A59" t="str">
        <f>'OECD Data IO Table - Total (USD'!D29</f>
        <v>TTL_31T33: Other manufacturing; repair and installation of machinery and equipment</v>
      </c>
      <c r="B59" t="str">
        <f>'OECD Data IO Table - Total (USD'!B29</f>
        <v>nonenergy industries</v>
      </c>
      <c r="C59">
        <f>SUMIF('OECD Data IO Table - Total (USD'!$E$3:$AW$3,Calculations!C$39,'OECD Data IO Table - Total (USD'!$E29:$AW29)</f>
        <v>1.6</v>
      </c>
      <c r="D59">
        <f>SUMIF('OECD Data IO Table - Total (USD'!$E$3:$AW$3,Calculations!D$39,'OECD Data IO Table - Total (USD'!$E29:$AW29)</f>
        <v>0.3</v>
      </c>
      <c r="E59">
        <f>SUMIF('OECD Data IO Table - Total (USD'!$E$3:$AW$3,Calculations!E$39,'OECD Data IO Table - Total (USD'!$E29:$AW29)</f>
        <v>31.2</v>
      </c>
      <c r="F59">
        <f>SUMIF('OECD Data IO Table - Total (USD'!$E$3:$AW$3,Calculations!F$39,'OECD Data IO Table - Total (USD'!$E29:$AW29)</f>
        <v>1.5</v>
      </c>
      <c r="G59">
        <f>SUMIF('OECD Data IO Table - Total (USD'!$E$3:$AW$3,Calculations!G$39,'OECD Data IO Table - Total (USD'!$E29:$AW29)</f>
        <v>0</v>
      </c>
      <c r="H59">
        <f>SUMIF('OECD Data IO Table - Total (USD'!$E$3:$AW$3,Calculations!H$39,'OECD Data IO Table - Total (USD'!$E29:$AW29)</f>
        <v>0</v>
      </c>
      <c r="I59">
        <f>SUMIF('OECD Data IO Table - Total (USD'!$E$3:$AW$3,Calculations!I$39,'OECD Data IO Table - Total (USD'!$E29:$AW29)</f>
        <v>0.4</v>
      </c>
      <c r="J59">
        <f>SUMIF('OECD Data IO Table - Total (USD'!$E$3:$AW$3,Calculations!J$39,'OECD Data IO Table - Total (USD'!$E29:$AW29)</f>
        <v>53.5</v>
      </c>
    </row>
    <row r="60" spans="1:10" x14ac:dyDescent="0.2">
      <c r="A60" t="str">
        <f>'OECD Data IO Table - Total (USD'!D30</f>
        <v>TTL_35T39: Electricity, gas, water supply, sewerage, waste and remediation services</v>
      </c>
      <c r="B60" t="str">
        <f>'OECD Data IO Table - Total (USD'!B30</f>
        <v>energy suppliers</v>
      </c>
      <c r="C60">
        <f>SUMIF('OECD Data IO Table - Total (USD'!$E$3:$AW$3,Calculations!C$39,'OECD Data IO Table - Total (USD'!$E30:$AW30)</f>
        <v>1</v>
      </c>
      <c r="D60">
        <f>SUMIF('OECD Data IO Table - Total (USD'!$E$3:$AW$3,Calculations!D$39,'OECD Data IO Table - Total (USD'!$E30:$AW30)</f>
        <v>0.30000000000000004</v>
      </c>
      <c r="E60">
        <f>SUMIF('OECD Data IO Table - Total (USD'!$E$3:$AW$3,Calculations!E$39,'OECD Data IO Table - Total (USD'!$E30:$AW30)</f>
        <v>14.5</v>
      </c>
      <c r="F60">
        <f>SUMIF('OECD Data IO Table - Total (USD'!$E$3:$AW$3,Calculations!F$39,'OECD Data IO Table - Total (USD'!$E30:$AW30)</f>
        <v>1.3</v>
      </c>
      <c r="G60">
        <f>SUMIF('OECD Data IO Table - Total (USD'!$E$3:$AW$3,Calculations!G$39,'OECD Data IO Table - Total (USD'!$E30:$AW30)</f>
        <v>0</v>
      </c>
      <c r="H60">
        <f>SUMIF('OECD Data IO Table - Total (USD'!$E$3:$AW$3,Calculations!H$39,'OECD Data IO Table - Total (USD'!$E30:$AW30)</f>
        <v>0</v>
      </c>
      <c r="I60">
        <f>SUMIF('OECD Data IO Table - Total (USD'!$E$3:$AW$3,Calculations!I$39,'OECD Data IO Table - Total (USD'!$E30:$AW30)</f>
        <v>1.7000000000000002</v>
      </c>
      <c r="J60">
        <f>SUMIF('OECD Data IO Table - Total (USD'!$E$3:$AW$3,Calculations!J$39,'OECD Data IO Table - Total (USD'!$E30:$AW30)</f>
        <v>327.60000000000002</v>
      </c>
    </row>
    <row r="61" spans="1:10" x14ac:dyDescent="0.2">
      <c r="A61" t="str">
        <f>'OECD Data IO Table - Total (USD'!D31</f>
        <v>TTL_41T43: Construction</v>
      </c>
      <c r="B61" t="str">
        <f>'OECD Data IO Table - Total (USD'!B31</f>
        <v>nonenergy industries</v>
      </c>
      <c r="C61">
        <f>SUMIF('OECD Data IO Table - Total (USD'!$E$3:$AW$3,Calculations!C$39,'OECD Data IO Table - Total (USD'!$E31:$AW31)</f>
        <v>0.4</v>
      </c>
      <c r="D61">
        <f>SUMIF('OECD Data IO Table - Total (USD'!$E$3:$AW$3,Calculations!D$39,'OECD Data IO Table - Total (USD'!$E31:$AW31)</f>
        <v>0</v>
      </c>
      <c r="E61">
        <f>SUMIF('OECD Data IO Table - Total (USD'!$E$3:$AW$3,Calculations!E$39,'OECD Data IO Table - Total (USD'!$E31:$AW31)</f>
        <v>2.1</v>
      </c>
      <c r="F61">
        <f>SUMIF('OECD Data IO Table - Total (USD'!$E$3:$AW$3,Calculations!F$39,'OECD Data IO Table - Total (USD'!$E31:$AW31)</f>
        <v>0.2</v>
      </c>
      <c r="G61">
        <f>SUMIF('OECD Data IO Table - Total (USD'!$E$3:$AW$3,Calculations!G$39,'OECD Data IO Table - Total (USD'!$E31:$AW31)</f>
        <v>0</v>
      </c>
      <c r="H61">
        <f>SUMIF('OECD Data IO Table - Total (USD'!$E$3:$AW$3,Calculations!H$39,'OECD Data IO Table - Total (USD'!$E31:$AW31)</f>
        <v>0</v>
      </c>
      <c r="I61">
        <f>SUMIF('OECD Data IO Table - Total (USD'!$E$3:$AW$3,Calculations!I$39,'OECD Data IO Table - Total (USD'!$E31:$AW31)</f>
        <v>0.8</v>
      </c>
      <c r="J61">
        <f>SUMIF('OECD Data IO Table - Total (USD'!$E$3:$AW$3,Calculations!J$39,'OECD Data IO Table - Total (USD'!$E31:$AW31)</f>
        <v>12.599999999999996</v>
      </c>
    </row>
    <row r="62" spans="1:10" x14ac:dyDescent="0.2">
      <c r="A62" t="str">
        <f>'OECD Data IO Table - Total (USD'!D32</f>
        <v>TTL_45T47: Wholesale and retail trade; repair of motor vehicles</v>
      </c>
      <c r="B62" t="str">
        <f>'OECD Data IO Table - Total (USD'!B32</f>
        <v>nonenergy industries</v>
      </c>
      <c r="C62">
        <f>SUMIF('OECD Data IO Table - Total (USD'!$E$3:$AW$3,Calculations!C$39,'OECD Data IO Table - Total (USD'!$E32:$AW32)</f>
        <v>461.7</v>
      </c>
      <c r="D62">
        <f>SUMIF('OECD Data IO Table - Total (USD'!$E$3:$AW$3,Calculations!D$39,'OECD Data IO Table - Total (USD'!$E32:$AW32)</f>
        <v>172.2</v>
      </c>
      <c r="E62">
        <f>SUMIF('OECD Data IO Table - Total (USD'!$E$3:$AW$3,Calculations!E$39,'OECD Data IO Table - Total (USD'!$E32:$AW32)</f>
        <v>2750.3</v>
      </c>
      <c r="F62">
        <f>SUMIF('OECD Data IO Table - Total (USD'!$E$3:$AW$3,Calculations!F$39,'OECD Data IO Table - Total (USD'!$E32:$AW32)</f>
        <v>761</v>
      </c>
      <c r="G62">
        <f>SUMIF('OECD Data IO Table - Total (USD'!$E$3:$AW$3,Calculations!G$39,'OECD Data IO Table - Total (USD'!$E32:$AW32)</f>
        <v>0</v>
      </c>
      <c r="H62">
        <f>SUMIF('OECD Data IO Table - Total (USD'!$E$3:$AW$3,Calculations!H$39,'OECD Data IO Table - Total (USD'!$E32:$AW32)</f>
        <v>0</v>
      </c>
      <c r="I62">
        <f>SUMIF('OECD Data IO Table - Total (USD'!$E$3:$AW$3,Calculations!I$39,'OECD Data IO Table - Total (USD'!$E32:$AW32)</f>
        <v>137.60000000000002</v>
      </c>
      <c r="J62">
        <f>SUMIF('OECD Data IO Table - Total (USD'!$E$3:$AW$3,Calculations!J$39,'OECD Data IO Table - Total (USD'!$E32:$AW32)</f>
        <v>9867.1</v>
      </c>
    </row>
    <row r="63" spans="1:10" x14ac:dyDescent="0.2">
      <c r="A63" t="str">
        <f>'OECD Data IO Table - Total (USD'!D33</f>
        <v>TTL_49T53: Transportation and storage</v>
      </c>
      <c r="B63" t="str">
        <f>'OECD Data IO Table - Total (USD'!B33</f>
        <v>nonenergy industries</v>
      </c>
      <c r="C63">
        <f>SUMIF('OECD Data IO Table - Total (USD'!$E$3:$AW$3,Calculations!C$39,'OECD Data IO Table - Total (USD'!$E33:$AW33)</f>
        <v>84.199999999999989</v>
      </c>
      <c r="D63">
        <f>SUMIF('OECD Data IO Table - Total (USD'!$E$3:$AW$3,Calculations!D$39,'OECD Data IO Table - Total (USD'!$E33:$AW33)</f>
        <v>22.5</v>
      </c>
      <c r="E63">
        <f>SUMIF('OECD Data IO Table - Total (USD'!$E$3:$AW$3,Calculations!E$39,'OECD Data IO Table - Total (USD'!$E33:$AW33)</f>
        <v>464.79999999999995</v>
      </c>
      <c r="F63">
        <f>SUMIF('OECD Data IO Table - Total (USD'!$E$3:$AW$3,Calculations!F$39,'OECD Data IO Table - Total (USD'!$E33:$AW33)</f>
        <v>88.59999999999998</v>
      </c>
      <c r="G63">
        <f>SUMIF('OECD Data IO Table - Total (USD'!$E$3:$AW$3,Calculations!G$39,'OECD Data IO Table - Total (USD'!$E33:$AW33)</f>
        <v>0</v>
      </c>
      <c r="H63">
        <f>SUMIF('OECD Data IO Table - Total (USD'!$E$3:$AW$3,Calculations!H$39,'OECD Data IO Table - Total (USD'!$E33:$AW33)</f>
        <v>0</v>
      </c>
      <c r="I63">
        <f>SUMIF('OECD Data IO Table - Total (USD'!$E$3:$AW$3,Calculations!I$39,'OECD Data IO Table - Total (USD'!$E33:$AW33)</f>
        <v>10.6</v>
      </c>
      <c r="J63">
        <f>SUMIF('OECD Data IO Table - Total (USD'!$E$3:$AW$3,Calculations!J$39,'OECD Data IO Table - Total (USD'!$E33:$AW33)</f>
        <v>1030.6000000000001</v>
      </c>
    </row>
    <row r="64" spans="1:10" x14ac:dyDescent="0.2">
      <c r="A64" t="str">
        <f>'OECD Data IO Table - Total (USD'!D34</f>
        <v>TTL_55T56: Accomodation and food services</v>
      </c>
      <c r="B64" t="str">
        <f>'OECD Data IO Table - Total (USD'!B34</f>
        <v>nonenergy industries</v>
      </c>
      <c r="C64">
        <f>SUMIF('OECD Data IO Table - Total (USD'!$E$3:$AW$3,Calculations!C$39,'OECD Data IO Table - Total (USD'!$E34:$AW34)</f>
        <v>0.1</v>
      </c>
      <c r="D64">
        <f>SUMIF('OECD Data IO Table - Total (USD'!$E$3:$AW$3,Calculations!D$39,'OECD Data IO Table - Total (USD'!$E34:$AW34)</f>
        <v>0</v>
      </c>
      <c r="E64">
        <f>SUMIF('OECD Data IO Table - Total (USD'!$E$3:$AW$3,Calculations!E$39,'OECD Data IO Table - Total (USD'!$E34:$AW34)</f>
        <v>0.2</v>
      </c>
      <c r="F64">
        <f>SUMIF('OECD Data IO Table - Total (USD'!$E$3:$AW$3,Calculations!F$39,'OECD Data IO Table - Total (USD'!$E34:$AW34)</f>
        <v>0.1</v>
      </c>
      <c r="G64">
        <f>SUMIF('OECD Data IO Table - Total (USD'!$E$3:$AW$3,Calculations!G$39,'OECD Data IO Table - Total (USD'!$E34:$AW34)</f>
        <v>0</v>
      </c>
      <c r="H64">
        <f>SUMIF('OECD Data IO Table - Total (USD'!$E$3:$AW$3,Calculations!H$39,'OECD Data IO Table - Total (USD'!$E34:$AW34)</f>
        <v>0</v>
      </c>
      <c r="I64">
        <f>SUMIF('OECD Data IO Table - Total (USD'!$E$3:$AW$3,Calculations!I$39,'OECD Data IO Table - Total (USD'!$E34:$AW34)</f>
        <v>0.2</v>
      </c>
      <c r="J64">
        <f>SUMIF('OECD Data IO Table - Total (USD'!$E$3:$AW$3,Calculations!J$39,'OECD Data IO Table - Total (USD'!$E34:$AW34)</f>
        <v>19.600000000000005</v>
      </c>
    </row>
    <row r="65" spans="1:10" x14ac:dyDescent="0.2">
      <c r="A65" t="str">
        <f>'OECD Data IO Table - Total (USD'!D35</f>
        <v>TTL_58T60: Publishing, audiovisual and broadcasting activities</v>
      </c>
      <c r="B65" t="str">
        <f>'OECD Data IO Table - Total (USD'!B35</f>
        <v>nonenergy industries</v>
      </c>
      <c r="C65">
        <f>SUMIF('OECD Data IO Table - Total (USD'!$E$3:$AW$3,Calculations!C$39,'OECD Data IO Table - Total (USD'!$E35:$AW35)</f>
        <v>0.8</v>
      </c>
      <c r="D65">
        <f>SUMIF('OECD Data IO Table - Total (USD'!$E$3:$AW$3,Calculations!D$39,'OECD Data IO Table - Total (USD'!$E35:$AW35)</f>
        <v>0.2</v>
      </c>
      <c r="E65">
        <f>SUMIF('OECD Data IO Table - Total (USD'!$E$3:$AW$3,Calculations!E$39,'OECD Data IO Table - Total (USD'!$E35:$AW35)</f>
        <v>2.2000000000000002</v>
      </c>
      <c r="F65">
        <f>SUMIF('OECD Data IO Table - Total (USD'!$E$3:$AW$3,Calculations!F$39,'OECD Data IO Table - Total (USD'!$E35:$AW35)</f>
        <v>0.89999999999999991</v>
      </c>
      <c r="G65">
        <f>SUMIF('OECD Data IO Table - Total (USD'!$E$3:$AW$3,Calculations!G$39,'OECD Data IO Table - Total (USD'!$E35:$AW35)</f>
        <v>0</v>
      </c>
      <c r="H65">
        <f>SUMIF('OECD Data IO Table - Total (USD'!$E$3:$AW$3,Calculations!H$39,'OECD Data IO Table - Total (USD'!$E35:$AW35)</f>
        <v>0</v>
      </c>
      <c r="I65">
        <f>SUMIF('OECD Data IO Table - Total (USD'!$E$3:$AW$3,Calculations!I$39,'OECD Data IO Table - Total (USD'!$E35:$AW35)</f>
        <v>2.3000000000000003</v>
      </c>
      <c r="J65">
        <f>SUMIF('OECD Data IO Table - Total (USD'!$E$3:$AW$3,Calculations!J$39,'OECD Data IO Table - Total (USD'!$E35:$AW35)</f>
        <v>99</v>
      </c>
    </row>
    <row r="66" spans="1:10" x14ac:dyDescent="0.2">
      <c r="A66" t="str">
        <f>'OECD Data IO Table - Total (USD'!D36</f>
        <v>TTL_61: Telecommunications</v>
      </c>
      <c r="B66" t="str">
        <f>'OECD Data IO Table - Total (USD'!B36</f>
        <v>nonenergy industries</v>
      </c>
      <c r="C66">
        <f>SUMIF('OECD Data IO Table - Total (USD'!$E$3:$AW$3,Calculations!C$39,'OECD Data IO Table - Total (USD'!$E36:$AW36)</f>
        <v>0.2</v>
      </c>
      <c r="D66">
        <f>SUMIF('OECD Data IO Table - Total (USD'!$E$3:$AW$3,Calculations!D$39,'OECD Data IO Table - Total (USD'!$E36:$AW36)</f>
        <v>0</v>
      </c>
      <c r="E66">
        <f>SUMIF('OECD Data IO Table - Total (USD'!$E$3:$AW$3,Calculations!E$39,'OECD Data IO Table - Total (USD'!$E36:$AW36)</f>
        <v>1.4</v>
      </c>
      <c r="F66">
        <f>SUMIF('OECD Data IO Table - Total (USD'!$E$3:$AW$3,Calculations!F$39,'OECD Data IO Table - Total (USD'!$E36:$AW36)</f>
        <v>0.4</v>
      </c>
      <c r="G66">
        <f>SUMIF('OECD Data IO Table - Total (USD'!$E$3:$AW$3,Calculations!G$39,'OECD Data IO Table - Total (USD'!$E36:$AW36)</f>
        <v>0</v>
      </c>
      <c r="H66">
        <f>SUMIF('OECD Data IO Table - Total (USD'!$E$3:$AW$3,Calculations!H$39,'OECD Data IO Table - Total (USD'!$E36:$AW36)</f>
        <v>0</v>
      </c>
      <c r="I66">
        <f>SUMIF('OECD Data IO Table - Total (USD'!$E$3:$AW$3,Calculations!I$39,'OECD Data IO Table - Total (USD'!$E36:$AW36)</f>
        <v>0.79999999999999993</v>
      </c>
      <c r="J66">
        <f>SUMIF('OECD Data IO Table - Total (USD'!$E$3:$AW$3,Calculations!J$39,'OECD Data IO Table - Total (USD'!$E36:$AW36)</f>
        <v>141.09999999999997</v>
      </c>
    </row>
    <row r="67" spans="1:10" x14ac:dyDescent="0.2">
      <c r="A67" t="str">
        <f>'OECD Data IO Table - Total (USD'!D37</f>
        <v>TTL_62T63: IT and other information services</v>
      </c>
      <c r="B67" t="str">
        <f>'OECD Data IO Table - Total (USD'!B37</f>
        <v>nonenergy industries</v>
      </c>
      <c r="C67">
        <f>SUMIF('OECD Data IO Table - Total (USD'!$E$3:$AW$3,Calculations!C$39,'OECD Data IO Table - Total (USD'!$E37:$AW37)</f>
        <v>0.2</v>
      </c>
      <c r="D67">
        <f>SUMIF('OECD Data IO Table - Total (USD'!$E$3:$AW$3,Calculations!D$39,'OECD Data IO Table - Total (USD'!$E37:$AW37)</f>
        <v>0</v>
      </c>
      <c r="E67">
        <f>SUMIF('OECD Data IO Table - Total (USD'!$E$3:$AW$3,Calculations!E$39,'OECD Data IO Table - Total (USD'!$E37:$AW37)</f>
        <v>2.6</v>
      </c>
      <c r="F67">
        <f>SUMIF('OECD Data IO Table - Total (USD'!$E$3:$AW$3,Calculations!F$39,'OECD Data IO Table - Total (USD'!$E37:$AW37)</f>
        <v>0.5</v>
      </c>
      <c r="G67">
        <f>SUMIF('OECD Data IO Table - Total (USD'!$E$3:$AW$3,Calculations!G$39,'OECD Data IO Table - Total (USD'!$E37:$AW37)</f>
        <v>0</v>
      </c>
      <c r="H67">
        <f>SUMIF('OECD Data IO Table - Total (USD'!$E$3:$AW$3,Calculations!H$39,'OECD Data IO Table - Total (USD'!$E37:$AW37)</f>
        <v>0</v>
      </c>
      <c r="I67">
        <f>SUMIF('OECD Data IO Table - Total (USD'!$E$3:$AW$3,Calculations!I$39,'OECD Data IO Table - Total (USD'!$E37:$AW37)</f>
        <v>0.4</v>
      </c>
      <c r="J67">
        <f>SUMIF('OECD Data IO Table - Total (USD'!$E$3:$AW$3,Calculations!J$39,'OECD Data IO Table - Total (USD'!$E37:$AW37)</f>
        <v>80.700000000000017</v>
      </c>
    </row>
    <row r="68" spans="1:10" x14ac:dyDescent="0.2">
      <c r="A68" t="str">
        <f>'OECD Data IO Table - Total (USD'!D38</f>
        <v>TTL_64T66: Financial and insurance activities</v>
      </c>
      <c r="B68" t="str">
        <f>'OECD Data IO Table - Total (USD'!B38</f>
        <v>nonenergy industries</v>
      </c>
      <c r="C68">
        <f>SUMIF('OECD Data IO Table - Total (USD'!$E$3:$AW$3,Calculations!C$39,'OECD Data IO Table - Total (USD'!$E38:$AW38)</f>
        <v>1.3</v>
      </c>
      <c r="D68">
        <f>SUMIF('OECD Data IO Table - Total (USD'!$E$3:$AW$3,Calculations!D$39,'OECD Data IO Table - Total (USD'!$E38:$AW38)</f>
        <v>0.4</v>
      </c>
      <c r="E68">
        <f>SUMIF('OECD Data IO Table - Total (USD'!$E$3:$AW$3,Calculations!E$39,'OECD Data IO Table - Total (USD'!$E38:$AW38)</f>
        <v>12</v>
      </c>
      <c r="F68">
        <f>SUMIF('OECD Data IO Table - Total (USD'!$E$3:$AW$3,Calculations!F$39,'OECD Data IO Table - Total (USD'!$E38:$AW38)</f>
        <v>1.7000000000000002</v>
      </c>
      <c r="G68">
        <f>SUMIF('OECD Data IO Table - Total (USD'!$E$3:$AW$3,Calculations!G$39,'OECD Data IO Table - Total (USD'!$E38:$AW38)</f>
        <v>0</v>
      </c>
      <c r="H68">
        <f>SUMIF('OECD Data IO Table - Total (USD'!$E$3:$AW$3,Calculations!H$39,'OECD Data IO Table - Total (USD'!$E38:$AW38)</f>
        <v>0</v>
      </c>
      <c r="I68">
        <f>SUMIF('OECD Data IO Table - Total (USD'!$E$3:$AW$3,Calculations!I$39,'OECD Data IO Table - Total (USD'!$E38:$AW38)</f>
        <v>1.2000000000000002</v>
      </c>
      <c r="J68">
        <f>SUMIF('OECD Data IO Table - Total (USD'!$E$3:$AW$3,Calculations!J$39,'OECD Data IO Table - Total (USD'!$E38:$AW38)</f>
        <v>933.1</v>
      </c>
    </row>
    <row r="69" spans="1:10" x14ac:dyDescent="0.2">
      <c r="A69" t="str">
        <f>'OECD Data IO Table - Total (USD'!D39</f>
        <v>TTL_68: Real estate activities</v>
      </c>
      <c r="B69" t="str">
        <f>'OECD Data IO Table - Total (USD'!B39</f>
        <v>nonenergy industries</v>
      </c>
      <c r="C69">
        <f>SUMIF('OECD Data IO Table - Total (USD'!$E$3:$AW$3,Calculations!C$39,'OECD Data IO Table - Total (USD'!$E39:$AW39)</f>
        <v>0.6</v>
      </c>
      <c r="D69">
        <f>SUMIF('OECD Data IO Table - Total (USD'!$E$3:$AW$3,Calculations!D$39,'OECD Data IO Table - Total (USD'!$E39:$AW39)</f>
        <v>0.1</v>
      </c>
      <c r="E69">
        <f>SUMIF('OECD Data IO Table - Total (USD'!$E$3:$AW$3,Calculations!E$39,'OECD Data IO Table - Total (USD'!$E39:$AW39)</f>
        <v>4.2</v>
      </c>
      <c r="F69">
        <f>SUMIF('OECD Data IO Table - Total (USD'!$E$3:$AW$3,Calculations!F$39,'OECD Data IO Table - Total (USD'!$E39:$AW39)</f>
        <v>0.30000000000000004</v>
      </c>
      <c r="G69">
        <f>SUMIF('OECD Data IO Table - Total (USD'!$E$3:$AW$3,Calculations!G$39,'OECD Data IO Table - Total (USD'!$E39:$AW39)</f>
        <v>0</v>
      </c>
      <c r="H69">
        <f>SUMIF('OECD Data IO Table - Total (USD'!$E$3:$AW$3,Calculations!H$39,'OECD Data IO Table - Total (USD'!$E39:$AW39)</f>
        <v>0</v>
      </c>
      <c r="I69">
        <f>SUMIF('OECD Data IO Table - Total (USD'!$E$3:$AW$3,Calculations!I$39,'OECD Data IO Table - Total (USD'!$E39:$AW39)</f>
        <v>1.3</v>
      </c>
      <c r="J69">
        <f>SUMIF('OECD Data IO Table - Total (USD'!$E$3:$AW$3,Calculations!J$39,'OECD Data IO Table - Total (USD'!$E39:$AW39)</f>
        <v>228.49999999999997</v>
      </c>
    </row>
    <row r="70" spans="1:10" x14ac:dyDescent="0.2">
      <c r="A70" t="str">
        <f>'OECD Data IO Table - Total (USD'!D40</f>
        <v>TTL_69T82: Other business sector services</v>
      </c>
      <c r="B70" t="str">
        <f>'OECD Data IO Table - Total (USD'!B40</f>
        <v>nonenergy industries</v>
      </c>
      <c r="C70">
        <f>SUMIF('OECD Data IO Table - Total (USD'!$E$3:$AW$3,Calculations!C$39,'OECD Data IO Table - Total (USD'!$E40:$AW40)</f>
        <v>0.8</v>
      </c>
      <c r="D70">
        <f>SUMIF('OECD Data IO Table - Total (USD'!$E$3:$AW$3,Calculations!D$39,'OECD Data IO Table - Total (USD'!$E40:$AW40)</f>
        <v>0.30000000000000004</v>
      </c>
      <c r="E70">
        <f>SUMIF('OECD Data IO Table - Total (USD'!$E$3:$AW$3,Calculations!E$39,'OECD Data IO Table - Total (USD'!$E40:$AW40)</f>
        <v>6.3000000000000007</v>
      </c>
      <c r="F70">
        <f>SUMIF('OECD Data IO Table - Total (USD'!$E$3:$AW$3,Calculations!F$39,'OECD Data IO Table - Total (USD'!$E40:$AW40)</f>
        <v>2.7</v>
      </c>
      <c r="G70">
        <f>SUMIF('OECD Data IO Table - Total (USD'!$E$3:$AW$3,Calculations!G$39,'OECD Data IO Table - Total (USD'!$E40:$AW40)</f>
        <v>0</v>
      </c>
      <c r="H70">
        <f>SUMIF('OECD Data IO Table - Total (USD'!$E$3:$AW$3,Calculations!H$39,'OECD Data IO Table - Total (USD'!$E40:$AW40)</f>
        <v>0</v>
      </c>
      <c r="I70">
        <f>SUMIF('OECD Data IO Table - Total (USD'!$E$3:$AW$3,Calculations!I$39,'OECD Data IO Table - Total (USD'!$E40:$AW40)</f>
        <v>4.5999999999999996</v>
      </c>
      <c r="J70">
        <f>SUMIF('OECD Data IO Table - Total (USD'!$E$3:$AW$3,Calculations!J$39,'OECD Data IO Table - Total (USD'!$E40:$AW40)</f>
        <v>656.60000000000014</v>
      </c>
    </row>
    <row r="71" spans="1:10" x14ac:dyDescent="0.2">
      <c r="A71" t="str">
        <f>'OECD Data IO Table - Total (USD'!D41</f>
        <v>TTL_84: Public administration and defence; compulsory social security</v>
      </c>
      <c r="B71" t="str">
        <f>'OECD Data IO Table - Total (USD'!B41</f>
        <v>government</v>
      </c>
      <c r="C71">
        <f>SUMIF('OECD Data IO Table - Total (USD'!$E$3:$AW$3,Calculations!C$39,'OECD Data IO Table - Total (USD'!$E41:$AW41)</f>
        <v>0.1</v>
      </c>
      <c r="D71">
        <f>SUMIF('OECD Data IO Table - Total (USD'!$E$3:$AW$3,Calculations!D$39,'OECD Data IO Table - Total (USD'!$E41:$AW41)</f>
        <v>0</v>
      </c>
      <c r="E71">
        <f>SUMIF('OECD Data IO Table - Total (USD'!$E$3:$AW$3,Calculations!E$39,'OECD Data IO Table - Total (USD'!$E41:$AW41)</f>
        <v>2.1</v>
      </c>
      <c r="F71">
        <f>SUMIF('OECD Data IO Table - Total (USD'!$E$3:$AW$3,Calculations!F$39,'OECD Data IO Table - Total (USD'!$E41:$AW41)</f>
        <v>0.30000000000000004</v>
      </c>
      <c r="G71">
        <f>SUMIF('OECD Data IO Table - Total (USD'!$E$3:$AW$3,Calculations!G$39,'OECD Data IO Table - Total (USD'!$E41:$AW41)</f>
        <v>0</v>
      </c>
      <c r="H71">
        <f>SUMIF('OECD Data IO Table - Total (USD'!$E$3:$AW$3,Calculations!H$39,'OECD Data IO Table - Total (USD'!$E41:$AW41)</f>
        <v>0</v>
      </c>
      <c r="I71">
        <f>SUMIF('OECD Data IO Table - Total (USD'!$E$3:$AW$3,Calculations!I$39,'OECD Data IO Table - Total (USD'!$E41:$AW41)</f>
        <v>0.1</v>
      </c>
      <c r="J71">
        <f>SUMIF('OECD Data IO Table - Total (USD'!$E$3:$AW$3,Calculations!J$39,'OECD Data IO Table - Total (USD'!$E41:$AW41)</f>
        <v>27.9</v>
      </c>
    </row>
    <row r="72" spans="1:10" x14ac:dyDescent="0.2">
      <c r="A72" t="str">
        <f>'OECD Data IO Table - Total (USD'!D42</f>
        <v>TTL_85: Education</v>
      </c>
      <c r="B72" t="str">
        <f>'OECD Data IO Table - Total (USD'!B42</f>
        <v>nonenergy industries</v>
      </c>
      <c r="C72">
        <f>SUMIF('OECD Data IO Table - Total (USD'!$E$3:$AW$3,Calculations!C$39,'OECD Data IO Table - Total (USD'!$E42:$AW42)</f>
        <v>0.2</v>
      </c>
      <c r="D72">
        <f>SUMIF('OECD Data IO Table - Total (USD'!$E$3:$AW$3,Calculations!D$39,'OECD Data IO Table - Total (USD'!$E42:$AW42)</f>
        <v>0</v>
      </c>
      <c r="E72">
        <f>SUMIF('OECD Data IO Table - Total (USD'!$E$3:$AW$3,Calculations!E$39,'OECD Data IO Table - Total (USD'!$E42:$AW42)</f>
        <v>1.2</v>
      </c>
      <c r="F72">
        <f>SUMIF('OECD Data IO Table - Total (USD'!$E$3:$AW$3,Calculations!F$39,'OECD Data IO Table - Total (USD'!$E42:$AW42)</f>
        <v>0.2</v>
      </c>
      <c r="G72">
        <f>SUMIF('OECD Data IO Table - Total (USD'!$E$3:$AW$3,Calculations!G$39,'OECD Data IO Table - Total (USD'!$E42:$AW42)</f>
        <v>0</v>
      </c>
      <c r="H72">
        <f>SUMIF('OECD Data IO Table - Total (USD'!$E$3:$AW$3,Calculations!H$39,'OECD Data IO Table - Total (USD'!$E42:$AW42)</f>
        <v>0</v>
      </c>
      <c r="I72">
        <f>SUMIF('OECD Data IO Table - Total (USD'!$E$3:$AW$3,Calculations!I$39,'OECD Data IO Table - Total (USD'!$E42:$AW42)</f>
        <v>0.5</v>
      </c>
      <c r="J72">
        <f>SUMIF('OECD Data IO Table - Total (USD'!$E$3:$AW$3,Calculations!J$39,'OECD Data IO Table - Total (USD'!$E42:$AW42)</f>
        <v>88.499999999999986</v>
      </c>
    </row>
    <row r="73" spans="1:10" x14ac:dyDescent="0.2">
      <c r="A73" t="str">
        <f>'OECD Data IO Table - Total (USD'!D43</f>
        <v>TTL_86T88: Human health and social work</v>
      </c>
      <c r="B73" t="str">
        <f>'OECD Data IO Table - Total (USD'!B43</f>
        <v>nonenergy industries</v>
      </c>
      <c r="C73">
        <f>SUMIF('OECD Data IO Table - Total (USD'!$E$3:$AW$3,Calculations!C$39,'OECD Data IO Table - Total (USD'!$E43:$AW43)</f>
        <v>0.1</v>
      </c>
      <c r="D73">
        <f>SUMIF('OECD Data IO Table - Total (USD'!$E$3:$AW$3,Calculations!D$39,'OECD Data IO Table - Total (USD'!$E43:$AW43)</f>
        <v>0.1</v>
      </c>
      <c r="E73">
        <f>SUMIF('OECD Data IO Table - Total (USD'!$E$3:$AW$3,Calculations!E$39,'OECD Data IO Table - Total (USD'!$E43:$AW43)</f>
        <v>0.8</v>
      </c>
      <c r="F73">
        <f>SUMIF('OECD Data IO Table - Total (USD'!$E$3:$AW$3,Calculations!F$39,'OECD Data IO Table - Total (USD'!$E43:$AW43)</f>
        <v>0.30000000000000004</v>
      </c>
      <c r="G73">
        <f>SUMIF('OECD Data IO Table - Total (USD'!$E$3:$AW$3,Calculations!G$39,'OECD Data IO Table - Total (USD'!$E43:$AW43)</f>
        <v>0</v>
      </c>
      <c r="H73">
        <f>SUMIF('OECD Data IO Table - Total (USD'!$E$3:$AW$3,Calculations!H$39,'OECD Data IO Table - Total (USD'!$E43:$AW43)</f>
        <v>0</v>
      </c>
      <c r="I73">
        <f>SUMIF('OECD Data IO Table - Total (USD'!$E$3:$AW$3,Calculations!I$39,'OECD Data IO Table - Total (USD'!$E43:$AW43)</f>
        <v>0</v>
      </c>
      <c r="J73">
        <f>SUMIF('OECD Data IO Table - Total (USD'!$E$3:$AW$3,Calculations!J$39,'OECD Data IO Table - Total (USD'!$E43:$AW43)</f>
        <v>18.600000000000001</v>
      </c>
    </row>
    <row r="74" spans="1:10" x14ac:dyDescent="0.2">
      <c r="A74" t="str">
        <f>'OECD Data IO Table - Total (USD'!D44</f>
        <v>TTL_90T96: Arts, entertainment, recreation and other service activities</v>
      </c>
      <c r="B74" t="str">
        <f>'OECD Data IO Table - Total (USD'!B44</f>
        <v>nonenergy industries</v>
      </c>
      <c r="C74">
        <f>SUMIF('OECD Data IO Table - Total (USD'!$E$3:$AW$3,Calculations!C$39,'OECD Data IO Table - Total (USD'!$E44:$AW44)</f>
        <v>2.6</v>
      </c>
      <c r="D74">
        <f>SUMIF('OECD Data IO Table - Total (USD'!$E$3:$AW$3,Calculations!D$39,'OECD Data IO Table - Total (USD'!$E44:$AW44)</f>
        <v>1</v>
      </c>
      <c r="E74">
        <f>SUMIF('OECD Data IO Table - Total (USD'!$E$3:$AW$3,Calculations!E$39,'OECD Data IO Table - Total (USD'!$E44:$AW44)</f>
        <v>19.599999999999998</v>
      </c>
      <c r="F74">
        <f>SUMIF('OECD Data IO Table - Total (USD'!$E$3:$AW$3,Calculations!F$39,'OECD Data IO Table - Total (USD'!$E44:$AW44)</f>
        <v>5.5</v>
      </c>
      <c r="G74">
        <f>SUMIF('OECD Data IO Table - Total (USD'!$E$3:$AW$3,Calculations!G$39,'OECD Data IO Table - Total (USD'!$E44:$AW44)</f>
        <v>0</v>
      </c>
      <c r="H74">
        <f>SUMIF('OECD Data IO Table - Total (USD'!$E$3:$AW$3,Calculations!H$39,'OECD Data IO Table - Total (USD'!$E44:$AW44)</f>
        <v>0</v>
      </c>
      <c r="I74">
        <f>SUMIF('OECD Data IO Table - Total (USD'!$E$3:$AW$3,Calculations!I$39,'OECD Data IO Table - Total (USD'!$E44:$AW44)</f>
        <v>4.5999999999999996</v>
      </c>
      <c r="J74">
        <f>SUMIF('OECD Data IO Table - Total (USD'!$E$3:$AW$3,Calculations!J$39,'OECD Data IO Table - Total (USD'!$E44:$AW44)</f>
        <v>378.7</v>
      </c>
    </row>
    <row r="75" spans="1:10" x14ac:dyDescent="0.2">
      <c r="A75" t="str">
        <f>'OECD Data IO Table - Total (USD'!D45</f>
        <v>TTL_97T98: Private households with employed persons</v>
      </c>
      <c r="B75" t="str">
        <f>'OECD Data IO Table - Total (USD'!B45</f>
        <v>labor and consumers</v>
      </c>
      <c r="C75">
        <f>SUMIF('OECD Data IO Table - Total (USD'!$E$3:$AW$3,Calculations!C$39,'OECD Data IO Table - Total (USD'!$E45:$AW45)</f>
        <v>0</v>
      </c>
      <c r="D75">
        <f>SUMIF('OECD Data IO Table - Total (USD'!$E$3:$AW$3,Calculations!D$39,'OECD Data IO Table - Total (USD'!$E45:$AW45)</f>
        <v>0</v>
      </c>
      <c r="E75">
        <f>SUMIF('OECD Data IO Table - Total (USD'!$E$3:$AW$3,Calculations!E$39,'OECD Data IO Table - Total (USD'!$E45:$AW45)</f>
        <v>0</v>
      </c>
      <c r="F75">
        <f>SUMIF('OECD Data IO Table - Total (USD'!$E$3:$AW$3,Calculations!F$39,'OECD Data IO Table - Total (USD'!$E45:$AW45)</f>
        <v>0</v>
      </c>
      <c r="G75">
        <f>SUMIF('OECD Data IO Table - Total (USD'!$E$3:$AW$3,Calculations!G$39,'OECD Data IO Table - Total (USD'!$E45:$AW45)</f>
        <v>0</v>
      </c>
      <c r="H75">
        <f>SUMIF('OECD Data IO Table - Total (USD'!$E$3:$AW$3,Calculations!H$39,'OECD Data IO Table - Total (USD'!$E45:$AW45)</f>
        <v>0</v>
      </c>
      <c r="I75">
        <f>SUMIF('OECD Data IO Table - Total (USD'!$E$3:$AW$3,Calculations!I$39,'OECD Data IO Table - Total (USD'!$E45:$AW45)</f>
        <v>0</v>
      </c>
      <c r="J75">
        <f>SUMIF('OECD Data IO Table - Total (USD'!$E$3:$AW$3,Calculations!J$39,'OECD Data IO Table - Total (USD'!$E45:$AW45)</f>
        <v>0</v>
      </c>
    </row>
    <row r="76" spans="1:10" x14ac:dyDescent="0.2">
      <c r="A76" t="str">
        <f>'OECD Data IO Table - Total (USD'!D46</f>
        <v>TXS_IMP_FNL: Taxes less subsidies on intermediate and final products (paid in foreign countries)</v>
      </c>
      <c r="B76" t="str">
        <f>'OECD Data IO Table - Total (USD'!B46</f>
        <v>government</v>
      </c>
      <c r="C76">
        <f>SUMIF('OECD Data IO Table - Total (USD'!$E$3:$AW$3,Calculations!C$39,'OECD Data IO Table - Total (USD'!$E46:$AW46)</f>
        <v>0</v>
      </c>
      <c r="D76">
        <f>SUMIF('OECD Data IO Table - Total (USD'!$E$3:$AW$3,Calculations!D$39,'OECD Data IO Table - Total (USD'!$E46:$AW46)</f>
        <v>0</v>
      </c>
      <c r="E76">
        <f>SUMIF('OECD Data IO Table - Total (USD'!$E$3:$AW$3,Calculations!E$39,'OECD Data IO Table - Total (USD'!$E46:$AW46)</f>
        <v>0</v>
      </c>
      <c r="F76">
        <f>SUMIF('OECD Data IO Table - Total (USD'!$E$3:$AW$3,Calculations!F$39,'OECD Data IO Table - Total (USD'!$E46:$AW46)</f>
        <v>0</v>
      </c>
      <c r="G76">
        <f>SUMIF('OECD Data IO Table - Total (USD'!$E$3:$AW$3,Calculations!G$39,'OECD Data IO Table - Total (USD'!$E46:$AW46)</f>
        <v>0</v>
      </c>
      <c r="H76">
        <f>SUMIF('OECD Data IO Table - Total (USD'!$E$3:$AW$3,Calculations!H$39,'OECD Data IO Table - Total (USD'!$E46:$AW46)</f>
        <v>0</v>
      </c>
      <c r="I76">
        <f>SUMIF('OECD Data IO Table - Total (USD'!$E$3:$AW$3,Calculations!I$39,'OECD Data IO Table - Total (USD'!$E46:$AW46)</f>
        <v>0</v>
      </c>
      <c r="J76">
        <f>SUMIF('OECD Data IO Table - Total (USD'!$E$3:$AW$3,Calculations!J$39,'OECD Data IO Table - Total (USD'!$E46:$AW46)</f>
        <v>0</v>
      </c>
    </row>
    <row r="77" spans="1:10" x14ac:dyDescent="0.2">
      <c r="A77" t="str">
        <f>'OECD Data IO Table - Total (USD'!D47</f>
        <v>TXS_INT_FNL: Taxes less subsidies on intermediate and final products (paid in domestic agencies, includes duty on imported products)</v>
      </c>
      <c r="B77" t="str">
        <f>'OECD Data IO Table - Total (USD'!B47</f>
        <v>government</v>
      </c>
      <c r="C77">
        <f>SUMIF('OECD Data IO Table - Total (USD'!$E$3:$AW$3,Calculations!C$39,'OECD Data IO Table - Total (USD'!$E47:$AW47)</f>
        <v>20</v>
      </c>
      <c r="D77">
        <f>SUMIF('OECD Data IO Table - Total (USD'!$E$3:$AW$3,Calculations!D$39,'OECD Data IO Table - Total (USD'!$E47:$AW47)</f>
        <v>17.5</v>
      </c>
      <c r="E77">
        <f>SUMIF('OECD Data IO Table - Total (USD'!$E$3:$AW$3,Calculations!E$39,'OECD Data IO Table - Total (USD'!$E47:$AW47)</f>
        <v>162.69999999999999</v>
      </c>
      <c r="F77">
        <f>SUMIF('OECD Data IO Table - Total (USD'!$E$3:$AW$3,Calculations!F$39,'OECD Data IO Table - Total (USD'!$E47:$AW47)</f>
        <v>39.200000000000003</v>
      </c>
      <c r="G77">
        <f>SUMIF('OECD Data IO Table - Total (USD'!$E$3:$AW$3,Calculations!G$39,'OECD Data IO Table - Total (USD'!$E47:$AW47)</f>
        <v>0</v>
      </c>
      <c r="H77">
        <f>SUMIF('OECD Data IO Table - Total (USD'!$E$3:$AW$3,Calculations!H$39,'OECD Data IO Table - Total (USD'!$E47:$AW47)</f>
        <v>0</v>
      </c>
      <c r="I77">
        <f>SUMIF('OECD Data IO Table - Total (USD'!$E$3:$AW$3,Calculations!I$39,'OECD Data IO Table - Total (USD'!$E47:$AW47)</f>
        <v>3</v>
      </c>
      <c r="J77">
        <f>SUMIF('OECD Data IO Table - Total (USD'!$E$3:$AW$3,Calculations!J$39,'OECD Data IO Table - Total (USD'!$E47:$AW47)</f>
        <v>319.20000000000005</v>
      </c>
    </row>
    <row r="78" spans="1:10" x14ac:dyDescent="0.2">
      <c r="A78" t="str">
        <f>'OECD Data IO Table - Total (USD'!D48</f>
        <v>TTL_INT_FNL: Total intermediate consumption at purchasers’ prices</v>
      </c>
      <c r="B78" t="str">
        <f>'OECD Data IO Table - Total (USD'!B48</f>
        <v>total</v>
      </c>
      <c r="C78">
        <f>SUMIF('OECD Data IO Table - Total (USD'!$E$3:$AW$3,Calculations!C$39,'OECD Data IO Table - Total (USD'!$E48:$AW48)</f>
        <v>1228.3</v>
      </c>
      <c r="D78">
        <f>SUMIF('OECD Data IO Table - Total (USD'!$E$3:$AW$3,Calculations!D$39,'OECD Data IO Table - Total (USD'!$E48:$AW48)</f>
        <v>377.9</v>
      </c>
      <c r="E78">
        <f>SUMIF('OECD Data IO Table - Total (USD'!$E$3:$AW$3,Calculations!E$39,'OECD Data IO Table - Total (USD'!$E48:$AW48)</f>
        <v>11480.1</v>
      </c>
      <c r="F78">
        <f>SUMIF('OECD Data IO Table - Total (USD'!$E$3:$AW$3,Calculations!F$39,'OECD Data IO Table - Total (USD'!$E48:$AW48)</f>
        <v>1611.8</v>
      </c>
      <c r="G78">
        <f>SUMIF('OECD Data IO Table - Total (USD'!$E$3:$AW$3,Calculations!G$39,'OECD Data IO Table - Total (USD'!$E48:$AW48)</f>
        <v>0</v>
      </c>
      <c r="H78">
        <f>SUMIF('OECD Data IO Table - Total (USD'!$E$3:$AW$3,Calculations!H$39,'OECD Data IO Table - Total (USD'!$E48:$AW48)</f>
        <v>0</v>
      </c>
      <c r="I78">
        <f>SUMIF('OECD Data IO Table - Total (USD'!$E$3:$AW$3,Calculations!I$39,'OECD Data IO Table - Total (USD'!$E48:$AW48)</f>
        <v>304.2</v>
      </c>
      <c r="J78">
        <f>SUMIF('OECD Data IO Table - Total (USD'!$E$3:$AW$3,Calculations!J$39,'OECD Data IO Table - Total (USD'!$E48:$AW48)</f>
        <v>31110.799999999999</v>
      </c>
    </row>
    <row r="79" spans="1:10" x14ac:dyDescent="0.2">
      <c r="A79" t="str">
        <f>'OECD Data IO Table - Total (USD'!D49</f>
        <v>VALU: Value added at basic prices</v>
      </c>
      <c r="B79" t="str">
        <f>'OECD Data IO Table - Total (USD'!B49</f>
        <v>value add</v>
      </c>
      <c r="C79">
        <f>SUMIF('OECD Data IO Table - Total (USD'!$E$3:$AW$3,Calculations!C$39,'OECD Data IO Table - Total (USD'!$E49:$AW49)</f>
        <v>50</v>
      </c>
      <c r="D79">
        <f>SUMIF('OECD Data IO Table - Total (USD'!$E$3:$AW$3,Calculations!D$39,'OECD Data IO Table - Total (USD'!$E49:$AW49)</f>
        <v>35.299999999999997</v>
      </c>
      <c r="E79">
        <f>SUMIF('OECD Data IO Table - Total (USD'!$E$3:$AW$3,Calculations!E$39,'OECD Data IO Table - Total (USD'!$E49:$AW49)</f>
        <v>28.2</v>
      </c>
      <c r="F79">
        <f>SUMIF('OECD Data IO Table - Total (USD'!$E$3:$AW$3,Calculations!F$39,'OECD Data IO Table - Total (USD'!$E49:$AW49)</f>
        <v>60.9</v>
      </c>
      <c r="G79">
        <f>SUMIF('OECD Data IO Table - Total (USD'!$E$3:$AW$3,Calculations!G$39,'OECD Data IO Table - Total (USD'!$E49:$AW49)</f>
        <v>0</v>
      </c>
      <c r="H79">
        <f>SUMIF('OECD Data IO Table - Total (USD'!$E$3:$AW$3,Calculations!H$39,'OECD Data IO Table - Total (USD'!$E49:$AW49)</f>
        <v>0</v>
      </c>
      <c r="I79">
        <f>SUMIF('OECD Data IO Table - Total (USD'!$E$3:$AW$3,Calculations!I$39,'OECD Data IO Table - Total (USD'!$E49:$AW49)</f>
        <v>210.10000000000002</v>
      </c>
      <c r="J79">
        <f>SUMIF('OECD Data IO Table - Total (USD'!$E$3:$AW$3,Calculations!J$39,'OECD Data IO Table - Total (USD'!$E49:$AW49)</f>
        <v>3637.2999999999997</v>
      </c>
    </row>
    <row r="80" spans="1:10" x14ac:dyDescent="0.2">
      <c r="A80" t="str">
        <f>'OECD Data IO Table - Total (USD'!D50</f>
        <v>OUTPUT: Output at basic prices</v>
      </c>
      <c r="B80" t="str">
        <f>'OECD Data IO Table - Total (USD'!B50</f>
        <v>output</v>
      </c>
      <c r="C80">
        <f>SUMIF('OECD Data IO Table - Total (USD'!$E$3:$AW$3,Calculations!C$39,'OECD Data IO Table - Total (USD'!$E50:$AW50)</f>
        <v>1278.3</v>
      </c>
      <c r="D80">
        <f>SUMIF('OECD Data IO Table - Total (USD'!$E$3:$AW$3,Calculations!D$39,'OECD Data IO Table - Total (USD'!$E50:$AW50)</f>
        <v>413.2</v>
      </c>
      <c r="E80">
        <f>SUMIF('OECD Data IO Table - Total (USD'!$E$3:$AW$3,Calculations!E$39,'OECD Data IO Table - Total (USD'!$E50:$AW50)</f>
        <v>11508.3</v>
      </c>
      <c r="F80">
        <f>SUMIF('OECD Data IO Table - Total (USD'!$E$3:$AW$3,Calculations!F$39,'OECD Data IO Table - Total (USD'!$E50:$AW50)</f>
        <v>1671.8</v>
      </c>
      <c r="G80">
        <f>SUMIF('OECD Data IO Table - Total (USD'!$E$3:$AW$3,Calculations!G$39,'OECD Data IO Table - Total (USD'!$E50:$AW50)</f>
        <v>0</v>
      </c>
      <c r="H80">
        <f>SUMIF('OECD Data IO Table - Total (USD'!$E$3:$AW$3,Calculations!H$39,'OECD Data IO Table - Total (USD'!$E50:$AW50)</f>
        <v>0</v>
      </c>
      <c r="I80">
        <f>SUMIF('OECD Data IO Table - Total (USD'!$E$3:$AW$3,Calculations!I$39,'OECD Data IO Table - Total (USD'!$E50:$AW50)</f>
        <v>514.29999999999995</v>
      </c>
      <c r="J80">
        <f>SUMIF('OECD Data IO Table - Total (USD'!$E$3:$AW$3,Calculations!J$39,'OECD Data IO Table - Total (USD'!$E50:$AW50)</f>
        <v>34748</v>
      </c>
    </row>
    <row r="81" spans="1:10" x14ac:dyDescent="0.2">
      <c r="A81" t="s">
        <v>191</v>
      </c>
      <c r="B81" t="s">
        <v>85</v>
      </c>
      <c r="C81">
        <f>SUMIF('OECD Data IO Table - Value USD'!$E$3:$AN$3,Calculations!C$39,'OECD Data IO Table - Value USD'!$E10:$AN10)</f>
        <v>133.28826168224299</v>
      </c>
      <c r="D81">
        <f>SUMIF('OECD Data IO Table - Value USD'!$E$3:$AN$3,Calculations!D$39,'OECD Data IO Table - Value USD'!$E10:$AN10)</f>
        <v>175.96048598130841</v>
      </c>
      <c r="E81">
        <f>SUMIF('OECD Data IO Table - Value USD'!$E$3:$AN$3,Calculations!E$39,'OECD Data IO Table - Value USD'!$E10:$AN10)</f>
        <v>138.88586915887851</v>
      </c>
      <c r="F81">
        <f>SUMIF('OECD Data IO Table - Value USD'!$E$3:$AN$3,Calculations!F$39,'OECD Data IO Table - Value USD'!$E10:$AN10)</f>
        <v>724.16472897196263</v>
      </c>
      <c r="G81">
        <f>SUMIF('OECD Data IO Table - Value USD'!$E$3:$AN$3,Calculations!G$39,'OECD Data IO Table - Value USD'!$E10:$AN10)</f>
        <v>0</v>
      </c>
      <c r="H81">
        <f>SUMIF('OECD Data IO Table - Value USD'!$E$3:$AN$3,Calculations!H$39,'OECD Data IO Table - Value USD'!$E10:$AN10)</f>
        <v>0</v>
      </c>
      <c r="I81">
        <f>SUMIF('OECD Data IO Table - Value USD'!$E$3:$AN$3,Calculations!I$39,'OECD Data IO Table - Value USD'!$E10:$AN10)</f>
        <v>462.70822429906542</v>
      </c>
      <c r="J81">
        <f>SUMIF('OECD Data IO Table - Value USD'!$E$3:$AN$3,Calculations!J$39,'OECD Data IO Table - Value USD'!$E10:$AN10)</f>
        <v>18245.078411214956</v>
      </c>
    </row>
    <row r="82" spans="1:10" x14ac:dyDescent="0.2">
      <c r="A82" t="s">
        <v>192</v>
      </c>
      <c r="B82" t="s">
        <v>76</v>
      </c>
      <c r="C82">
        <f>SUMIF('OECD Data IO Table - Value USD'!$E$3:$AN$3,Calculations!C$39,'OECD Data IO Table - Value USD'!$E11:$AN11)</f>
        <v>9.5025079696696437</v>
      </c>
      <c r="D82">
        <f>SUMIF('OECD Data IO Table - Value USD'!$E$3:$AN$3,Calculations!D$39,'OECD Data IO Table - Value USD'!$E11:$AN11)</f>
        <v>102.01627434578198</v>
      </c>
      <c r="E82">
        <f>SUMIF('OECD Data IO Table - Value USD'!$E$3:$AN$3,Calculations!E$39,'OECD Data IO Table - Value USD'!$E11:$AN11)</f>
        <v>2.7762365353592631</v>
      </c>
      <c r="F82">
        <f>SUMIF('OECD Data IO Table - Value USD'!$E$3:$AN$3,Calculations!F$39,'OECD Data IO Table - Value USD'!$E11:$AN11)</f>
        <v>47.515516513682769</v>
      </c>
      <c r="G82">
        <f>SUMIF('OECD Data IO Table - Value USD'!$E$3:$AN$3,Calculations!G$39,'OECD Data IO Table - Value USD'!$E11:$AN11)</f>
        <v>0</v>
      </c>
      <c r="H82">
        <f>SUMIF('OECD Data IO Table - Value USD'!$E$3:$AN$3,Calculations!H$39,'OECD Data IO Table - Value USD'!$E11:$AN11)</f>
        <v>0</v>
      </c>
      <c r="I82">
        <f>SUMIF('OECD Data IO Table - Value USD'!$E$3:$AN$3,Calculations!I$39,'OECD Data IO Table - Value USD'!$E11:$AN11)</f>
        <v>8.8367271565080756</v>
      </c>
      <c r="J82">
        <f>SUMIF('OECD Data IO Table - Value USD'!$E$3:$AN$3,Calculations!J$39,'OECD Data IO Table - Value USD'!$E11:$AN11)</f>
        <v>644.12358840914192</v>
      </c>
    </row>
    <row r="83" spans="1:10" s="9" customFormat="1" x14ac:dyDescent="0.2">
      <c r="A83" s="9" t="s">
        <v>303</v>
      </c>
      <c r="C83" s="9">
        <f>SUM(C40:C77,C81,C82)</f>
        <v>1371.0907696519123</v>
      </c>
      <c r="D83" s="9">
        <f t="shared" ref="D83:J83" si="11">SUM(D40:D77,D81,D82)</f>
        <v>655.67676032709051</v>
      </c>
      <c r="E83" s="9">
        <f t="shared" si="11"/>
        <v>12283.262105694241</v>
      </c>
      <c r="F83" s="9">
        <f t="shared" si="11"/>
        <v>2383.3802454856459</v>
      </c>
      <c r="G83" s="9">
        <f t="shared" si="11"/>
        <v>0</v>
      </c>
      <c r="H83" s="9">
        <f t="shared" si="11"/>
        <v>0</v>
      </c>
      <c r="I83" s="9">
        <f t="shared" si="11"/>
        <v>775.64495145557362</v>
      </c>
      <c r="J83" s="9">
        <f t="shared" si="11"/>
        <v>49782.703249332189</v>
      </c>
    </row>
    <row r="85" spans="1:10" s="21" customFormat="1" x14ac:dyDescent="0.2">
      <c r="A85" s="21" t="s">
        <v>304</v>
      </c>
    </row>
    <row r="86" spans="1:10" x14ac:dyDescent="0.2">
      <c r="B86" t="s">
        <v>77</v>
      </c>
      <c r="C86" t="s">
        <v>81</v>
      </c>
      <c r="D86" t="s">
        <v>86</v>
      </c>
      <c r="E86" t="s">
        <v>89</v>
      </c>
      <c r="F86" t="s">
        <v>92</v>
      </c>
      <c r="G86" t="s">
        <v>95</v>
      </c>
      <c r="H86" t="s">
        <v>97</v>
      </c>
      <c r="I86" t="s">
        <v>100</v>
      </c>
      <c r="J86" s="10"/>
    </row>
    <row r="87" spans="1:10" x14ac:dyDescent="0.2">
      <c r="A87" s="3" t="s">
        <v>76</v>
      </c>
      <c r="B87">
        <f>SUMIF($B$40:$B$82,$A87,C$40:C$82)</f>
        <v>29.602507969669645</v>
      </c>
      <c r="C87">
        <f t="shared" ref="C87:I87" si="12">SUMIF($B$40:$B$82,$A87,D$40:D$82)</f>
        <v>119.51627434578198</v>
      </c>
      <c r="D87">
        <f t="shared" si="12"/>
        <v>167.57623653535924</v>
      </c>
      <c r="E87">
        <f t="shared" si="12"/>
        <v>87.015516513682769</v>
      </c>
      <c r="F87">
        <f t="shared" si="12"/>
        <v>0</v>
      </c>
      <c r="G87">
        <f t="shared" si="12"/>
        <v>0</v>
      </c>
      <c r="H87">
        <f t="shared" si="12"/>
        <v>11.936727156508075</v>
      </c>
      <c r="I87">
        <f t="shared" si="12"/>
        <v>991.22358840914194</v>
      </c>
    </row>
    <row r="88" spans="1:10" x14ac:dyDescent="0.2">
      <c r="A88" s="3" t="s">
        <v>79</v>
      </c>
      <c r="B88">
        <f t="shared" ref="B88:I95" si="13">SUMIF($B$40:$B$82,$A88,C$40:C$82)</f>
        <v>1152.9999999999998</v>
      </c>
      <c r="C88">
        <f t="shared" si="13"/>
        <v>266.89999999999998</v>
      </c>
      <c r="D88">
        <f t="shared" si="13"/>
        <v>11251.200000000003</v>
      </c>
      <c r="E88">
        <f t="shared" si="13"/>
        <v>1429.8</v>
      </c>
      <c r="F88">
        <f t="shared" si="13"/>
        <v>0</v>
      </c>
      <c r="G88">
        <f t="shared" si="13"/>
        <v>0</v>
      </c>
      <c r="H88">
        <f t="shared" si="13"/>
        <v>281.00000000000006</v>
      </c>
      <c r="I88">
        <f t="shared" si="13"/>
        <v>29462.401249708095</v>
      </c>
    </row>
    <row r="89" spans="1:10" x14ac:dyDescent="0.2">
      <c r="A89" s="3" t="s">
        <v>85</v>
      </c>
      <c r="B89">
        <f t="shared" si="13"/>
        <v>133.28826168224299</v>
      </c>
      <c r="C89">
        <f t="shared" si="13"/>
        <v>175.96048598130841</v>
      </c>
      <c r="D89">
        <f t="shared" si="13"/>
        <v>138.88586915887851</v>
      </c>
      <c r="E89">
        <f t="shared" si="13"/>
        <v>724.16472897196263</v>
      </c>
      <c r="F89">
        <f t="shared" si="13"/>
        <v>0</v>
      </c>
      <c r="G89">
        <f t="shared" si="13"/>
        <v>0</v>
      </c>
      <c r="H89">
        <f t="shared" si="13"/>
        <v>462.70822429906542</v>
      </c>
      <c r="I89">
        <f t="shared" si="13"/>
        <v>18245.078411214956</v>
      </c>
    </row>
    <row r="90" spans="1:10" x14ac:dyDescent="0.2">
      <c r="A90" s="3" t="s">
        <v>88</v>
      </c>
      <c r="B90">
        <f t="shared" si="13"/>
        <v>0</v>
      </c>
      <c r="C90">
        <f t="shared" si="13"/>
        <v>0</v>
      </c>
      <c r="D90">
        <f t="shared" si="13"/>
        <v>0</v>
      </c>
      <c r="E90">
        <f t="shared" si="13"/>
        <v>0</v>
      </c>
      <c r="F90">
        <f t="shared" si="13"/>
        <v>0</v>
      </c>
      <c r="G90">
        <f t="shared" si="13"/>
        <v>0</v>
      </c>
      <c r="H90">
        <f t="shared" si="13"/>
        <v>0</v>
      </c>
      <c r="I90">
        <f t="shared" si="13"/>
        <v>0</v>
      </c>
    </row>
    <row r="91" spans="1:10" x14ac:dyDescent="0.2">
      <c r="A91" s="3" t="s">
        <v>91</v>
      </c>
      <c r="B91" s="9">
        <f t="shared" si="13"/>
        <v>0</v>
      </c>
      <c r="C91" s="9">
        <f t="shared" si="13"/>
        <v>0</v>
      </c>
      <c r="D91" s="9">
        <f t="shared" si="13"/>
        <v>0</v>
      </c>
      <c r="E91" s="9">
        <f t="shared" si="13"/>
        <v>0</v>
      </c>
      <c r="F91" s="9">
        <f t="shared" si="13"/>
        <v>0</v>
      </c>
      <c r="G91" s="9">
        <f t="shared" si="13"/>
        <v>0</v>
      </c>
      <c r="H91" s="9">
        <f t="shared" si="13"/>
        <v>0</v>
      </c>
      <c r="I91" s="9">
        <f t="shared" si="13"/>
        <v>0</v>
      </c>
    </row>
    <row r="92" spans="1:10" x14ac:dyDescent="0.2">
      <c r="A92" s="3" t="s">
        <v>94</v>
      </c>
      <c r="B92" s="9">
        <f t="shared" si="13"/>
        <v>0</v>
      </c>
      <c r="C92" s="9">
        <f t="shared" si="13"/>
        <v>0</v>
      </c>
      <c r="D92" s="9">
        <f t="shared" si="13"/>
        <v>0</v>
      </c>
      <c r="E92" s="9">
        <f t="shared" si="13"/>
        <v>0</v>
      </c>
      <c r="F92" s="9">
        <f t="shared" si="13"/>
        <v>0</v>
      </c>
      <c r="G92" s="9">
        <f t="shared" si="13"/>
        <v>0</v>
      </c>
      <c r="H92" s="9">
        <f t="shared" si="13"/>
        <v>0</v>
      </c>
      <c r="I92" s="9">
        <f t="shared" si="13"/>
        <v>0</v>
      </c>
    </row>
    <row r="93" spans="1:10" x14ac:dyDescent="0.2">
      <c r="A93" s="3" t="s">
        <v>83</v>
      </c>
      <c r="B93" s="9">
        <f t="shared" si="13"/>
        <v>54.199999999999996</v>
      </c>
      <c r="C93" s="9">
        <f t="shared" si="13"/>
        <v>93</v>
      </c>
      <c r="D93" s="9">
        <f t="shared" si="13"/>
        <v>711.1</v>
      </c>
      <c r="E93" s="9">
        <f t="shared" si="13"/>
        <v>141.1</v>
      </c>
      <c r="F93" s="9">
        <f t="shared" si="13"/>
        <v>0</v>
      </c>
      <c r="G93" s="9">
        <f t="shared" si="13"/>
        <v>0</v>
      </c>
      <c r="H93" s="9">
        <f t="shared" si="13"/>
        <v>18.3</v>
      </c>
      <c r="I93" s="9">
        <f t="shared" si="13"/>
        <v>756.40000000000009</v>
      </c>
    </row>
    <row r="94" spans="1:10" x14ac:dyDescent="0.2">
      <c r="A94" s="3" t="s">
        <v>99</v>
      </c>
      <c r="B94" s="9">
        <f t="shared" si="13"/>
        <v>0</v>
      </c>
      <c r="C94" s="9">
        <f t="shared" si="13"/>
        <v>0</v>
      </c>
      <c r="D94" s="9">
        <f t="shared" si="13"/>
        <v>0</v>
      </c>
      <c r="E94" s="9">
        <f t="shared" si="13"/>
        <v>0</v>
      </c>
      <c r="F94" s="9">
        <f t="shared" si="13"/>
        <v>0</v>
      </c>
      <c r="G94" s="9">
        <f t="shared" si="13"/>
        <v>0</v>
      </c>
      <c r="H94" s="9">
        <f t="shared" si="13"/>
        <v>0</v>
      </c>
      <c r="I94" s="9">
        <f t="shared" si="13"/>
        <v>0</v>
      </c>
    </row>
    <row r="95" spans="1:10" x14ac:dyDescent="0.2">
      <c r="A95" s="3" t="s">
        <v>102</v>
      </c>
      <c r="B95" s="9">
        <f t="shared" si="13"/>
        <v>0</v>
      </c>
      <c r="C95" s="9">
        <f t="shared" si="13"/>
        <v>0</v>
      </c>
      <c r="D95" s="9">
        <f t="shared" si="13"/>
        <v>0</v>
      </c>
      <c r="E95" s="9">
        <f t="shared" si="13"/>
        <v>0</v>
      </c>
      <c r="F95" s="9">
        <f t="shared" si="13"/>
        <v>0</v>
      </c>
      <c r="G95" s="9">
        <f t="shared" si="13"/>
        <v>0</v>
      </c>
      <c r="H95" s="9">
        <f t="shared" si="13"/>
        <v>0</v>
      </c>
      <c r="I95" s="9">
        <f t="shared" si="13"/>
        <v>0</v>
      </c>
    </row>
    <row r="97" spans="1:10" s="20" customFormat="1" x14ac:dyDescent="0.2">
      <c r="A97" s="21" t="s">
        <v>305</v>
      </c>
    </row>
    <row r="98" spans="1:10" x14ac:dyDescent="0.2">
      <c r="B98" s="3" t="s">
        <v>76</v>
      </c>
      <c r="C98" s="3" t="s">
        <v>79</v>
      </c>
      <c r="D98" s="3" t="s">
        <v>85</v>
      </c>
      <c r="E98" s="3" t="s">
        <v>88</v>
      </c>
      <c r="F98" s="3" t="s">
        <v>91</v>
      </c>
      <c r="G98" s="3" t="s">
        <v>94</v>
      </c>
      <c r="H98" s="3" t="s">
        <v>83</v>
      </c>
      <c r="I98" s="3" t="s">
        <v>99</v>
      </c>
      <c r="J98" s="3" t="s">
        <v>102</v>
      </c>
    </row>
    <row r="99" spans="1:10" x14ac:dyDescent="0.2">
      <c r="A99" t="s">
        <v>77</v>
      </c>
      <c r="B99">
        <f>INDEX($B$87:$I$95,MATCH(B$98,$A$87:$A$95,0),MATCH($A99,$B$86:$I$86,0))</f>
        <v>29.602507969669645</v>
      </c>
      <c r="C99">
        <f t="shared" ref="C99:E99" si="14">INDEX($B$87:$I$95,MATCH(C$98,$A$87:$A$95,0),MATCH($A99,$B$86:$I$86,0))</f>
        <v>1152.9999999999998</v>
      </c>
      <c r="D99">
        <f t="shared" si="14"/>
        <v>133.28826168224299</v>
      </c>
      <c r="E99">
        <f t="shared" si="14"/>
        <v>0</v>
      </c>
      <c r="F99" s="5"/>
      <c r="G99" s="5"/>
      <c r="H99" s="5"/>
      <c r="I99" s="5"/>
      <c r="J99" s="5"/>
    </row>
    <row r="100" spans="1:10" x14ac:dyDescent="0.2">
      <c r="A100" t="s">
        <v>81</v>
      </c>
      <c r="B100">
        <f t="shared" ref="B100:E106" si="15">INDEX($B$87:$I$95,MATCH(B$98,$A$87:$A$95,0),MATCH($A100,$B$86:$I$86,0))</f>
        <v>119.51627434578198</v>
      </c>
      <c r="C100">
        <f t="shared" si="15"/>
        <v>266.89999999999998</v>
      </c>
      <c r="D100">
        <f t="shared" si="15"/>
        <v>175.96048598130841</v>
      </c>
      <c r="E100">
        <f t="shared" si="15"/>
        <v>0</v>
      </c>
      <c r="F100" s="5"/>
      <c r="G100" s="5"/>
      <c r="H100" s="5"/>
      <c r="I100" s="5"/>
      <c r="J100" s="5"/>
    </row>
    <row r="101" spans="1:10" x14ac:dyDescent="0.2">
      <c r="A101" t="s">
        <v>86</v>
      </c>
      <c r="B101">
        <f t="shared" si="15"/>
        <v>167.57623653535924</v>
      </c>
      <c r="C101">
        <f t="shared" si="15"/>
        <v>11251.200000000003</v>
      </c>
      <c r="D101">
        <f t="shared" si="15"/>
        <v>138.88586915887851</v>
      </c>
      <c r="E101">
        <f t="shared" si="15"/>
        <v>0</v>
      </c>
      <c r="F101" s="5"/>
      <c r="G101" s="5"/>
      <c r="H101" s="5"/>
      <c r="I101" s="5"/>
      <c r="J101" s="5"/>
    </row>
    <row r="102" spans="1:10" x14ac:dyDescent="0.2">
      <c r="A102" t="s">
        <v>89</v>
      </c>
      <c r="B102">
        <f t="shared" si="15"/>
        <v>87.015516513682769</v>
      </c>
      <c r="C102">
        <f t="shared" si="15"/>
        <v>1429.8</v>
      </c>
      <c r="D102">
        <f t="shared" si="15"/>
        <v>724.16472897196263</v>
      </c>
      <c r="E102">
        <f t="shared" si="15"/>
        <v>0</v>
      </c>
      <c r="F102" s="5"/>
      <c r="G102" s="5"/>
      <c r="H102" s="5"/>
      <c r="I102" s="5"/>
      <c r="J102" s="5"/>
    </row>
    <row r="103" spans="1:10" x14ac:dyDescent="0.2">
      <c r="A103" t="s">
        <v>92</v>
      </c>
      <c r="B103">
        <f t="shared" si="15"/>
        <v>0</v>
      </c>
      <c r="C103">
        <f t="shared" si="15"/>
        <v>0</v>
      </c>
      <c r="D103">
        <f t="shared" si="15"/>
        <v>0</v>
      </c>
      <c r="E103">
        <f t="shared" si="15"/>
        <v>0</v>
      </c>
      <c r="F103" s="5"/>
      <c r="G103" s="5"/>
      <c r="H103" s="5"/>
      <c r="I103" s="5"/>
      <c r="J103" s="5"/>
    </row>
    <row r="104" spans="1:10" x14ac:dyDescent="0.2">
      <c r="A104" t="s">
        <v>95</v>
      </c>
      <c r="B104">
        <f t="shared" si="15"/>
        <v>0</v>
      </c>
      <c r="C104">
        <f t="shared" si="15"/>
        <v>0</v>
      </c>
      <c r="D104">
        <f t="shared" si="15"/>
        <v>0</v>
      </c>
      <c r="E104">
        <f t="shared" si="15"/>
        <v>0</v>
      </c>
      <c r="F104" s="5"/>
      <c r="G104" s="5"/>
      <c r="H104" s="5"/>
      <c r="I104" s="5"/>
      <c r="J104" s="5"/>
    </row>
    <row r="105" spans="1:10" x14ac:dyDescent="0.2">
      <c r="A105" t="s">
        <v>97</v>
      </c>
      <c r="B105">
        <f t="shared" si="15"/>
        <v>11.936727156508075</v>
      </c>
      <c r="C105">
        <f t="shared" si="15"/>
        <v>281.00000000000006</v>
      </c>
      <c r="D105">
        <f t="shared" si="15"/>
        <v>462.70822429906542</v>
      </c>
      <c r="E105">
        <f t="shared" si="15"/>
        <v>0</v>
      </c>
      <c r="F105" s="5"/>
      <c r="G105" s="5"/>
      <c r="H105" s="5"/>
      <c r="I105" s="5"/>
      <c r="J105" s="5"/>
    </row>
    <row r="106" spans="1:10" x14ac:dyDescent="0.2">
      <c r="A106" t="s">
        <v>100</v>
      </c>
      <c r="B106">
        <f t="shared" si="15"/>
        <v>991.22358840914194</v>
      </c>
      <c r="C106">
        <f t="shared" si="15"/>
        <v>29462.401249708095</v>
      </c>
      <c r="D106">
        <f t="shared" si="15"/>
        <v>18245.078411214956</v>
      </c>
      <c r="E106">
        <f t="shared" si="15"/>
        <v>0</v>
      </c>
      <c r="F106" s="5"/>
      <c r="G106" s="5"/>
      <c r="H106" s="5"/>
      <c r="I106" s="5"/>
      <c r="J106" s="5"/>
    </row>
    <row r="108" spans="1:10" s="21" customFormat="1" x14ac:dyDescent="0.2">
      <c r="A108" s="21" t="s">
        <v>306</v>
      </c>
    </row>
    <row r="109" spans="1:10" x14ac:dyDescent="0.2">
      <c r="B109" s="3" t="s">
        <v>76</v>
      </c>
      <c r="C109" s="3" t="s">
        <v>79</v>
      </c>
      <c r="D109" s="3" t="s">
        <v>85</v>
      </c>
      <c r="E109" s="3" t="s">
        <v>88</v>
      </c>
      <c r="F109" s="3" t="s">
        <v>91</v>
      </c>
      <c r="G109" s="3" t="s">
        <v>94</v>
      </c>
      <c r="H109" s="3" t="s">
        <v>83</v>
      </c>
      <c r="I109" s="3" t="s">
        <v>99</v>
      </c>
      <c r="J109" s="3" t="s">
        <v>102</v>
      </c>
    </row>
    <row r="110" spans="1:10" x14ac:dyDescent="0.2">
      <c r="A110" t="s">
        <v>77</v>
      </c>
      <c r="B110" s="6">
        <f>B99/INDEX($C$83:$J$83,1,MATCH($A110,$C$39:$J$39,0))</f>
        <v>2.1590480094315728E-2</v>
      </c>
      <c r="C110" s="6">
        <f t="shared" ref="C110:E110" si="16">C99/INDEX($C$83:$J$83,1,MATCH($A110,$C$39:$J$39,0))</f>
        <v>0.84093630087869331</v>
      </c>
      <c r="D110" s="6">
        <f t="shared" si="16"/>
        <v>9.721330245413419E-2</v>
      </c>
      <c r="E110">
        <f t="shared" si="16"/>
        <v>0</v>
      </c>
      <c r="F110" s="5"/>
      <c r="G110" s="5"/>
      <c r="H110" s="5"/>
      <c r="I110" s="5"/>
      <c r="J110" s="5"/>
    </row>
    <row r="111" spans="1:10" x14ac:dyDescent="0.2">
      <c r="A111" t="s">
        <v>81</v>
      </c>
      <c r="B111" s="6">
        <f t="shared" ref="B111:E111" si="17">B100/INDEX($C$83:$J$83,1,MATCH($A111,$C$39:$J$39,0))</f>
        <v>0.18227925950305174</v>
      </c>
      <c r="C111" s="6">
        <f t="shared" si="17"/>
        <v>0.40706033239130573</v>
      </c>
      <c r="D111" s="6">
        <f t="shared" si="17"/>
        <v>0.26836468306964067</v>
      </c>
      <c r="E111">
        <f t="shared" si="17"/>
        <v>0</v>
      </c>
      <c r="F111" s="5"/>
      <c r="G111" s="5"/>
      <c r="H111" s="5"/>
      <c r="I111" s="5"/>
      <c r="J111" s="5"/>
    </row>
    <row r="112" spans="1:10" x14ac:dyDescent="0.2">
      <c r="A112" t="s">
        <v>86</v>
      </c>
      <c r="B112" s="6">
        <f t="shared" ref="B112:E112" si="18">B101/INDEX($C$83:$J$83,1,MATCH($A112,$C$39:$J$39,0))</f>
        <v>1.3642649248498468E-2</v>
      </c>
      <c r="C112" s="6">
        <f t="shared" si="18"/>
        <v>0.91597817446101737</v>
      </c>
      <c r="D112" s="6">
        <f t="shared" si="18"/>
        <v>1.1306920585411441E-2</v>
      </c>
      <c r="E112">
        <f t="shared" si="18"/>
        <v>0</v>
      </c>
      <c r="F112" s="5"/>
      <c r="G112" s="5"/>
      <c r="H112" s="5"/>
      <c r="I112" s="5"/>
      <c r="J112" s="5"/>
    </row>
    <row r="113" spans="1:10" x14ac:dyDescent="0.2">
      <c r="A113" t="s">
        <v>89</v>
      </c>
      <c r="B113" s="6">
        <f t="shared" ref="B113:E113" si="19">B102/INDEX($C$83:$J$83,1,MATCH($A113,$C$39:$J$39,0))</f>
        <v>3.6509288301142306E-2</v>
      </c>
      <c r="C113" s="6">
        <f t="shared" si="19"/>
        <v>0.59990427574793415</v>
      </c>
      <c r="D113" s="6">
        <f t="shared" si="19"/>
        <v>0.30383936022948965</v>
      </c>
      <c r="E113">
        <f t="shared" si="19"/>
        <v>0</v>
      </c>
      <c r="F113" s="5"/>
      <c r="G113" s="5"/>
      <c r="H113" s="5"/>
      <c r="I113" s="5"/>
      <c r="J113" s="5"/>
    </row>
    <row r="114" spans="1:10" x14ac:dyDescent="0.2">
      <c r="A114" t="s">
        <v>92</v>
      </c>
      <c r="B114" s="31"/>
      <c r="C114" s="31"/>
      <c r="D114" s="31"/>
      <c r="E114" s="5"/>
      <c r="F114" s="5"/>
      <c r="G114" s="5"/>
      <c r="H114" s="5"/>
      <c r="I114" s="5"/>
      <c r="J114" s="5"/>
    </row>
    <row r="115" spans="1:10" x14ac:dyDescent="0.2">
      <c r="A115" t="s">
        <v>95</v>
      </c>
      <c r="B115" s="31"/>
      <c r="C115" s="31"/>
      <c r="D115" s="31"/>
      <c r="E115" s="5"/>
      <c r="F115" s="5"/>
      <c r="G115" s="5"/>
      <c r="H115" s="5"/>
      <c r="I115" s="5"/>
      <c r="J115" s="5"/>
    </row>
    <row r="116" spans="1:10" x14ac:dyDescent="0.2">
      <c r="A116" t="s">
        <v>97</v>
      </c>
      <c r="B116" s="6">
        <f t="shared" ref="B116:E116" si="20">B105/INDEX($C$83:$J$83,1,MATCH($A116,$C$39:$J$39,0))</f>
        <v>1.5389421582784286E-2</v>
      </c>
      <c r="C116" s="6">
        <f t="shared" si="20"/>
        <v>0.3622791581027841</v>
      </c>
      <c r="D116" s="6">
        <f t="shared" si="20"/>
        <v>0.59654642685515868</v>
      </c>
      <c r="E116">
        <f t="shared" si="20"/>
        <v>0</v>
      </c>
      <c r="F116" s="5"/>
      <c r="G116" s="5"/>
      <c r="H116" s="5"/>
      <c r="I116" s="5"/>
      <c r="J116" s="5"/>
    </row>
    <row r="117" spans="1:10" x14ac:dyDescent="0.2">
      <c r="A117" t="s">
        <v>100</v>
      </c>
      <c r="B117" s="6">
        <f t="shared" ref="B117:E117" si="21">B106/INDEX($C$83:$J$83,1,MATCH($A117,$C$39:$J$39,0))</f>
        <v>1.9911003696297645E-2</v>
      </c>
      <c r="C117" s="6">
        <f t="shared" si="21"/>
        <v>0.59182003641201064</v>
      </c>
      <c r="D117" s="6">
        <f t="shared" si="21"/>
        <v>0.36649432875985305</v>
      </c>
      <c r="E117">
        <f t="shared" si="21"/>
        <v>0</v>
      </c>
      <c r="F117" s="5"/>
      <c r="G117" s="5"/>
      <c r="H117" s="5"/>
      <c r="I117" s="5"/>
      <c r="J117" s="5"/>
    </row>
    <row r="119" spans="1:10" s="21" customFormat="1" x14ac:dyDescent="0.2">
      <c r="A119" s="21" t="s">
        <v>307</v>
      </c>
    </row>
    <row r="120" spans="1:10" x14ac:dyDescent="0.2">
      <c r="C120" t="s">
        <v>77</v>
      </c>
      <c r="D120" t="s">
        <v>81</v>
      </c>
      <c r="E120" t="s">
        <v>86</v>
      </c>
      <c r="F120" t="s">
        <v>89</v>
      </c>
      <c r="G120" t="s">
        <v>92</v>
      </c>
      <c r="H120" t="s">
        <v>95</v>
      </c>
      <c r="I120" t="s">
        <v>97</v>
      </c>
      <c r="J120" t="s">
        <v>100</v>
      </c>
    </row>
    <row r="121" spans="1:10" x14ac:dyDescent="0.2">
      <c r="A121" t="str">
        <f>'OECD Data IO Table - Imports'!D9</f>
        <v>DOM_01T03: Agriculture, forestry and fishing</v>
      </c>
      <c r="B121" t="str">
        <f>'OECD Data IO Table - Imports'!C9</f>
        <v>Domestic</v>
      </c>
      <c r="C121">
        <f>SUMIF('OECD Data IO Table - Imports'!$F$2:$AY$2,Calculations!C$120,'OECD Data IO Table - Imports'!$F9:$AY9)</f>
        <v>0</v>
      </c>
      <c r="D121">
        <f>SUMIF('OECD Data IO Table - Imports'!$F$2:$AY$2,Calculations!D$120,'OECD Data IO Table - Imports'!$F9:$AY9)</f>
        <v>0</v>
      </c>
      <c r="E121">
        <f>SUMIF('OECD Data IO Table - Imports'!$F$2:$AY$2,Calculations!E$120,'OECD Data IO Table - Imports'!$F9:$AY9)</f>
        <v>0</v>
      </c>
      <c r="F121">
        <f>SUMIF('OECD Data IO Table - Imports'!$F$2:$AY$2,Calculations!F$120,'OECD Data IO Table - Imports'!$F9:$AY9)</f>
        <v>0</v>
      </c>
      <c r="G121">
        <f>SUMIF('OECD Data IO Table - Imports'!$F$2:$AY$2,Calculations!G$120,'OECD Data IO Table - Imports'!$F9:$AY9)</f>
        <v>0</v>
      </c>
      <c r="H121">
        <f>SUMIF('OECD Data IO Table - Imports'!$F$2:$AY$2,Calculations!H$120,'OECD Data IO Table - Imports'!$F9:$AY9)</f>
        <v>0</v>
      </c>
      <c r="I121">
        <f>SUMIF('OECD Data IO Table - Imports'!$F$2:$AY$2,Calculations!I$120,'OECD Data IO Table - Imports'!$F9:$AY9)</f>
        <v>0.2</v>
      </c>
      <c r="J121">
        <f>SUMIF('OECD Data IO Table - Imports'!$F$2:$AY$2,Calculations!J$120,'OECD Data IO Table - Imports'!$F9:$AY9)</f>
        <v>11.699999999999998</v>
      </c>
    </row>
    <row r="122" spans="1:10" x14ac:dyDescent="0.2">
      <c r="A122" t="str">
        <f>'OECD Data IO Table - Imports'!D10</f>
        <v>DOM_05T06: Mining and extraction of energy producing products</v>
      </c>
      <c r="B122" t="str">
        <f>'OECD Data IO Table - Imports'!C10</f>
        <v>Domestic</v>
      </c>
      <c r="C122">
        <f>SUMIF('OECD Data IO Table - Imports'!$F$2:$AY$2,Calculations!C$120,'OECD Data IO Table - Imports'!$F10:$AY10)</f>
        <v>0</v>
      </c>
      <c r="D122">
        <f>SUMIF('OECD Data IO Table - Imports'!$F$2:$AY$2,Calculations!D$120,'OECD Data IO Table - Imports'!$F10:$AY10)</f>
        <v>0</v>
      </c>
      <c r="E122">
        <f>SUMIF('OECD Data IO Table - Imports'!$F$2:$AY$2,Calculations!E$120,'OECD Data IO Table - Imports'!$F10:$AY10)</f>
        <v>0</v>
      </c>
      <c r="F122">
        <f>SUMIF('OECD Data IO Table - Imports'!$F$2:$AY$2,Calculations!F$120,'OECD Data IO Table - Imports'!$F10:$AY10)</f>
        <v>0</v>
      </c>
      <c r="G122">
        <f>SUMIF('OECD Data IO Table - Imports'!$F$2:$AY$2,Calculations!G$120,'OECD Data IO Table - Imports'!$F10:$AY10)</f>
        <v>0</v>
      </c>
      <c r="H122">
        <f>SUMIF('OECD Data IO Table - Imports'!$F$2:$AY$2,Calculations!H$120,'OECD Data IO Table - Imports'!$F10:$AY10)</f>
        <v>0</v>
      </c>
      <c r="I122">
        <f>SUMIF('OECD Data IO Table - Imports'!$F$2:$AY$2,Calculations!I$120,'OECD Data IO Table - Imports'!$F10:$AY10)</f>
        <v>0</v>
      </c>
      <c r="J122">
        <f>SUMIF('OECD Data IO Table - Imports'!$F$2:$AY$2,Calculations!J$120,'OECD Data IO Table - Imports'!$F10:$AY10)</f>
        <v>0</v>
      </c>
    </row>
    <row r="123" spans="1:10" x14ac:dyDescent="0.2">
      <c r="A123" t="str">
        <f>'OECD Data IO Table - Imports'!D11</f>
        <v>DOM_07T08: Mining and quarrying of non-energy producing products</v>
      </c>
      <c r="B123" t="str">
        <f>'OECD Data IO Table - Imports'!C11</f>
        <v>Domestic</v>
      </c>
      <c r="C123">
        <f>SUMIF('OECD Data IO Table - Imports'!$F$2:$AY$2,Calculations!C$120,'OECD Data IO Table - Imports'!$F11:$AY11)</f>
        <v>0</v>
      </c>
      <c r="D123">
        <f>SUMIF('OECD Data IO Table - Imports'!$F$2:$AY$2,Calculations!D$120,'OECD Data IO Table - Imports'!$F11:$AY11)</f>
        <v>0</v>
      </c>
      <c r="E123">
        <f>SUMIF('OECD Data IO Table - Imports'!$F$2:$AY$2,Calculations!E$120,'OECD Data IO Table - Imports'!$F11:$AY11)</f>
        <v>0</v>
      </c>
      <c r="F123">
        <f>SUMIF('OECD Data IO Table - Imports'!$F$2:$AY$2,Calculations!F$120,'OECD Data IO Table - Imports'!$F11:$AY11)</f>
        <v>2</v>
      </c>
      <c r="G123">
        <f>SUMIF('OECD Data IO Table - Imports'!$F$2:$AY$2,Calculations!G$120,'OECD Data IO Table - Imports'!$F11:$AY11)</f>
        <v>0</v>
      </c>
      <c r="H123">
        <f>SUMIF('OECD Data IO Table - Imports'!$F$2:$AY$2,Calculations!H$120,'OECD Data IO Table - Imports'!$F11:$AY11)</f>
        <v>0</v>
      </c>
      <c r="I123">
        <f>SUMIF('OECD Data IO Table - Imports'!$F$2:$AY$2,Calculations!I$120,'OECD Data IO Table - Imports'!$F11:$AY11)</f>
        <v>0</v>
      </c>
      <c r="J123">
        <f>SUMIF('OECD Data IO Table - Imports'!$F$2:$AY$2,Calculations!J$120,'OECD Data IO Table - Imports'!$F11:$AY11)</f>
        <v>0</v>
      </c>
    </row>
    <row r="124" spans="1:10" x14ac:dyDescent="0.2">
      <c r="A124" t="str">
        <f>'OECD Data IO Table - Imports'!D12</f>
        <v>DOM_09: Mining support service activities</v>
      </c>
      <c r="B124" t="str">
        <f>'OECD Data IO Table - Imports'!C12</f>
        <v>Domestic</v>
      </c>
      <c r="C124">
        <f>SUMIF('OECD Data IO Table - Imports'!$F$2:$AY$2,Calculations!C$120,'OECD Data IO Table - Imports'!$F12:$AY12)</f>
        <v>1.1000000000000001</v>
      </c>
      <c r="D124">
        <f>SUMIF('OECD Data IO Table - Imports'!$F$2:$AY$2,Calculations!D$120,'OECD Data IO Table - Imports'!$F12:$AY12)</f>
        <v>2.4</v>
      </c>
      <c r="E124">
        <f>SUMIF('OECD Data IO Table - Imports'!$F$2:$AY$2,Calculations!E$120,'OECD Data IO Table - Imports'!$F12:$AY12)</f>
        <v>131.30000000000001</v>
      </c>
      <c r="F124">
        <f>SUMIF('OECD Data IO Table - Imports'!$F$2:$AY$2,Calculations!F$120,'OECD Data IO Table - Imports'!$F12:$AY12)</f>
        <v>0.5</v>
      </c>
      <c r="G124">
        <f>SUMIF('OECD Data IO Table - Imports'!$F$2:$AY$2,Calculations!G$120,'OECD Data IO Table - Imports'!$F12:$AY12)</f>
        <v>0</v>
      </c>
      <c r="H124">
        <f>SUMIF('OECD Data IO Table - Imports'!$F$2:$AY$2,Calculations!H$120,'OECD Data IO Table - Imports'!$F12:$AY12)</f>
        <v>0</v>
      </c>
      <c r="I124">
        <f>SUMIF('OECD Data IO Table - Imports'!$F$2:$AY$2,Calculations!I$120,'OECD Data IO Table - Imports'!$F12:$AY12)</f>
        <v>52.2</v>
      </c>
      <c r="J124">
        <f>SUMIF('OECD Data IO Table - Imports'!$F$2:$AY$2,Calculations!J$120,'OECD Data IO Table - Imports'!$F12:$AY12)</f>
        <v>6540.9000000000015</v>
      </c>
    </row>
    <row r="125" spans="1:10" x14ac:dyDescent="0.2">
      <c r="A125" t="str">
        <f>'OECD Data IO Table - Imports'!D13</f>
        <v>DOM_10T12: Food products, beverages and tobacco</v>
      </c>
      <c r="B125" t="str">
        <f>'OECD Data IO Table - Imports'!C13</f>
        <v>Domestic</v>
      </c>
      <c r="C125">
        <f>SUMIF('OECD Data IO Table - Imports'!$F$2:$AY$2,Calculations!C$120,'OECD Data IO Table - Imports'!$F13:$AY13)</f>
        <v>0.6</v>
      </c>
      <c r="D125">
        <f>SUMIF('OECD Data IO Table - Imports'!$F$2:$AY$2,Calculations!D$120,'OECD Data IO Table - Imports'!$F13:$AY13)</f>
        <v>0.6</v>
      </c>
      <c r="E125">
        <f>SUMIF('OECD Data IO Table - Imports'!$F$2:$AY$2,Calculations!E$120,'OECD Data IO Table - Imports'!$F13:$AY13)</f>
        <v>3.7</v>
      </c>
      <c r="F125">
        <f>SUMIF('OECD Data IO Table - Imports'!$F$2:$AY$2,Calculations!F$120,'OECD Data IO Table - Imports'!$F13:$AY13)</f>
        <v>6.6</v>
      </c>
      <c r="G125">
        <f>SUMIF('OECD Data IO Table - Imports'!$F$2:$AY$2,Calculations!G$120,'OECD Data IO Table - Imports'!$F13:$AY13)</f>
        <v>0</v>
      </c>
      <c r="H125">
        <f>SUMIF('OECD Data IO Table - Imports'!$F$2:$AY$2,Calculations!H$120,'OECD Data IO Table - Imports'!$F13:$AY13)</f>
        <v>0</v>
      </c>
      <c r="I125">
        <f>SUMIF('OECD Data IO Table - Imports'!$F$2:$AY$2,Calculations!I$120,'OECD Data IO Table - Imports'!$F13:$AY13)</f>
        <v>2.8000000000000003</v>
      </c>
      <c r="J125">
        <f>SUMIF('OECD Data IO Table - Imports'!$F$2:$AY$2,Calculations!J$120,'OECD Data IO Table - Imports'!$F13:$AY13)</f>
        <v>229.9</v>
      </c>
    </row>
    <row r="126" spans="1:10" x14ac:dyDescent="0.2">
      <c r="A126" t="str">
        <f>'OECD Data IO Table - Imports'!D14</f>
        <v>DOM_13T15: Textiles, wearing apparel, leather and related products</v>
      </c>
      <c r="B126" t="str">
        <f>'OECD Data IO Table - Imports'!C14</f>
        <v>Domestic</v>
      </c>
      <c r="C126">
        <f>SUMIF('OECD Data IO Table - Imports'!$F$2:$AY$2,Calculations!C$120,'OECD Data IO Table - Imports'!$F14:$AY14)</f>
        <v>0</v>
      </c>
      <c r="D126">
        <f>SUMIF('OECD Data IO Table - Imports'!$F$2:$AY$2,Calculations!D$120,'OECD Data IO Table - Imports'!$F14:$AY14)</f>
        <v>0</v>
      </c>
      <c r="E126">
        <f>SUMIF('OECD Data IO Table - Imports'!$F$2:$AY$2,Calculations!E$120,'OECD Data IO Table - Imports'!$F14:$AY14)</f>
        <v>0.1</v>
      </c>
      <c r="F126">
        <f>SUMIF('OECD Data IO Table - Imports'!$F$2:$AY$2,Calculations!F$120,'OECD Data IO Table - Imports'!$F14:$AY14)</f>
        <v>0</v>
      </c>
      <c r="G126">
        <f>SUMIF('OECD Data IO Table - Imports'!$F$2:$AY$2,Calculations!G$120,'OECD Data IO Table - Imports'!$F14:$AY14)</f>
        <v>0</v>
      </c>
      <c r="H126">
        <f>SUMIF('OECD Data IO Table - Imports'!$F$2:$AY$2,Calculations!H$120,'OECD Data IO Table - Imports'!$F14:$AY14)</f>
        <v>0</v>
      </c>
      <c r="I126">
        <f>SUMIF('OECD Data IO Table - Imports'!$F$2:$AY$2,Calculations!I$120,'OECD Data IO Table - Imports'!$F14:$AY14)</f>
        <v>0</v>
      </c>
      <c r="J126">
        <f>SUMIF('OECD Data IO Table - Imports'!$F$2:$AY$2,Calculations!J$120,'OECD Data IO Table - Imports'!$F14:$AY14)</f>
        <v>73.699999999999989</v>
      </c>
    </row>
    <row r="127" spans="1:10" x14ac:dyDescent="0.2">
      <c r="A127" t="str">
        <f>'OECD Data IO Table - Imports'!D15</f>
        <v>DOM_16: Wood and of products of wood and cork (except furniture)</v>
      </c>
      <c r="B127" t="str">
        <f>'OECD Data IO Table - Imports'!C15</f>
        <v>Domestic</v>
      </c>
      <c r="C127">
        <f>SUMIF('OECD Data IO Table - Imports'!$F$2:$AY$2,Calculations!C$120,'OECD Data IO Table - Imports'!$F15:$AY15)</f>
        <v>0</v>
      </c>
      <c r="D127">
        <f>SUMIF('OECD Data IO Table - Imports'!$F$2:$AY$2,Calculations!D$120,'OECD Data IO Table - Imports'!$F15:$AY15)</f>
        <v>0</v>
      </c>
      <c r="E127">
        <f>SUMIF('OECD Data IO Table - Imports'!$F$2:$AY$2,Calculations!E$120,'OECD Data IO Table - Imports'!$F15:$AY15)</f>
        <v>0</v>
      </c>
      <c r="F127">
        <f>SUMIF('OECD Data IO Table - Imports'!$F$2:$AY$2,Calculations!F$120,'OECD Data IO Table - Imports'!$F15:$AY15)</f>
        <v>0</v>
      </c>
      <c r="G127">
        <f>SUMIF('OECD Data IO Table - Imports'!$F$2:$AY$2,Calculations!G$120,'OECD Data IO Table - Imports'!$F15:$AY15)</f>
        <v>0</v>
      </c>
      <c r="H127">
        <f>SUMIF('OECD Data IO Table - Imports'!$F$2:$AY$2,Calculations!H$120,'OECD Data IO Table - Imports'!$F15:$AY15)</f>
        <v>0</v>
      </c>
      <c r="I127">
        <f>SUMIF('OECD Data IO Table - Imports'!$F$2:$AY$2,Calculations!I$120,'OECD Data IO Table - Imports'!$F15:$AY15)</f>
        <v>1.4000000000000001</v>
      </c>
      <c r="J127">
        <f>SUMIF('OECD Data IO Table - Imports'!$F$2:$AY$2,Calculations!J$120,'OECD Data IO Table - Imports'!$F15:$AY15)</f>
        <v>16.5</v>
      </c>
    </row>
    <row r="128" spans="1:10" x14ac:dyDescent="0.2">
      <c r="A128" t="str">
        <f>'OECD Data IO Table - Imports'!D16</f>
        <v>DOM_17T18: Paper products and printing</v>
      </c>
      <c r="B128" t="str">
        <f>'OECD Data IO Table - Imports'!C16</f>
        <v>Domestic</v>
      </c>
      <c r="C128">
        <f>SUMIF('OECD Data IO Table - Imports'!$F$2:$AY$2,Calculations!C$120,'OECD Data IO Table - Imports'!$F16:$AY16)</f>
        <v>7.1</v>
      </c>
      <c r="D128">
        <f>SUMIF('OECD Data IO Table - Imports'!$F$2:$AY$2,Calculations!D$120,'OECD Data IO Table - Imports'!$F16:$AY16)</f>
        <v>0.2</v>
      </c>
      <c r="E128">
        <f>SUMIF('OECD Data IO Table - Imports'!$F$2:$AY$2,Calculations!E$120,'OECD Data IO Table - Imports'!$F16:$AY16)</f>
        <v>3.4</v>
      </c>
      <c r="F128">
        <f>SUMIF('OECD Data IO Table - Imports'!$F$2:$AY$2,Calculations!F$120,'OECD Data IO Table - Imports'!$F16:$AY16)</f>
        <v>4.0999999999999996</v>
      </c>
      <c r="G128">
        <f>SUMIF('OECD Data IO Table - Imports'!$F$2:$AY$2,Calculations!G$120,'OECD Data IO Table - Imports'!$F16:$AY16)</f>
        <v>0</v>
      </c>
      <c r="H128">
        <f>SUMIF('OECD Data IO Table - Imports'!$F$2:$AY$2,Calculations!H$120,'OECD Data IO Table - Imports'!$F16:$AY16)</f>
        <v>0</v>
      </c>
      <c r="I128">
        <f>SUMIF('OECD Data IO Table - Imports'!$F$2:$AY$2,Calculations!I$120,'OECD Data IO Table - Imports'!$F16:$AY16)</f>
        <v>7.7</v>
      </c>
      <c r="J128">
        <f>SUMIF('OECD Data IO Table - Imports'!$F$2:$AY$2,Calculations!J$120,'OECD Data IO Table - Imports'!$F16:$AY16)</f>
        <v>1256.8999999999999</v>
      </c>
    </row>
    <row r="129" spans="1:10" x14ac:dyDescent="0.2">
      <c r="A129" t="str">
        <f>'OECD Data IO Table - Imports'!D17</f>
        <v>DOM_19: Coke and refined petroleum products</v>
      </c>
      <c r="B129" t="str">
        <f>'OECD Data IO Table - Imports'!C17</f>
        <v>Domestic</v>
      </c>
      <c r="C129">
        <f>SUMIF('OECD Data IO Table - Imports'!$F$2:$AY$2,Calculations!C$120,'OECD Data IO Table - Imports'!$F17:$AY17)</f>
        <v>1.6</v>
      </c>
      <c r="D129">
        <f>SUMIF('OECD Data IO Table - Imports'!$F$2:$AY$2,Calculations!D$120,'OECD Data IO Table - Imports'!$F17:$AY17)</f>
        <v>2.5</v>
      </c>
      <c r="E129">
        <f>SUMIF('OECD Data IO Table - Imports'!$F$2:$AY$2,Calculations!E$120,'OECD Data IO Table - Imports'!$F17:$AY17)</f>
        <v>20.2</v>
      </c>
      <c r="F129">
        <f>SUMIF('OECD Data IO Table - Imports'!$F$2:$AY$2,Calculations!F$120,'OECD Data IO Table - Imports'!$F17:$AY17)</f>
        <v>4.0999999999999996</v>
      </c>
      <c r="G129">
        <f>SUMIF('OECD Data IO Table - Imports'!$F$2:$AY$2,Calculations!G$120,'OECD Data IO Table - Imports'!$F17:$AY17)</f>
        <v>0</v>
      </c>
      <c r="H129">
        <f>SUMIF('OECD Data IO Table - Imports'!$F$2:$AY$2,Calculations!H$120,'OECD Data IO Table - Imports'!$F17:$AY17)</f>
        <v>0</v>
      </c>
      <c r="I129">
        <f>SUMIF('OECD Data IO Table - Imports'!$F$2:$AY$2,Calculations!I$120,'OECD Data IO Table - Imports'!$F17:$AY17)</f>
        <v>0</v>
      </c>
      <c r="J129">
        <f>SUMIF('OECD Data IO Table - Imports'!$F$2:$AY$2,Calculations!J$120,'OECD Data IO Table - Imports'!$F17:$AY17)</f>
        <v>4.1999999999999993</v>
      </c>
    </row>
    <row r="130" spans="1:10" x14ac:dyDescent="0.2">
      <c r="A130" t="str">
        <f>'OECD Data IO Table - Imports'!D18</f>
        <v>DOM_20T21: Chemicals and pharmaceutical products</v>
      </c>
      <c r="B130" t="str">
        <f>'OECD Data IO Table - Imports'!C18</f>
        <v>Domestic</v>
      </c>
      <c r="C130">
        <f>SUMIF('OECD Data IO Table - Imports'!$F$2:$AY$2,Calculations!C$120,'OECD Data IO Table - Imports'!$F18:$AY18)</f>
        <v>0.30000000000000004</v>
      </c>
      <c r="D130">
        <f>SUMIF('OECD Data IO Table - Imports'!$F$2:$AY$2,Calculations!D$120,'OECD Data IO Table - Imports'!$F18:$AY18)</f>
        <v>0.1</v>
      </c>
      <c r="E130">
        <f>SUMIF('OECD Data IO Table - Imports'!$F$2:$AY$2,Calculations!E$120,'OECD Data IO Table - Imports'!$F18:$AY18)</f>
        <v>0.89999999999999991</v>
      </c>
      <c r="F130">
        <f>SUMIF('OECD Data IO Table - Imports'!$F$2:$AY$2,Calculations!F$120,'OECD Data IO Table - Imports'!$F18:$AY18)</f>
        <v>5.3000000000000007</v>
      </c>
      <c r="G130">
        <f>SUMIF('OECD Data IO Table - Imports'!$F$2:$AY$2,Calculations!G$120,'OECD Data IO Table - Imports'!$F18:$AY18)</f>
        <v>0</v>
      </c>
      <c r="H130">
        <f>SUMIF('OECD Data IO Table - Imports'!$F$2:$AY$2,Calculations!H$120,'OECD Data IO Table - Imports'!$F18:$AY18)</f>
        <v>0</v>
      </c>
      <c r="I130">
        <f>SUMIF('OECD Data IO Table - Imports'!$F$2:$AY$2,Calculations!I$120,'OECD Data IO Table - Imports'!$F18:$AY18)</f>
        <v>0</v>
      </c>
      <c r="J130">
        <f>SUMIF('OECD Data IO Table - Imports'!$F$2:$AY$2,Calculations!J$120,'OECD Data IO Table - Imports'!$F18:$AY18)</f>
        <v>1.6</v>
      </c>
    </row>
    <row r="131" spans="1:10" x14ac:dyDescent="0.2">
      <c r="A131" t="str">
        <f>'OECD Data IO Table - Imports'!D19</f>
        <v>DOM_22: Rubber and plastics products</v>
      </c>
      <c r="B131" t="str">
        <f>'OECD Data IO Table - Imports'!C19</f>
        <v>Domestic</v>
      </c>
      <c r="C131">
        <f ca="1">SUMIF('OECD Data IO Table - Imports'!$F$2:$AY$2,Calculations!C$120,'OECD Data IO Table - Imports'!$G19:$AY19)</f>
        <v>0</v>
      </c>
      <c r="D131">
        <f ca="1">SUMIF('OECD Data IO Table - Imports'!$F$2:$AY$2,Calculations!D$120,'OECD Data IO Table - Imports'!$G19:$AY19)</f>
        <v>0</v>
      </c>
      <c r="E131">
        <f ca="1">SUMIF('OECD Data IO Table - Imports'!$F$2:$AY$2,Calculations!E$120,'OECD Data IO Table - Imports'!$G19:$AY19)</f>
        <v>0</v>
      </c>
      <c r="F131">
        <f ca="1">SUMIF('OECD Data IO Table - Imports'!$F$2:$AY$2,Calculations!F$120,'OECD Data IO Table - Imports'!$G19:$AY19)</f>
        <v>0</v>
      </c>
      <c r="G131">
        <f ca="1">SUMIF('OECD Data IO Table - Imports'!$F$2:$AY$2,Calculations!G$120,'OECD Data IO Table - Imports'!$G19:$AY19)</f>
        <v>0</v>
      </c>
      <c r="H131">
        <f ca="1">SUMIF('OECD Data IO Table - Imports'!$F$2:$AY$2,Calculations!H$120,'OECD Data IO Table - Imports'!$G19:$AY19)</f>
        <v>0</v>
      </c>
      <c r="I131">
        <f ca="1">SUMIF('OECD Data IO Table - Imports'!$F$2:$AY$2,Calculations!I$120,'OECD Data IO Table - Imports'!$G19:$AY19)</f>
        <v>0</v>
      </c>
      <c r="J131">
        <f ca="1">SUMIF('OECD Data IO Table - Imports'!$F$2:$AY$2,Calculations!J$120,'OECD Data IO Table - Imports'!$G19:$AY19)</f>
        <v>36</v>
      </c>
    </row>
    <row r="132" spans="1:10" x14ac:dyDescent="0.2">
      <c r="A132" t="str">
        <f>'OECD Data IO Table - Imports'!D20</f>
        <v>DOM_23: Other non-metallic mineral products</v>
      </c>
      <c r="B132" t="str">
        <f>'OECD Data IO Table - Imports'!C20</f>
        <v>Domestic</v>
      </c>
      <c r="C132">
        <f ca="1">SUMIF('OECD Data IO Table - Imports'!$F$2:$AY$2,Calculations!C$120,'OECD Data IO Table - Imports'!$G20:$AY20)</f>
        <v>171.4</v>
      </c>
      <c r="D132">
        <f ca="1">SUMIF('OECD Data IO Table - Imports'!$F$2:$AY$2,Calculations!D$120,'OECD Data IO Table - Imports'!$G20:$AY20)</f>
        <v>7.8</v>
      </c>
      <c r="E132">
        <f ca="1">SUMIF('OECD Data IO Table - Imports'!$F$2:$AY$2,Calculations!E$120,'OECD Data IO Table - Imports'!$G20:$AY20)</f>
        <v>16</v>
      </c>
      <c r="F132">
        <f ca="1">SUMIF('OECD Data IO Table - Imports'!$F$2:$AY$2,Calculations!F$120,'OECD Data IO Table - Imports'!$G20:$AY20)</f>
        <v>0</v>
      </c>
      <c r="G132">
        <f ca="1">SUMIF('OECD Data IO Table - Imports'!$F$2:$AY$2,Calculations!G$120,'OECD Data IO Table - Imports'!$G20:$AY20)</f>
        <v>0</v>
      </c>
      <c r="H132">
        <f ca="1">SUMIF('OECD Data IO Table - Imports'!$F$2:$AY$2,Calculations!H$120,'OECD Data IO Table - Imports'!$G20:$AY20)</f>
        <v>0</v>
      </c>
      <c r="I132">
        <f ca="1">SUMIF('OECD Data IO Table - Imports'!$F$2:$AY$2,Calculations!I$120,'OECD Data IO Table - Imports'!$G20:$AY20)</f>
        <v>0</v>
      </c>
      <c r="J132">
        <f ca="1">SUMIF('OECD Data IO Table - Imports'!$F$2:$AY$2,Calculations!J$120,'OECD Data IO Table - Imports'!$G20:$AY20)</f>
        <v>287.20000000000005</v>
      </c>
    </row>
    <row r="133" spans="1:10" x14ac:dyDescent="0.2">
      <c r="A133" t="str">
        <f>'OECD Data IO Table - Imports'!D21</f>
        <v>DOM_24: Manufacture of basic metals</v>
      </c>
      <c r="B133" t="str">
        <f>'OECD Data IO Table - Imports'!C21</f>
        <v>Domestic</v>
      </c>
      <c r="C133">
        <f ca="1">SUMIF('OECD Data IO Table - Imports'!$F$2:$AY$2,Calculations!C$120,'OECD Data IO Table - Imports'!$G21:$AY21)</f>
        <v>1407.2</v>
      </c>
      <c r="D133">
        <f ca="1">SUMIF('OECD Data IO Table - Imports'!$F$2:$AY$2,Calculations!D$120,'OECD Data IO Table - Imports'!$G21:$AY21)</f>
        <v>4</v>
      </c>
      <c r="E133">
        <f ca="1">SUMIF('OECD Data IO Table - Imports'!$F$2:$AY$2,Calculations!E$120,'OECD Data IO Table - Imports'!$G21:$AY21)</f>
        <v>102.6</v>
      </c>
      <c r="F133">
        <f ca="1">SUMIF('OECD Data IO Table - Imports'!$F$2:$AY$2,Calculations!F$120,'OECD Data IO Table - Imports'!$G21:$AY21)</f>
        <v>0</v>
      </c>
      <c r="G133">
        <f ca="1">SUMIF('OECD Data IO Table - Imports'!$F$2:$AY$2,Calculations!G$120,'OECD Data IO Table - Imports'!$G21:$AY21)</f>
        <v>0</v>
      </c>
      <c r="H133">
        <f ca="1">SUMIF('OECD Data IO Table - Imports'!$F$2:$AY$2,Calculations!H$120,'OECD Data IO Table - Imports'!$G21:$AY21)</f>
        <v>0</v>
      </c>
      <c r="I133">
        <f ca="1">SUMIF('OECD Data IO Table - Imports'!$F$2:$AY$2,Calculations!I$120,'OECD Data IO Table - Imports'!$G21:$AY21)</f>
        <v>0</v>
      </c>
      <c r="J133">
        <f ca="1">SUMIF('OECD Data IO Table - Imports'!$F$2:$AY$2,Calculations!J$120,'OECD Data IO Table - Imports'!$G21:$AY21)</f>
        <v>224.7</v>
      </c>
    </row>
    <row r="134" spans="1:10" x14ac:dyDescent="0.2">
      <c r="A134" t="str">
        <f>'OECD Data IO Table - Imports'!D22</f>
        <v>DOM_25: Fabricated metal products, except machinery and equipment</v>
      </c>
      <c r="B134" t="str">
        <f>'OECD Data IO Table - Imports'!C22</f>
        <v>Domestic</v>
      </c>
      <c r="C134">
        <f ca="1">SUMIF('OECD Data IO Table - Imports'!$F$2:$AY$2,Calculations!C$120,'OECD Data IO Table - Imports'!$G22:$AY22)</f>
        <v>86.4</v>
      </c>
      <c r="D134">
        <f ca="1">SUMIF('OECD Data IO Table - Imports'!$F$2:$AY$2,Calculations!D$120,'OECD Data IO Table - Imports'!$G22:$AY22)</f>
        <v>1</v>
      </c>
      <c r="E134">
        <f ca="1">SUMIF('OECD Data IO Table - Imports'!$F$2:$AY$2,Calculations!E$120,'OECD Data IO Table - Imports'!$G22:$AY22)</f>
        <v>15.9</v>
      </c>
      <c r="F134">
        <f ca="1">SUMIF('OECD Data IO Table - Imports'!$F$2:$AY$2,Calculations!F$120,'OECD Data IO Table - Imports'!$G22:$AY22)</f>
        <v>0</v>
      </c>
      <c r="G134">
        <f ca="1">SUMIF('OECD Data IO Table - Imports'!$F$2:$AY$2,Calculations!G$120,'OECD Data IO Table - Imports'!$G22:$AY22)</f>
        <v>0</v>
      </c>
      <c r="H134">
        <f ca="1">SUMIF('OECD Data IO Table - Imports'!$F$2:$AY$2,Calculations!H$120,'OECD Data IO Table - Imports'!$G22:$AY22)</f>
        <v>0</v>
      </c>
      <c r="I134">
        <f ca="1">SUMIF('OECD Data IO Table - Imports'!$F$2:$AY$2,Calculations!I$120,'OECD Data IO Table - Imports'!$G22:$AY22)</f>
        <v>0</v>
      </c>
      <c r="J134">
        <f ca="1">SUMIF('OECD Data IO Table - Imports'!$F$2:$AY$2,Calculations!J$120,'OECD Data IO Table - Imports'!$G22:$AY22)</f>
        <v>46.9</v>
      </c>
    </row>
    <row r="135" spans="1:10" x14ac:dyDescent="0.2">
      <c r="A135" t="str">
        <f>'OECD Data IO Table - Imports'!D23</f>
        <v>DOM_26: Computer, electronic and optical products</v>
      </c>
      <c r="B135" t="str">
        <f>'OECD Data IO Table - Imports'!C23</f>
        <v>Domestic</v>
      </c>
      <c r="C135">
        <f ca="1">SUMIF('OECD Data IO Table - Imports'!$F$2:$AY$2,Calculations!C$120,'OECD Data IO Table - Imports'!$G23:$AY23)</f>
        <v>0</v>
      </c>
      <c r="D135">
        <f ca="1">SUMIF('OECD Data IO Table - Imports'!$F$2:$AY$2,Calculations!D$120,'OECD Data IO Table - Imports'!$G23:$AY23)</f>
        <v>0</v>
      </c>
      <c r="E135">
        <f ca="1">SUMIF('OECD Data IO Table - Imports'!$F$2:$AY$2,Calculations!E$120,'OECD Data IO Table - Imports'!$G23:$AY23)</f>
        <v>0</v>
      </c>
      <c r="F135">
        <f ca="1">SUMIF('OECD Data IO Table - Imports'!$F$2:$AY$2,Calculations!F$120,'OECD Data IO Table - Imports'!$G23:$AY23)</f>
        <v>0</v>
      </c>
      <c r="G135">
        <f ca="1">SUMIF('OECD Data IO Table - Imports'!$F$2:$AY$2,Calculations!G$120,'OECD Data IO Table - Imports'!$G23:$AY23)</f>
        <v>0</v>
      </c>
      <c r="H135">
        <f ca="1">SUMIF('OECD Data IO Table - Imports'!$F$2:$AY$2,Calculations!H$120,'OECD Data IO Table - Imports'!$G23:$AY23)</f>
        <v>0</v>
      </c>
      <c r="I135">
        <f ca="1">SUMIF('OECD Data IO Table - Imports'!$F$2:$AY$2,Calculations!I$120,'OECD Data IO Table - Imports'!$G23:$AY23)</f>
        <v>0</v>
      </c>
      <c r="J135">
        <f ca="1">SUMIF('OECD Data IO Table - Imports'!$F$2:$AY$2,Calculations!J$120,'OECD Data IO Table - Imports'!$G23:$AY23)</f>
        <v>1.9000000000000001</v>
      </c>
    </row>
    <row r="136" spans="1:10" x14ac:dyDescent="0.2">
      <c r="A136" t="str">
        <f>'OECD Data IO Table - Imports'!D24</f>
        <v>DOM_27: Electrical equipment</v>
      </c>
      <c r="B136" t="str">
        <f>'OECD Data IO Table - Imports'!C24</f>
        <v>Domestic</v>
      </c>
      <c r="C136">
        <f ca="1">SUMIF('OECD Data IO Table - Imports'!$F$2:$AY$2,Calculations!C$120,'OECD Data IO Table - Imports'!$G24:$AY24)</f>
        <v>2.7</v>
      </c>
      <c r="D136">
        <f ca="1">SUMIF('OECD Data IO Table - Imports'!$F$2:$AY$2,Calculations!D$120,'OECD Data IO Table - Imports'!$G24:$AY24)</f>
        <v>0.30000000000000004</v>
      </c>
      <c r="E136">
        <f ca="1">SUMIF('OECD Data IO Table - Imports'!$F$2:$AY$2,Calculations!E$120,'OECD Data IO Table - Imports'!$G24:$AY24)</f>
        <v>0.4</v>
      </c>
      <c r="F136">
        <f ca="1">SUMIF('OECD Data IO Table - Imports'!$F$2:$AY$2,Calculations!F$120,'OECD Data IO Table - Imports'!$G24:$AY24)</f>
        <v>0</v>
      </c>
      <c r="G136">
        <f ca="1">SUMIF('OECD Data IO Table - Imports'!$F$2:$AY$2,Calculations!G$120,'OECD Data IO Table - Imports'!$G24:$AY24)</f>
        <v>0</v>
      </c>
      <c r="H136">
        <f ca="1">SUMIF('OECD Data IO Table - Imports'!$F$2:$AY$2,Calculations!H$120,'OECD Data IO Table - Imports'!$G24:$AY24)</f>
        <v>0</v>
      </c>
      <c r="I136">
        <f ca="1">SUMIF('OECD Data IO Table - Imports'!$F$2:$AY$2,Calculations!I$120,'OECD Data IO Table - Imports'!$G24:$AY24)</f>
        <v>0</v>
      </c>
      <c r="J136">
        <f ca="1">SUMIF('OECD Data IO Table - Imports'!$F$2:$AY$2,Calculations!J$120,'OECD Data IO Table - Imports'!$G24:$AY24)</f>
        <v>85.6</v>
      </c>
    </row>
    <row r="137" spans="1:10" x14ac:dyDescent="0.2">
      <c r="A137" t="str">
        <f>'OECD Data IO Table - Imports'!D25</f>
        <v>DOM_28: Machinery and equipment n.e.c.</v>
      </c>
      <c r="B137" t="str">
        <f>'OECD Data IO Table - Imports'!C25</f>
        <v>Domestic</v>
      </c>
      <c r="C137">
        <f ca="1">SUMIF('OECD Data IO Table - Imports'!$F$2:$AY$2,Calculations!C$120,'OECD Data IO Table - Imports'!$G25:$AY25)</f>
        <v>13</v>
      </c>
      <c r="D137">
        <f ca="1">SUMIF('OECD Data IO Table - Imports'!$F$2:$AY$2,Calculations!D$120,'OECD Data IO Table - Imports'!$G25:$AY25)</f>
        <v>0.8</v>
      </c>
      <c r="E137">
        <f ca="1">SUMIF('OECD Data IO Table - Imports'!$F$2:$AY$2,Calculations!E$120,'OECD Data IO Table - Imports'!$G25:$AY25)</f>
        <v>2.2999999999999998</v>
      </c>
      <c r="F137">
        <f ca="1">SUMIF('OECD Data IO Table - Imports'!$F$2:$AY$2,Calculations!F$120,'OECD Data IO Table - Imports'!$G25:$AY25)</f>
        <v>0</v>
      </c>
      <c r="G137">
        <f ca="1">SUMIF('OECD Data IO Table - Imports'!$F$2:$AY$2,Calculations!G$120,'OECD Data IO Table - Imports'!$G25:$AY25)</f>
        <v>0</v>
      </c>
      <c r="H137">
        <f ca="1">SUMIF('OECD Data IO Table - Imports'!$F$2:$AY$2,Calculations!H$120,'OECD Data IO Table - Imports'!$G25:$AY25)</f>
        <v>0</v>
      </c>
      <c r="I137">
        <f ca="1">SUMIF('OECD Data IO Table - Imports'!$F$2:$AY$2,Calculations!I$120,'OECD Data IO Table - Imports'!$G25:$AY25)</f>
        <v>0</v>
      </c>
      <c r="J137">
        <f ca="1">SUMIF('OECD Data IO Table - Imports'!$F$2:$AY$2,Calculations!J$120,'OECD Data IO Table - Imports'!$G25:$AY25)</f>
        <v>36.299999999999997</v>
      </c>
    </row>
    <row r="138" spans="1:10" x14ac:dyDescent="0.2">
      <c r="A138" t="str">
        <f>'OECD Data IO Table - Imports'!D26</f>
        <v>DOM_29: Motor vehicles, trailers and semi-trailers</v>
      </c>
      <c r="B138" t="str">
        <f>'OECD Data IO Table - Imports'!C26</f>
        <v>Domestic</v>
      </c>
      <c r="C138">
        <f ca="1">SUMIF('OECD Data IO Table - Imports'!$F$2:$AY$2,Calculations!C$120,'OECD Data IO Table - Imports'!$G26:$AY26)</f>
        <v>0.4</v>
      </c>
      <c r="D138">
        <f ca="1">SUMIF('OECD Data IO Table - Imports'!$F$2:$AY$2,Calculations!D$120,'OECD Data IO Table - Imports'!$G26:$AY26)</f>
        <v>0</v>
      </c>
      <c r="E138">
        <f ca="1">SUMIF('OECD Data IO Table - Imports'!$F$2:$AY$2,Calculations!E$120,'OECD Data IO Table - Imports'!$G26:$AY26)</f>
        <v>0.1</v>
      </c>
      <c r="F138">
        <f ca="1">SUMIF('OECD Data IO Table - Imports'!$F$2:$AY$2,Calculations!F$120,'OECD Data IO Table - Imports'!$G26:$AY26)</f>
        <v>0</v>
      </c>
      <c r="G138">
        <f ca="1">SUMIF('OECD Data IO Table - Imports'!$F$2:$AY$2,Calculations!G$120,'OECD Data IO Table - Imports'!$G26:$AY26)</f>
        <v>0</v>
      </c>
      <c r="H138">
        <f ca="1">SUMIF('OECD Data IO Table - Imports'!$F$2:$AY$2,Calculations!H$120,'OECD Data IO Table - Imports'!$G26:$AY26)</f>
        <v>0</v>
      </c>
      <c r="I138">
        <f ca="1">SUMIF('OECD Data IO Table - Imports'!$F$2:$AY$2,Calculations!I$120,'OECD Data IO Table - Imports'!$G26:$AY26)</f>
        <v>0</v>
      </c>
      <c r="J138">
        <f ca="1">SUMIF('OECD Data IO Table - Imports'!$F$2:$AY$2,Calculations!J$120,'OECD Data IO Table - Imports'!$G26:$AY26)</f>
        <v>38.200000000000003</v>
      </c>
    </row>
    <row r="139" spans="1:10" x14ac:dyDescent="0.2">
      <c r="A139" t="str">
        <f>'OECD Data IO Table - Imports'!D27</f>
        <v>DOM_30: Other transport equipment</v>
      </c>
      <c r="B139" t="str">
        <f>'OECD Data IO Table - Imports'!C27</f>
        <v>Domestic</v>
      </c>
      <c r="C139">
        <f ca="1">SUMIF('OECD Data IO Table - Imports'!$F$2:$AY$2,Calculations!C$120,'OECD Data IO Table - Imports'!$G27:$AY27)</f>
        <v>0</v>
      </c>
      <c r="D139">
        <f ca="1">SUMIF('OECD Data IO Table - Imports'!$F$2:$AY$2,Calculations!D$120,'OECD Data IO Table - Imports'!$G27:$AY27)</f>
        <v>0</v>
      </c>
      <c r="E139">
        <f ca="1">SUMIF('OECD Data IO Table - Imports'!$F$2:$AY$2,Calculations!E$120,'OECD Data IO Table - Imports'!$G27:$AY27)</f>
        <v>0</v>
      </c>
      <c r="F139">
        <f ca="1">SUMIF('OECD Data IO Table - Imports'!$F$2:$AY$2,Calculations!F$120,'OECD Data IO Table - Imports'!$G27:$AY27)</f>
        <v>0</v>
      </c>
      <c r="G139">
        <f ca="1">SUMIF('OECD Data IO Table - Imports'!$F$2:$AY$2,Calculations!G$120,'OECD Data IO Table - Imports'!$G27:$AY27)</f>
        <v>0</v>
      </c>
      <c r="H139">
        <f ca="1">SUMIF('OECD Data IO Table - Imports'!$F$2:$AY$2,Calculations!H$120,'OECD Data IO Table - Imports'!$G27:$AY27)</f>
        <v>0</v>
      </c>
      <c r="I139">
        <f ca="1">SUMIF('OECD Data IO Table - Imports'!$F$2:$AY$2,Calculations!I$120,'OECD Data IO Table - Imports'!$G27:$AY27)</f>
        <v>0</v>
      </c>
      <c r="J139">
        <f ca="1">SUMIF('OECD Data IO Table - Imports'!$F$2:$AY$2,Calculations!J$120,'OECD Data IO Table - Imports'!$G27:$AY27)</f>
        <v>17.399999999999995</v>
      </c>
    </row>
    <row r="140" spans="1:10" x14ac:dyDescent="0.2">
      <c r="A140" t="str">
        <f>'OECD Data IO Table - Imports'!D28</f>
        <v>DOM_31T33: Other manufacturing; repair and installation of machinery and equipment</v>
      </c>
      <c r="B140" t="str">
        <f>'OECD Data IO Table - Imports'!C28</f>
        <v>Domestic</v>
      </c>
      <c r="C140">
        <f ca="1">SUMIF('OECD Data IO Table - Imports'!$F$2:$AY$2,Calculations!C$120,'OECD Data IO Table - Imports'!$G28:$AY28)</f>
        <v>0.9</v>
      </c>
      <c r="D140">
        <f ca="1">SUMIF('OECD Data IO Table - Imports'!$F$2:$AY$2,Calculations!D$120,'OECD Data IO Table - Imports'!$G28:$AY28)</f>
        <v>0.30000000000000004</v>
      </c>
      <c r="E140">
        <f ca="1">SUMIF('OECD Data IO Table - Imports'!$F$2:$AY$2,Calculations!E$120,'OECD Data IO Table - Imports'!$G28:$AY28)</f>
        <v>0.2</v>
      </c>
      <c r="F140">
        <f ca="1">SUMIF('OECD Data IO Table - Imports'!$F$2:$AY$2,Calculations!F$120,'OECD Data IO Table - Imports'!$G28:$AY28)</f>
        <v>0</v>
      </c>
      <c r="G140">
        <f ca="1">SUMIF('OECD Data IO Table - Imports'!$F$2:$AY$2,Calculations!G$120,'OECD Data IO Table - Imports'!$G28:$AY28)</f>
        <v>0</v>
      </c>
      <c r="H140">
        <f ca="1">SUMIF('OECD Data IO Table - Imports'!$F$2:$AY$2,Calculations!H$120,'OECD Data IO Table - Imports'!$G28:$AY28)</f>
        <v>0</v>
      </c>
      <c r="I140">
        <f ca="1">SUMIF('OECD Data IO Table - Imports'!$F$2:$AY$2,Calculations!I$120,'OECD Data IO Table - Imports'!$G28:$AY28)</f>
        <v>0</v>
      </c>
      <c r="J140">
        <f ca="1">SUMIF('OECD Data IO Table - Imports'!$F$2:$AY$2,Calculations!J$120,'OECD Data IO Table - Imports'!$G28:$AY28)</f>
        <v>38.5</v>
      </c>
    </row>
    <row r="141" spans="1:10" x14ac:dyDescent="0.2">
      <c r="A141" t="str">
        <f>'OECD Data IO Table - Imports'!D29</f>
        <v>DOM_35T39: Electricity, gas, water supply, sewerage, waste and remediation services</v>
      </c>
      <c r="B141" t="str">
        <f>'OECD Data IO Table - Imports'!C29</f>
        <v>Domestic</v>
      </c>
      <c r="C141">
        <f>SUMIF('OECD Data IO Table - Imports'!$F$2:$AY$2,Calculations!C$120,'OECD Data IO Table - Imports'!$F29:$AY29)</f>
        <v>0.89999999999999991</v>
      </c>
      <c r="D141">
        <f>SUMIF('OECD Data IO Table - Imports'!$F$2:$AY$2,Calculations!D$120,'OECD Data IO Table - Imports'!$F29:$AY29)</f>
        <v>123.8</v>
      </c>
      <c r="E141">
        <f>SUMIF('OECD Data IO Table - Imports'!$F$2:$AY$2,Calculations!E$120,'OECD Data IO Table - Imports'!$F29:$AY29)</f>
        <v>11.7</v>
      </c>
      <c r="F141">
        <f>SUMIF('OECD Data IO Table - Imports'!$F$2:$AY$2,Calculations!F$120,'OECD Data IO Table - Imports'!$F29:$AY29)</f>
        <v>1.1000000000000001</v>
      </c>
      <c r="G141">
        <f>SUMIF('OECD Data IO Table - Imports'!$F$2:$AY$2,Calculations!G$120,'OECD Data IO Table - Imports'!$F29:$AY29)</f>
        <v>0</v>
      </c>
      <c r="H141">
        <f>SUMIF('OECD Data IO Table - Imports'!$F$2:$AY$2,Calculations!H$120,'OECD Data IO Table - Imports'!$F29:$AY29)</f>
        <v>0</v>
      </c>
      <c r="I141">
        <f>SUMIF('OECD Data IO Table - Imports'!$F$2:$AY$2,Calculations!I$120,'OECD Data IO Table - Imports'!$F29:$AY29)</f>
        <v>1.6</v>
      </c>
      <c r="J141">
        <f>SUMIF('OECD Data IO Table - Imports'!$F$2:$AY$2,Calculations!J$120,'OECD Data IO Table - Imports'!$F29:$AY29)</f>
        <v>294.59999999999997</v>
      </c>
    </row>
    <row r="142" spans="1:10" x14ac:dyDescent="0.2">
      <c r="A142" t="str">
        <f>'OECD Data IO Table - Imports'!D30</f>
        <v>DOM_41T43: Construction</v>
      </c>
      <c r="B142" t="str">
        <f>'OECD Data IO Table - Imports'!C30</f>
        <v>Domestic</v>
      </c>
      <c r="C142">
        <f>SUMIF('OECD Data IO Table - Imports'!$F$2:$AY$2,Calculations!C$120,'OECD Data IO Table - Imports'!$F30:$AY30)</f>
        <v>0</v>
      </c>
      <c r="D142">
        <f>SUMIF('OECD Data IO Table - Imports'!$F$2:$AY$2,Calculations!D$120,'OECD Data IO Table - Imports'!$F30:$AY30)</f>
        <v>0</v>
      </c>
      <c r="E142">
        <f>SUMIF('OECD Data IO Table - Imports'!$F$2:$AY$2,Calculations!E$120,'OECD Data IO Table - Imports'!$F30:$AY30)</f>
        <v>0.1</v>
      </c>
      <c r="F142">
        <f>SUMIF('OECD Data IO Table - Imports'!$F$2:$AY$2,Calculations!F$120,'OECD Data IO Table - Imports'!$F30:$AY30)</f>
        <v>0</v>
      </c>
      <c r="G142">
        <f>SUMIF('OECD Data IO Table - Imports'!$F$2:$AY$2,Calculations!G$120,'OECD Data IO Table - Imports'!$F30:$AY30)</f>
        <v>0</v>
      </c>
      <c r="H142">
        <f>SUMIF('OECD Data IO Table - Imports'!$F$2:$AY$2,Calculations!H$120,'OECD Data IO Table - Imports'!$F30:$AY30)</f>
        <v>0</v>
      </c>
      <c r="I142">
        <f>SUMIF('OECD Data IO Table - Imports'!$F$2:$AY$2,Calculations!I$120,'OECD Data IO Table - Imports'!$F30:$AY30)</f>
        <v>0.8</v>
      </c>
      <c r="J142">
        <f>SUMIF('OECD Data IO Table - Imports'!$F$2:$AY$2,Calculations!J$120,'OECD Data IO Table - Imports'!$F30:$AY30)</f>
        <v>10.4</v>
      </c>
    </row>
    <row r="143" spans="1:10" x14ac:dyDescent="0.2">
      <c r="A143" t="str">
        <f>'OECD Data IO Table - Imports'!D31</f>
        <v>DOM_45T47: Wholesale and retail trade; repair of motor vehicles</v>
      </c>
      <c r="B143" t="str">
        <f>'OECD Data IO Table - Imports'!C31</f>
        <v>Domestic</v>
      </c>
      <c r="C143">
        <f>SUMIF('OECD Data IO Table - Imports'!$F$2:$AY$2,Calculations!C$120,'OECD Data IO Table - Imports'!$F31:$AY31)</f>
        <v>413</v>
      </c>
      <c r="D143">
        <f>SUMIF('OECD Data IO Table - Imports'!$F$2:$AY$2,Calculations!D$120,'OECD Data IO Table - Imports'!$F31:$AY31)</f>
        <v>156.80000000000001</v>
      </c>
      <c r="E143">
        <f>SUMIF('OECD Data IO Table - Imports'!$F$2:$AY$2,Calculations!E$120,'OECD Data IO Table - Imports'!$F31:$AY31)</f>
        <v>2226.6999999999998</v>
      </c>
      <c r="F143">
        <f>SUMIF('OECD Data IO Table - Imports'!$F$2:$AY$2,Calculations!F$120,'OECD Data IO Table - Imports'!$F31:$AY31)</f>
        <v>661.5</v>
      </c>
      <c r="G143">
        <f>SUMIF('OECD Data IO Table - Imports'!$F$2:$AY$2,Calculations!G$120,'OECD Data IO Table - Imports'!$F31:$AY31)</f>
        <v>0</v>
      </c>
      <c r="H143">
        <f>SUMIF('OECD Data IO Table - Imports'!$F$2:$AY$2,Calculations!H$120,'OECD Data IO Table - Imports'!$F31:$AY31)</f>
        <v>0</v>
      </c>
      <c r="I143">
        <f>SUMIF('OECD Data IO Table - Imports'!$F$2:$AY$2,Calculations!I$120,'OECD Data IO Table - Imports'!$F31:$AY31)</f>
        <v>133.19999999999999</v>
      </c>
      <c r="J143">
        <f>SUMIF('OECD Data IO Table - Imports'!$F$2:$AY$2,Calculations!J$120,'OECD Data IO Table - Imports'!$F31:$AY31)</f>
        <v>8989.2999999999993</v>
      </c>
    </row>
    <row r="144" spans="1:10" x14ac:dyDescent="0.2">
      <c r="A144" t="str">
        <f>'OECD Data IO Table - Imports'!D32</f>
        <v>DOM_49T53: Transportation and storage</v>
      </c>
      <c r="B144" t="str">
        <f>'OECD Data IO Table - Imports'!C32</f>
        <v>Domestic</v>
      </c>
      <c r="C144">
        <f>SUMIF('OECD Data IO Table - Imports'!$F$2:$AY$2,Calculations!C$120,'OECD Data IO Table - Imports'!$F32:$AY32)</f>
        <v>63.9</v>
      </c>
      <c r="D144">
        <f>SUMIF('OECD Data IO Table - Imports'!$F$2:$AY$2,Calculations!D$120,'OECD Data IO Table - Imports'!$F32:$AY32)</f>
        <v>195.70000000000002</v>
      </c>
      <c r="E144">
        <f>SUMIF('OECD Data IO Table - Imports'!$F$2:$AY$2,Calculations!E$120,'OECD Data IO Table - Imports'!$F32:$AY32)</f>
        <v>278.89999999999998</v>
      </c>
      <c r="F144">
        <f>SUMIF('OECD Data IO Table - Imports'!$F$2:$AY$2,Calculations!F$120,'OECD Data IO Table - Imports'!$F32:$AY32)</f>
        <v>68.109999999999985</v>
      </c>
      <c r="G144">
        <f>SUMIF('OECD Data IO Table - Imports'!$F$2:$AY$2,Calculations!G$120,'OECD Data IO Table - Imports'!$F32:$AY32)</f>
        <v>0</v>
      </c>
      <c r="H144">
        <f>SUMIF('OECD Data IO Table - Imports'!$F$2:$AY$2,Calculations!H$120,'OECD Data IO Table - Imports'!$F32:$AY32)</f>
        <v>0</v>
      </c>
      <c r="I144">
        <f>SUMIF('OECD Data IO Table - Imports'!$F$2:$AY$2,Calculations!I$120,'OECD Data IO Table - Imports'!$F32:$AY32)</f>
        <v>8.7999999999999972</v>
      </c>
      <c r="J144">
        <f>SUMIF('OECD Data IO Table - Imports'!$F$2:$AY$2,Calculations!J$120,'OECD Data IO Table - Imports'!$F32:$AY32)</f>
        <v>3216.2</v>
      </c>
    </row>
    <row r="145" spans="1:10" x14ac:dyDescent="0.2">
      <c r="A145" t="str">
        <f>'OECD Data IO Table - Imports'!D33</f>
        <v>DOM_55T56: Accomodation and food services</v>
      </c>
      <c r="B145" t="str">
        <f>'OECD Data IO Table - Imports'!C33</f>
        <v>Domestic</v>
      </c>
      <c r="C145">
        <f>SUMIF('OECD Data IO Table - Imports'!$F$2:$AY$2,Calculations!C$120,'OECD Data IO Table - Imports'!$F33:$AY33)</f>
        <v>0</v>
      </c>
      <c r="D145">
        <f>SUMIF('OECD Data IO Table - Imports'!$F$2:$AY$2,Calculations!D$120,'OECD Data IO Table - Imports'!$F33:$AY33)</f>
        <v>0</v>
      </c>
      <c r="E145">
        <f>SUMIF('OECD Data IO Table - Imports'!$F$2:$AY$2,Calculations!E$120,'OECD Data IO Table - Imports'!$F33:$AY33)</f>
        <v>0</v>
      </c>
      <c r="F145">
        <f>SUMIF('OECD Data IO Table - Imports'!$F$2:$AY$2,Calculations!F$120,'OECD Data IO Table - Imports'!$F33:$AY33)</f>
        <v>0</v>
      </c>
      <c r="G145">
        <f>SUMIF('OECD Data IO Table - Imports'!$F$2:$AY$2,Calculations!G$120,'OECD Data IO Table - Imports'!$F33:$AY33)</f>
        <v>0</v>
      </c>
      <c r="H145">
        <f>SUMIF('OECD Data IO Table - Imports'!$F$2:$AY$2,Calculations!H$120,'OECD Data IO Table - Imports'!$F33:$AY33)</f>
        <v>0</v>
      </c>
      <c r="I145">
        <f>SUMIF('OECD Data IO Table - Imports'!$F$2:$AY$2,Calculations!I$120,'OECD Data IO Table - Imports'!$F33:$AY33)</f>
        <v>0.2</v>
      </c>
      <c r="J145">
        <f>SUMIF('OECD Data IO Table - Imports'!$F$2:$AY$2,Calculations!J$120,'OECD Data IO Table - Imports'!$F33:$AY33)</f>
        <v>29.299999999999997</v>
      </c>
    </row>
    <row r="146" spans="1:10" x14ac:dyDescent="0.2">
      <c r="A146" t="str">
        <f>'OECD Data IO Table - Imports'!D34</f>
        <v>DOM_58T60: Publishing, audiovisual and broadcasting activities</v>
      </c>
      <c r="B146" t="str">
        <f>'OECD Data IO Table - Imports'!C34</f>
        <v>Domestic</v>
      </c>
      <c r="C146">
        <f>SUMIF('OECD Data IO Table - Imports'!$F$2:$AY$2,Calculations!C$120,'OECD Data IO Table - Imports'!$F34:$AY34)</f>
        <v>0.2</v>
      </c>
      <c r="D146">
        <f>SUMIF('OECD Data IO Table - Imports'!$F$2:$AY$2,Calculations!D$120,'OECD Data IO Table - Imports'!$F34:$AY34)</f>
        <v>0</v>
      </c>
      <c r="E146">
        <f>SUMIF('OECD Data IO Table - Imports'!$F$2:$AY$2,Calculations!E$120,'OECD Data IO Table - Imports'!$F34:$AY34)</f>
        <v>0.2</v>
      </c>
      <c r="F146">
        <f>SUMIF('OECD Data IO Table - Imports'!$F$2:$AY$2,Calculations!F$120,'OECD Data IO Table - Imports'!$F34:$AY34)</f>
        <v>0.2</v>
      </c>
      <c r="G146">
        <f>SUMIF('OECD Data IO Table - Imports'!$F$2:$AY$2,Calculations!G$120,'OECD Data IO Table - Imports'!$F34:$AY34)</f>
        <v>0</v>
      </c>
      <c r="H146">
        <f>SUMIF('OECD Data IO Table - Imports'!$F$2:$AY$2,Calculations!H$120,'OECD Data IO Table - Imports'!$F34:$AY34)</f>
        <v>0</v>
      </c>
      <c r="I146">
        <f>SUMIF('OECD Data IO Table - Imports'!$F$2:$AY$2,Calculations!I$120,'OECD Data IO Table - Imports'!$F34:$AY34)</f>
        <v>0.6</v>
      </c>
      <c r="J146">
        <f>SUMIF('OECD Data IO Table - Imports'!$F$2:$AY$2,Calculations!J$120,'OECD Data IO Table - Imports'!$F34:$AY34)</f>
        <v>52.199999999999996</v>
      </c>
    </row>
    <row r="147" spans="1:10" x14ac:dyDescent="0.2">
      <c r="A147" t="str">
        <f>'OECD Data IO Table - Imports'!D35</f>
        <v>DOM_61: Telecommunications</v>
      </c>
      <c r="B147" t="str">
        <f>'OECD Data IO Table - Imports'!C35</f>
        <v>Domestic</v>
      </c>
      <c r="C147">
        <f>SUMIF('OECD Data IO Table - Imports'!$F$2:$AY$2,Calculations!C$120,'OECD Data IO Table - Imports'!$F35:$AY35)</f>
        <v>0.2</v>
      </c>
      <c r="D147">
        <f>SUMIF('OECD Data IO Table - Imports'!$F$2:$AY$2,Calculations!D$120,'OECD Data IO Table - Imports'!$F35:$AY35)</f>
        <v>0</v>
      </c>
      <c r="E147">
        <f>SUMIF('OECD Data IO Table - Imports'!$F$2:$AY$2,Calculations!E$120,'OECD Data IO Table - Imports'!$F35:$AY35)</f>
        <v>0.5</v>
      </c>
      <c r="F147">
        <f>SUMIF('OECD Data IO Table - Imports'!$F$2:$AY$2,Calculations!F$120,'OECD Data IO Table - Imports'!$F35:$AY35)</f>
        <v>0.30000000000000004</v>
      </c>
      <c r="G147">
        <f>SUMIF('OECD Data IO Table - Imports'!$F$2:$AY$2,Calculations!G$120,'OECD Data IO Table - Imports'!$F35:$AY35)</f>
        <v>0</v>
      </c>
      <c r="H147">
        <f>SUMIF('OECD Data IO Table - Imports'!$F$2:$AY$2,Calculations!H$120,'OECD Data IO Table - Imports'!$F35:$AY35)</f>
        <v>0</v>
      </c>
      <c r="I147">
        <f>SUMIF('OECD Data IO Table - Imports'!$F$2:$AY$2,Calculations!I$120,'OECD Data IO Table - Imports'!$F35:$AY35)</f>
        <v>0.79999999999999993</v>
      </c>
      <c r="J147">
        <f>SUMIF('OECD Data IO Table - Imports'!$F$2:$AY$2,Calculations!J$120,'OECD Data IO Table - Imports'!$F35:$AY35)</f>
        <v>71.399999999999991</v>
      </c>
    </row>
    <row r="148" spans="1:10" x14ac:dyDescent="0.2">
      <c r="A148" t="str">
        <f>'OECD Data IO Table - Imports'!D36</f>
        <v>DOM_62T63: IT and other information services</v>
      </c>
      <c r="B148" t="str">
        <f>'OECD Data IO Table - Imports'!C36</f>
        <v>Domestic</v>
      </c>
      <c r="C148">
        <f>SUMIF('OECD Data IO Table - Imports'!$F$2:$AY$2,Calculations!C$120,'OECD Data IO Table - Imports'!$F36:$AY36)</f>
        <v>0</v>
      </c>
      <c r="D148">
        <f>SUMIF('OECD Data IO Table - Imports'!$F$2:$AY$2,Calculations!D$120,'OECD Data IO Table - Imports'!$F36:$AY36)</f>
        <v>0</v>
      </c>
      <c r="E148">
        <f>SUMIF('OECD Data IO Table - Imports'!$F$2:$AY$2,Calculations!E$120,'OECD Data IO Table - Imports'!$F36:$AY36)</f>
        <v>0.2</v>
      </c>
      <c r="F148">
        <f>SUMIF('OECD Data IO Table - Imports'!$F$2:$AY$2,Calculations!F$120,'OECD Data IO Table - Imports'!$F36:$AY36)</f>
        <v>0.1</v>
      </c>
      <c r="G148">
        <f>SUMIF('OECD Data IO Table - Imports'!$F$2:$AY$2,Calculations!G$120,'OECD Data IO Table - Imports'!$F36:$AY36)</f>
        <v>0</v>
      </c>
      <c r="H148">
        <f>SUMIF('OECD Data IO Table - Imports'!$F$2:$AY$2,Calculations!H$120,'OECD Data IO Table - Imports'!$F36:$AY36)</f>
        <v>0</v>
      </c>
      <c r="I148">
        <f>SUMIF('OECD Data IO Table - Imports'!$F$2:$AY$2,Calculations!I$120,'OECD Data IO Table - Imports'!$F36:$AY36)</f>
        <v>0.2</v>
      </c>
      <c r="J148">
        <f>SUMIF('OECD Data IO Table - Imports'!$F$2:$AY$2,Calculations!J$120,'OECD Data IO Table - Imports'!$F36:$AY36)</f>
        <v>41.9</v>
      </c>
    </row>
    <row r="149" spans="1:10" x14ac:dyDescent="0.2">
      <c r="A149" t="str">
        <f>'OECD Data IO Table - Imports'!D37</f>
        <v>DOM_64T66: Financial and insurance activities</v>
      </c>
      <c r="B149" t="str">
        <f>'OECD Data IO Table - Imports'!C37</f>
        <v>Domestic</v>
      </c>
      <c r="C149">
        <f>SUMIF('OECD Data IO Table - Imports'!$F$2:$AY$2,Calculations!C$120,'OECD Data IO Table - Imports'!$F37:$AY37)</f>
        <v>1.2</v>
      </c>
      <c r="D149">
        <f>SUMIF('OECD Data IO Table - Imports'!$F$2:$AY$2,Calculations!D$120,'OECD Data IO Table - Imports'!$F37:$AY37)</f>
        <v>0.4</v>
      </c>
      <c r="E149">
        <f>SUMIF('OECD Data IO Table - Imports'!$F$2:$AY$2,Calculations!E$120,'OECD Data IO Table - Imports'!$F37:$AY37)</f>
        <v>11.5</v>
      </c>
      <c r="F149">
        <f>SUMIF('OECD Data IO Table - Imports'!$F$2:$AY$2,Calculations!F$120,'OECD Data IO Table - Imports'!$F37:$AY37)</f>
        <v>1.6</v>
      </c>
      <c r="G149">
        <f>SUMIF('OECD Data IO Table - Imports'!$F$2:$AY$2,Calculations!G$120,'OECD Data IO Table - Imports'!$F37:$AY37)</f>
        <v>0</v>
      </c>
      <c r="H149">
        <f>SUMIF('OECD Data IO Table - Imports'!$F$2:$AY$2,Calculations!H$120,'OECD Data IO Table - Imports'!$F37:$AY37)</f>
        <v>0</v>
      </c>
      <c r="I149">
        <f>SUMIF('OECD Data IO Table - Imports'!$F$2:$AY$2,Calculations!I$120,'OECD Data IO Table - Imports'!$F37:$AY37)</f>
        <v>1.1000000000000001</v>
      </c>
      <c r="J149">
        <f>SUMIF('OECD Data IO Table - Imports'!$F$2:$AY$2,Calculations!J$120,'OECD Data IO Table - Imports'!$F37:$AY37)</f>
        <v>507.8</v>
      </c>
    </row>
    <row r="150" spans="1:10" x14ac:dyDescent="0.2">
      <c r="A150" t="str">
        <f>'OECD Data IO Table - Imports'!D38</f>
        <v>DOM_68: Real estate activities</v>
      </c>
      <c r="B150" t="str">
        <f>'OECD Data IO Table - Imports'!C38</f>
        <v>Domestic</v>
      </c>
      <c r="C150">
        <f>SUMIF('OECD Data IO Table - Imports'!$F$2:$AY$2,Calculations!C$120,'OECD Data IO Table - Imports'!$F38:$AY38)</f>
        <v>0.6</v>
      </c>
      <c r="D150">
        <f>SUMIF('OECD Data IO Table - Imports'!$F$2:$AY$2,Calculations!D$120,'OECD Data IO Table - Imports'!$F38:$AY38)</f>
        <v>0.1</v>
      </c>
      <c r="E150">
        <f>SUMIF('OECD Data IO Table - Imports'!$F$2:$AY$2,Calculations!E$120,'OECD Data IO Table - Imports'!$F38:$AY38)</f>
        <v>3.9</v>
      </c>
      <c r="F150">
        <f>SUMIF('OECD Data IO Table - Imports'!$F$2:$AY$2,Calculations!F$120,'OECD Data IO Table - Imports'!$F38:$AY38)</f>
        <v>0.30000000000000004</v>
      </c>
      <c r="G150">
        <f>SUMIF('OECD Data IO Table - Imports'!$F$2:$AY$2,Calculations!G$120,'OECD Data IO Table - Imports'!$F38:$AY38)</f>
        <v>0</v>
      </c>
      <c r="H150">
        <f>SUMIF('OECD Data IO Table - Imports'!$F$2:$AY$2,Calculations!H$120,'OECD Data IO Table - Imports'!$F38:$AY38)</f>
        <v>0</v>
      </c>
      <c r="I150">
        <f>SUMIF('OECD Data IO Table - Imports'!$F$2:$AY$2,Calculations!I$120,'OECD Data IO Table - Imports'!$F38:$AY38)</f>
        <v>1.3</v>
      </c>
      <c r="J150">
        <f>SUMIF('OECD Data IO Table - Imports'!$F$2:$AY$2,Calculations!J$120,'OECD Data IO Table - Imports'!$F38:$AY38)</f>
        <v>137.1</v>
      </c>
    </row>
    <row r="151" spans="1:10" x14ac:dyDescent="0.2">
      <c r="A151" t="str">
        <f>'OECD Data IO Table - Imports'!D39</f>
        <v>DOM_69T82: Other business sector services</v>
      </c>
      <c r="B151" t="str">
        <f>'OECD Data IO Table - Imports'!C39</f>
        <v>Domestic</v>
      </c>
      <c r="C151">
        <f>SUMIF('OECD Data IO Table - Imports'!$F$2:$AY$2,Calculations!C$120,'OECD Data IO Table - Imports'!$F39:$AY39)</f>
        <v>0.5</v>
      </c>
      <c r="D151">
        <f>SUMIF('OECD Data IO Table - Imports'!$F$2:$AY$2,Calculations!D$120,'OECD Data IO Table - Imports'!$F39:$AY39)</f>
        <v>223.7</v>
      </c>
      <c r="E151">
        <f>SUMIF('OECD Data IO Table - Imports'!$F$2:$AY$2,Calculations!E$120,'OECD Data IO Table - Imports'!$F39:$AY39)</f>
        <v>2.6</v>
      </c>
      <c r="F151">
        <f>SUMIF('OECD Data IO Table - Imports'!$F$2:$AY$2,Calculations!F$120,'OECD Data IO Table - Imports'!$F39:$AY39)</f>
        <v>2.1</v>
      </c>
      <c r="G151">
        <f>SUMIF('OECD Data IO Table - Imports'!$F$2:$AY$2,Calculations!G$120,'OECD Data IO Table - Imports'!$F39:$AY39)</f>
        <v>0</v>
      </c>
      <c r="H151">
        <f>SUMIF('OECD Data IO Table - Imports'!$F$2:$AY$2,Calculations!H$120,'OECD Data IO Table - Imports'!$F39:$AY39)</f>
        <v>0</v>
      </c>
      <c r="I151">
        <f>SUMIF('OECD Data IO Table - Imports'!$F$2:$AY$2,Calculations!I$120,'OECD Data IO Table - Imports'!$F39:$AY39)</f>
        <v>4.2999999999999989</v>
      </c>
      <c r="J151">
        <f>SUMIF('OECD Data IO Table - Imports'!$F$2:$AY$2,Calculations!J$120,'OECD Data IO Table - Imports'!$F39:$AY39)</f>
        <v>843.99999999999989</v>
      </c>
    </row>
    <row r="152" spans="1:10" x14ac:dyDescent="0.2">
      <c r="A152" t="str">
        <f>'OECD Data IO Table - Imports'!D40</f>
        <v>DOM_84: Public administration and defence; compulsory social security</v>
      </c>
      <c r="B152" t="str">
        <f>'OECD Data IO Table - Imports'!C40</f>
        <v>Domestic</v>
      </c>
      <c r="C152">
        <f>SUMIF('OECD Data IO Table - Imports'!$F$2:$AY$2,Calculations!C$120,'OECD Data IO Table - Imports'!$F40:$AY40)</f>
        <v>0</v>
      </c>
      <c r="D152">
        <f>SUMIF('OECD Data IO Table - Imports'!$F$2:$AY$2,Calculations!D$120,'OECD Data IO Table - Imports'!$F40:$AY40)</f>
        <v>0</v>
      </c>
      <c r="E152">
        <f>SUMIF('OECD Data IO Table - Imports'!$F$2:$AY$2,Calculations!E$120,'OECD Data IO Table - Imports'!$F40:$AY40)</f>
        <v>0.3</v>
      </c>
      <c r="F152">
        <f>SUMIF('OECD Data IO Table - Imports'!$F$2:$AY$2,Calculations!F$120,'OECD Data IO Table - Imports'!$F40:$AY40)</f>
        <v>0</v>
      </c>
      <c r="G152">
        <f>SUMIF('OECD Data IO Table - Imports'!$F$2:$AY$2,Calculations!G$120,'OECD Data IO Table - Imports'!$F40:$AY40)</f>
        <v>0</v>
      </c>
      <c r="H152">
        <f>SUMIF('OECD Data IO Table - Imports'!$F$2:$AY$2,Calculations!H$120,'OECD Data IO Table - Imports'!$F40:$AY40)</f>
        <v>0</v>
      </c>
      <c r="I152">
        <f>SUMIF('OECD Data IO Table - Imports'!$F$2:$AY$2,Calculations!I$120,'OECD Data IO Table - Imports'!$F40:$AY40)</f>
        <v>0.1</v>
      </c>
      <c r="J152">
        <f>SUMIF('OECD Data IO Table - Imports'!$F$2:$AY$2,Calculations!J$120,'OECD Data IO Table - Imports'!$F40:$AY40)</f>
        <v>12.999999999999998</v>
      </c>
    </row>
    <row r="153" spans="1:10" x14ac:dyDescent="0.2">
      <c r="A153" t="str">
        <f>'OECD Data IO Table - Imports'!D41</f>
        <v>DOM_85: Education</v>
      </c>
      <c r="B153" t="str">
        <f>'OECD Data IO Table - Imports'!C41</f>
        <v>Domestic</v>
      </c>
      <c r="C153">
        <f>SUMIF('OECD Data IO Table - Imports'!$F$2:$AY$2,Calculations!C$120,'OECD Data IO Table - Imports'!$F41:$AY41)</f>
        <v>0.1</v>
      </c>
      <c r="D153">
        <f>SUMIF('OECD Data IO Table - Imports'!$F$2:$AY$2,Calculations!D$120,'OECD Data IO Table - Imports'!$F41:$AY41)</f>
        <v>0</v>
      </c>
      <c r="E153">
        <f>SUMIF('OECD Data IO Table - Imports'!$F$2:$AY$2,Calculations!E$120,'OECD Data IO Table - Imports'!$F41:$AY41)</f>
        <v>1</v>
      </c>
      <c r="F153">
        <f>SUMIF('OECD Data IO Table - Imports'!$F$2:$AY$2,Calculations!F$120,'OECD Data IO Table - Imports'!$F41:$AY41)</f>
        <v>0.2</v>
      </c>
      <c r="G153">
        <f>SUMIF('OECD Data IO Table - Imports'!$F$2:$AY$2,Calculations!G$120,'OECD Data IO Table - Imports'!$F41:$AY41)</f>
        <v>0</v>
      </c>
      <c r="H153">
        <f>SUMIF('OECD Data IO Table - Imports'!$F$2:$AY$2,Calculations!H$120,'OECD Data IO Table - Imports'!$F41:$AY41)</f>
        <v>0</v>
      </c>
      <c r="I153">
        <f>SUMIF('OECD Data IO Table - Imports'!$F$2:$AY$2,Calculations!I$120,'OECD Data IO Table - Imports'!$F41:$AY41)</f>
        <v>0.5</v>
      </c>
      <c r="J153">
        <f>SUMIF('OECD Data IO Table - Imports'!$F$2:$AY$2,Calculations!J$120,'OECD Data IO Table - Imports'!$F41:$AY41)</f>
        <v>50.300000000000011</v>
      </c>
    </row>
    <row r="154" spans="1:10" x14ac:dyDescent="0.2">
      <c r="A154" t="str">
        <f>'OECD Data IO Table - Imports'!D42</f>
        <v>DOM_86T88: Human health and social work</v>
      </c>
      <c r="B154" t="str">
        <f>'OECD Data IO Table - Imports'!C42</f>
        <v>Domestic</v>
      </c>
      <c r="C154">
        <f>SUMIF('OECD Data IO Table - Imports'!$F$2:$AY$2,Calculations!C$120,'OECD Data IO Table - Imports'!$F42:$AY42)</f>
        <v>0</v>
      </c>
      <c r="D154">
        <f>SUMIF('OECD Data IO Table - Imports'!$F$2:$AY$2,Calculations!D$120,'OECD Data IO Table - Imports'!$F42:$AY42)</f>
        <v>0</v>
      </c>
      <c r="E154">
        <f>SUMIF('OECD Data IO Table - Imports'!$F$2:$AY$2,Calculations!E$120,'OECD Data IO Table - Imports'!$F42:$AY42)</f>
        <v>0.1</v>
      </c>
      <c r="F154">
        <f>SUMIF('OECD Data IO Table - Imports'!$F$2:$AY$2,Calculations!F$120,'OECD Data IO Table - Imports'!$F42:$AY42)</f>
        <v>0</v>
      </c>
      <c r="G154">
        <f>SUMIF('OECD Data IO Table - Imports'!$F$2:$AY$2,Calculations!G$120,'OECD Data IO Table - Imports'!$F42:$AY42)</f>
        <v>0</v>
      </c>
      <c r="H154">
        <f>SUMIF('OECD Data IO Table - Imports'!$F$2:$AY$2,Calculations!H$120,'OECD Data IO Table - Imports'!$F42:$AY42)</f>
        <v>0</v>
      </c>
      <c r="I154">
        <f>SUMIF('OECD Data IO Table - Imports'!$F$2:$AY$2,Calculations!I$120,'OECD Data IO Table - Imports'!$F42:$AY42)</f>
        <v>0</v>
      </c>
      <c r="J154">
        <f>SUMIF('OECD Data IO Table - Imports'!$F$2:$AY$2,Calculations!J$120,'OECD Data IO Table - Imports'!$F42:$AY42)</f>
        <v>9.1000000000000014</v>
      </c>
    </row>
    <row r="155" spans="1:10" x14ac:dyDescent="0.2">
      <c r="A155" t="str">
        <f>'OECD Data IO Table - Imports'!D43</f>
        <v>DOM_90T96: Arts, entertainment, recreation and other service activities</v>
      </c>
      <c r="B155" t="str">
        <f>'OECD Data IO Table - Imports'!C43</f>
        <v>Domestic</v>
      </c>
      <c r="C155">
        <f>SUMIF('OECD Data IO Table - Imports'!$F$2:$AY$2,Calculations!C$120,'OECD Data IO Table - Imports'!$F43:$AY43)</f>
        <v>2.5</v>
      </c>
      <c r="D155">
        <f>SUMIF('OECD Data IO Table - Imports'!$F$2:$AY$2,Calculations!D$120,'OECD Data IO Table - Imports'!$F43:$AY43)</f>
        <v>107.39999999999999</v>
      </c>
      <c r="E155">
        <f>SUMIF('OECD Data IO Table - Imports'!$F$2:$AY$2,Calculations!E$120,'OECD Data IO Table - Imports'!$F43:$AY43)</f>
        <v>18.2</v>
      </c>
      <c r="F155">
        <f>SUMIF('OECD Data IO Table - Imports'!$F$2:$AY$2,Calculations!F$120,'OECD Data IO Table - Imports'!$F43:$AY43)</f>
        <v>4.9000000000000004</v>
      </c>
      <c r="G155">
        <f>SUMIF('OECD Data IO Table - Imports'!$F$2:$AY$2,Calculations!G$120,'OECD Data IO Table - Imports'!$F43:$AY43)</f>
        <v>0</v>
      </c>
      <c r="H155">
        <f>SUMIF('OECD Data IO Table - Imports'!$F$2:$AY$2,Calculations!H$120,'OECD Data IO Table - Imports'!$F43:$AY43)</f>
        <v>0</v>
      </c>
      <c r="I155">
        <f>SUMIF('OECD Data IO Table - Imports'!$F$2:$AY$2,Calculations!I$120,'OECD Data IO Table - Imports'!$F43:$AY43)</f>
        <v>4.5</v>
      </c>
      <c r="J155">
        <f>SUMIF('OECD Data IO Table - Imports'!$F$2:$AY$2,Calculations!J$120,'OECD Data IO Table - Imports'!$F43:$AY43)</f>
        <v>533.59999999999991</v>
      </c>
    </row>
    <row r="156" spans="1:10" x14ac:dyDescent="0.2">
      <c r="A156" t="str">
        <f>'OECD Data IO Table - Imports'!D44</f>
        <v>DOM_97T98: Private households with employed persons</v>
      </c>
      <c r="B156" t="str">
        <f>'OECD Data IO Table - Imports'!C44</f>
        <v>Domestic</v>
      </c>
      <c r="C156">
        <f>SUMIF('OECD Data IO Table - Imports'!$F$2:$AY$2,Calculations!C$120,'OECD Data IO Table - Imports'!$F44:$AY44)</f>
        <v>0</v>
      </c>
      <c r="D156">
        <f>SUMIF('OECD Data IO Table - Imports'!$F$2:$AY$2,Calculations!D$120,'OECD Data IO Table - Imports'!$F44:$AY44)</f>
        <v>0</v>
      </c>
      <c r="E156">
        <f>SUMIF('OECD Data IO Table - Imports'!$F$2:$AY$2,Calculations!E$120,'OECD Data IO Table - Imports'!$F44:$AY44)</f>
        <v>0</v>
      </c>
      <c r="F156">
        <f>SUMIF('OECD Data IO Table - Imports'!$F$2:$AY$2,Calculations!F$120,'OECD Data IO Table - Imports'!$F44:$AY44)</f>
        <v>0</v>
      </c>
      <c r="G156">
        <f>SUMIF('OECD Data IO Table - Imports'!$F$2:$AY$2,Calculations!G$120,'OECD Data IO Table - Imports'!$F44:$AY44)</f>
        <v>0</v>
      </c>
      <c r="H156">
        <f>SUMIF('OECD Data IO Table - Imports'!$F$2:$AY$2,Calculations!H$120,'OECD Data IO Table - Imports'!$F44:$AY44)</f>
        <v>0</v>
      </c>
      <c r="I156">
        <f>SUMIF('OECD Data IO Table - Imports'!$F$2:$AY$2,Calculations!I$120,'OECD Data IO Table - Imports'!$F44:$AY44)</f>
        <v>0</v>
      </c>
      <c r="J156">
        <f>SUMIF('OECD Data IO Table - Imports'!$F$2:$AY$2,Calculations!J$120,'OECD Data IO Table - Imports'!$F44:$AY44)</f>
        <v>0</v>
      </c>
    </row>
    <row r="157" spans="1:10" x14ac:dyDescent="0.2">
      <c r="A157" t="str">
        <f>'OECD Data IO Table - Imports'!D45</f>
        <v>IMP_01T03: Agriculture, forestry and fishing</v>
      </c>
      <c r="B157" t="str">
        <f>'OECD Data IO Table - Imports'!C45</f>
        <v>Imports</v>
      </c>
      <c r="C157">
        <f>SUMIF('OECD Data IO Table - Imports'!$F$2:$AY$2,Calculations!C$120,'OECD Data IO Table - Imports'!$F45:$AY45)</f>
        <v>0.1</v>
      </c>
      <c r="D157">
        <f>SUMIF('OECD Data IO Table - Imports'!$F$2:$AY$2,Calculations!D$120,'OECD Data IO Table - Imports'!$F45:$AY45)</f>
        <v>0</v>
      </c>
      <c r="E157">
        <f>SUMIF('OECD Data IO Table - Imports'!$F$2:$AY$2,Calculations!E$120,'OECD Data IO Table - Imports'!$F45:$AY45)</f>
        <v>0.4</v>
      </c>
      <c r="F157">
        <f>SUMIF('OECD Data IO Table - Imports'!$F$2:$AY$2,Calculations!F$120,'OECD Data IO Table - Imports'!$F45:$AY45)</f>
        <v>0.5</v>
      </c>
      <c r="G157">
        <f>SUMIF('OECD Data IO Table - Imports'!$F$2:$AY$2,Calculations!G$120,'OECD Data IO Table - Imports'!$F45:$AY45)</f>
        <v>0</v>
      </c>
      <c r="H157">
        <f>SUMIF('OECD Data IO Table - Imports'!$F$2:$AY$2,Calculations!H$120,'OECD Data IO Table - Imports'!$F45:$AY45)</f>
        <v>0</v>
      </c>
      <c r="I157">
        <f>SUMIF('OECD Data IO Table - Imports'!$F$2:$AY$2,Calculations!I$120,'OECD Data IO Table - Imports'!$F45:$AY45)</f>
        <v>1</v>
      </c>
      <c r="J157">
        <f>SUMIF('OECD Data IO Table - Imports'!$F$2:$AY$2,Calculations!J$120,'OECD Data IO Table - Imports'!$F45:$AY45)</f>
        <v>153.29999999999995</v>
      </c>
    </row>
    <row r="158" spans="1:10" x14ac:dyDescent="0.2">
      <c r="A158" t="str">
        <f>'OECD Data IO Table - Imports'!D46</f>
        <v>IMP_05T06: Mining and extraction of energy producing products</v>
      </c>
      <c r="B158" t="str">
        <f>'OECD Data IO Table - Imports'!C46</f>
        <v>Imports</v>
      </c>
      <c r="C158">
        <f>SUMIF('OECD Data IO Table - Imports'!$F$2:$AY$2,Calculations!C$120,'OECD Data IO Table - Imports'!$F46:$AY46)</f>
        <v>1.4</v>
      </c>
      <c r="D158">
        <f>SUMIF('OECD Data IO Table - Imports'!$F$2:$AY$2,Calculations!D$120,'OECD Data IO Table - Imports'!$F46:$AY46)</f>
        <v>18.100000000000001</v>
      </c>
      <c r="E158">
        <f>SUMIF('OECD Data IO Table - Imports'!$F$2:$AY$2,Calculations!E$120,'OECD Data IO Table - Imports'!$F46:$AY46)</f>
        <v>43.7</v>
      </c>
      <c r="F158">
        <f>SUMIF('OECD Data IO Table - Imports'!$F$2:$AY$2,Calculations!F$120,'OECD Data IO Table - Imports'!$F46:$AY46)</f>
        <v>0.7</v>
      </c>
      <c r="G158">
        <f>SUMIF('OECD Data IO Table - Imports'!$F$2:$AY$2,Calculations!G$120,'OECD Data IO Table - Imports'!$F46:$AY46)</f>
        <v>0</v>
      </c>
      <c r="H158">
        <f>SUMIF('OECD Data IO Table - Imports'!$F$2:$AY$2,Calculations!H$120,'OECD Data IO Table - Imports'!$F46:$AY46)</f>
        <v>0</v>
      </c>
      <c r="I158">
        <f>SUMIF('OECD Data IO Table - Imports'!$F$2:$AY$2,Calculations!I$120,'OECD Data IO Table - Imports'!$F46:$AY46)</f>
        <v>17.2</v>
      </c>
      <c r="J158">
        <f>SUMIF('OECD Data IO Table - Imports'!$F$2:$AY$2,Calculations!J$120,'OECD Data IO Table - Imports'!$F46:$AY46)</f>
        <v>613.70000000000016</v>
      </c>
    </row>
    <row r="159" spans="1:10" x14ac:dyDescent="0.2">
      <c r="A159" t="str">
        <f>'OECD Data IO Table - Imports'!D47</f>
        <v>IMP_07T08: Mining and quarrying of non-energy producing products</v>
      </c>
      <c r="B159" t="str">
        <f>'OECD Data IO Table - Imports'!C47</f>
        <v>Imports</v>
      </c>
      <c r="C159">
        <f>SUMIF('OECD Data IO Table - Imports'!$F$2:$AY$2,Calculations!C$120,'OECD Data IO Table - Imports'!$F47:$AY47)</f>
        <v>0.9</v>
      </c>
      <c r="D159">
        <f>SUMIF('OECD Data IO Table - Imports'!$F$2:$AY$2,Calculations!D$120,'OECD Data IO Table - Imports'!$F47:$AY47)</f>
        <v>0.5</v>
      </c>
      <c r="E159">
        <f>SUMIF('OECD Data IO Table - Imports'!$F$2:$AY$2,Calculations!E$120,'OECD Data IO Table - Imports'!$F47:$AY47)</f>
        <v>10.1</v>
      </c>
      <c r="F159">
        <f>SUMIF('OECD Data IO Table - Imports'!$F$2:$AY$2,Calculations!F$120,'OECD Data IO Table - Imports'!$F47:$AY47)</f>
        <v>0.3</v>
      </c>
      <c r="G159">
        <f>SUMIF('OECD Data IO Table - Imports'!$F$2:$AY$2,Calculations!G$120,'OECD Data IO Table - Imports'!$F47:$AY47)</f>
        <v>0</v>
      </c>
      <c r="H159">
        <f>SUMIF('OECD Data IO Table - Imports'!$F$2:$AY$2,Calculations!H$120,'OECD Data IO Table - Imports'!$F47:$AY47)</f>
        <v>0</v>
      </c>
      <c r="I159">
        <f>SUMIF('OECD Data IO Table - Imports'!$F$2:$AY$2,Calculations!I$120,'OECD Data IO Table - Imports'!$F47:$AY47)</f>
        <v>3.5</v>
      </c>
      <c r="J159">
        <f>SUMIF('OECD Data IO Table - Imports'!$F$2:$AY$2,Calculations!J$120,'OECD Data IO Table - Imports'!$F47:$AY47)</f>
        <v>95.200000000000017</v>
      </c>
    </row>
    <row r="160" spans="1:10" x14ac:dyDescent="0.2">
      <c r="A160" t="str">
        <f>'OECD Data IO Table - Imports'!D48</f>
        <v>IMP_09: Mining support service activities</v>
      </c>
      <c r="B160" t="str">
        <f>'OECD Data IO Table - Imports'!C48</f>
        <v>Imports</v>
      </c>
      <c r="C160">
        <f>SUMIF('OECD Data IO Table - Imports'!$F$2:$AY$2,Calculations!C$120,'OECD Data IO Table - Imports'!$F48:$AY48)</f>
        <v>0</v>
      </c>
      <c r="D160">
        <f>SUMIF('OECD Data IO Table - Imports'!$F$2:$AY$2,Calculations!D$120,'OECD Data IO Table - Imports'!$F48:$AY48)</f>
        <v>0</v>
      </c>
      <c r="E160">
        <f>SUMIF('OECD Data IO Table - Imports'!$F$2:$AY$2,Calculations!E$120,'OECD Data IO Table - Imports'!$F48:$AY48)</f>
        <v>0.4</v>
      </c>
      <c r="F160">
        <f>SUMIF('OECD Data IO Table - Imports'!$F$2:$AY$2,Calculations!F$120,'OECD Data IO Table - Imports'!$F48:$AY48)</f>
        <v>0</v>
      </c>
      <c r="G160">
        <f>SUMIF('OECD Data IO Table - Imports'!$F$2:$AY$2,Calculations!G$120,'OECD Data IO Table - Imports'!$F48:$AY48)</f>
        <v>0</v>
      </c>
      <c r="H160">
        <f>SUMIF('OECD Data IO Table - Imports'!$F$2:$AY$2,Calculations!H$120,'OECD Data IO Table - Imports'!$F48:$AY48)</f>
        <v>0</v>
      </c>
      <c r="I160">
        <f>SUMIF('OECD Data IO Table - Imports'!$F$2:$AY$2,Calculations!I$120,'OECD Data IO Table - Imports'!$F48:$AY48)</f>
        <v>0.1</v>
      </c>
      <c r="J160">
        <f>SUMIF('OECD Data IO Table - Imports'!$F$2:$AY$2,Calculations!J$120,'OECD Data IO Table - Imports'!$F48:$AY48)</f>
        <v>9.5</v>
      </c>
    </row>
    <row r="161" spans="1:10" x14ac:dyDescent="0.2">
      <c r="A161" t="str">
        <f>'OECD Data IO Table - Imports'!D49</f>
        <v>IMP_10T12: Food products, beverages and tobacco</v>
      </c>
      <c r="B161" t="str">
        <f>'OECD Data IO Table - Imports'!C49</f>
        <v>Imports</v>
      </c>
      <c r="C161">
        <f>SUMIF('OECD Data IO Table - Imports'!$F$2:$AY$2,Calculations!C$120,'OECD Data IO Table - Imports'!$F49:$AY49)</f>
        <v>2.6</v>
      </c>
      <c r="D161">
        <f>SUMIF('OECD Data IO Table - Imports'!$F$2:$AY$2,Calculations!D$120,'OECD Data IO Table - Imports'!$F49:$AY49)</f>
        <v>2.2000000000000002</v>
      </c>
      <c r="E161">
        <f>SUMIF('OECD Data IO Table - Imports'!$F$2:$AY$2,Calculations!E$120,'OECD Data IO Table - Imports'!$F49:$AY49)</f>
        <v>17.100000000000001</v>
      </c>
      <c r="F161">
        <f>SUMIF('OECD Data IO Table - Imports'!$F$2:$AY$2,Calculations!F$120,'OECD Data IO Table - Imports'!$F49:$AY49)</f>
        <v>23.6</v>
      </c>
      <c r="G161">
        <f>SUMIF('OECD Data IO Table - Imports'!$F$2:$AY$2,Calculations!G$120,'OECD Data IO Table - Imports'!$F49:$AY49)</f>
        <v>0</v>
      </c>
      <c r="H161">
        <f>SUMIF('OECD Data IO Table - Imports'!$F$2:$AY$2,Calculations!H$120,'OECD Data IO Table - Imports'!$F49:$AY49)</f>
        <v>0</v>
      </c>
      <c r="I161">
        <f>SUMIF('OECD Data IO Table - Imports'!$F$2:$AY$2,Calculations!I$120,'OECD Data IO Table - Imports'!$F49:$AY49)</f>
        <v>9.3999999999999986</v>
      </c>
      <c r="J161">
        <f>SUMIF('OECD Data IO Table - Imports'!$F$2:$AY$2,Calculations!J$120,'OECD Data IO Table - Imports'!$F49:$AY49)</f>
        <v>852.6</v>
      </c>
    </row>
    <row r="162" spans="1:10" x14ac:dyDescent="0.2">
      <c r="A162" t="str">
        <f>'OECD Data IO Table - Imports'!D50</f>
        <v>IMP_13T15: Textiles, wearing apparel, leather and related products</v>
      </c>
      <c r="B162" t="str">
        <f>'OECD Data IO Table - Imports'!C50</f>
        <v>Imports</v>
      </c>
      <c r="C162">
        <f>SUMIF('OECD Data IO Table - Imports'!$F$2:$AY$2,Calculations!C$120,'OECD Data IO Table - Imports'!$F50:$AY50)</f>
        <v>0.6</v>
      </c>
      <c r="D162">
        <f>SUMIF('OECD Data IO Table - Imports'!$F$2:$AY$2,Calculations!D$120,'OECD Data IO Table - Imports'!$F50:$AY50)</f>
        <v>0.1</v>
      </c>
      <c r="E162">
        <f>SUMIF('OECD Data IO Table - Imports'!$F$2:$AY$2,Calculations!E$120,'OECD Data IO Table - Imports'!$F50:$AY50)</f>
        <v>2.4</v>
      </c>
      <c r="F162">
        <f>SUMIF('OECD Data IO Table - Imports'!$F$2:$AY$2,Calculations!F$120,'OECD Data IO Table - Imports'!$F50:$AY50)</f>
        <v>1</v>
      </c>
      <c r="G162">
        <f>SUMIF('OECD Data IO Table - Imports'!$F$2:$AY$2,Calculations!G$120,'OECD Data IO Table - Imports'!$F50:$AY50)</f>
        <v>0</v>
      </c>
      <c r="H162">
        <f>SUMIF('OECD Data IO Table - Imports'!$F$2:$AY$2,Calculations!H$120,'OECD Data IO Table - Imports'!$F50:$AY50)</f>
        <v>0</v>
      </c>
      <c r="I162">
        <f>SUMIF('OECD Data IO Table - Imports'!$F$2:$AY$2,Calculations!I$120,'OECD Data IO Table - Imports'!$F50:$AY50)</f>
        <v>0.6</v>
      </c>
      <c r="J162">
        <f>SUMIF('OECD Data IO Table - Imports'!$F$2:$AY$2,Calculations!J$120,'OECD Data IO Table - Imports'!$F50:$AY50)</f>
        <v>628.90000000000009</v>
      </c>
    </row>
    <row r="163" spans="1:10" x14ac:dyDescent="0.2">
      <c r="A163" t="str">
        <f>'OECD Data IO Table - Imports'!D51</f>
        <v>IMP_16: Wood and of products of wood and cork (except furniture)</v>
      </c>
      <c r="B163" t="str">
        <f>'OECD Data IO Table - Imports'!C51</f>
        <v>Imports</v>
      </c>
      <c r="C163">
        <f>SUMIF('OECD Data IO Table - Imports'!$F$2:$AY$2,Calculations!C$120,'OECD Data IO Table - Imports'!$F51:$AY51)</f>
        <v>0.1</v>
      </c>
      <c r="D163">
        <f>SUMIF('OECD Data IO Table - Imports'!$F$2:$AY$2,Calculations!D$120,'OECD Data IO Table - Imports'!$F51:$AY51)</f>
        <v>0</v>
      </c>
      <c r="E163">
        <f>SUMIF('OECD Data IO Table - Imports'!$F$2:$AY$2,Calculations!E$120,'OECD Data IO Table - Imports'!$F51:$AY51)</f>
        <v>0.9</v>
      </c>
      <c r="F163">
        <f>SUMIF('OECD Data IO Table - Imports'!$F$2:$AY$2,Calculations!F$120,'OECD Data IO Table - Imports'!$F51:$AY51)</f>
        <v>0.1</v>
      </c>
      <c r="G163">
        <f>SUMIF('OECD Data IO Table - Imports'!$F$2:$AY$2,Calculations!G$120,'OECD Data IO Table - Imports'!$F51:$AY51)</f>
        <v>0</v>
      </c>
      <c r="H163">
        <f>SUMIF('OECD Data IO Table - Imports'!$F$2:$AY$2,Calculations!H$120,'OECD Data IO Table - Imports'!$F51:$AY51)</f>
        <v>0</v>
      </c>
      <c r="I163">
        <f>SUMIF('OECD Data IO Table - Imports'!$F$2:$AY$2,Calculations!I$120,'OECD Data IO Table - Imports'!$F51:$AY51)</f>
        <v>0.7</v>
      </c>
      <c r="J163">
        <f>SUMIF('OECD Data IO Table - Imports'!$F$2:$AY$2,Calculations!J$120,'OECD Data IO Table - Imports'!$F51:$AY51)</f>
        <v>10.499999999999995</v>
      </c>
    </row>
    <row r="164" spans="1:10" x14ac:dyDescent="0.2">
      <c r="A164" t="str">
        <f>'OECD Data IO Table - Imports'!D52</f>
        <v>IMP_17T18: Paper products and printing</v>
      </c>
      <c r="B164" t="str">
        <f>'OECD Data IO Table - Imports'!C52</f>
        <v>Imports</v>
      </c>
      <c r="C164">
        <f>SUMIF('OECD Data IO Table - Imports'!$F$2:$AY$2,Calculations!C$120,'OECD Data IO Table - Imports'!$F52:$AY52)</f>
        <v>2.9</v>
      </c>
      <c r="D164">
        <f>SUMIF('OECD Data IO Table - Imports'!$F$2:$AY$2,Calculations!D$120,'OECD Data IO Table - Imports'!$F52:$AY52)</f>
        <v>0.1</v>
      </c>
      <c r="E164">
        <f>SUMIF('OECD Data IO Table - Imports'!$F$2:$AY$2,Calculations!E$120,'OECD Data IO Table - Imports'!$F52:$AY52)</f>
        <v>2.6</v>
      </c>
      <c r="F164">
        <f>SUMIF('OECD Data IO Table - Imports'!$F$2:$AY$2,Calculations!F$120,'OECD Data IO Table - Imports'!$F52:$AY52)</f>
        <v>1.8</v>
      </c>
      <c r="G164">
        <f>SUMIF('OECD Data IO Table - Imports'!$F$2:$AY$2,Calculations!G$120,'OECD Data IO Table - Imports'!$F52:$AY52)</f>
        <v>0</v>
      </c>
      <c r="H164">
        <f>SUMIF('OECD Data IO Table - Imports'!$F$2:$AY$2,Calculations!H$120,'OECD Data IO Table - Imports'!$F52:$AY52)</f>
        <v>0</v>
      </c>
      <c r="I164">
        <f>SUMIF('OECD Data IO Table - Imports'!$F$2:$AY$2,Calculations!I$120,'OECD Data IO Table - Imports'!$F52:$AY52)</f>
        <v>3</v>
      </c>
      <c r="J164">
        <f>SUMIF('OECD Data IO Table - Imports'!$F$2:$AY$2,Calculations!J$120,'OECD Data IO Table - Imports'!$F52:$AY52)</f>
        <v>495.6</v>
      </c>
    </row>
    <row r="165" spans="1:10" x14ac:dyDescent="0.2">
      <c r="A165" t="str">
        <f>'OECD Data IO Table - Imports'!D53</f>
        <v>IMP_19: Coke and refined petroleum products</v>
      </c>
      <c r="B165" t="str">
        <f>'OECD Data IO Table - Imports'!C53</f>
        <v>Imports</v>
      </c>
      <c r="C165">
        <f>SUMIF('OECD Data IO Table - Imports'!$F$2:$AY$2,Calculations!C$120,'OECD Data IO Table - Imports'!$F53:$AY53)</f>
        <v>51.2</v>
      </c>
      <c r="D165">
        <f>SUMIF('OECD Data IO Table - Imports'!$F$2:$AY$2,Calculations!D$120,'OECD Data IO Table - Imports'!$F53:$AY53)</f>
        <v>72.400000000000006</v>
      </c>
      <c r="E165">
        <f>SUMIF('OECD Data IO Table - Imports'!$F$2:$AY$2,Calculations!E$120,'OECD Data IO Table - Imports'!$F53:$AY53)</f>
        <v>647.20000000000005</v>
      </c>
      <c r="F165">
        <f>SUMIF('OECD Data IO Table - Imports'!$F$2:$AY$2,Calculations!F$120,'OECD Data IO Table - Imports'!$F53:$AY53)</f>
        <v>136.29999999999998</v>
      </c>
      <c r="G165">
        <f>SUMIF('OECD Data IO Table - Imports'!$F$2:$AY$2,Calculations!G$120,'OECD Data IO Table - Imports'!$F53:$AY53)</f>
        <v>0</v>
      </c>
      <c r="H165">
        <f>SUMIF('OECD Data IO Table - Imports'!$F$2:$AY$2,Calculations!H$120,'OECD Data IO Table - Imports'!$F53:$AY53)</f>
        <v>0</v>
      </c>
      <c r="I165">
        <f>SUMIF('OECD Data IO Table - Imports'!$F$2:$AY$2,Calculations!I$120,'OECD Data IO Table - Imports'!$F53:$AY53)</f>
        <v>1.1000000000000001</v>
      </c>
      <c r="J165">
        <f>SUMIF('OECD Data IO Table - Imports'!$F$2:$AY$2,Calculations!J$120,'OECD Data IO Table - Imports'!$F53:$AY53)</f>
        <v>138.80000000000001</v>
      </c>
    </row>
    <row r="166" spans="1:10" x14ac:dyDescent="0.2">
      <c r="A166" t="str">
        <f>'OECD Data IO Table - Imports'!D54</f>
        <v>IMP_20T21: Chemicals and pharmaceutical products</v>
      </c>
      <c r="B166" t="str">
        <f>'OECD Data IO Table - Imports'!C54</f>
        <v>Imports</v>
      </c>
      <c r="C166">
        <f>SUMIF('OECD Data IO Table - Imports'!$F$2:$AY$2,Calculations!C$120,'OECD Data IO Table - Imports'!$F54:$AY54)</f>
        <v>77.7</v>
      </c>
      <c r="D166">
        <f>SUMIF('OECD Data IO Table - Imports'!$F$2:$AY$2,Calculations!D$120,'OECD Data IO Table - Imports'!$F54:$AY54)</f>
        <v>28</v>
      </c>
      <c r="E166">
        <f>SUMIF('OECD Data IO Table - Imports'!$F$2:$AY$2,Calculations!E$120,'OECD Data IO Table - Imports'!$F54:$AY54)</f>
        <v>202.7</v>
      </c>
      <c r="F166">
        <f>SUMIF('OECD Data IO Table - Imports'!$F$2:$AY$2,Calculations!F$120,'OECD Data IO Table - Imports'!$F54:$AY54)</f>
        <v>416.6</v>
      </c>
      <c r="G166">
        <f>SUMIF('OECD Data IO Table - Imports'!$F$2:$AY$2,Calculations!G$120,'OECD Data IO Table - Imports'!$F54:$AY54)</f>
        <v>0</v>
      </c>
      <c r="H166">
        <f>SUMIF('OECD Data IO Table - Imports'!$F$2:$AY$2,Calculations!H$120,'OECD Data IO Table - Imports'!$F54:$AY54)</f>
        <v>0</v>
      </c>
      <c r="I166">
        <f>SUMIF('OECD Data IO Table - Imports'!$F$2:$AY$2,Calculations!I$120,'OECD Data IO Table - Imports'!$F54:$AY54)</f>
        <v>2.3000000000000003</v>
      </c>
      <c r="J166">
        <f>SUMIF('OECD Data IO Table - Imports'!$F$2:$AY$2,Calculations!J$120,'OECD Data IO Table - Imports'!$F54:$AY54)</f>
        <v>409.99999999999994</v>
      </c>
    </row>
    <row r="167" spans="1:10" x14ac:dyDescent="0.2">
      <c r="A167" t="str">
        <f>'OECD Data IO Table - Imports'!D55</f>
        <v>IMP_22: Rubber and plastics products</v>
      </c>
      <c r="B167" t="str">
        <f>'OECD Data IO Table - Imports'!C55</f>
        <v>Imports</v>
      </c>
      <c r="C167">
        <f>SUMIF('OECD Data IO Table - Imports'!$F$2:$AY$2,Calculations!C$120,'OECD Data IO Table - Imports'!$F55:$AY55)</f>
        <v>15.7</v>
      </c>
      <c r="D167">
        <f>SUMIF('OECD Data IO Table - Imports'!$F$2:$AY$2,Calculations!D$120,'OECD Data IO Table - Imports'!$F55:$AY55)</f>
        <v>2.2999999999999998</v>
      </c>
      <c r="E167">
        <f>SUMIF('OECD Data IO Table - Imports'!$F$2:$AY$2,Calculations!E$120,'OECD Data IO Table - Imports'!$F55:$AY55)</f>
        <v>41.9</v>
      </c>
      <c r="F167">
        <f>SUMIF('OECD Data IO Table - Imports'!$F$2:$AY$2,Calculations!F$120,'OECD Data IO Table - Imports'!$F55:$AY55)</f>
        <v>12.8</v>
      </c>
      <c r="G167">
        <f>SUMIF('OECD Data IO Table - Imports'!$F$2:$AY$2,Calculations!G$120,'OECD Data IO Table - Imports'!$F55:$AY55)</f>
        <v>0</v>
      </c>
      <c r="H167">
        <f>SUMIF('OECD Data IO Table - Imports'!$F$2:$AY$2,Calculations!H$120,'OECD Data IO Table - Imports'!$F55:$AY55)</f>
        <v>0</v>
      </c>
      <c r="I167">
        <f>SUMIF('OECD Data IO Table - Imports'!$F$2:$AY$2,Calculations!I$120,'OECD Data IO Table - Imports'!$F55:$AY55)</f>
        <v>0.2</v>
      </c>
      <c r="J167">
        <f>SUMIF('OECD Data IO Table - Imports'!$F$2:$AY$2,Calculations!J$120,'OECD Data IO Table - Imports'!$F55:$AY55)</f>
        <v>333.59999999999991</v>
      </c>
    </row>
    <row r="168" spans="1:10" x14ac:dyDescent="0.2">
      <c r="A168" t="str">
        <f>'OECD Data IO Table - Imports'!D56</f>
        <v>IMP_23: Other non-metallic mineral products</v>
      </c>
      <c r="B168" t="str">
        <f>'OECD Data IO Table - Imports'!C56</f>
        <v>Imports</v>
      </c>
      <c r="C168">
        <f>SUMIF('OECD Data IO Table - Imports'!$F$2:$AY$2,Calculations!C$120,'OECD Data IO Table - Imports'!$F56:$AY56)</f>
        <v>247.1</v>
      </c>
      <c r="D168">
        <f>SUMIF('OECD Data IO Table - Imports'!$F$2:$AY$2,Calculations!D$120,'OECD Data IO Table - Imports'!$F56:$AY56)</f>
        <v>8.4</v>
      </c>
      <c r="E168">
        <f>SUMIF('OECD Data IO Table - Imports'!$F$2:$AY$2,Calculations!E$120,'OECD Data IO Table - Imports'!$F56:$AY56)</f>
        <v>279.7</v>
      </c>
      <c r="F168">
        <f>SUMIF('OECD Data IO Table - Imports'!$F$2:$AY$2,Calculations!F$120,'OECD Data IO Table - Imports'!$F56:$AY56)</f>
        <v>5.4</v>
      </c>
      <c r="G168">
        <f>SUMIF('OECD Data IO Table - Imports'!$F$2:$AY$2,Calculations!G$120,'OECD Data IO Table - Imports'!$F56:$AY56)</f>
        <v>0</v>
      </c>
      <c r="H168">
        <f>SUMIF('OECD Data IO Table - Imports'!$F$2:$AY$2,Calculations!H$120,'OECD Data IO Table - Imports'!$F56:$AY56)</f>
        <v>0</v>
      </c>
      <c r="I168">
        <f>SUMIF('OECD Data IO Table - Imports'!$F$2:$AY$2,Calculations!I$120,'OECD Data IO Table - Imports'!$F56:$AY56)</f>
        <v>0.1</v>
      </c>
      <c r="J168">
        <f>SUMIF('OECD Data IO Table - Imports'!$F$2:$AY$2,Calculations!J$120,'OECD Data IO Table - Imports'!$F56:$AY56)</f>
        <v>209</v>
      </c>
    </row>
    <row r="169" spans="1:10" x14ac:dyDescent="0.2">
      <c r="A169" t="str">
        <f>'OECD Data IO Table - Imports'!D57</f>
        <v>IMP_24: Manufacture of basic metals</v>
      </c>
      <c r="B169" t="str">
        <f>'OECD Data IO Table - Imports'!C57</f>
        <v>Imports</v>
      </c>
      <c r="C169">
        <f>SUMIF('OECD Data IO Table - Imports'!$F$2:$AY$2,Calculations!C$120,'OECD Data IO Table - Imports'!$F57:$AY57)</f>
        <v>25.5</v>
      </c>
      <c r="D169">
        <f>SUMIF('OECD Data IO Table - Imports'!$F$2:$AY$2,Calculations!D$120,'OECD Data IO Table - Imports'!$F57:$AY57)</f>
        <v>4</v>
      </c>
      <c r="E169">
        <f>SUMIF('OECD Data IO Table - Imports'!$F$2:$AY$2,Calculations!E$120,'OECD Data IO Table - Imports'!$F57:$AY57)</f>
        <v>4432</v>
      </c>
      <c r="F169">
        <f>SUMIF('OECD Data IO Table - Imports'!$F$2:$AY$2,Calculations!F$120,'OECD Data IO Table - Imports'!$F57:$AY57)</f>
        <v>2.9</v>
      </c>
      <c r="G169">
        <f>SUMIF('OECD Data IO Table - Imports'!$F$2:$AY$2,Calculations!G$120,'OECD Data IO Table - Imports'!$F57:$AY57)</f>
        <v>0</v>
      </c>
      <c r="H169">
        <f>SUMIF('OECD Data IO Table - Imports'!$F$2:$AY$2,Calculations!H$120,'OECD Data IO Table - Imports'!$F57:$AY57)</f>
        <v>0</v>
      </c>
      <c r="I169">
        <f>SUMIF('OECD Data IO Table - Imports'!$F$2:$AY$2,Calculations!I$120,'OECD Data IO Table - Imports'!$F57:$AY57)</f>
        <v>0.1</v>
      </c>
      <c r="J169">
        <f>SUMIF('OECD Data IO Table - Imports'!$F$2:$AY$2,Calculations!J$120,'OECD Data IO Table - Imports'!$F57:$AY57)</f>
        <v>1063.3000000000002</v>
      </c>
    </row>
    <row r="170" spans="1:10" x14ac:dyDescent="0.2">
      <c r="A170" t="str">
        <f>'OECD Data IO Table - Imports'!D58</f>
        <v>IMP_25: Fabricated metal products, except machinery and equipment</v>
      </c>
      <c r="B170" t="str">
        <f>'OECD Data IO Table - Imports'!C58</f>
        <v>Imports</v>
      </c>
      <c r="C170">
        <f>SUMIF('OECD Data IO Table - Imports'!$F$2:$AY$2,Calculations!C$120,'OECD Data IO Table - Imports'!$F58:$AY58)</f>
        <v>10.7</v>
      </c>
      <c r="D170">
        <f>SUMIF('OECD Data IO Table - Imports'!$F$2:$AY$2,Calculations!D$120,'OECD Data IO Table - Imports'!$F58:$AY58)</f>
        <v>2.2000000000000002</v>
      </c>
      <c r="E170">
        <f>SUMIF('OECD Data IO Table - Imports'!$F$2:$AY$2,Calculations!E$120,'OECD Data IO Table - Imports'!$F58:$AY58)</f>
        <v>189.4</v>
      </c>
      <c r="F170">
        <f>SUMIF('OECD Data IO Table - Imports'!$F$2:$AY$2,Calculations!F$120,'OECD Data IO Table - Imports'!$F58:$AY58)</f>
        <v>1.5</v>
      </c>
      <c r="G170">
        <f>SUMIF('OECD Data IO Table - Imports'!$F$2:$AY$2,Calculations!G$120,'OECD Data IO Table - Imports'!$F58:$AY58)</f>
        <v>0</v>
      </c>
      <c r="H170">
        <f>SUMIF('OECD Data IO Table - Imports'!$F$2:$AY$2,Calculations!H$120,'OECD Data IO Table - Imports'!$F58:$AY58)</f>
        <v>0</v>
      </c>
      <c r="I170">
        <f>SUMIF('OECD Data IO Table - Imports'!$F$2:$AY$2,Calculations!I$120,'OECD Data IO Table - Imports'!$F58:$AY58)</f>
        <v>0.1</v>
      </c>
      <c r="J170">
        <f>SUMIF('OECD Data IO Table - Imports'!$F$2:$AY$2,Calculations!J$120,'OECD Data IO Table - Imports'!$F58:$AY58)</f>
        <v>250.9</v>
      </c>
    </row>
    <row r="171" spans="1:10" x14ac:dyDescent="0.2">
      <c r="A171" t="str">
        <f>'OECD Data IO Table - Imports'!D59</f>
        <v>IMP_26: Computer, electronic and optical products</v>
      </c>
      <c r="B171" t="str">
        <f>'OECD Data IO Table - Imports'!C59</f>
        <v>Imports</v>
      </c>
      <c r="C171">
        <f>SUMIF('OECD Data IO Table - Imports'!$F$2:$AY$2,Calculations!C$120,'OECD Data IO Table - Imports'!$F59:$AY59)</f>
        <v>3.8</v>
      </c>
      <c r="D171">
        <f>SUMIF('OECD Data IO Table - Imports'!$F$2:$AY$2,Calculations!D$120,'OECD Data IO Table - Imports'!$F59:$AY59)</f>
        <v>2.9</v>
      </c>
      <c r="E171">
        <f>SUMIF('OECD Data IO Table - Imports'!$F$2:$AY$2,Calculations!E$120,'OECD Data IO Table - Imports'!$F59:$AY59)</f>
        <v>20</v>
      </c>
      <c r="F171">
        <f>SUMIF('OECD Data IO Table - Imports'!$F$2:$AY$2,Calculations!F$120,'OECD Data IO Table - Imports'!$F59:$AY59)</f>
        <v>2.9</v>
      </c>
      <c r="G171">
        <f>SUMIF('OECD Data IO Table - Imports'!$F$2:$AY$2,Calculations!G$120,'OECD Data IO Table - Imports'!$F59:$AY59)</f>
        <v>0</v>
      </c>
      <c r="H171">
        <f>SUMIF('OECD Data IO Table - Imports'!$F$2:$AY$2,Calculations!H$120,'OECD Data IO Table - Imports'!$F59:$AY59)</f>
        <v>0</v>
      </c>
      <c r="I171">
        <f>SUMIF('OECD Data IO Table - Imports'!$F$2:$AY$2,Calculations!I$120,'OECD Data IO Table - Imports'!$F59:$AY59)</f>
        <v>0.1</v>
      </c>
      <c r="J171">
        <f>SUMIF('OECD Data IO Table - Imports'!$F$2:$AY$2,Calculations!J$120,'OECD Data IO Table - Imports'!$F59:$AY59)</f>
        <v>660.2</v>
      </c>
    </row>
    <row r="172" spans="1:10" x14ac:dyDescent="0.2">
      <c r="A172" t="str">
        <f>'OECD Data IO Table - Imports'!D60</f>
        <v>IMP_27: Electrical equipment</v>
      </c>
      <c r="B172" t="str">
        <f>'OECD Data IO Table - Imports'!C60</f>
        <v>Imports</v>
      </c>
      <c r="C172">
        <f>SUMIF('OECD Data IO Table - Imports'!$F$2:$AY$2,Calculations!C$120,'OECD Data IO Table - Imports'!$F60:$AY60)</f>
        <v>4.9000000000000004</v>
      </c>
      <c r="D172">
        <f>SUMIF('OECD Data IO Table - Imports'!$F$2:$AY$2,Calculations!D$120,'OECD Data IO Table - Imports'!$F60:$AY60)</f>
        <v>2.2999999999999998</v>
      </c>
      <c r="E172">
        <f>SUMIF('OECD Data IO Table - Imports'!$F$2:$AY$2,Calculations!E$120,'OECD Data IO Table - Imports'!$F60:$AY60)</f>
        <v>39.6</v>
      </c>
      <c r="F172">
        <f>SUMIF('OECD Data IO Table - Imports'!$F$2:$AY$2,Calculations!F$120,'OECD Data IO Table - Imports'!$F60:$AY60)</f>
        <v>1.4</v>
      </c>
      <c r="G172">
        <f>SUMIF('OECD Data IO Table - Imports'!$F$2:$AY$2,Calculations!G$120,'OECD Data IO Table - Imports'!$F60:$AY60)</f>
        <v>0</v>
      </c>
      <c r="H172">
        <f>SUMIF('OECD Data IO Table - Imports'!$F$2:$AY$2,Calculations!H$120,'OECD Data IO Table - Imports'!$F60:$AY60)</f>
        <v>0</v>
      </c>
      <c r="I172">
        <f>SUMIF('OECD Data IO Table - Imports'!$F$2:$AY$2,Calculations!I$120,'OECD Data IO Table - Imports'!$F60:$AY60)</f>
        <v>0</v>
      </c>
      <c r="J172">
        <f>SUMIF('OECD Data IO Table - Imports'!$F$2:$AY$2,Calculations!J$120,'OECD Data IO Table - Imports'!$F60:$AY60)</f>
        <v>826.2</v>
      </c>
    </row>
    <row r="173" spans="1:10" x14ac:dyDescent="0.2">
      <c r="A173" t="str">
        <f>'OECD Data IO Table - Imports'!D61</f>
        <v>IMP_28: Machinery and equipment n.e.c.</v>
      </c>
      <c r="B173" t="str">
        <f>'OECD Data IO Table - Imports'!C61</f>
        <v>Imports</v>
      </c>
      <c r="C173">
        <f>SUMIF('OECD Data IO Table - Imports'!$F$2:$AY$2,Calculations!C$120,'OECD Data IO Table - Imports'!$F61:$AY61)</f>
        <v>27.8</v>
      </c>
      <c r="D173">
        <f>SUMIF('OECD Data IO Table - Imports'!$F$2:$AY$2,Calculations!D$120,'OECD Data IO Table - Imports'!$F61:$AY61)</f>
        <v>5.6</v>
      </c>
      <c r="E173">
        <f>SUMIF('OECD Data IO Table - Imports'!$F$2:$AY$2,Calculations!E$120,'OECD Data IO Table - Imports'!$F61:$AY61)</f>
        <v>219.2</v>
      </c>
      <c r="F173">
        <f>SUMIF('OECD Data IO Table - Imports'!$F$2:$AY$2,Calculations!F$120,'OECD Data IO Table - Imports'!$F61:$AY61)</f>
        <v>5</v>
      </c>
      <c r="G173">
        <f>SUMIF('OECD Data IO Table - Imports'!$F$2:$AY$2,Calculations!G$120,'OECD Data IO Table - Imports'!$F61:$AY61)</f>
        <v>0</v>
      </c>
      <c r="H173">
        <f>SUMIF('OECD Data IO Table - Imports'!$F$2:$AY$2,Calculations!H$120,'OECD Data IO Table - Imports'!$F61:$AY61)</f>
        <v>0</v>
      </c>
      <c r="I173">
        <f>SUMIF('OECD Data IO Table - Imports'!$F$2:$AY$2,Calculations!I$120,'OECD Data IO Table - Imports'!$F61:$AY61)</f>
        <v>0.3</v>
      </c>
      <c r="J173">
        <f>SUMIF('OECD Data IO Table - Imports'!$F$2:$AY$2,Calculations!J$120,'OECD Data IO Table - Imports'!$F61:$AY61)</f>
        <v>566.09999999999991</v>
      </c>
    </row>
    <row r="174" spans="1:10" x14ac:dyDescent="0.2">
      <c r="A174" t="str">
        <f>'OECD Data IO Table - Imports'!D62</f>
        <v>IMP_29: Motor vehicles, trailers and semi-trailers</v>
      </c>
      <c r="B174" t="str">
        <f>'OECD Data IO Table - Imports'!C62</f>
        <v>Imports</v>
      </c>
      <c r="C174">
        <f>SUMIF('OECD Data IO Table - Imports'!$F$2:$AY$2,Calculations!C$120,'OECD Data IO Table - Imports'!$F62:$AY62)</f>
        <v>1.4</v>
      </c>
      <c r="D174">
        <f>SUMIF('OECD Data IO Table - Imports'!$F$2:$AY$2,Calculations!D$120,'OECD Data IO Table - Imports'!$F62:$AY62)</f>
        <v>0.2</v>
      </c>
      <c r="E174">
        <f>SUMIF('OECD Data IO Table - Imports'!$F$2:$AY$2,Calculations!E$120,'OECD Data IO Table - Imports'!$F62:$AY62)</f>
        <v>6.5</v>
      </c>
      <c r="F174">
        <f>SUMIF('OECD Data IO Table - Imports'!$F$2:$AY$2,Calculations!F$120,'OECD Data IO Table - Imports'!$F62:$AY62)</f>
        <v>0.2</v>
      </c>
      <c r="G174">
        <f>SUMIF('OECD Data IO Table - Imports'!$F$2:$AY$2,Calculations!G$120,'OECD Data IO Table - Imports'!$F62:$AY62)</f>
        <v>0</v>
      </c>
      <c r="H174">
        <f>SUMIF('OECD Data IO Table - Imports'!$F$2:$AY$2,Calculations!H$120,'OECD Data IO Table - Imports'!$F62:$AY62)</f>
        <v>0</v>
      </c>
      <c r="I174">
        <f>SUMIF('OECD Data IO Table - Imports'!$F$2:$AY$2,Calculations!I$120,'OECD Data IO Table - Imports'!$F62:$AY62)</f>
        <v>0</v>
      </c>
      <c r="J174">
        <f>SUMIF('OECD Data IO Table - Imports'!$F$2:$AY$2,Calculations!J$120,'OECD Data IO Table - Imports'!$F62:$AY62)</f>
        <v>182.4</v>
      </c>
    </row>
    <row r="175" spans="1:10" x14ac:dyDescent="0.2">
      <c r="A175" t="str">
        <f>'OECD Data IO Table - Imports'!D63</f>
        <v>IMP_30: Other transport equipment</v>
      </c>
      <c r="B175" t="str">
        <f>'OECD Data IO Table - Imports'!C63</f>
        <v>Imports</v>
      </c>
      <c r="C175">
        <f>SUMIF('OECD Data IO Table - Imports'!$F$2:$AY$2,Calculations!C$120,'OECD Data IO Table - Imports'!$F63:$AY63)</f>
        <v>1.1000000000000001</v>
      </c>
      <c r="D175">
        <f>SUMIF('OECD Data IO Table - Imports'!$F$2:$AY$2,Calculations!D$120,'OECD Data IO Table - Imports'!$F63:$AY63)</f>
        <v>0.1</v>
      </c>
      <c r="E175">
        <f>SUMIF('OECD Data IO Table - Imports'!$F$2:$AY$2,Calculations!E$120,'OECD Data IO Table - Imports'!$F63:$AY63)</f>
        <v>5.4</v>
      </c>
      <c r="F175">
        <f>SUMIF('OECD Data IO Table - Imports'!$F$2:$AY$2,Calculations!F$120,'OECD Data IO Table - Imports'!$F63:$AY63)</f>
        <v>0.2</v>
      </c>
      <c r="G175">
        <f>SUMIF('OECD Data IO Table - Imports'!$F$2:$AY$2,Calculations!G$120,'OECD Data IO Table - Imports'!$F63:$AY63)</f>
        <v>0</v>
      </c>
      <c r="H175">
        <f>SUMIF('OECD Data IO Table - Imports'!$F$2:$AY$2,Calculations!H$120,'OECD Data IO Table - Imports'!$F63:$AY63)</f>
        <v>0</v>
      </c>
      <c r="I175">
        <f>SUMIF('OECD Data IO Table - Imports'!$F$2:$AY$2,Calculations!I$120,'OECD Data IO Table - Imports'!$F63:$AY63)</f>
        <v>0</v>
      </c>
      <c r="J175">
        <f>SUMIF('OECD Data IO Table - Imports'!$F$2:$AY$2,Calculations!J$120,'OECD Data IO Table - Imports'!$F63:$AY63)</f>
        <v>324.5</v>
      </c>
    </row>
    <row r="176" spans="1:10" x14ac:dyDescent="0.2">
      <c r="A176" t="str">
        <f>'OECD Data IO Table - Imports'!D64</f>
        <v>IMP_31T33: Other manufacturing; repair and installation of machinery and equipment</v>
      </c>
      <c r="B176" t="str">
        <f>'OECD Data IO Table - Imports'!C64</f>
        <v>Imports</v>
      </c>
      <c r="C176">
        <f>SUMIF('OECD Data IO Table - Imports'!$F$2:$AY$2,Calculations!C$120,'OECD Data IO Table - Imports'!$F64:$AY64)</f>
        <v>1.4</v>
      </c>
      <c r="D176">
        <f>SUMIF('OECD Data IO Table - Imports'!$F$2:$AY$2,Calculations!D$120,'OECD Data IO Table - Imports'!$F64:$AY64)</f>
        <v>0.2</v>
      </c>
      <c r="E176">
        <f>SUMIF('OECD Data IO Table - Imports'!$F$2:$AY$2,Calculations!E$120,'OECD Data IO Table - Imports'!$F64:$AY64)</f>
        <v>30.3</v>
      </c>
      <c r="F176">
        <f>SUMIF('OECD Data IO Table - Imports'!$F$2:$AY$2,Calculations!F$120,'OECD Data IO Table - Imports'!$F64:$AY64)</f>
        <v>0.6</v>
      </c>
      <c r="G176">
        <f>SUMIF('OECD Data IO Table - Imports'!$F$2:$AY$2,Calculations!G$120,'OECD Data IO Table - Imports'!$F64:$AY64)</f>
        <v>0</v>
      </c>
      <c r="H176">
        <f>SUMIF('OECD Data IO Table - Imports'!$F$2:$AY$2,Calculations!H$120,'OECD Data IO Table - Imports'!$F64:$AY64)</f>
        <v>0</v>
      </c>
      <c r="I176">
        <f>SUMIF('OECD Data IO Table - Imports'!$F$2:$AY$2,Calculations!I$120,'OECD Data IO Table - Imports'!$F64:$AY64)</f>
        <v>0.1</v>
      </c>
      <c r="J176">
        <f>SUMIF('OECD Data IO Table - Imports'!$F$2:$AY$2,Calculations!J$120,'OECD Data IO Table - Imports'!$F64:$AY64)</f>
        <v>34.799999999999997</v>
      </c>
    </row>
    <row r="177" spans="1:10" x14ac:dyDescent="0.2">
      <c r="A177" t="str">
        <f>'OECD Data IO Table - Imports'!D65</f>
        <v>IMP_35T39: Electricity, gas, water supply, sewerage, waste and remediation services</v>
      </c>
      <c r="B177" t="str">
        <f>'OECD Data IO Table - Imports'!C65</f>
        <v>Imports</v>
      </c>
      <c r="C177">
        <f>SUMIF('OECD Data IO Table - Imports'!$F$2:$AY$2,Calculations!C$120,'OECD Data IO Table - Imports'!$F65:$AY65)</f>
        <v>0.2</v>
      </c>
      <c r="D177">
        <f>SUMIF('OECD Data IO Table - Imports'!$F$2:$AY$2,Calculations!D$120,'OECD Data IO Table - Imports'!$F65:$AY65)</f>
        <v>0.1</v>
      </c>
      <c r="E177">
        <f>SUMIF('OECD Data IO Table - Imports'!$F$2:$AY$2,Calculations!E$120,'OECD Data IO Table - Imports'!$F65:$AY65)</f>
        <v>2.7</v>
      </c>
      <c r="F177">
        <f>SUMIF('OECD Data IO Table - Imports'!$F$2:$AY$2,Calculations!F$120,'OECD Data IO Table - Imports'!$F65:$AY65)</f>
        <v>0.4</v>
      </c>
      <c r="G177">
        <f>SUMIF('OECD Data IO Table - Imports'!$F$2:$AY$2,Calculations!G$120,'OECD Data IO Table - Imports'!$F65:$AY65)</f>
        <v>0</v>
      </c>
      <c r="H177">
        <f>SUMIF('OECD Data IO Table - Imports'!$F$2:$AY$2,Calculations!H$120,'OECD Data IO Table - Imports'!$F65:$AY65)</f>
        <v>0</v>
      </c>
      <c r="I177">
        <f>SUMIF('OECD Data IO Table - Imports'!$F$2:$AY$2,Calculations!I$120,'OECD Data IO Table - Imports'!$F65:$AY65)</f>
        <v>0.1</v>
      </c>
      <c r="J177">
        <f>SUMIF('OECD Data IO Table - Imports'!$F$2:$AY$2,Calculations!J$120,'OECD Data IO Table - Imports'!$F65:$AY65)</f>
        <v>32.600000000000009</v>
      </c>
    </row>
    <row r="178" spans="1:10" x14ac:dyDescent="0.2">
      <c r="A178" t="str">
        <f>'OECD Data IO Table - Imports'!D66</f>
        <v>IMP_41T43: Construction</v>
      </c>
      <c r="B178" t="str">
        <f>'OECD Data IO Table - Imports'!C66</f>
        <v>Imports</v>
      </c>
      <c r="C178">
        <f>SUMIF('OECD Data IO Table - Imports'!$F$2:$AY$2,Calculations!C$120,'OECD Data IO Table - Imports'!$F66:$AY66)</f>
        <v>0.3</v>
      </c>
      <c r="D178">
        <f>SUMIF('OECD Data IO Table - Imports'!$F$2:$AY$2,Calculations!D$120,'OECD Data IO Table - Imports'!$F66:$AY66)</f>
        <v>0</v>
      </c>
      <c r="E178">
        <f>SUMIF('OECD Data IO Table - Imports'!$F$2:$AY$2,Calculations!E$120,'OECD Data IO Table - Imports'!$F66:$AY66)</f>
        <v>2</v>
      </c>
      <c r="F178">
        <f>SUMIF('OECD Data IO Table - Imports'!$F$2:$AY$2,Calculations!F$120,'OECD Data IO Table - Imports'!$F66:$AY66)</f>
        <v>0.2</v>
      </c>
      <c r="G178">
        <f>SUMIF('OECD Data IO Table - Imports'!$F$2:$AY$2,Calculations!G$120,'OECD Data IO Table - Imports'!$F66:$AY66)</f>
        <v>0</v>
      </c>
      <c r="H178">
        <f>SUMIF('OECD Data IO Table - Imports'!$F$2:$AY$2,Calculations!H$120,'OECD Data IO Table - Imports'!$F66:$AY66)</f>
        <v>0</v>
      </c>
      <c r="I178">
        <f>SUMIF('OECD Data IO Table - Imports'!$F$2:$AY$2,Calculations!I$120,'OECD Data IO Table - Imports'!$F66:$AY66)</f>
        <v>0</v>
      </c>
      <c r="J178">
        <f>SUMIF('OECD Data IO Table - Imports'!$F$2:$AY$2,Calculations!J$120,'OECD Data IO Table - Imports'!$F66:$AY66)</f>
        <v>2.2000000000000002</v>
      </c>
    </row>
    <row r="179" spans="1:10" x14ac:dyDescent="0.2">
      <c r="A179" t="str">
        <f>'OECD Data IO Table - Imports'!D67</f>
        <v>IMP_45T47: Wholesale and retail trade; repair of motor vehicles</v>
      </c>
      <c r="B179" t="str">
        <f>'OECD Data IO Table - Imports'!C67</f>
        <v>Imports</v>
      </c>
      <c r="C179">
        <f>SUMIF('OECD Data IO Table - Imports'!$F$2:$AY$2,Calculations!C$120,'OECD Data IO Table - Imports'!$F67:$AY67)</f>
        <v>48.6</v>
      </c>
      <c r="D179">
        <f>SUMIF('OECD Data IO Table - Imports'!$F$2:$AY$2,Calculations!D$120,'OECD Data IO Table - Imports'!$F67:$AY67)</f>
        <v>15.4</v>
      </c>
      <c r="E179">
        <f>SUMIF('OECD Data IO Table - Imports'!$F$2:$AY$2,Calculations!E$120,'OECD Data IO Table - Imports'!$F67:$AY67)</f>
        <v>523.6</v>
      </c>
      <c r="F179">
        <f>SUMIF('OECD Data IO Table - Imports'!$F$2:$AY$2,Calculations!F$120,'OECD Data IO Table - Imports'!$F67:$AY67)</f>
        <v>99.3</v>
      </c>
      <c r="G179">
        <f>SUMIF('OECD Data IO Table - Imports'!$F$2:$AY$2,Calculations!G$120,'OECD Data IO Table - Imports'!$F67:$AY67)</f>
        <v>0</v>
      </c>
      <c r="H179">
        <f>SUMIF('OECD Data IO Table - Imports'!$F$2:$AY$2,Calculations!H$120,'OECD Data IO Table - Imports'!$F67:$AY67)</f>
        <v>0</v>
      </c>
      <c r="I179">
        <f>SUMIF('OECD Data IO Table - Imports'!$F$2:$AY$2,Calculations!I$120,'OECD Data IO Table - Imports'!$F67:$AY67)</f>
        <v>4.3</v>
      </c>
      <c r="J179">
        <f>SUMIF('OECD Data IO Table - Imports'!$F$2:$AY$2,Calculations!J$120,'OECD Data IO Table - Imports'!$F67:$AY67)</f>
        <v>877.69999999999993</v>
      </c>
    </row>
    <row r="180" spans="1:10" x14ac:dyDescent="0.2">
      <c r="A180" t="str">
        <f>'OECD Data IO Table - Imports'!D68</f>
        <v>IMP_49T53: Transportation and storage</v>
      </c>
      <c r="B180" t="str">
        <f>'OECD Data IO Table - Imports'!C68</f>
        <v>Imports</v>
      </c>
      <c r="C180">
        <f>SUMIF('OECD Data IO Table - Imports'!$F$2:$AY$2,Calculations!C$120,'OECD Data IO Table - Imports'!$F68:$AY68)</f>
        <v>20.3</v>
      </c>
      <c r="D180">
        <f>SUMIF('OECD Data IO Table - Imports'!$F$2:$AY$2,Calculations!D$120,'OECD Data IO Table - Imports'!$F68:$AY68)</f>
        <v>10.1</v>
      </c>
      <c r="E180">
        <f>SUMIF('OECD Data IO Table - Imports'!$F$2:$AY$2,Calculations!E$120,'OECD Data IO Table - Imports'!$F68:$AY68)</f>
        <v>186</v>
      </c>
      <c r="F180">
        <f>SUMIF('OECD Data IO Table - Imports'!$F$2:$AY$2,Calculations!F$120,'OECD Data IO Table - Imports'!$F68:$AY68)</f>
        <v>20.9</v>
      </c>
      <c r="G180">
        <f>SUMIF('OECD Data IO Table - Imports'!$F$2:$AY$2,Calculations!G$120,'OECD Data IO Table - Imports'!$F68:$AY68)</f>
        <v>0</v>
      </c>
      <c r="H180">
        <f>SUMIF('OECD Data IO Table - Imports'!$F$2:$AY$2,Calculations!H$120,'OECD Data IO Table - Imports'!$F68:$AY68)</f>
        <v>0</v>
      </c>
      <c r="I180">
        <f>SUMIF('OECD Data IO Table - Imports'!$F$2:$AY$2,Calculations!I$120,'OECD Data IO Table - Imports'!$F68:$AY68)</f>
        <v>1.9000000000000004</v>
      </c>
      <c r="J180">
        <f>SUMIF('OECD Data IO Table - Imports'!$F$2:$AY$2,Calculations!J$120,'OECD Data IO Table - Imports'!$F68:$AY68)</f>
        <v>182.6</v>
      </c>
    </row>
    <row r="181" spans="1:10" x14ac:dyDescent="0.2">
      <c r="A181" t="str">
        <f>'OECD Data IO Table - Imports'!D69</f>
        <v>IMP_55T56: Accomodation and food services</v>
      </c>
      <c r="B181" t="str">
        <f>'OECD Data IO Table - Imports'!C69</f>
        <v>Imports</v>
      </c>
      <c r="C181">
        <f>SUMIF('OECD Data IO Table - Imports'!$F$2:$AY$2,Calculations!C$120,'OECD Data IO Table - Imports'!$F69:$AY69)</f>
        <v>0</v>
      </c>
      <c r="D181">
        <f>SUMIF('OECD Data IO Table - Imports'!$F$2:$AY$2,Calculations!D$120,'OECD Data IO Table - Imports'!$F69:$AY69)</f>
        <v>0</v>
      </c>
      <c r="E181">
        <f>SUMIF('OECD Data IO Table - Imports'!$F$2:$AY$2,Calculations!E$120,'OECD Data IO Table - Imports'!$F69:$AY69)</f>
        <v>0.2</v>
      </c>
      <c r="F181">
        <f>SUMIF('OECD Data IO Table - Imports'!$F$2:$AY$2,Calculations!F$120,'OECD Data IO Table - Imports'!$F69:$AY69)</f>
        <v>0</v>
      </c>
      <c r="G181">
        <f>SUMIF('OECD Data IO Table - Imports'!$F$2:$AY$2,Calculations!G$120,'OECD Data IO Table - Imports'!$F69:$AY69)</f>
        <v>0</v>
      </c>
      <c r="H181">
        <f>SUMIF('OECD Data IO Table - Imports'!$F$2:$AY$2,Calculations!H$120,'OECD Data IO Table - Imports'!$F69:$AY69)</f>
        <v>0</v>
      </c>
      <c r="I181">
        <f>SUMIF('OECD Data IO Table - Imports'!$F$2:$AY$2,Calculations!I$120,'OECD Data IO Table - Imports'!$F69:$AY69)</f>
        <v>0</v>
      </c>
      <c r="J181">
        <f>SUMIF('OECD Data IO Table - Imports'!$F$2:$AY$2,Calculations!J$120,'OECD Data IO Table - Imports'!$F69:$AY69)</f>
        <v>0.70000000000000007</v>
      </c>
    </row>
    <row r="182" spans="1:10" x14ac:dyDescent="0.2">
      <c r="A182" t="str">
        <f>'OECD Data IO Table - Imports'!D70</f>
        <v>IMP_58T60: Publishing, audiovisual and broadcasting activities</v>
      </c>
      <c r="B182" t="str">
        <f>'OECD Data IO Table - Imports'!C70</f>
        <v>Imports</v>
      </c>
      <c r="C182">
        <f>SUMIF('OECD Data IO Table - Imports'!$F$2:$AY$2,Calculations!C$120,'OECD Data IO Table - Imports'!$F70:$AY70)</f>
        <v>0.6</v>
      </c>
      <c r="D182">
        <f>SUMIF('OECD Data IO Table - Imports'!$F$2:$AY$2,Calculations!D$120,'OECD Data IO Table - Imports'!$F70:$AY70)</f>
        <v>0.2</v>
      </c>
      <c r="E182">
        <f>SUMIF('OECD Data IO Table - Imports'!$F$2:$AY$2,Calculations!E$120,'OECD Data IO Table - Imports'!$F70:$AY70)</f>
        <v>2</v>
      </c>
      <c r="F182">
        <f>SUMIF('OECD Data IO Table - Imports'!$F$2:$AY$2,Calculations!F$120,'OECD Data IO Table - Imports'!$F70:$AY70)</f>
        <v>0.3</v>
      </c>
      <c r="G182">
        <f>SUMIF('OECD Data IO Table - Imports'!$F$2:$AY$2,Calculations!G$120,'OECD Data IO Table - Imports'!$F70:$AY70)</f>
        <v>0</v>
      </c>
      <c r="H182">
        <f>SUMIF('OECD Data IO Table - Imports'!$F$2:$AY$2,Calculations!H$120,'OECD Data IO Table - Imports'!$F70:$AY70)</f>
        <v>0</v>
      </c>
      <c r="I182">
        <f>SUMIF('OECD Data IO Table - Imports'!$F$2:$AY$2,Calculations!I$120,'OECD Data IO Table - Imports'!$F70:$AY70)</f>
        <v>1.6</v>
      </c>
      <c r="J182">
        <f>SUMIF('OECD Data IO Table - Imports'!$F$2:$AY$2,Calculations!J$120,'OECD Data IO Table - Imports'!$F70:$AY70)</f>
        <v>63.2</v>
      </c>
    </row>
    <row r="183" spans="1:10" x14ac:dyDescent="0.2">
      <c r="A183" t="str">
        <f>'OECD Data IO Table - Imports'!D71</f>
        <v>IMP_61: Telecommunications</v>
      </c>
      <c r="B183" t="str">
        <f>'OECD Data IO Table - Imports'!C71</f>
        <v>Imports</v>
      </c>
      <c r="C183">
        <f>SUMIF('OECD Data IO Table - Imports'!$F$2:$AY$2,Calculations!C$120,'OECD Data IO Table - Imports'!$F71:$AY71)</f>
        <v>0</v>
      </c>
      <c r="D183">
        <f>SUMIF('OECD Data IO Table - Imports'!$F$2:$AY$2,Calculations!D$120,'OECD Data IO Table - Imports'!$F71:$AY71)</f>
        <v>0</v>
      </c>
      <c r="E183">
        <f>SUMIF('OECD Data IO Table - Imports'!$F$2:$AY$2,Calculations!E$120,'OECD Data IO Table - Imports'!$F71:$AY71)</f>
        <v>0.8</v>
      </c>
      <c r="F183">
        <f>SUMIF('OECD Data IO Table - Imports'!$F$2:$AY$2,Calculations!F$120,'OECD Data IO Table - Imports'!$F71:$AY71)</f>
        <v>0</v>
      </c>
      <c r="G183">
        <f>SUMIF('OECD Data IO Table - Imports'!$F$2:$AY$2,Calculations!G$120,'OECD Data IO Table - Imports'!$F71:$AY71)</f>
        <v>0</v>
      </c>
      <c r="H183">
        <f>SUMIF('OECD Data IO Table - Imports'!$F$2:$AY$2,Calculations!H$120,'OECD Data IO Table - Imports'!$F71:$AY71)</f>
        <v>0</v>
      </c>
      <c r="I183">
        <f>SUMIF('OECD Data IO Table - Imports'!$F$2:$AY$2,Calculations!I$120,'OECD Data IO Table - Imports'!$F71:$AY71)</f>
        <v>0</v>
      </c>
      <c r="J183">
        <f>SUMIF('OECD Data IO Table - Imports'!$F$2:$AY$2,Calculations!J$120,'OECD Data IO Table - Imports'!$F71:$AY71)</f>
        <v>4.3999999999999995</v>
      </c>
    </row>
    <row r="184" spans="1:10" x14ac:dyDescent="0.2">
      <c r="A184" t="str">
        <f>'OECD Data IO Table - Imports'!D72</f>
        <v>IMP_62T63: IT and other information services</v>
      </c>
      <c r="B184" t="str">
        <f>'OECD Data IO Table - Imports'!C72</f>
        <v>Imports</v>
      </c>
      <c r="C184">
        <f>SUMIF('OECD Data IO Table - Imports'!$F$2:$AY$2,Calculations!C$120,'OECD Data IO Table - Imports'!$F72:$AY72)</f>
        <v>0.1</v>
      </c>
      <c r="D184">
        <f>SUMIF('OECD Data IO Table - Imports'!$F$2:$AY$2,Calculations!D$120,'OECD Data IO Table - Imports'!$F72:$AY72)</f>
        <v>0</v>
      </c>
      <c r="E184">
        <f>SUMIF('OECD Data IO Table - Imports'!$F$2:$AY$2,Calculations!E$120,'OECD Data IO Table - Imports'!$F72:$AY72)</f>
        <v>2.4</v>
      </c>
      <c r="F184">
        <f>SUMIF('OECD Data IO Table - Imports'!$F$2:$AY$2,Calculations!F$120,'OECD Data IO Table - Imports'!$F72:$AY72)</f>
        <v>0.1</v>
      </c>
      <c r="G184">
        <f>SUMIF('OECD Data IO Table - Imports'!$F$2:$AY$2,Calculations!G$120,'OECD Data IO Table - Imports'!$F72:$AY72)</f>
        <v>0</v>
      </c>
      <c r="H184">
        <f>SUMIF('OECD Data IO Table - Imports'!$F$2:$AY$2,Calculations!H$120,'OECD Data IO Table - Imports'!$F72:$AY72)</f>
        <v>0</v>
      </c>
      <c r="I184">
        <f>SUMIF('OECD Data IO Table - Imports'!$F$2:$AY$2,Calculations!I$120,'OECD Data IO Table - Imports'!$F72:$AY72)</f>
        <v>0.1</v>
      </c>
      <c r="J184">
        <f>SUMIF('OECD Data IO Table - Imports'!$F$2:$AY$2,Calculations!J$120,'OECD Data IO Table - Imports'!$F72:$AY72)</f>
        <v>24.700000000000003</v>
      </c>
    </row>
    <row r="185" spans="1:10" x14ac:dyDescent="0.2">
      <c r="A185" t="str">
        <f>'OECD Data IO Table - Imports'!D73</f>
        <v>IMP_64T66: Financial and insurance activities</v>
      </c>
      <c r="B185" t="str">
        <f>'OECD Data IO Table - Imports'!C73</f>
        <v>Imports</v>
      </c>
      <c r="C185">
        <f>SUMIF('OECD Data IO Table - Imports'!$F$2:$AY$2,Calculations!C$120,'OECD Data IO Table - Imports'!$F73:$AY73)</f>
        <v>0.1</v>
      </c>
      <c r="D185">
        <f>SUMIF('OECD Data IO Table - Imports'!$F$2:$AY$2,Calculations!D$120,'OECD Data IO Table - Imports'!$F73:$AY73)</f>
        <v>0</v>
      </c>
      <c r="E185">
        <f>SUMIF('OECD Data IO Table - Imports'!$F$2:$AY$2,Calculations!E$120,'OECD Data IO Table - Imports'!$F73:$AY73)</f>
        <v>0.6</v>
      </c>
      <c r="F185">
        <f>SUMIF('OECD Data IO Table - Imports'!$F$2:$AY$2,Calculations!F$120,'OECD Data IO Table - Imports'!$F73:$AY73)</f>
        <v>0</v>
      </c>
      <c r="G185">
        <f>SUMIF('OECD Data IO Table - Imports'!$F$2:$AY$2,Calculations!G$120,'OECD Data IO Table - Imports'!$F73:$AY73)</f>
        <v>0</v>
      </c>
      <c r="H185">
        <f>SUMIF('OECD Data IO Table - Imports'!$F$2:$AY$2,Calculations!H$120,'OECD Data IO Table - Imports'!$F73:$AY73)</f>
        <v>0</v>
      </c>
      <c r="I185">
        <f>SUMIF('OECD Data IO Table - Imports'!$F$2:$AY$2,Calculations!I$120,'OECD Data IO Table - Imports'!$F73:$AY73)</f>
        <v>0</v>
      </c>
      <c r="J185">
        <f>SUMIF('OECD Data IO Table - Imports'!$F$2:$AY$2,Calculations!J$120,'OECD Data IO Table - Imports'!$F73:$AY73)</f>
        <v>30.900000000000006</v>
      </c>
    </row>
    <row r="186" spans="1:10" x14ac:dyDescent="0.2">
      <c r="A186" t="str">
        <f>'OECD Data IO Table - Imports'!D74</f>
        <v>IMP_68: Real estate activities</v>
      </c>
      <c r="B186" t="str">
        <f>'OECD Data IO Table - Imports'!C74</f>
        <v>Imports</v>
      </c>
      <c r="C186">
        <f>SUMIF('OECD Data IO Table - Imports'!$F$2:$AY$2,Calculations!C$120,'OECD Data IO Table - Imports'!$F74:$AY74)</f>
        <v>0</v>
      </c>
      <c r="D186">
        <f>SUMIF('OECD Data IO Table - Imports'!$F$2:$AY$2,Calculations!D$120,'OECD Data IO Table - Imports'!$F74:$AY74)</f>
        <v>0</v>
      </c>
      <c r="E186">
        <f>SUMIF('OECD Data IO Table - Imports'!$F$2:$AY$2,Calculations!E$120,'OECD Data IO Table - Imports'!$F74:$AY74)</f>
        <v>0.2</v>
      </c>
      <c r="F186">
        <f>SUMIF('OECD Data IO Table - Imports'!$F$2:$AY$2,Calculations!F$120,'OECD Data IO Table - Imports'!$F74:$AY74)</f>
        <v>0</v>
      </c>
      <c r="G186">
        <f>SUMIF('OECD Data IO Table - Imports'!$F$2:$AY$2,Calculations!G$120,'OECD Data IO Table - Imports'!$F74:$AY74)</f>
        <v>0</v>
      </c>
      <c r="H186">
        <f>SUMIF('OECD Data IO Table - Imports'!$F$2:$AY$2,Calculations!H$120,'OECD Data IO Table - Imports'!$F74:$AY74)</f>
        <v>0</v>
      </c>
      <c r="I186">
        <f>SUMIF('OECD Data IO Table - Imports'!$F$2:$AY$2,Calculations!I$120,'OECD Data IO Table - Imports'!$F74:$AY74)</f>
        <v>0</v>
      </c>
      <c r="J186">
        <f>SUMIF('OECD Data IO Table - Imports'!$F$2:$AY$2,Calculations!J$120,'OECD Data IO Table - Imports'!$F74:$AY74)</f>
        <v>1.4000000000000001</v>
      </c>
    </row>
    <row r="187" spans="1:10" x14ac:dyDescent="0.2">
      <c r="A187" t="str">
        <f>'OECD Data IO Table - Imports'!D75</f>
        <v>IMP_69T82: Other business sector services</v>
      </c>
      <c r="B187" t="str">
        <f>'OECD Data IO Table - Imports'!C75</f>
        <v>Imports</v>
      </c>
      <c r="C187">
        <f>SUMIF('OECD Data IO Table - Imports'!$F$2:$AY$2,Calculations!C$120,'OECD Data IO Table - Imports'!$F75:$AY75)</f>
        <v>0.30000000000000004</v>
      </c>
      <c r="D187">
        <f>SUMIF('OECD Data IO Table - Imports'!$F$2:$AY$2,Calculations!D$120,'OECD Data IO Table - Imports'!$F75:$AY75)</f>
        <v>0.1</v>
      </c>
      <c r="E187">
        <f>SUMIF('OECD Data IO Table - Imports'!$F$2:$AY$2,Calculations!E$120,'OECD Data IO Table - Imports'!$F75:$AY75)</f>
        <v>3.5999999999999996</v>
      </c>
      <c r="F187">
        <f>SUMIF('OECD Data IO Table - Imports'!$F$2:$AY$2,Calculations!F$120,'OECD Data IO Table - Imports'!$F75:$AY75)</f>
        <v>0.7</v>
      </c>
      <c r="G187">
        <f>SUMIF('OECD Data IO Table - Imports'!$F$2:$AY$2,Calculations!G$120,'OECD Data IO Table - Imports'!$F75:$AY75)</f>
        <v>0</v>
      </c>
      <c r="H187">
        <f>SUMIF('OECD Data IO Table - Imports'!$F$2:$AY$2,Calculations!H$120,'OECD Data IO Table - Imports'!$F75:$AY75)</f>
        <v>0</v>
      </c>
      <c r="I187">
        <f>SUMIF('OECD Data IO Table - Imports'!$F$2:$AY$2,Calculations!I$120,'OECD Data IO Table - Imports'!$F75:$AY75)</f>
        <v>0.30000000000000004</v>
      </c>
      <c r="J187">
        <f>SUMIF('OECD Data IO Table - Imports'!$F$2:$AY$2,Calculations!J$120,'OECD Data IO Table - Imports'!$F75:$AY75)</f>
        <v>55.699999999999996</v>
      </c>
    </row>
    <row r="188" spans="1:10" x14ac:dyDescent="0.2">
      <c r="A188" t="str">
        <f>'OECD Data IO Table - Imports'!D76</f>
        <v>IMP_84: Public administration and defence; compulsory social security</v>
      </c>
      <c r="B188" t="str">
        <f>'OECD Data IO Table - Imports'!C76</f>
        <v>Imports</v>
      </c>
      <c r="C188">
        <f>SUMIF('OECD Data IO Table - Imports'!$F$2:$AY$2,Calculations!C$120,'OECD Data IO Table - Imports'!$F76:$AY76)</f>
        <v>0.1</v>
      </c>
      <c r="D188">
        <f>SUMIF('OECD Data IO Table - Imports'!$F$2:$AY$2,Calculations!D$120,'OECD Data IO Table - Imports'!$F76:$AY76)</f>
        <v>0</v>
      </c>
      <c r="E188">
        <f>SUMIF('OECD Data IO Table - Imports'!$F$2:$AY$2,Calculations!E$120,'OECD Data IO Table - Imports'!$F76:$AY76)</f>
        <v>1.7</v>
      </c>
      <c r="F188">
        <f>SUMIF('OECD Data IO Table - Imports'!$F$2:$AY$2,Calculations!F$120,'OECD Data IO Table - Imports'!$F76:$AY76)</f>
        <v>0.3</v>
      </c>
      <c r="G188">
        <f>SUMIF('OECD Data IO Table - Imports'!$F$2:$AY$2,Calculations!G$120,'OECD Data IO Table - Imports'!$F76:$AY76)</f>
        <v>0</v>
      </c>
      <c r="H188">
        <f>SUMIF('OECD Data IO Table - Imports'!$F$2:$AY$2,Calculations!H$120,'OECD Data IO Table - Imports'!$F76:$AY76)</f>
        <v>0</v>
      </c>
      <c r="I188">
        <f>SUMIF('OECD Data IO Table - Imports'!$F$2:$AY$2,Calculations!I$120,'OECD Data IO Table - Imports'!$F76:$AY76)</f>
        <v>0</v>
      </c>
      <c r="J188">
        <f>SUMIF('OECD Data IO Table - Imports'!$F$2:$AY$2,Calculations!J$120,'OECD Data IO Table - Imports'!$F76:$AY76)</f>
        <v>2.1000000000000005</v>
      </c>
    </row>
    <row r="189" spans="1:10" x14ac:dyDescent="0.2">
      <c r="A189" t="str">
        <f>'OECD Data IO Table - Imports'!D77</f>
        <v>IMP_85: Education</v>
      </c>
      <c r="B189" t="str">
        <f>'OECD Data IO Table - Imports'!C77</f>
        <v>Imports</v>
      </c>
      <c r="C189">
        <f>SUMIF('OECD Data IO Table - Imports'!$F$2:$AY$2,Calculations!C$120,'OECD Data IO Table - Imports'!$F77:$AY77)</f>
        <v>0</v>
      </c>
      <c r="D189">
        <f>SUMIF('OECD Data IO Table - Imports'!$F$2:$AY$2,Calculations!D$120,'OECD Data IO Table - Imports'!$F77:$AY77)</f>
        <v>0</v>
      </c>
      <c r="E189">
        <f>SUMIF('OECD Data IO Table - Imports'!$F$2:$AY$2,Calculations!E$120,'OECD Data IO Table - Imports'!$F77:$AY77)</f>
        <v>0.1</v>
      </c>
      <c r="F189">
        <f>SUMIF('OECD Data IO Table - Imports'!$F$2:$AY$2,Calculations!F$120,'OECD Data IO Table - Imports'!$F77:$AY77)</f>
        <v>0</v>
      </c>
      <c r="G189">
        <f>SUMIF('OECD Data IO Table - Imports'!$F$2:$AY$2,Calculations!G$120,'OECD Data IO Table - Imports'!$F77:$AY77)</f>
        <v>0</v>
      </c>
      <c r="H189">
        <f>SUMIF('OECD Data IO Table - Imports'!$F$2:$AY$2,Calculations!H$120,'OECD Data IO Table - Imports'!$F77:$AY77)</f>
        <v>0</v>
      </c>
      <c r="I189">
        <f>SUMIF('OECD Data IO Table - Imports'!$F$2:$AY$2,Calculations!I$120,'OECD Data IO Table - Imports'!$F77:$AY77)</f>
        <v>0</v>
      </c>
      <c r="J189">
        <f>SUMIF('OECD Data IO Table - Imports'!$F$2:$AY$2,Calculations!J$120,'OECD Data IO Table - Imports'!$F77:$AY77)</f>
        <v>0.60000000000000009</v>
      </c>
    </row>
    <row r="190" spans="1:10" x14ac:dyDescent="0.2">
      <c r="A190" t="str">
        <f>'OECD Data IO Table - Imports'!D78</f>
        <v>IMP_86T88: Human health and social work</v>
      </c>
      <c r="B190" t="str">
        <f>'OECD Data IO Table - Imports'!C78</f>
        <v>Imports</v>
      </c>
      <c r="C190">
        <f>SUMIF('OECD Data IO Table - Imports'!$F$2:$AY$2,Calculations!C$120,'OECD Data IO Table - Imports'!$F78:$AY78)</f>
        <v>0.1</v>
      </c>
      <c r="D190">
        <f>SUMIF('OECD Data IO Table - Imports'!$F$2:$AY$2,Calculations!D$120,'OECD Data IO Table - Imports'!$F78:$AY78)</f>
        <v>0</v>
      </c>
      <c r="E190">
        <f>SUMIF('OECD Data IO Table - Imports'!$F$2:$AY$2,Calculations!E$120,'OECD Data IO Table - Imports'!$F78:$AY78)</f>
        <v>0.6</v>
      </c>
      <c r="F190">
        <f>SUMIF('OECD Data IO Table - Imports'!$F$2:$AY$2,Calculations!F$120,'OECD Data IO Table - Imports'!$F78:$AY78)</f>
        <v>0.3</v>
      </c>
      <c r="G190">
        <f>SUMIF('OECD Data IO Table - Imports'!$F$2:$AY$2,Calculations!G$120,'OECD Data IO Table - Imports'!$F78:$AY78)</f>
        <v>0</v>
      </c>
      <c r="H190">
        <f>SUMIF('OECD Data IO Table - Imports'!$F$2:$AY$2,Calculations!H$120,'OECD Data IO Table - Imports'!$F78:$AY78)</f>
        <v>0</v>
      </c>
      <c r="I190">
        <f>SUMIF('OECD Data IO Table - Imports'!$F$2:$AY$2,Calculations!I$120,'OECD Data IO Table - Imports'!$F78:$AY78)</f>
        <v>0</v>
      </c>
      <c r="J190">
        <f>SUMIF('OECD Data IO Table - Imports'!$F$2:$AY$2,Calculations!J$120,'OECD Data IO Table - Imports'!$F78:$AY78)</f>
        <v>1.6000000000000005</v>
      </c>
    </row>
    <row r="191" spans="1:10" x14ac:dyDescent="0.2">
      <c r="A191" t="str">
        <f>'OECD Data IO Table - Imports'!D79</f>
        <v>IMP_90T96: Arts, entertainment, recreation and other service activities</v>
      </c>
      <c r="B191" t="str">
        <f>'OECD Data IO Table - Imports'!C79</f>
        <v>Imports</v>
      </c>
      <c r="C191">
        <f>SUMIF('OECD Data IO Table - Imports'!$F$2:$AY$2,Calculations!C$120,'OECD Data IO Table - Imports'!$F79:$AY79)</f>
        <v>0.2</v>
      </c>
      <c r="D191">
        <f>SUMIF('OECD Data IO Table - Imports'!$F$2:$AY$2,Calculations!D$120,'OECD Data IO Table - Imports'!$F79:$AY79)</f>
        <v>0.1</v>
      </c>
      <c r="E191">
        <f>SUMIF('OECD Data IO Table - Imports'!$F$2:$AY$2,Calculations!E$120,'OECD Data IO Table - Imports'!$F79:$AY79)</f>
        <v>1.3</v>
      </c>
      <c r="F191">
        <f>SUMIF('OECD Data IO Table - Imports'!$F$2:$AY$2,Calculations!F$120,'OECD Data IO Table - Imports'!$F79:$AY79)</f>
        <v>0.5</v>
      </c>
      <c r="G191">
        <f>SUMIF('OECD Data IO Table - Imports'!$F$2:$AY$2,Calculations!G$120,'OECD Data IO Table - Imports'!$F79:$AY79)</f>
        <v>0</v>
      </c>
      <c r="H191">
        <f>SUMIF('OECD Data IO Table - Imports'!$F$2:$AY$2,Calculations!H$120,'OECD Data IO Table - Imports'!$F79:$AY79)</f>
        <v>0</v>
      </c>
      <c r="I191">
        <f>SUMIF('OECD Data IO Table - Imports'!$F$2:$AY$2,Calculations!I$120,'OECD Data IO Table - Imports'!$F79:$AY79)</f>
        <v>0</v>
      </c>
      <c r="J191">
        <f>SUMIF('OECD Data IO Table - Imports'!$F$2:$AY$2,Calculations!J$120,'OECD Data IO Table - Imports'!$F79:$AY79)</f>
        <v>4.2</v>
      </c>
    </row>
    <row r="192" spans="1:10" x14ac:dyDescent="0.2">
      <c r="A192" t="str">
        <f>'OECD Data IO Table - Imports'!D80</f>
        <v>IMP_97T98: Private households with employed persons</v>
      </c>
      <c r="B192" t="str">
        <f>'OECD Data IO Table - Imports'!C80</f>
        <v>Imports</v>
      </c>
      <c r="C192">
        <f>SUMIF('OECD Data IO Table - Imports'!$F$2:$AY$2,Calculations!C$120,'OECD Data IO Table - Imports'!$F80:$AY80)</f>
        <v>0</v>
      </c>
      <c r="D192">
        <f>SUMIF('OECD Data IO Table - Imports'!$F$2:$AY$2,Calculations!D$120,'OECD Data IO Table - Imports'!$F80:$AY80)</f>
        <v>0</v>
      </c>
      <c r="E192">
        <f>SUMIF('OECD Data IO Table - Imports'!$F$2:$AY$2,Calculations!E$120,'OECD Data IO Table - Imports'!$F80:$AY80)</f>
        <v>0</v>
      </c>
      <c r="F192">
        <f>SUMIF('OECD Data IO Table - Imports'!$F$2:$AY$2,Calculations!F$120,'OECD Data IO Table - Imports'!$F80:$AY80)</f>
        <v>0</v>
      </c>
      <c r="G192">
        <f>SUMIF('OECD Data IO Table - Imports'!$F$2:$AY$2,Calculations!G$120,'OECD Data IO Table - Imports'!$F80:$AY80)</f>
        <v>0</v>
      </c>
      <c r="H192">
        <f>SUMIF('OECD Data IO Table - Imports'!$F$2:$AY$2,Calculations!H$120,'OECD Data IO Table - Imports'!$F80:$AY80)</f>
        <v>0</v>
      </c>
      <c r="I192">
        <f>SUMIF('OECD Data IO Table - Imports'!$F$2:$AY$2,Calculations!I$120,'OECD Data IO Table - Imports'!$F80:$AY80)</f>
        <v>0</v>
      </c>
      <c r="J192">
        <f>SUMIF('OECD Data IO Table - Imports'!$F$2:$AY$2,Calculations!J$120,'OECD Data IO Table - Imports'!$F80:$AY80)</f>
        <v>0</v>
      </c>
    </row>
    <row r="193" spans="1:10" x14ac:dyDescent="0.2">
      <c r="A193" t="str">
        <f>'OECD Data IO Table - Imports'!D81</f>
        <v>TXS_IMP_FNL: Taxes less subsidies on intermediate and final products (paid in foreign countries)</v>
      </c>
      <c r="B193">
        <f>'OECD Data IO Table - Imports'!C81</f>
        <v>0</v>
      </c>
      <c r="C193">
        <f>SUMIF('OECD Data IO Table - Imports'!$F$2:$AY$2,Calculations!C$120,'OECD Data IO Table - Imports'!$F81:$AY81)</f>
        <v>0</v>
      </c>
      <c r="D193">
        <f>SUMIF('OECD Data IO Table - Imports'!$F$2:$AY$2,Calculations!D$120,'OECD Data IO Table - Imports'!$F81:$AY81)</f>
        <v>0</v>
      </c>
      <c r="E193">
        <f>SUMIF('OECD Data IO Table - Imports'!$F$2:$AY$2,Calculations!E$120,'OECD Data IO Table - Imports'!$F81:$AY81)</f>
        <v>0</v>
      </c>
      <c r="F193">
        <f>SUMIF('OECD Data IO Table - Imports'!$F$2:$AY$2,Calculations!F$120,'OECD Data IO Table - Imports'!$F81:$AY81)</f>
        <v>0</v>
      </c>
      <c r="G193">
        <f>SUMIF('OECD Data IO Table - Imports'!$F$2:$AY$2,Calculations!G$120,'OECD Data IO Table - Imports'!$F81:$AY81)</f>
        <v>0</v>
      </c>
      <c r="H193">
        <f>SUMIF('OECD Data IO Table - Imports'!$F$2:$AY$2,Calculations!H$120,'OECD Data IO Table - Imports'!$F81:$AY81)</f>
        <v>0</v>
      </c>
      <c r="I193">
        <f>SUMIF('OECD Data IO Table - Imports'!$F$2:$AY$2,Calculations!I$120,'OECD Data IO Table - Imports'!$F81:$AY81)</f>
        <v>0</v>
      </c>
      <c r="J193">
        <f>SUMIF('OECD Data IO Table - Imports'!$F$2:$AY$2,Calculations!J$120,'OECD Data IO Table - Imports'!$F81:$AY81)</f>
        <v>0</v>
      </c>
    </row>
    <row r="194" spans="1:10" x14ac:dyDescent="0.2">
      <c r="A194" t="str">
        <f>'OECD Data IO Table - Imports'!D82</f>
        <v>TXS_INT_FNL: Taxes less subsidies on intermediate and final products (paid in domestic agencies, includes duty on imported products)</v>
      </c>
      <c r="B194">
        <f>'OECD Data IO Table - Imports'!C82</f>
        <v>0</v>
      </c>
      <c r="C194">
        <f>SUMIF('OECD Data IO Table - Imports'!$F$2:$AY$2,Calculations!C$120,'OECD Data IO Table - Imports'!$F82:$AY82)</f>
        <v>20</v>
      </c>
      <c r="D194">
        <f>SUMIF('OECD Data IO Table - Imports'!$F$2:$AY$2,Calculations!D$120,'OECD Data IO Table - Imports'!$F82:$AY82)</f>
        <v>17.5</v>
      </c>
      <c r="E194">
        <f>SUMIF('OECD Data IO Table - Imports'!$F$2:$AY$2,Calculations!E$120,'OECD Data IO Table - Imports'!$F82:$AY82)</f>
        <v>162.69999999999999</v>
      </c>
      <c r="F194">
        <f>SUMIF('OECD Data IO Table - Imports'!$F$2:$AY$2,Calculations!F$120,'OECD Data IO Table - Imports'!$F82:$AY82)</f>
        <v>39.200000000000003</v>
      </c>
      <c r="G194">
        <f>SUMIF('OECD Data IO Table - Imports'!$F$2:$AY$2,Calculations!G$120,'OECD Data IO Table - Imports'!$F82:$AY82)</f>
        <v>0</v>
      </c>
      <c r="H194">
        <f>SUMIF('OECD Data IO Table - Imports'!$F$2:$AY$2,Calculations!H$120,'OECD Data IO Table - Imports'!$F82:$AY82)</f>
        <v>0</v>
      </c>
      <c r="I194">
        <f>SUMIF('OECD Data IO Table - Imports'!$F$2:$AY$2,Calculations!I$120,'OECD Data IO Table - Imports'!$F82:$AY82)</f>
        <v>3</v>
      </c>
      <c r="J194">
        <f>SUMIF('OECD Data IO Table - Imports'!$F$2:$AY$2,Calculations!J$120,'OECD Data IO Table - Imports'!$F82:$AY82)</f>
        <v>319.20000000000005</v>
      </c>
    </row>
    <row r="195" spans="1:10" x14ac:dyDescent="0.2">
      <c r="A195" t="str">
        <f>'OECD Data IO Table - Imports'!D83</f>
        <v>TTL_INT_FNL: Total intermediate consumption at purchasers’ prices</v>
      </c>
      <c r="B195">
        <f>'OECD Data IO Table - Imports'!C83</f>
        <v>0</v>
      </c>
      <c r="C195">
        <f>SUMIF('OECD Data IO Table - Imports'!$F$2:$AY$2,Calculations!C$120,'OECD Data IO Table - Imports'!$F83:$AY83)</f>
        <v>1228.3</v>
      </c>
      <c r="D195">
        <f>SUMIF('OECD Data IO Table - Imports'!$F$2:$AY$2,Calculations!D$120,'OECD Data IO Table - Imports'!$F83:$AY83)</f>
        <v>377.9</v>
      </c>
      <c r="E195">
        <f>SUMIF('OECD Data IO Table - Imports'!$F$2:$AY$2,Calculations!E$120,'OECD Data IO Table - Imports'!$F83:$AY83)</f>
        <v>11480.1</v>
      </c>
      <c r="F195">
        <f>SUMIF('OECD Data IO Table - Imports'!$F$2:$AY$2,Calculations!F$120,'OECD Data IO Table - Imports'!$F83:$AY83)</f>
        <v>1611.8</v>
      </c>
      <c r="G195">
        <f>SUMIF('OECD Data IO Table - Imports'!$F$2:$AY$2,Calculations!G$120,'OECD Data IO Table - Imports'!$F83:$AY83)</f>
        <v>0</v>
      </c>
      <c r="H195">
        <f>SUMIF('OECD Data IO Table - Imports'!$F$2:$AY$2,Calculations!H$120,'OECD Data IO Table - Imports'!$F83:$AY83)</f>
        <v>0</v>
      </c>
      <c r="I195">
        <f>SUMIF('OECD Data IO Table - Imports'!$F$2:$AY$2,Calculations!I$120,'OECD Data IO Table - Imports'!$F83:$AY83)</f>
        <v>304.2</v>
      </c>
      <c r="J195">
        <f>SUMIF('OECD Data IO Table - Imports'!$F$2:$AY$2,Calculations!J$120,'OECD Data IO Table - Imports'!$F83:$AY83)</f>
        <v>31110.799999999999</v>
      </c>
    </row>
    <row r="196" spans="1:10" x14ac:dyDescent="0.2">
      <c r="A196" t="str">
        <f>'OECD Data IO Table - Imports'!D84</f>
        <v>VALU: Value added at basic prices</v>
      </c>
      <c r="B196">
        <f>'OECD Data IO Table - Imports'!C84</f>
        <v>0</v>
      </c>
      <c r="C196">
        <f>SUMIF('OECD Data IO Table - Imports'!$F$2:$AY$2,Calculations!C$120,'OECD Data IO Table - Imports'!$F84:$AY84)</f>
        <v>50</v>
      </c>
      <c r="D196">
        <f>SUMIF('OECD Data IO Table - Imports'!$F$2:$AY$2,Calculations!D$120,'OECD Data IO Table - Imports'!$F84:$AY84)</f>
        <v>35.299999999999997</v>
      </c>
      <c r="E196">
        <f>SUMIF('OECD Data IO Table - Imports'!$F$2:$AY$2,Calculations!E$120,'OECD Data IO Table - Imports'!$F84:$AY84)</f>
        <v>28.2</v>
      </c>
      <c r="F196">
        <f>SUMIF('OECD Data IO Table - Imports'!$F$2:$AY$2,Calculations!F$120,'OECD Data IO Table - Imports'!$F84:$AY84)</f>
        <v>60.9</v>
      </c>
      <c r="G196">
        <f>SUMIF('OECD Data IO Table - Imports'!$F$2:$AY$2,Calculations!G$120,'OECD Data IO Table - Imports'!$F84:$AY84)</f>
        <v>0</v>
      </c>
      <c r="H196">
        <f>SUMIF('OECD Data IO Table - Imports'!$F$2:$AY$2,Calculations!H$120,'OECD Data IO Table - Imports'!$F84:$AY84)</f>
        <v>0</v>
      </c>
      <c r="I196">
        <f>SUMIF('OECD Data IO Table - Imports'!$F$2:$AY$2,Calculations!I$120,'OECD Data IO Table - Imports'!$F84:$AY84)</f>
        <v>210.10000000000002</v>
      </c>
      <c r="J196">
        <f>SUMIF('OECD Data IO Table - Imports'!$F$2:$AY$2,Calculations!J$120,'OECD Data IO Table - Imports'!$F84:$AY84)</f>
        <v>3637.2999999999997</v>
      </c>
    </row>
    <row r="197" spans="1:10" x14ac:dyDescent="0.2">
      <c r="A197" t="str">
        <f>'OECD Data IO Table - Imports'!D85</f>
        <v>OUTPUT: Output at basic prices</v>
      </c>
      <c r="B197">
        <f>'OECD Data IO Table - Imports'!C85</f>
        <v>0</v>
      </c>
      <c r="C197">
        <f>SUMIF('OECD Data IO Table - Imports'!$F$2:$AY$2,Calculations!C$120,'OECD Data IO Table - Imports'!$F85:$AY85)</f>
        <v>1278.3</v>
      </c>
      <c r="D197">
        <f>SUMIF('OECD Data IO Table - Imports'!$F$2:$AY$2,Calculations!D$120,'OECD Data IO Table - Imports'!$F85:$AY85)</f>
        <v>413.2</v>
      </c>
      <c r="E197">
        <f>SUMIF('OECD Data IO Table - Imports'!$F$2:$AY$2,Calculations!E$120,'OECD Data IO Table - Imports'!$F85:$AY85)</f>
        <v>11508.3</v>
      </c>
      <c r="F197">
        <f>SUMIF('OECD Data IO Table - Imports'!$F$2:$AY$2,Calculations!F$120,'OECD Data IO Table - Imports'!$F85:$AY85)</f>
        <v>1672.6</v>
      </c>
      <c r="G197">
        <f>SUMIF('OECD Data IO Table - Imports'!$F$2:$AY$2,Calculations!G$120,'OECD Data IO Table - Imports'!$F85:$AY85)</f>
        <v>0</v>
      </c>
      <c r="H197">
        <f>SUMIF('OECD Data IO Table - Imports'!$F$2:$AY$2,Calculations!H$120,'OECD Data IO Table - Imports'!$F85:$AY85)</f>
        <v>0</v>
      </c>
      <c r="I197">
        <f>SUMIF('OECD Data IO Table - Imports'!$F$2:$AY$2,Calculations!I$120,'OECD Data IO Table - Imports'!$F85:$AY85)</f>
        <v>514.29999999999995</v>
      </c>
      <c r="J197">
        <f>SUMIF('OECD Data IO Table - Imports'!$F$2:$AY$2,Calculations!J$120,'OECD Data IO Table - Imports'!$F85:$AY85)</f>
        <v>34748</v>
      </c>
    </row>
    <row r="199" spans="1:10" s="21" customFormat="1" x14ac:dyDescent="0.2">
      <c r="A199" s="21" t="s">
        <v>308</v>
      </c>
    </row>
    <row r="200" spans="1:10" x14ac:dyDescent="0.2">
      <c r="B200" t="s">
        <v>77</v>
      </c>
      <c r="C200" t="s">
        <v>81</v>
      </c>
      <c r="D200" t="s">
        <v>86</v>
      </c>
      <c r="E200" t="s">
        <v>89</v>
      </c>
      <c r="F200" t="s">
        <v>92</v>
      </c>
      <c r="G200" t="s">
        <v>95</v>
      </c>
      <c r="H200" t="s">
        <v>97</v>
      </c>
      <c r="I200" t="s">
        <v>100</v>
      </c>
    </row>
    <row r="201" spans="1:10" x14ac:dyDescent="0.2">
      <c r="A201" t="s">
        <v>220</v>
      </c>
      <c r="B201">
        <f ca="1">SUMIF($B$121:$B$197,$A201,C$121:C$197)</f>
        <v>2175.7999999999997</v>
      </c>
      <c r="C201">
        <f t="shared" ref="C201:I201" ca="1" si="22">SUMIF($B$121:$B$197,$A201,D$121:D$197)</f>
        <v>827.9</v>
      </c>
      <c r="D201">
        <f t="shared" ca="1" si="22"/>
        <v>2852.9999999999995</v>
      </c>
      <c r="E201">
        <f t="shared" ca="1" si="22"/>
        <v>763.0100000000001</v>
      </c>
      <c r="F201">
        <f t="shared" ca="1" si="22"/>
        <v>0</v>
      </c>
      <c r="G201">
        <f t="shared" ca="1" si="22"/>
        <v>0</v>
      </c>
      <c r="H201">
        <f t="shared" ca="1" si="22"/>
        <v>222.29999999999998</v>
      </c>
      <c r="I201">
        <f t="shared" ca="1" si="22"/>
        <v>23748.3</v>
      </c>
    </row>
    <row r="202" spans="1:10" x14ac:dyDescent="0.2">
      <c r="A202" t="s">
        <v>257</v>
      </c>
      <c r="B202">
        <f>SUMIF($B$121:$B$197,$A202,C$121:C$197)</f>
        <v>547.79999999999995</v>
      </c>
      <c r="C202">
        <f t="shared" ref="C202:I202" si="23">SUMIF($B$121:$B$197,$A202,D$121:D$197)</f>
        <v>175.59999999999994</v>
      </c>
      <c r="D202">
        <f t="shared" si="23"/>
        <v>6919.3000000000011</v>
      </c>
      <c r="E202">
        <f t="shared" si="23"/>
        <v>736.79999999999984</v>
      </c>
      <c r="F202">
        <f t="shared" si="23"/>
        <v>0</v>
      </c>
      <c r="G202">
        <f t="shared" si="23"/>
        <v>0</v>
      </c>
      <c r="H202">
        <f t="shared" si="23"/>
        <v>48.2</v>
      </c>
      <c r="I202">
        <f t="shared" si="23"/>
        <v>9143.7000000000044</v>
      </c>
    </row>
    <row r="203" spans="1:10" x14ac:dyDescent="0.2">
      <c r="A203" t="s">
        <v>303</v>
      </c>
      <c r="B203">
        <f ca="1">SUM(B201:B202)</f>
        <v>2723.5999999999995</v>
      </c>
      <c r="C203">
        <f t="shared" ref="C203:I203" ca="1" si="24">SUM(C201:C202)</f>
        <v>1003.4999999999999</v>
      </c>
      <c r="D203">
        <f t="shared" ca="1" si="24"/>
        <v>9772.3000000000011</v>
      </c>
      <c r="E203">
        <f t="shared" ca="1" si="24"/>
        <v>1499.81</v>
      </c>
      <c r="F203">
        <f t="shared" ca="1" si="24"/>
        <v>0</v>
      </c>
      <c r="G203">
        <f t="shared" ca="1" si="24"/>
        <v>0</v>
      </c>
      <c r="H203">
        <f t="shared" ca="1" si="24"/>
        <v>270.5</v>
      </c>
      <c r="I203">
        <f t="shared" ca="1" si="24"/>
        <v>32892</v>
      </c>
    </row>
    <row r="205" spans="1:10" s="21" customFormat="1" x14ac:dyDescent="0.2">
      <c r="A205" s="21" t="s">
        <v>309</v>
      </c>
    </row>
    <row r="206" spans="1:10" x14ac:dyDescent="0.2">
      <c r="A206" t="s">
        <v>77</v>
      </c>
      <c r="B206">
        <f ca="1">INDEX($B$201:$I$203,MATCH("Imports",$A$201:$A$203,0),MATCH(A206,$B$200:$I$200,0))/INDEX($B$201:$I$203,MATCH("Total",$A$201:$A$203,0),MATCH(A206,$B$200:$I$200,0))</f>
        <v>0.20113085621970922</v>
      </c>
    </row>
    <row r="207" spans="1:10" x14ac:dyDescent="0.2">
      <c r="A207" t="s">
        <v>81</v>
      </c>
      <c r="B207">
        <f t="shared" ref="B207:B213" ca="1" si="25">INDEX($B$201:$I$203,MATCH("Imports",$A$201:$A$203,0),MATCH(A207,$B$200:$I$200,0))/INDEX($B$201:$I$203,MATCH("Total",$A$201:$A$203,0),MATCH(A207,$B$200:$I$200,0))</f>
        <v>0.17498754359740903</v>
      </c>
    </row>
    <row r="208" spans="1:10" x14ac:dyDescent="0.2">
      <c r="A208" t="s">
        <v>86</v>
      </c>
      <c r="B208">
        <f t="shared" ca="1" si="25"/>
        <v>0.70805235205632244</v>
      </c>
    </row>
    <row r="209" spans="1:10" x14ac:dyDescent="0.2">
      <c r="A209" t="s">
        <v>89</v>
      </c>
      <c r="B209">
        <f ca="1">INDEX($B$201:$I$203,MATCH("Imports",$A$201:$A$203,0),MATCH(A209,$B$200:$I$200,0))/INDEX($B$201:$I$203,MATCH("Total",$A$201:$A$203,0),MATCH(A209,$B$200:$I$200,0))</f>
        <v>0.49126222654869606</v>
      </c>
    </row>
    <row r="210" spans="1:10" x14ac:dyDescent="0.2">
      <c r="A210" t="s">
        <v>92</v>
      </c>
      <c r="B210" t="e">
        <f t="shared" ca="1" si="25"/>
        <v>#DIV/0!</v>
      </c>
    </row>
    <row r="211" spans="1:10" x14ac:dyDescent="0.2">
      <c r="A211" t="s">
        <v>95</v>
      </c>
      <c r="B211" t="e">
        <f t="shared" ca="1" si="25"/>
        <v>#DIV/0!</v>
      </c>
    </row>
    <row r="212" spans="1:10" x14ac:dyDescent="0.2">
      <c r="A212" t="s">
        <v>97</v>
      </c>
      <c r="B212">
        <f t="shared" ca="1" si="25"/>
        <v>0.17818853974121998</v>
      </c>
    </row>
    <row r="213" spans="1:10" x14ac:dyDescent="0.2">
      <c r="A213" t="s">
        <v>100</v>
      </c>
      <c r="B213">
        <f t="shared" ca="1" si="25"/>
        <v>0.27799160890186075</v>
      </c>
    </row>
    <row r="215" spans="1:10" s="21" customFormat="1" x14ac:dyDescent="0.2">
      <c r="A215" s="21" t="s">
        <v>310</v>
      </c>
    </row>
    <row r="216" spans="1:10" x14ac:dyDescent="0.2">
      <c r="B216" s="3" t="s">
        <v>76</v>
      </c>
      <c r="C216" s="3" t="s">
        <v>79</v>
      </c>
      <c r="D216" s="3" t="s">
        <v>85</v>
      </c>
      <c r="E216" s="3" t="s">
        <v>88</v>
      </c>
      <c r="F216" s="3" t="s">
        <v>91</v>
      </c>
      <c r="G216" s="3" t="s">
        <v>94</v>
      </c>
      <c r="H216" s="3" t="s">
        <v>83</v>
      </c>
      <c r="I216" s="3" t="s">
        <v>99</v>
      </c>
      <c r="J216" s="3" t="s">
        <v>102</v>
      </c>
    </row>
    <row r="217" spans="1:10" x14ac:dyDescent="0.2">
      <c r="A217" t="s">
        <v>77</v>
      </c>
      <c r="B217" s="6">
        <f>B110</f>
        <v>2.1590480094315728E-2</v>
      </c>
      <c r="C217" s="6">
        <f ca="1">C110*(1-B206)</f>
        <v>0.67179806265672681</v>
      </c>
      <c r="D217" s="6">
        <f t="shared" ref="D217" si="26">D110</f>
        <v>9.721330245413419E-2</v>
      </c>
      <c r="E217" s="6">
        <f ca="1">C110*B206</f>
        <v>0.16913823822196661</v>
      </c>
      <c r="F217" s="31"/>
      <c r="G217" s="31"/>
      <c r="H217" s="31"/>
      <c r="I217" s="31"/>
      <c r="J217" s="31"/>
    </row>
    <row r="218" spans="1:10" x14ac:dyDescent="0.2">
      <c r="A218" t="s">
        <v>81</v>
      </c>
      <c r="B218" s="6">
        <f t="shared" ref="B218:D224" si="27">B111</f>
        <v>0.18227925950305174</v>
      </c>
      <c r="C218" s="6">
        <f t="shared" ref="C218:C220" ca="1" si="28">C111*(1-B207)</f>
        <v>0.33582984473020627</v>
      </c>
      <c r="D218" s="6">
        <f t="shared" si="27"/>
        <v>0.26836468306964067</v>
      </c>
      <c r="E218" s="6">
        <f t="shared" ref="E218:E220" ca="1" si="29">C111*B207</f>
        <v>7.123048766109942E-2</v>
      </c>
      <c r="F218" s="31"/>
      <c r="G218" s="31"/>
      <c r="H218" s="31"/>
      <c r="I218" s="31"/>
      <c r="J218" s="31"/>
    </row>
    <row r="219" spans="1:10" x14ac:dyDescent="0.2">
      <c r="A219" t="s">
        <v>86</v>
      </c>
      <c r="B219" s="6">
        <f t="shared" si="27"/>
        <v>1.3642649248498468E-2</v>
      </c>
      <c r="C219" s="6">
        <f t="shared" ca="1" si="28"/>
        <v>0.26741767360163754</v>
      </c>
      <c r="D219" s="6">
        <f t="shared" si="27"/>
        <v>1.1306920585411441E-2</v>
      </c>
      <c r="E219" s="6">
        <f t="shared" ca="1" si="29"/>
        <v>0.64856050085937977</v>
      </c>
      <c r="F219" s="31"/>
      <c r="G219" s="31"/>
      <c r="H219" s="31"/>
      <c r="I219" s="31"/>
      <c r="J219" s="31"/>
    </row>
    <row r="220" spans="1:10" x14ac:dyDescent="0.2">
      <c r="A220" t="s">
        <v>89</v>
      </c>
      <c r="B220" s="6">
        <f t="shared" si="27"/>
        <v>3.6509288301142306E-2</v>
      </c>
      <c r="C220" s="6">
        <f t="shared" ca="1" si="28"/>
        <v>0.30519396552792105</v>
      </c>
      <c r="D220" s="6">
        <f t="shared" si="27"/>
        <v>0.30383936022948965</v>
      </c>
      <c r="E220" s="6">
        <f t="shared" ca="1" si="29"/>
        <v>0.29471031022001304</v>
      </c>
      <c r="F220" s="31"/>
      <c r="G220" s="31"/>
      <c r="H220" s="31"/>
      <c r="I220" s="31"/>
      <c r="J220" s="31"/>
    </row>
    <row r="221" spans="1:10" x14ac:dyDescent="0.2">
      <c r="A221" t="s">
        <v>92</v>
      </c>
      <c r="B221" s="31"/>
      <c r="C221" s="31"/>
      <c r="D221" s="31"/>
      <c r="E221" s="31"/>
      <c r="F221" s="31"/>
      <c r="G221" s="31"/>
      <c r="H221" s="31"/>
      <c r="I221" s="31"/>
      <c r="J221" s="31"/>
    </row>
    <row r="222" spans="1:10" x14ac:dyDescent="0.2">
      <c r="A222" t="s">
        <v>95</v>
      </c>
      <c r="B222" s="31"/>
      <c r="C222" s="31"/>
      <c r="D222" s="31"/>
      <c r="E222" s="31"/>
      <c r="F222" s="31"/>
      <c r="G222" s="31"/>
      <c r="H222" s="31"/>
      <c r="I222" s="31"/>
      <c r="J222" s="31"/>
    </row>
    <row r="223" spans="1:10" x14ac:dyDescent="0.2">
      <c r="A223" t="s">
        <v>97</v>
      </c>
      <c r="B223" s="6">
        <f t="shared" si="27"/>
        <v>1.5389421582784286E-2</v>
      </c>
      <c r="C223" s="6">
        <f t="shared" ref="C223:C224" ca="1" si="30">C116*(1-B212)</f>
        <v>0.29772516394177045</v>
      </c>
      <c r="D223" s="6">
        <f t="shared" si="27"/>
        <v>0.59654642685515868</v>
      </c>
      <c r="E223" s="6">
        <f t="shared" ref="E223:E224" ca="1" si="31">C116*B212</f>
        <v>6.4553994161013664E-2</v>
      </c>
      <c r="F223" s="31"/>
      <c r="G223" s="31"/>
      <c r="H223" s="31"/>
      <c r="I223" s="31"/>
      <c r="J223" s="31"/>
    </row>
    <row r="224" spans="1:10" x14ac:dyDescent="0.2">
      <c r="A224" t="s">
        <v>100</v>
      </c>
      <c r="B224" s="6">
        <f t="shared" si="27"/>
        <v>1.9911003696297645E-2</v>
      </c>
      <c r="C224" s="6">
        <f t="shared" ca="1" si="30"/>
        <v>0.42729903230947797</v>
      </c>
      <c r="D224" s="6">
        <f t="shared" si="27"/>
        <v>0.36649432875985305</v>
      </c>
      <c r="E224" s="6">
        <f t="shared" ca="1" si="31"/>
        <v>0.16452100410253265</v>
      </c>
      <c r="F224" s="31"/>
      <c r="G224" s="31"/>
      <c r="H224" s="31"/>
      <c r="I224" s="31"/>
      <c r="J224" s="3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</sheetPr>
  <dimension ref="A1:J13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33.5" customWidth="1"/>
    <col min="2" max="10" width="19.6640625" customWidth="1"/>
  </cols>
  <sheetData>
    <row r="1" spans="1:10" s="10" customFormat="1" ht="32" x14ac:dyDescent="0.2">
      <c r="B1" s="10" t="s">
        <v>76</v>
      </c>
      <c r="C1" s="10" t="s">
        <v>79</v>
      </c>
      <c r="D1" s="10" t="s">
        <v>85</v>
      </c>
      <c r="E1" s="10" t="s">
        <v>88</v>
      </c>
      <c r="F1" s="10" t="s">
        <v>91</v>
      </c>
      <c r="G1" s="10" t="s">
        <v>94</v>
      </c>
      <c r="H1" s="10" t="s">
        <v>83</v>
      </c>
      <c r="I1" s="10" t="s">
        <v>99</v>
      </c>
      <c r="J1" s="10" t="s">
        <v>102</v>
      </c>
    </row>
    <row r="2" spans="1:10" x14ac:dyDescent="0.2">
      <c r="A2" t="s">
        <v>77</v>
      </c>
      <c r="B2" s="8">
        <f>Calculations!B28</f>
        <v>4.2334232052278022E-2</v>
      </c>
      <c r="C2" s="8">
        <f>Calculations!C28</f>
        <v>0.65669240963304842</v>
      </c>
      <c r="D2" s="8">
        <f>Calculations!D28</f>
        <v>0.24585294520860942</v>
      </c>
      <c r="E2" s="8">
        <f>Calculations!E28</f>
        <v>3.9775167938582462E-2</v>
      </c>
      <c r="F2" s="8">
        <f>Calculations!F28</f>
        <v>6.81807796006032E-3</v>
      </c>
      <c r="G2" s="8">
        <f>Calculations!G28</f>
        <v>0</v>
      </c>
      <c r="H2" s="8">
        <f>Calculations!H28</f>
        <v>8.5271672074212854E-3</v>
      </c>
      <c r="I2" s="8">
        <f>Calculations!I28</f>
        <v>0</v>
      </c>
      <c r="J2" s="8">
        <f>Calculations!J28</f>
        <v>0</v>
      </c>
    </row>
    <row r="3" spans="1:10" x14ac:dyDescent="0.2">
      <c r="A3" t="s">
        <v>81</v>
      </c>
      <c r="B3" s="24">
        <f>Calculations!B29</f>
        <v>1.867498304284998E-2</v>
      </c>
      <c r="C3" s="24">
        <f>Calculations!C29</f>
        <v>0.7112565985431597</v>
      </c>
      <c r="D3" s="24">
        <f>Calculations!D29</f>
        <v>0.24666017871361584</v>
      </c>
      <c r="E3" s="24">
        <f>Calculations!E29</f>
        <v>7.5275000737267386E-3</v>
      </c>
      <c r="F3" s="24">
        <f>Calculations!F29</f>
        <v>1.0358606859535817E-2</v>
      </c>
      <c r="G3" s="24">
        <f>Calculations!G29</f>
        <v>0</v>
      </c>
      <c r="H3" s="24">
        <f>Calculations!H29</f>
        <v>5.5221327671119763E-3</v>
      </c>
      <c r="I3" s="24">
        <f>Calculations!I29</f>
        <v>0</v>
      </c>
      <c r="J3" s="24">
        <f>Calculations!J29</f>
        <v>0</v>
      </c>
    </row>
    <row r="4" spans="1:10" x14ac:dyDescent="0.2">
      <c r="A4" t="s">
        <v>86</v>
      </c>
      <c r="B4" s="8">
        <f>Calculations!B30</f>
        <v>6.3351573689816008E-4</v>
      </c>
      <c r="C4" s="8">
        <f>Calculations!C30</f>
        <v>0.59887436189356946</v>
      </c>
      <c r="D4" s="8">
        <f>Calculations!D30</f>
        <v>7.2808402805832027E-3</v>
      </c>
      <c r="E4" s="8">
        <f>Calculations!E30</f>
        <v>0.38866190458702121</v>
      </c>
      <c r="F4" s="8">
        <f>Calculations!F30</f>
        <v>4.31984281464615E-3</v>
      </c>
      <c r="G4" s="8">
        <f>Calculations!G30</f>
        <v>0</v>
      </c>
      <c r="H4" s="8">
        <f>Calculations!H30</f>
        <v>2.2953468728194207E-4</v>
      </c>
      <c r="I4" s="8">
        <f>Calculations!I30</f>
        <v>0</v>
      </c>
      <c r="J4" s="8">
        <f>Calculations!J30</f>
        <v>0</v>
      </c>
    </row>
    <row r="5" spans="1:10" x14ac:dyDescent="0.2">
      <c r="A5" t="s">
        <v>89</v>
      </c>
      <c r="B5" s="8">
        <f>Calculations!B31</f>
        <v>1.0111003598647516E-2</v>
      </c>
      <c r="C5" s="8">
        <f>Calculations!C31</f>
        <v>0.43009817458332872</v>
      </c>
      <c r="D5" s="8">
        <f>Calculations!D31</f>
        <v>0.47820698202850642</v>
      </c>
      <c r="E5" s="8">
        <f>Calculations!E31</f>
        <v>5.9372248013133427E-2</v>
      </c>
      <c r="F5" s="8">
        <f>Calculations!F31</f>
        <v>1.915654660302895E-2</v>
      </c>
      <c r="G5" s="8">
        <f>Calculations!G31</f>
        <v>0</v>
      </c>
      <c r="H5" s="8">
        <f>Calculations!H31</f>
        <v>3.0550451733547868E-3</v>
      </c>
      <c r="I5" s="8">
        <f>Calculations!I31</f>
        <v>0</v>
      </c>
      <c r="J5" s="8">
        <f>Calculations!J31</f>
        <v>0</v>
      </c>
    </row>
    <row r="6" spans="1:10" x14ac:dyDescent="0.2">
      <c r="A6" t="s">
        <v>92</v>
      </c>
      <c r="B6" s="23">
        <f>Calculations!B32</f>
        <v>0</v>
      </c>
      <c r="C6" s="23">
        <f>Calculations!C32</f>
        <v>0</v>
      </c>
      <c r="D6" s="23">
        <f>Calculations!D32</f>
        <v>0</v>
      </c>
      <c r="E6" s="23">
        <f>Calculations!E32</f>
        <v>0</v>
      </c>
      <c r="F6" s="23">
        <f>Calculations!F32</f>
        <v>0</v>
      </c>
      <c r="G6" s="23">
        <f>Calculations!G32</f>
        <v>0</v>
      </c>
      <c r="H6" s="23">
        <f>Calculations!H32</f>
        <v>0</v>
      </c>
      <c r="I6" s="23">
        <f>Calculations!I32</f>
        <v>0</v>
      </c>
      <c r="J6" s="23">
        <f>Calculations!J32</f>
        <v>0</v>
      </c>
    </row>
    <row r="7" spans="1:10" x14ac:dyDescent="0.2">
      <c r="A7" t="s">
        <v>95</v>
      </c>
      <c r="B7" s="23">
        <f>Calculations!B33</f>
        <v>0</v>
      </c>
      <c r="C7" s="23">
        <f>Calculations!C33</f>
        <v>0</v>
      </c>
      <c r="D7" s="23">
        <f>Calculations!D33</f>
        <v>0</v>
      </c>
      <c r="E7" s="23">
        <f>Calculations!E33</f>
        <v>0</v>
      </c>
      <c r="F7" s="23">
        <f>Calculations!F33</f>
        <v>0</v>
      </c>
      <c r="G7" s="23">
        <f>Calculations!G33</f>
        <v>0</v>
      </c>
      <c r="H7" s="23">
        <f>Calculations!H33</f>
        <v>0</v>
      </c>
      <c r="I7" s="23">
        <f>Calculations!I33</f>
        <v>0</v>
      </c>
      <c r="J7" s="23">
        <f>Calculations!J33</f>
        <v>0</v>
      </c>
    </row>
    <row r="8" spans="1:10" x14ac:dyDescent="0.2">
      <c r="A8" t="s">
        <v>97</v>
      </c>
      <c r="B8" s="8">
        <f>Calculations!B34</f>
        <v>1.1822657859057023E-3</v>
      </c>
      <c r="C8" s="8">
        <f>Calculations!C34</f>
        <v>0.21635482824217023</v>
      </c>
      <c r="D8" s="8">
        <f>Calculations!D34</f>
        <v>0.76980659916126681</v>
      </c>
      <c r="E8" s="8">
        <f>Calculations!E34</f>
        <v>2.3645315718114047E-3</v>
      </c>
      <c r="F8" s="8">
        <f>Calculations!F34</f>
        <v>5.1458876194228976E-3</v>
      </c>
      <c r="G8" s="8">
        <f>Calculations!G34</f>
        <v>0</v>
      </c>
      <c r="H8" s="8">
        <f>Calculations!H34</f>
        <v>5.1458876194228976E-3</v>
      </c>
      <c r="I8" s="8">
        <f>Calculations!I34</f>
        <v>0</v>
      </c>
      <c r="J8" s="8">
        <f>Calculations!J34</f>
        <v>0</v>
      </c>
    </row>
    <row r="9" spans="1:10" x14ac:dyDescent="0.2">
      <c r="A9" t="s">
        <v>100</v>
      </c>
      <c r="B9" s="8">
        <f>Calculations!B35</f>
        <v>4.1851611431779493E-3</v>
      </c>
      <c r="C9" s="8">
        <f>Calculations!C35</f>
        <v>0.57603466727486452</v>
      </c>
      <c r="D9" s="8">
        <f>Calculations!D35</f>
        <v>0.36914331830382974</v>
      </c>
      <c r="E9" s="8">
        <f>Calculations!E35</f>
        <v>4.1020017895050775E-2</v>
      </c>
      <c r="F9" s="8">
        <f>Calculations!F35</f>
        <v>4.6281513710766846E-3</v>
      </c>
      <c r="G9" s="8">
        <f>Calculations!G35</f>
        <v>0</v>
      </c>
      <c r="H9" s="8">
        <f>Calculations!H35</f>
        <v>4.98868401200021E-3</v>
      </c>
      <c r="I9" s="8">
        <f>Calculations!I35</f>
        <v>0</v>
      </c>
      <c r="J9" s="8">
        <f>Calculations!J35</f>
        <v>0</v>
      </c>
    </row>
    <row r="10" spans="1:10" x14ac:dyDescent="0.2">
      <c r="E10" s="6"/>
    </row>
    <row r="12" spans="1:10" x14ac:dyDescent="0.2">
      <c r="A12" s="9" t="s">
        <v>311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">
      <c r="A13" t="s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A1:J13"/>
  <sheetViews>
    <sheetView workbookViewId="0">
      <selection activeCell="B9" sqref="B9:E9"/>
    </sheetView>
  </sheetViews>
  <sheetFormatPr baseColWidth="10" defaultColWidth="9.1640625" defaultRowHeight="15" x14ac:dyDescent="0.2"/>
  <cols>
    <col min="1" max="1" width="33.5" customWidth="1"/>
    <col min="2" max="10" width="17.5" customWidth="1"/>
  </cols>
  <sheetData>
    <row r="1" spans="1:10" ht="32" x14ac:dyDescent="0.2">
      <c r="B1" s="10" t="s">
        <v>76</v>
      </c>
      <c r="C1" s="10" t="s">
        <v>79</v>
      </c>
      <c r="D1" s="10" t="s">
        <v>85</v>
      </c>
      <c r="E1" s="10" t="s">
        <v>88</v>
      </c>
      <c r="F1" s="10" t="s">
        <v>91</v>
      </c>
      <c r="G1" s="10" t="s">
        <v>94</v>
      </c>
      <c r="H1" s="10" t="s">
        <v>83</v>
      </c>
      <c r="I1" s="10" t="s">
        <v>99</v>
      </c>
      <c r="J1" s="10" t="s">
        <v>102</v>
      </c>
    </row>
    <row r="2" spans="1:10" x14ac:dyDescent="0.2">
      <c r="A2" t="s">
        <v>77</v>
      </c>
      <c r="B2" s="28">
        <f>Calculations!B217</f>
        <v>2.1590480094315728E-2</v>
      </c>
      <c r="C2" s="28">
        <f ca="1">Calculations!C217</f>
        <v>0.67179806265672681</v>
      </c>
      <c r="D2" s="28">
        <f>Calculations!D217</f>
        <v>9.721330245413419E-2</v>
      </c>
      <c r="E2" s="28">
        <f ca="1">Calculations!E217</f>
        <v>0.16913823822196661</v>
      </c>
      <c r="F2" s="5">
        <v>0</v>
      </c>
      <c r="G2" s="5">
        <v>0</v>
      </c>
      <c r="H2" s="5">
        <v>0</v>
      </c>
      <c r="I2" s="5">
        <v>0</v>
      </c>
      <c r="J2" s="5">
        <v>0</v>
      </c>
    </row>
    <row r="3" spans="1:10" x14ac:dyDescent="0.2">
      <c r="A3" t="s">
        <v>81</v>
      </c>
      <c r="B3" s="28">
        <f>Calculations!B218</f>
        <v>0.18227925950305174</v>
      </c>
      <c r="C3" s="28">
        <f ca="1">Calculations!C218</f>
        <v>0.33582984473020627</v>
      </c>
      <c r="D3" s="28">
        <f>Calculations!D218</f>
        <v>0.26836468306964067</v>
      </c>
      <c r="E3" s="28">
        <f ca="1">Calculations!E218</f>
        <v>7.123048766109942E-2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 x14ac:dyDescent="0.2">
      <c r="A4" t="s">
        <v>86</v>
      </c>
      <c r="B4" s="28">
        <f>Calculations!B219</f>
        <v>1.3642649248498468E-2</v>
      </c>
      <c r="C4" s="28">
        <f ca="1">Calculations!C219</f>
        <v>0.26741767360163754</v>
      </c>
      <c r="D4" s="28">
        <f>Calculations!D219</f>
        <v>1.1306920585411441E-2</v>
      </c>
      <c r="E4" s="28">
        <f ca="1">Calculations!E219</f>
        <v>0.64856050085937977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 x14ac:dyDescent="0.2">
      <c r="A5" t="s">
        <v>89</v>
      </c>
      <c r="B5" s="28">
        <f>Calculations!B220</f>
        <v>3.6509288301142306E-2</v>
      </c>
      <c r="C5" s="28">
        <f ca="1">Calculations!C220</f>
        <v>0.30519396552792105</v>
      </c>
      <c r="D5" s="28">
        <f>Calculations!D220</f>
        <v>0.30383936022948965</v>
      </c>
      <c r="E5" s="28">
        <f ca="1">Calculations!E220</f>
        <v>0.29471031022001304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 x14ac:dyDescent="0.2">
      <c r="A6" t="s">
        <v>92</v>
      </c>
      <c r="B6" s="5">
        <v>0</v>
      </c>
      <c r="C6" s="31">
        <v>0</v>
      </c>
      <c r="D6" s="31">
        <v>0</v>
      </c>
      <c r="E6" s="31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1:10" x14ac:dyDescent="0.2">
      <c r="A7" t="s">
        <v>95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 x14ac:dyDescent="0.2">
      <c r="A8" t="s">
        <v>97</v>
      </c>
      <c r="B8" s="28">
        <f>Calculations!B223</f>
        <v>1.5389421582784286E-2</v>
      </c>
      <c r="C8" s="28">
        <f ca="1">Calculations!C223</f>
        <v>0.29772516394177045</v>
      </c>
      <c r="D8" s="28">
        <f>Calculations!D223</f>
        <v>0.59654642685515868</v>
      </c>
      <c r="E8" s="28">
        <f ca="1">Calculations!E223</f>
        <v>6.4553994161013664E-2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 x14ac:dyDescent="0.2">
      <c r="A9" t="s">
        <v>100</v>
      </c>
      <c r="B9" s="28">
        <f>Calculations!B224</f>
        <v>1.9911003696297645E-2</v>
      </c>
      <c r="C9" s="28">
        <f ca="1">Calculations!C224</f>
        <v>0.42729903230947797</v>
      </c>
      <c r="D9" s="28">
        <f>Calculations!D224</f>
        <v>0.36649432875985305</v>
      </c>
      <c r="E9" s="28">
        <f ca="1">Calculations!E224</f>
        <v>0.16452100410253265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 x14ac:dyDescent="0.2">
      <c r="E10" s="6"/>
    </row>
    <row r="12" spans="1:10" x14ac:dyDescent="0.2">
      <c r="A12" s="9" t="s">
        <v>313</v>
      </c>
      <c r="B12" s="9"/>
      <c r="C12" s="9"/>
      <c r="D12" s="9"/>
      <c r="E12" s="9"/>
    </row>
    <row r="13" spans="1:10" x14ac:dyDescent="0.2">
      <c r="A13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DBE151-E9E7-450D-8E23-AC948C7834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F13A94-7B8B-44F3-871A-201421CB0AF8}">
  <ds:schemaRefs>
    <ds:schemaRef ds:uri="http://schemas.openxmlformats.org/package/2006/metadata/core-properties"/>
    <ds:schemaRef ds:uri="6b15a3a4-8173-42d6-9deb-398ec38eca4b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cb176f07-3112-4ee9-93fd-ae2cb5f3e43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94100F8-C0AA-43C2-B435-7F2D4910FE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OECD Crosswalk</vt:lpstr>
      <vt:lpstr>OECD Data IO Table - Total (HKD</vt:lpstr>
      <vt:lpstr>OECD Data IO Table - Total (USD</vt:lpstr>
      <vt:lpstr>OECD Data IO Table - Value HKD</vt:lpstr>
      <vt:lpstr>OECD Data IO Table - Value USD</vt:lpstr>
      <vt:lpstr>OECD Data IO Table - Imports</vt:lpstr>
      <vt:lpstr>Calculations</vt:lpstr>
      <vt:lpstr>FoISaGPbE-FoGPbE</vt:lpstr>
      <vt:lpstr>FoISaGPbE-NIbSEaSoGO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2019-05-13T22:42:28Z</dcterms:created>
  <dcterms:modified xsi:type="dcterms:W3CDTF">2023-12-05T02:05:34Z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