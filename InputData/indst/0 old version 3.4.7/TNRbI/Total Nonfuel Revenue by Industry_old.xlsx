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indst/0 Need to Update/TNRbI/"/>
    </mc:Choice>
  </mc:AlternateContent>
  <xr:revisionPtr revIDLastSave="390" documentId="11_7FB4C0C5DF9FFDFBB19FFBEEFDC0CC3537F7C267" xr6:coauthVersionLast="47" xr6:coauthVersionMax="47" xr10:uidLastSave="{05FD3010-F5D5-8341-BEAC-25DD406B82FB}"/>
  <bookViews>
    <workbookView xWindow="0" yWindow="500" windowWidth="28800" windowHeight="17500" activeTab="3" xr2:uid="{00000000-000D-0000-FFFF-FFFF00000000}"/>
  </bookViews>
  <sheets>
    <sheet name="About" sheetId="1" r:id="rId1"/>
    <sheet name="EIA 24" sheetId="4" state="hidden" r:id="rId2"/>
    <sheet name="hk gdp contribution" sheetId="5" r:id="rId3"/>
    <sheet name="HK GDP" sheetId="6" r:id="rId4"/>
    <sheet name="calcualtion" sheetId="7" r:id="rId5"/>
    <sheet name="TNRbI" sheetId="3" r:id="rId6"/>
  </sheets>
  <definedNames>
    <definedName name="currency_conv">About!$A$49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" l="1"/>
  <c r="B35" i="6"/>
  <c r="B20" i="6"/>
  <c r="C9" i="7" l="1"/>
  <c r="B13" i="6"/>
  <c r="B14" i="6" s="1"/>
  <c r="B15" i="6" s="1"/>
  <c r="B16" i="6" s="1"/>
  <c r="B17" i="6" s="1"/>
  <c r="B18" i="6" s="1"/>
  <c r="B19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6" i="6" s="1"/>
  <c r="B37" i="6" s="1"/>
  <c r="B38" i="6" s="1"/>
  <c r="D6" i="7" l="1"/>
  <c r="D9" i="7" s="1"/>
  <c r="D12" i="7" s="1"/>
  <c r="C8" i="3" s="1"/>
  <c r="E6" i="7"/>
  <c r="E9" i="7" s="1"/>
  <c r="E12" i="7" s="1"/>
  <c r="D8" i="3" s="1"/>
  <c r="F6" i="7"/>
  <c r="F9" i="7" s="1"/>
  <c r="F12" i="7" s="1"/>
  <c r="E8" i="3" s="1"/>
  <c r="G6" i="7"/>
  <c r="G9" i="7" s="1"/>
  <c r="H6" i="7"/>
  <c r="H9" i="7" s="1"/>
  <c r="H12" i="7" s="1"/>
  <c r="G8" i="3" s="1"/>
  <c r="I6" i="7"/>
  <c r="I9" i="7" s="1"/>
  <c r="I12" i="7" s="1"/>
  <c r="H8" i="3" s="1"/>
  <c r="J6" i="7"/>
  <c r="J9" i="7" s="1"/>
  <c r="J12" i="7" s="1"/>
  <c r="I8" i="3" s="1"/>
  <c r="K6" i="7"/>
  <c r="K9" i="7" s="1"/>
  <c r="K12" i="7" s="1"/>
  <c r="J8" i="3" s="1"/>
  <c r="L6" i="7"/>
  <c r="L9" i="7" s="1"/>
  <c r="L12" i="7" s="1"/>
  <c r="K8" i="3" s="1"/>
  <c r="M6" i="7"/>
  <c r="M9" i="7" s="1"/>
  <c r="M12" i="7" s="1"/>
  <c r="L8" i="3" s="1"/>
  <c r="N6" i="7"/>
  <c r="N9" i="7" s="1"/>
  <c r="N12" i="7" s="1"/>
  <c r="M8" i="3" s="1"/>
  <c r="O6" i="7"/>
  <c r="O9" i="7" s="1"/>
  <c r="O12" i="7" s="1"/>
  <c r="N8" i="3" s="1"/>
  <c r="P6" i="7"/>
  <c r="P9" i="7" s="1"/>
  <c r="P12" i="7" s="1"/>
  <c r="O8" i="3" s="1"/>
  <c r="Q6" i="7"/>
  <c r="Q9" i="7" s="1"/>
  <c r="Q12" i="7" s="1"/>
  <c r="P8" i="3" s="1"/>
  <c r="R6" i="7"/>
  <c r="R9" i="7" s="1"/>
  <c r="R12" i="7" s="1"/>
  <c r="Q8" i="3" s="1"/>
  <c r="S6" i="7"/>
  <c r="S9" i="7" s="1"/>
  <c r="S12" i="7" s="1"/>
  <c r="R8" i="3" s="1"/>
  <c r="T6" i="7"/>
  <c r="T9" i="7" s="1"/>
  <c r="T12" i="7" s="1"/>
  <c r="S8" i="3" s="1"/>
  <c r="U6" i="7"/>
  <c r="U9" i="7" s="1"/>
  <c r="U12" i="7" s="1"/>
  <c r="T8" i="3" s="1"/>
  <c r="V6" i="7"/>
  <c r="V9" i="7" s="1"/>
  <c r="V12" i="7" s="1"/>
  <c r="U8" i="3" s="1"/>
  <c r="W6" i="7"/>
  <c r="W9" i="7" s="1"/>
  <c r="W12" i="7" s="1"/>
  <c r="V8" i="3" s="1"/>
  <c r="X6" i="7"/>
  <c r="Y6" i="7"/>
  <c r="Y9" i="7" s="1"/>
  <c r="Y12" i="7" s="1"/>
  <c r="X8" i="3" s="1"/>
  <c r="Z6" i="7"/>
  <c r="Z9" i="7" s="1"/>
  <c r="Z12" i="7" s="1"/>
  <c r="Y8" i="3" s="1"/>
  <c r="AA6" i="7"/>
  <c r="AA9" i="7" s="1"/>
  <c r="AA12" i="7" s="1"/>
  <c r="Z8" i="3" s="1"/>
  <c r="AB6" i="7"/>
  <c r="AB9" i="7" s="1"/>
  <c r="AB12" i="7" s="1"/>
  <c r="AA8" i="3" s="1"/>
  <c r="AC6" i="7"/>
  <c r="AD6" i="7"/>
  <c r="AD9" i="7" s="1"/>
  <c r="AD12" i="7" s="1"/>
  <c r="AC8" i="3" s="1"/>
  <c r="AE6" i="7"/>
  <c r="AE9" i="7" s="1"/>
  <c r="AE12" i="7" s="1"/>
  <c r="AD8" i="3" s="1"/>
  <c r="AF6" i="7"/>
  <c r="AF9" i="7" s="1"/>
  <c r="AF12" i="7" s="1"/>
  <c r="AE8" i="3" s="1"/>
  <c r="AG6" i="7"/>
  <c r="AG9" i="7" s="1"/>
  <c r="AG12" i="7" s="1"/>
  <c r="AF8" i="3" s="1"/>
  <c r="AH6" i="7"/>
  <c r="AH9" i="7" s="1"/>
  <c r="AH12" i="7" s="1"/>
  <c r="AG8" i="3" s="1"/>
  <c r="AI6" i="7"/>
  <c r="AI9" i="7" s="1"/>
  <c r="AI12" i="7" s="1"/>
  <c r="AH8" i="3" s="1"/>
  <c r="AJ6" i="7"/>
  <c r="AJ9" i="7" s="1"/>
  <c r="AJ12" i="7" s="1"/>
  <c r="AI8" i="3" s="1"/>
  <c r="AJ7" i="7"/>
  <c r="AJ10" i="7" s="1"/>
  <c r="AJ13" i="7" s="1"/>
  <c r="AI9" i="3" s="1"/>
  <c r="C7" i="7"/>
  <c r="C10" i="7" s="1"/>
  <c r="C13" i="7" s="1"/>
  <c r="B9" i="3" s="1"/>
  <c r="C6" i="7"/>
  <c r="C12" i="7" s="1"/>
  <c r="B8" i="3" s="1"/>
  <c r="X9" i="7"/>
  <c r="X12" i="7" s="1"/>
  <c r="W8" i="3" s="1"/>
  <c r="AC9" i="7"/>
  <c r="AC12" i="7" s="1"/>
  <c r="AB8" i="3" s="1"/>
  <c r="D4" i="7"/>
  <c r="D7" i="7" s="1"/>
  <c r="D10" i="7" s="1"/>
  <c r="D13" i="7" s="1"/>
  <c r="C9" i="3" s="1"/>
  <c r="G12" i="7" l="1"/>
  <c r="F8" i="3" s="1"/>
  <c r="E4" i="7"/>
  <c r="A49" i="1"/>
  <c r="F4" i="7" l="1"/>
  <c r="E7" i="7"/>
  <c r="E10" i="7" s="1"/>
  <c r="E13" i="7" s="1"/>
  <c r="D9" i="3" s="1"/>
  <c r="G4" i="7" l="1"/>
  <c r="F7" i="7"/>
  <c r="F10" i="7" s="1"/>
  <c r="F13" i="7" s="1"/>
  <c r="E9" i="3" s="1"/>
  <c r="H4" i="7" l="1"/>
  <c r="G7" i="7"/>
  <c r="G10" i="7" s="1"/>
  <c r="G13" i="7" s="1"/>
  <c r="F9" i="3" s="1"/>
  <c r="I4" i="7" l="1"/>
  <c r="H10" i="7"/>
  <c r="H13" i="7" s="1"/>
  <c r="G9" i="3" s="1"/>
  <c r="J4" i="7" l="1"/>
  <c r="I7" i="7"/>
  <c r="I10" i="7" s="1"/>
  <c r="I13" i="7" s="1"/>
  <c r="H9" i="3" s="1"/>
  <c r="K4" i="7" l="1"/>
  <c r="J7" i="7"/>
  <c r="J10" i="7" s="1"/>
  <c r="J13" i="7" s="1"/>
  <c r="I9" i="3" s="1"/>
  <c r="L4" i="7" l="1"/>
  <c r="K7" i="7"/>
  <c r="K10" i="7" s="1"/>
  <c r="K13" i="7" s="1"/>
  <c r="J9" i="3" s="1"/>
  <c r="M4" i="7" l="1"/>
  <c r="L7" i="7"/>
  <c r="L10" i="7" s="1"/>
  <c r="L13" i="7" s="1"/>
  <c r="K9" i="3" s="1"/>
  <c r="N4" i="7" l="1"/>
  <c r="M7" i="7"/>
  <c r="M10" i="7" s="1"/>
  <c r="M13" i="7" s="1"/>
  <c r="L9" i="3" s="1"/>
  <c r="O4" i="7" l="1"/>
  <c r="N7" i="7"/>
  <c r="N10" i="7" s="1"/>
  <c r="N13" i="7" s="1"/>
  <c r="M9" i="3" s="1"/>
  <c r="P4" i="7" l="1"/>
  <c r="O7" i="7"/>
  <c r="O10" i="7" s="1"/>
  <c r="O13" i="7" s="1"/>
  <c r="N9" i="3" s="1"/>
  <c r="Q4" i="7" l="1"/>
  <c r="P7" i="7"/>
  <c r="P10" i="7" s="1"/>
  <c r="P13" i="7" s="1"/>
  <c r="O9" i="3" s="1"/>
  <c r="R4" i="7" l="1"/>
  <c r="Q7" i="7"/>
  <c r="Q10" i="7" s="1"/>
  <c r="Q13" i="7" s="1"/>
  <c r="P9" i="3" s="1"/>
  <c r="S4" i="7" l="1"/>
  <c r="R7" i="7"/>
  <c r="R10" i="7" s="1"/>
  <c r="R13" i="7" s="1"/>
  <c r="Q9" i="3" s="1"/>
  <c r="T4" i="7" l="1"/>
  <c r="S7" i="7"/>
  <c r="S10" i="7" s="1"/>
  <c r="S13" i="7" s="1"/>
  <c r="R9" i="3" s="1"/>
  <c r="U4" i="7" l="1"/>
  <c r="T7" i="7"/>
  <c r="T10" i="7" s="1"/>
  <c r="T13" i="7" s="1"/>
  <c r="S9" i="3" s="1"/>
  <c r="V4" i="7" l="1"/>
  <c r="U7" i="7"/>
  <c r="U10" i="7" s="1"/>
  <c r="U13" i="7" s="1"/>
  <c r="T9" i="3" s="1"/>
  <c r="W4" i="7" l="1"/>
  <c r="V7" i="7"/>
  <c r="V10" i="7" s="1"/>
  <c r="V13" i="7" s="1"/>
  <c r="U9" i="3" s="1"/>
  <c r="X4" i="7" l="1"/>
  <c r="W7" i="7"/>
  <c r="W10" i="7" s="1"/>
  <c r="W13" i="7" s="1"/>
  <c r="V9" i="3" s="1"/>
  <c r="Y4" i="7" l="1"/>
  <c r="X7" i="7"/>
  <c r="X10" i="7" s="1"/>
  <c r="X13" i="7" s="1"/>
  <c r="W9" i="3" s="1"/>
  <c r="Z4" i="7" l="1"/>
  <c r="Y7" i="7"/>
  <c r="Y10" i="7" s="1"/>
  <c r="Y13" i="7" s="1"/>
  <c r="X9" i="3" s="1"/>
  <c r="AA4" i="7" l="1"/>
  <c r="Z7" i="7"/>
  <c r="Z10" i="7" s="1"/>
  <c r="Z13" i="7" s="1"/>
  <c r="Y9" i="3" s="1"/>
  <c r="AB4" i="7" l="1"/>
  <c r="AA7" i="7"/>
  <c r="AA10" i="7" s="1"/>
  <c r="AA13" i="7" s="1"/>
  <c r="Z9" i="3" s="1"/>
  <c r="AC4" i="7" l="1"/>
  <c r="AB7" i="7"/>
  <c r="AB10" i="7" s="1"/>
  <c r="AB13" i="7" s="1"/>
  <c r="AA9" i="3" s="1"/>
  <c r="AD4" i="7" l="1"/>
  <c r="AC7" i="7"/>
  <c r="AC10" i="7" s="1"/>
  <c r="AC13" i="7" s="1"/>
  <c r="AB9" i="3" s="1"/>
  <c r="AE4" i="7" l="1"/>
  <c r="AD7" i="7"/>
  <c r="AD10" i="7" s="1"/>
  <c r="AD13" i="7" s="1"/>
  <c r="AC9" i="3" s="1"/>
  <c r="AF4" i="7" l="1"/>
  <c r="AE7" i="7"/>
  <c r="AE10" i="7" s="1"/>
  <c r="AE13" i="7" s="1"/>
  <c r="AD9" i="3" s="1"/>
  <c r="AG4" i="7" l="1"/>
  <c r="AF7" i="7"/>
  <c r="AF10" i="7" s="1"/>
  <c r="AF13" i="7" s="1"/>
  <c r="AE9" i="3" s="1"/>
  <c r="AH4" i="7" l="1"/>
  <c r="AG7" i="7"/>
  <c r="AG10" i="7" s="1"/>
  <c r="AG13" i="7" s="1"/>
  <c r="AF9" i="3" s="1"/>
  <c r="AI4" i="7" l="1"/>
  <c r="AI7" i="7" s="1"/>
  <c r="AI10" i="7" s="1"/>
  <c r="AI13" i="7" s="1"/>
  <c r="AH9" i="3" s="1"/>
  <c r="AH7" i="7"/>
  <c r="AH10" i="7" s="1"/>
  <c r="AH13" i="7" s="1"/>
  <c r="AG9" i="3" s="1"/>
</calcChain>
</file>

<file path=xl/sharedStrings.xml><?xml version="1.0" encoding="utf-8"?>
<sst xmlns="http://schemas.openxmlformats.org/spreadsheetml/2006/main" count="245" uniqueCount="197">
  <si>
    <t>TNRbI Total Nonfuel Revenue by Industry</t>
  </si>
  <si>
    <t>Source:</t>
  </si>
  <si>
    <t>U.S. Energy Information Administration</t>
  </si>
  <si>
    <t xml:space="preserve">Census and Statistics Department </t>
  </si>
  <si>
    <t xml:space="preserve">Gross Domestic Product (GDP) by economic activity at current prices </t>
  </si>
  <si>
    <t>Annual Energy Outlook 2019</t>
  </si>
  <si>
    <t>https://www.eia.gov/outlooks/aeo/supplement/excel/suptab_24.xlsx</t>
  </si>
  <si>
    <t xml:space="preserve">https://www.censtatd.gov.hk/en/web_table.html?id=310-34101 </t>
  </si>
  <si>
    <t>Table 24: Industrial Sector Macroeconomic Indicators</t>
  </si>
  <si>
    <t>Table 310-34101</t>
  </si>
  <si>
    <t>Notes</t>
  </si>
  <si>
    <t xml:space="preserve">Hong Kong Monetary Authority </t>
  </si>
  <si>
    <t>This variable should contain the total revenue each industry earns by</t>
  </si>
  <si>
    <t>Economic and Financial Data for Hong Kong</t>
  </si>
  <si>
    <r>
      <t xml:space="preserve">selling its products, </t>
    </r>
    <r>
      <rPr>
        <b/>
        <sz val="11"/>
        <color theme="1"/>
        <rFont val="Calibri"/>
        <family val="2"/>
        <scheme val="minor"/>
      </rPr>
      <t>EXCEPT</t>
    </r>
    <r>
      <rPr>
        <sz val="11"/>
        <color theme="1"/>
        <rFont val="Calibri"/>
        <family val="2"/>
        <scheme val="minor"/>
      </rPr>
      <t xml:space="preserve"> for fuels (natural gas, petroleum, coal)</t>
    </r>
  </si>
  <si>
    <t>as changes in fuel sales are accounted for separately in each sector.</t>
  </si>
  <si>
    <t xml:space="preserve">https://www.hkma.gov.hk/eng/data-publications-and-research/data-and-statistics/economic-financial-data-for-hong-kong/ </t>
  </si>
  <si>
    <t>To also include the fuels here would be double-counting.</t>
  </si>
  <si>
    <t>As a result, we don't need AEO tables 11 and 12 (which provide</t>
  </si>
  <si>
    <t>petroleum production and prices), nor AEO table 13 (which</t>
  </si>
  <si>
    <t>provides natural gas production and prices).  We only need the</t>
  </si>
  <si>
    <t>industrial sales figures from AEO table 24.</t>
  </si>
  <si>
    <t>We group the small amount earned from non-fuel petroleum- and</t>
  </si>
  <si>
    <t>coal-derived products in the "other industries" category</t>
  </si>
  <si>
    <t>because the elasticities calculated for the "natural gas and</t>
  </si>
  <si>
    <t>petroleum systems" and "mining" industries are dominated by</t>
  </si>
  <si>
    <t>the use of these products as fuels, which is probably too high for</t>
  </si>
  <si>
    <t>non-fuel products.  Accordingly, it is more accurate to use the</t>
  </si>
  <si>
    <t>generalized "other industries" category elasticity.</t>
  </si>
  <si>
    <t>Although the EIA's "Mining" category includes some mining</t>
  </si>
  <si>
    <t>of things other than fuels, most mining in the U.S. is for coal,</t>
  </si>
  <si>
    <t>and we don't have a breakdown of the "Mining" category,</t>
  </si>
  <si>
    <t>so we exclude it.</t>
  </si>
  <si>
    <t>We omit the row for "Petroleum Refineries" from AEO 24,</t>
  </si>
  <si>
    <t>because most of the products of this industry are fuel.</t>
  </si>
  <si>
    <t>We also omit the row for "construction," which we aren't</t>
  </si>
  <si>
    <t>treating as part of the industry sector.</t>
  </si>
  <si>
    <t>All other rows from AEO 24 are used, being careful not to</t>
  </si>
  <si>
    <t>sum subtotals and their elements.</t>
  </si>
  <si>
    <t>The "waste management" industry in the EPS doesn't have</t>
  </si>
  <si>
    <t>data in EIA AEO, and water treatment (the largest part of that industry)</t>
  </si>
  <si>
    <t>is often government-run or a regulated monopoly that is not</t>
  </si>
  <si>
    <t>profit-driven, so we do not attempt to calculate revenue changes</t>
  </si>
  <si>
    <t>for the waste management industry.</t>
  </si>
  <si>
    <t>Currency conversion</t>
  </si>
  <si>
    <t>We convert from 2009 to 2012 dollars using the following</t>
  </si>
  <si>
    <t>conversion factor:</t>
  </si>
  <si>
    <t>2012 USD / billion 2009 USD</t>
  </si>
  <si>
    <t>ref2019.d111618a</t>
  </si>
  <si>
    <t>Report</t>
  </si>
  <si>
    <t>Scenario</t>
  </si>
  <si>
    <t>ref2019</t>
  </si>
  <si>
    <t>Reference case</t>
  </si>
  <si>
    <t>Datekey</t>
  </si>
  <si>
    <t>d111618a</t>
  </si>
  <si>
    <t>Release Date</t>
  </si>
  <si>
    <t xml:space="preserve"> January 2019</t>
  </si>
  <si>
    <t>ISM000</t>
  </si>
  <si>
    <t>24. Industrial Sector Macroeconomic Indicators</t>
  </si>
  <si>
    <t/>
  </si>
  <si>
    <t>2018-</t>
  </si>
  <si>
    <t xml:space="preserve"> Indicators</t>
  </si>
  <si>
    <t>ISM000:ba_GDP(billionm_</t>
  </si>
  <si>
    <t>Gross Domestic Product (million 2021 HK dollars)</t>
  </si>
  <si>
    <t>ISM000:ca_NonfarmEmploy</t>
  </si>
  <si>
    <t>Nonfarm Employment (millions)</t>
  </si>
  <si>
    <t>Value of Shipments (billion 2009 dollars)</t>
  </si>
  <si>
    <t>Nonmanufacturing Sector</t>
  </si>
  <si>
    <t>ISM000:ea_Agricultural</t>
  </si>
  <si>
    <t xml:space="preserve">  Agriculture/Forestry/Fishing/Hunting</t>
  </si>
  <si>
    <t>ISM000:ea_Mining</t>
  </si>
  <si>
    <t xml:space="preserve">  Mining</t>
  </si>
  <si>
    <t>ISM000:ea_Construction</t>
  </si>
  <si>
    <t xml:space="preserve">  Construction</t>
  </si>
  <si>
    <t>Manufacturing Sector</t>
  </si>
  <si>
    <t>ISM000:fa_FoodandKindre</t>
  </si>
  <si>
    <t xml:space="preserve">  Food Products</t>
  </si>
  <si>
    <t>ISM000:fa_BeveragesandT</t>
  </si>
  <si>
    <t xml:space="preserve">  Beverages and Tobacco Products</t>
  </si>
  <si>
    <t>ISM000:fa_TextileMillPr</t>
  </si>
  <si>
    <t xml:space="preserve">  Textile Mills and Products</t>
  </si>
  <si>
    <t>ISM000:fa_LumberandWood</t>
  </si>
  <si>
    <t xml:space="preserve">  Wood Products</t>
  </si>
  <si>
    <t>ISM000:fa_FurnitureandF</t>
  </si>
  <si>
    <t xml:space="preserve">  Furniture and Related Products</t>
  </si>
  <si>
    <t>ISM000:fa_PaperandAllie</t>
  </si>
  <si>
    <t xml:space="preserve">  Paper Products</t>
  </si>
  <si>
    <t>ISM000:fa_PrintingandPu</t>
  </si>
  <si>
    <t xml:space="preserve">  Printing</t>
  </si>
  <si>
    <t>ISM000:fa_ChemicalandAl</t>
  </si>
  <si>
    <t xml:space="preserve">  Chemical Manufacturing</t>
  </si>
  <si>
    <t>ISM000:fa_BulkChemicals</t>
  </si>
  <si>
    <t xml:space="preserve">    Bulk Chemicals</t>
  </si>
  <si>
    <t>ISM000:fa_Inorganic</t>
  </si>
  <si>
    <t xml:space="preserve">      Inorganic</t>
  </si>
  <si>
    <t>ISM000:fa_Organic</t>
  </si>
  <si>
    <t xml:space="preserve">      Organic</t>
  </si>
  <si>
    <t>ISM000:fa_Resins</t>
  </si>
  <si>
    <t xml:space="preserve">      Resin, Synthetic Rubber, and Fibers</t>
  </si>
  <si>
    <t>ISM000:fa_AgriculturalC</t>
  </si>
  <si>
    <t xml:space="preserve">      Agricultural Chemicals</t>
  </si>
  <si>
    <t>ISM000:fa_OtherChemical</t>
  </si>
  <si>
    <t xml:space="preserve">    Other Chemical Products</t>
  </si>
  <si>
    <t>ISM000:fa_PetroleumandC</t>
  </si>
  <si>
    <t xml:space="preserve">  Petroleum and Coal Products</t>
  </si>
  <si>
    <t>ISM000:fa_PetroleumRefi</t>
  </si>
  <si>
    <t xml:space="preserve">    Petroleum Refineries</t>
  </si>
  <si>
    <t>ISM000:fa_OtherPetroleu</t>
  </si>
  <si>
    <t xml:space="preserve">    Other Petroleum and Coal Products</t>
  </si>
  <si>
    <t>ISM000:fa_RubberandMisc</t>
  </si>
  <si>
    <t xml:space="preserve">  Plastics and Rubber Products</t>
  </si>
  <si>
    <t>ISM000:fa_Stone,Clay,an</t>
  </si>
  <si>
    <t xml:space="preserve">  Stone, Clay, and Glass Products</t>
  </si>
  <si>
    <t>ISM000:fa_GlassandGlass</t>
  </si>
  <si>
    <t xml:space="preserve">    Glass and Glass Products</t>
  </si>
  <si>
    <t>ISM000:fa_CementandHydr</t>
  </si>
  <si>
    <t xml:space="preserve">    Cement and Lime</t>
  </si>
  <si>
    <t>ISM000:fa_OtherStone,Cl</t>
  </si>
  <si>
    <t xml:space="preserve">    Other Nonmetallic Mineral Products</t>
  </si>
  <si>
    <t>ISM000:ga_PrimaryMetals</t>
  </si>
  <si>
    <t xml:space="preserve">  Primary Metals Industry</t>
  </si>
  <si>
    <t>ISM000:ga_BlastFurnacea</t>
  </si>
  <si>
    <t xml:space="preserve">    Iron and Steel Mills and Products</t>
  </si>
  <si>
    <t>ISM000:ga_Aluminum</t>
  </si>
  <si>
    <t xml:space="preserve">    Alumina and Aluminum Products</t>
  </si>
  <si>
    <t>ISM000:ga_OtherPrimaryM</t>
  </si>
  <si>
    <t xml:space="preserve">    Other Primary Metal Products</t>
  </si>
  <si>
    <t>ISM000:ga_FabricatedMet</t>
  </si>
  <si>
    <t xml:space="preserve">  Fabricated Metal Products</t>
  </si>
  <si>
    <t>ISM000:ga_IndustrialMac</t>
  </si>
  <si>
    <t xml:space="preserve">  Machinery</t>
  </si>
  <si>
    <t>ISM000:ga_Electronicand</t>
  </si>
  <si>
    <t xml:space="preserve">  Computers and Electronics</t>
  </si>
  <si>
    <t>ISM000:ga_Transportatio</t>
  </si>
  <si>
    <t xml:space="preserve">  Transportation Equipment</t>
  </si>
  <si>
    <t>ISM000:ga_Instrumentsan</t>
  </si>
  <si>
    <t xml:space="preserve">  Electrical Equipment</t>
  </si>
  <si>
    <t>ISM000:ga_Miscellaneous</t>
  </si>
  <si>
    <t xml:space="preserve">  Miscellaneous Manufacturing</t>
  </si>
  <si>
    <t>ISM000:ha_TotalIndustri</t>
  </si>
  <si>
    <t>Total Industrial Value of Shipments</t>
  </si>
  <si>
    <t xml:space="preserve">   Note:  Totals may not equal sum of components due to independent rounding.</t>
  </si>
  <si>
    <t xml:space="preserve">   Sources:  2017 and 2018:  IHS Markit, Macroeconomic and Employment models, August 2018; and</t>
  </si>
  <si>
    <t>IHS Markit, Industry model, May 2018.  Projections:  U.S. Energy Information Administration, AEO2019 National Energy Modeling</t>
  </si>
  <si>
    <t>System run ref2019.d111618a.</t>
  </si>
  <si>
    <t>https://www.censtatd.gov.hk/hkstat/sub/sp250.jsp?tableID=036&amp;ID=0&amp;productType=8</t>
  </si>
  <si>
    <t>Source: Census and Statistical department</t>
  </si>
  <si>
    <t>Economic Activity</t>
  </si>
  <si>
    <t>Agriculture, fishing, mining and quarrying</t>
  </si>
  <si>
    <t>Manufacturing</t>
  </si>
  <si>
    <t>Electricity, gas and water supply, and waste management</t>
  </si>
  <si>
    <t>Construction</t>
  </si>
  <si>
    <t>Services</t>
  </si>
  <si>
    <t>Import/export, wholesale and retail trades</t>
  </si>
  <si>
    <t>Import and export trade</t>
  </si>
  <si>
    <t>Wholesale and retail trades</t>
  </si>
  <si>
    <t>Accommodation and food services ^</t>
  </si>
  <si>
    <t>Transportation, storage, postal and courier services</t>
  </si>
  <si>
    <t>Transportation and storage</t>
  </si>
  <si>
    <t>Postal and courier services</t>
  </si>
  <si>
    <t>Information and communications</t>
  </si>
  <si>
    <t>Financing and insurance</t>
  </si>
  <si>
    <t>Real estate, professional and business services</t>
  </si>
  <si>
    <t>Real estate</t>
  </si>
  <si>
    <t>Professional and business services</t>
  </si>
  <si>
    <t>Public administration, social and personal services</t>
  </si>
  <si>
    <t>Ownership of premises</t>
  </si>
  <si>
    <t>GDP at basic prices</t>
  </si>
  <si>
    <t>sourceL PCM</t>
  </si>
  <si>
    <t>(PCM was updated 21/08/23)</t>
  </si>
  <si>
    <t>GDP in 2021 HK$</t>
  </si>
  <si>
    <t>GDP</t>
  </si>
  <si>
    <t>Year-on-year change</t>
  </si>
  <si>
    <t>GDP per capita HK$</t>
  </si>
  <si>
    <t>HK$ million</t>
  </si>
  <si>
    <t>2016^1</t>
  </si>
  <si>
    <t>Nonfuel Revenue ($)</t>
  </si>
  <si>
    <t>2021 HK$ million</t>
  </si>
  <si>
    <t>percentage of agriculture</t>
  </si>
  <si>
    <t>%</t>
  </si>
  <si>
    <t>percentage of industry</t>
  </si>
  <si>
    <t>2021HK$ million</t>
  </si>
  <si>
    <t>2016 million USD</t>
  </si>
  <si>
    <t>2012 value million USD</t>
  </si>
  <si>
    <t xml:space="preserve">1 US Dollar = </t>
  </si>
  <si>
    <t>Hong Kong Dollars on 25/08/23</t>
  </si>
  <si>
    <t>https://www.exchange-rates.org/Rate/USD/HKD/12-30-2016</t>
  </si>
  <si>
    <t>1.00 US Dollars of 2021 are worth 0.76 US Dollars of 2012.</t>
  </si>
  <si>
    <t>https://stats.areppim.com/calc/calc_usdlrxdeflator.php</t>
  </si>
  <si>
    <t>Cement and other carbonate use</t>
  </si>
  <si>
    <t>Natural gas and petroleum systems</t>
  </si>
  <si>
    <t>Iron and steel</t>
  </si>
  <si>
    <t>Chemicals</t>
  </si>
  <si>
    <t>Mining</t>
  </si>
  <si>
    <t>Waste management</t>
  </si>
  <si>
    <t>Agriculture</t>
  </si>
  <si>
    <t>Other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</si>
</sst>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-* #,##0_-;\-* #,##0_-;_-* &quot;-&quot;??_-;_-@_-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medium">
        <color rgb="FFD1D1D1"/>
      </left>
      <right/>
      <top style="medium">
        <color rgb="FFD1D1D1"/>
      </top>
      <bottom style="medium">
        <color rgb="FFD1D1D1"/>
      </bottom>
      <diagonal/>
    </border>
    <border>
      <left/>
      <right/>
      <top style="medium">
        <color rgb="FFD1D1D1"/>
      </top>
      <bottom style="medium">
        <color rgb="FFD1D1D1"/>
      </bottom>
      <diagonal/>
    </border>
    <border>
      <left/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/>
      <diagonal/>
    </border>
    <border>
      <left style="medium">
        <color rgb="FFD1D1D1"/>
      </left>
      <right style="medium">
        <color rgb="FFD1D1D1"/>
      </right>
      <top/>
      <bottom/>
      <diagonal/>
    </border>
    <border>
      <left style="medium">
        <color rgb="FFD1D1D1"/>
      </left>
      <right style="medium">
        <color rgb="FFD1D1D1"/>
      </right>
      <top/>
      <bottom style="medium">
        <color rgb="FFD1D1D1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1" applyNumberFormat="0" applyProtection="0">
      <alignment wrapText="1"/>
    </xf>
    <xf numFmtId="0" fontId="6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4" fillId="0" borderId="0" applyNumberFormat="0" applyFill="0" applyBorder="0" applyAlignment="0" applyProtection="0"/>
    <xf numFmtId="0" fontId="8" fillId="0" borderId="0" applyNumberFormat="0" applyProtection="0">
      <alignment horizontal="left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4" fillId="0" borderId="0" xfId="2"/>
    <xf numFmtId="0" fontId="5" fillId="0" borderId="0" xfId="2" applyFont="1"/>
    <xf numFmtId="165" fontId="6" fillId="0" borderId="2" xfId="4" applyNumberFormat="1" applyAlignment="1">
      <alignment horizontal="right" wrapText="1"/>
    </xf>
    <xf numFmtId="3" fontId="6" fillId="0" borderId="2" xfId="4" applyNumberFormat="1" applyAlignment="1">
      <alignment horizontal="right" wrapText="1"/>
    </xf>
    <xf numFmtId="0" fontId="6" fillId="0" borderId="2" xfId="4">
      <alignment wrapText="1"/>
    </xf>
    <xf numFmtId="0" fontId="7" fillId="0" borderId="0" xfId="2" applyFont="1"/>
    <xf numFmtId="165" fontId="0" fillId="0" borderId="3" xfId="5" applyNumberFormat="1" applyFont="1" applyAlignment="1">
      <alignment horizontal="right" wrapText="1"/>
    </xf>
    <xf numFmtId="3" fontId="0" fillId="0" borderId="3" xfId="5" applyNumberFormat="1" applyFont="1" applyAlignment="1">
      <alignment horizontal="right" wrapText="1"/>
    </xf>
    <xf numFmtId="0" fontId="0" fillId="0" borderId="3" xfId="5" applyFont="1">
      <alignment wrapText="1"/>
    </xf>
    <xf numFmtId="0" fontId="6" fillId="0" borderId="4" xfId="6">
      <alignment wrapText="1"/>
    </xf>
    <xf numFmtId="0" fontId="4" fillId="0" borderId="0" xfId="2" applyAlignment="1">
      <alignment horizontal="left"/>
    </xf>
    <xf numFmtId="0" fontId="4" fillId="0" borderId="0" xfId="7"/>
    <xf numFmtId="0" fontId="8" fillId="0" borderId="0" xfId="8">
      <alignment horizontal="left"/>
    </xf>
    <xf numFmtId="0" fontId="9" fillId="0" borderId="0" xfId="2" applyFont="1"/>
    <xf numFmtId="3" fontId="0" fillId="0" borderId="0" xfId="0" applyNumberFormat="1"/>
    <xf numFmtId="0" fontId="1" fillId="0" borderId="3" xfId="5" applyFont="1">
      <alignment wrapText="1"/>
    </xf>
    <xf numFmtId="3" fontId="1" fillId="0" borderId="3" xfId="5" applyNumberFormat="1" applyFont="1" applyAlignment="1">
      <alignment horizontal="right" wrapText="1"/>
    </xf>
    <xf numFmtId="165" fontId="1" fillId="0" borderId="3" xfId="5" applyNumberFormat="1" applyFont="1" applyAlignment="1">
      <alignment horizontal="right" wrapText="1"/>
    </xf>
    <xf numFmtId="0" fontId="0" fillId="2" borderId="3" xfId="5" applyFont="1" applyFill="1">
      <alignment wrapText="1"/>
    </xf>
    <xf numFmtId="0" fontId="1" fillId="2" borderId="3" xfId="5" applyFont="1" applyFill="1">
      <alignment wrapText="1"/>
    </xf>
    <xf numFmtId="11" fontId="0" fillId="0" borderId="0" xfId="0" applyNumberFormat="1"/>
    <xf numFmtId="0" fontId="0" fillId="3" borderId="3" xfId="5" applyFont="1" applyFill="1">
      <alignment wrapText="1"/>
    </xf>
    <xf numFmtId="0" fontId="1" fillId="3" borderId="3" xfId="5" applyFont="1" applyFill="1">
      <alignment wrapText="1"/>
    </xf>
    <xf numFmtId="0" fontId="10" fillId="4" borderId="5" xfId="0" applyFont="1" applyFill="1" applyBorder="1" applyAlignment="1">
      <alignment horizontal="right" wrapText="1"/>
    </xf>
    <xf numFmtId="0" fontId="3" fillId="4" borderId="5" xfId="1" applyFill="1" applyBorder="1" applyAlignment="1">
      <alignment horizontal="right" vertical="center" wrapText="1"/>
    </xf>
    <xf numFmtId="0" fontId="10" fillId="4" borderId="5" xfId="0" applyFont="1" applyFill="1" applyBorder="1" applyAlignment="1">
      <alignment horizontal="right"/>
    </xf>
    <xf numFmtId="0" fontId="11" fillId="4" borderId="5" xfId="0" applyFont="1" applyFill="1" applyBorder="1" applyAlignment="1">
      <alignment horizontal="right"/>
    </xf>
    <xf numFmtId="0" fontId="12" fillId="4" borderId="5" xfId="0" applyFont="1" applyFill="1" applyBorder="1" applyAlignment="1">
      <alignment horizontal="left" vertical="top"/>
    </xf>
    <xf numFmtId="0" fontId="12" fillId="4" borderId="5" xfId="0" applyFont="1" applyFill="1" applyBorder="1" applyAlignment="1">
      <alignment horizontal="right"/>
    </xf>
    <xf numFmtId="1" fontId="0" fillId="0" borderId="0" xfId="0" applyNumberFormat="1"/>
    <xf numFmtId="0" fontId="12" fillId="4" borderId="10" xfId="0" applyFont="1" applyFill="1" applyBorder="1" applyAlignment="1">
      <alignment horizontal="right"/>
    </xf>
    <xf numFmtId="166" fontId="0" fillId="0" borderId="0" xfId="9" applyNumberFormat="1" applyFont="1" applyFill="1" applyBorder="1"/>
    <xf numFmtId="165" fontId="0" fillId="5" borderId="0" xfId="11" applyNumberFormat="1" applyFont="1" applyFill="1" applyBorder="1"/>
    <xf numFmtId="165" fontId="0" fillId="6" borderId="12" xfId="11" applyNumberFormat="1" applyFont="1" applyFill="1" applyBorder="1"/>
    <xf numFmtId="167" fontId="0" fillId="0" borderId="0" xfId="10" applyNumberFormat="1" applyFont="1" applyFill="1"/>
    <xf numFmtId="166" fontId="0" fillId="0" borderId="0" xfId="0" applyNumberFormat="1"/>
    <xf numFmtId="167" fontId="0" fillId="0" borderId="0" xfId="0" applyNumberFormat="1"/>
    <xf numFmtId="0" fontId="0" fillId="6" borderId="0" xfId="0" applyFill="1"/>
    <xf numFmtId="1" fontId="0" fillId="6" borderId="0" xfId="0" applyNumberFormat="1" applyFill="1"/>
    <xf numFmtId="167" fontId="0" fillId="0" borderId="0" xfId="10" applyNumberFormat="1" applyFont="1"/>
    <xf numFmtId="3" fontId="13" fillId="0" borderId="0" xfId="0" applyNumberFormat="1" applyFont="1"/>
    <xf numFmtId="10" fontId="13" fillId="0" borderId="0" xfId="0" applyNumberFormat="1" applyFont="1"/>
    <xf numFmtId="0" fontId="4" fillId="0" borderId="1" xfId="3">
      <alignment wrapText="1"/>
    </xf>
    <xf numFmtId="0" fontId="11" fillId="4" borderId="6" xfId="0" applyFont="1" applyFill="1" applyBorder="1" applyAlignment="1">
      <alignment horizontal="left" vertical="top"/>
    </xf>
    <xf numFmtId="0" fontId="11" fillId="4" borderId="7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wrapText="1"/>
    </xf>
    <xf numFmtId="0" fontId="10" fillId="4" borderId="7" xfId="0" applyFont="1" applyFill="1" applyBorder="1" applyAlignment="1">
      <alignment horizontal="left" wrapText="1"/>
    </xf>
    <xf numFmtId="0" fontId="10" fillId="4" borderId="8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left" vertical="top"/>
    </xf>
    <xf numFmtId="0" fontId="10" fillId="4" borderId="8" xfId="0" applyFont="1" applyFill="1" applyBorder="1" applyAlignment="1">
      <alignment horizontal="left" vertical="top"/>
    </xf>
    <xf numFmtId="0" fontId="10" fillId="4" borderId="9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/>
    </xf>
    <xf numFmtId="0" fontId="3" fillId="4" borderId="6" xfId="1" applyFill="1" applyBorder="1" applyAlignment="1">
      <alignment horizontal="left" vertical="top"/>
    </xf>
    <xf numFmtId="0" fontId="3" fillId="4" borderId="8" xfId="1" applyFill="1" applyBorder="1" applyAlignment="1">
      <alignment horizontal="left" vertical="top"/>
    </xf>
  </cellXfs>
  <cellStyles count="12">
    <cellStyle name="Body: normal cell" xfId="5" xr:uid="{00000000-0005-0000-0000-000000000000}"/>
    <cellStyle name="Comma" xfId="10" builtinId="3"/>
    <cellStyle name="Comma 2" xfId="9" xr:uid="{F5CB43AB-4F61-4717-8D49-23A4B6880C13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1" builtinId="8"/>
    <cellStyle name="Normal" xfId="0" builtinId="0"/>
    <cellStyle name="Normal 2" xfId="2" xr:uid="{00000000-0005-0000-0000-000006000000}"/>
    <cellStyle name="Parent row" xfId="4" xr:uid="{00000000-0005-0000-0000-000007000000}"/>
    <cellStyle name="Per cent" xfId="11" builtinId="5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supplement/excel/suptab_24.xlsx" TargetMode="External"/><Relationship Id="rId2" Type="http://schemas.openxmlformats.org/officeDocument/2006/relationships/hyperlink" Target="https://www.hkma.gov.hk/eng/data-publications-and-research/data-and-statistics/economic-financial-data-for-hong-kong/" TargetMode="External"/><Relationship Id="rId1" Type="http://schemas.openxmlformats.org/officeDocument/2006/relationships/hyperlink" Target="https://www.censtatd.gov.hk/en/web_table.html?id=310-3410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nstatd.gov.hk/hkstat/sub/sp250.jsp?tableID=036&amp;ID=0&amp;productType=8" TargetMode="External"/><Relationship Id="rId1" Type="http://schemas.openxmlformats.org/officeDocument/2006/relationships/hyperlink" Target="https://www.censtatd.gov.hk/hkstat/sub/sp250.jsp?tableID=036&amp;ID=0&amp;productType=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s.areppim.com/calc/calc_usdlrxdeflator.php" TargetMode="External"/><Relationship Id="rId1" Type="http://schemas.openxmlformats.org/officeDocument/2006/relationships/hyperlink" Target="https://www.exchange-rates.org/Rate/USD/HKD/12-30-2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opLeftCell="A22" zoomScale="117" workbookViewId="0">
      <selection activeCell="B7" sqref="B7"/>
    </sheetView>
  </sheetViews>
  <sheetFormatPr baseColWidth="10" defaultColWidth="8.83203125" defaultRowHeight="15" x14ac:dyDescent="0.2"/>
  <cols>
    <col min="1" max="1" width="13.6640625" bestFit="1" customWidth="1"/>
  </cols>
  <sheetData>
    <row r="1" spans="1:9" x14ac:dyDescent="0.2">
      <c r="A1" s="1" t="s">
        <v>0</v>
      </c>
    </row>
    <row r="3" spans="1:9" x14ac:dyDescent="0.2">
      <c r="A3" s="1" t="s">
        <v>1</v>
      </c>
      <c r="B3" t="s">
        <v>2</v>
      </c>
      <c r="I3" t="s">
        <v>3</v>
      </c>
    </row>
    <row r="4" spans="1:9" x14ac:dyDescent="0.2">
      <c r="B4" s="2">
        <v>2019</v>
      </c>
      <c r="I4" t="s">
        <v>4</v>
      </c>
    </row>
    <row r="5" spans="1:9" x14ac:dyDescent="0.2">
      <c r="B5" t="s">
        <v>5</v>
      </c>
      <c r="I5" s="2">
        <v>2021</v>
      </c>
    </row>
    <row r="6" spans="1:9" x14ac:dyDescent="0.2">
      <c r="B6" s="3" t="s">
        <v>6</v>
      </c>
      <c r="I6" s="3" t="s">
        <v>7</v>
      </c>
    </row>
    <row r="7" spans="1:9" x14ac:dyDescent="0.2">
      <c r="B7" t="s">
        <v>8</v>
      </c>
      <c r="I7" t="s">
        <v>9</v>
      </c>
    </row>
    <row r="9" spans="1:9" x14ac:dyDescent="0.2">
      <c r="A9" s="1" t="s">
        <v>10</v>
      </c>
      <c r="I9" t="s">
        <v>11</v>
      </c>
    </row>
    <row r="10" spans="1:9" x14ac:dyDescent="0.2">
      <c r="A10" t="s">
        <v>12</v>
      </c>
      <c r="I10" t="s">
        <v>13</v>
      </c>
    </row>
    <row r="11" spans="1:9" x14ac:dyDescent="0.2">
      <c r="A11" t="s">
        <v>14</v>
      </c>
      <c r="I11" s="2">
        <v>2021</v>
      </c>
    </row>
    <row r="12" spans="1:9" x14ac:dyDescent="0.2">
      <c r="A12" t="s">
        <v>15</v>
      </c>
      <c r="I12" s="3" t="s">
        <v>16</v>
      </c>
    </row>
    <row r="13" spans="1:9" x14ac:dyDescent="0.2">
      <c r="A13" t="s">
        <v>17</v>
      </c>
    </row>
    <row r="15" spans="1:9" x14ac:dyDescent="0.2">
      <c r="A15" t="s">
        <v>18</v>
      </c>
    </row>
    <row r="16" spans="1:9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8" spans="1:1" x14ac:dyDescent="0.2">
      <c r="A28" t="s">
        <v>29</v>
      </c>
    </row>
    <row r="29" spans="1:1" x14ac:dyDescent="0.2">
      <c r="A29" t="s">
        <v>30</v>
      </c>
    </row>
    <row r="30" spans="1:1" x14ac:dyDescent="0.2">
      <c r="A30" t="s">
        <v>31</v>
      </c>
    </row>
    <row r="31" spans="1:1" x14ac:dyDescent="0.2">
      <c r="A31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6" spans="1:1" x14ac:dyDescent="0.2">
      <c r="A46" s="1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2" x14ac:dyDescent="0.2">
      <c r="A49" s="24">
        <f>1.07*10^9</f>
        <v>1070000000.0000001</v>
      </c>
      <c r="B49" t="s">
        <v>47</v>
      </c>
    </row>
  </sheetData>
  <hyperlinks>
    <hyperlink ref="I6" r:id="rId1" xr:uid="{1E46DDFB-A635-5A44-A951-3E7B2FF54902}"/>
    <hyperlink ref="I12" r:id="rId2" xr:uid="{DF67934A-7CD0-9340-8E21-D7B9BAF49ED6}"/>
    <hyperlink ref="B6" r:id="rId3" xr:uid="{EBCCF7EA-9FCA-7D45-BE95-6CB49C382D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5"/>
  <sheetViews>
    <sheetView zoomScaleNormal="100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I19" sqref="I19"/>
    </sheetView>
  </sheetViews>
  <sheetFormatPr baseColWidth="10" defaultColWidth="9.1640625" defaultRowHeight="15" customHeight="1" x14ac:dyDescent="0.15"/>
  <cols>
    <col min="1" max="1" width="20.83203125" style="4" hidden="1" customWidth="1"/>
    <col min="2" max="2" width="45.6640625" style="4" customWidth="1"/>
    <col min="3" max="3" width="11.83203125" style="4" customWidth="1"/>
    <col min="4" max="4" width="10.6640625" style="4" customWidth="1"/>
    <col min="5" max="5" width="10" style="4" customWidth="1"/>
    <col min="6" max="6" width="10.1640625" style="4" bestFit="1" customWidth="1"/>
    <col min="7" max="7" width="11" style="4" customWidth="1"/>
    <col min="8" max="8" width="9.1640625" style="4" customWidth="1"/>
    <col min="9" max="9" width="10.33203125" style="4" customWidth="1"/>
    <col min="10" max="10" width="11" style="4" customWidth="1"/>
    <col min="11" max="25" width="9.1640625" style="4"/>
    <col min="26" max="26" width="9.5" style="4" customWidth="1"/>
    <col min="27" max="16384" width="9.1640625" style="4"/>
  </cols>
  <sheetData>
    <row r="1" spans="1:43" ht="15" customHeight="1" thickBot="1" x14ac:dyDescent="0.2">
      <c r="B1" s="15" t="s">
        <v>48</v>
      </c>
      <c r="C1" s="13">
        <v>2017</v>
      </c>
      <c r="D1" s="13">
        <v>2018</v>
      </c>
      <c r="E1" s="13">
        <v>2019</v>
      </c>
      <c r="F1" s="13">
        <v>2020</v>
      </c>
      <c r="G1" s="13">
        <v>2021</v>
      </c>
      <c r="H1" s="13">
        <v>2022</v>
      </c>
      <c r="I1" s="13">
        <v>2023</v>
      </c>
      <c r="J1" s="13">
        <v>2024</v>
      </c>
      <c r="K1" s="13">
        <v>2025</v>
      </c>
      <c r="L1" s="13">
        <v>2026</v>
      </c>
      <c r="M1" s="13">
        <v>2027</v>
      </c>
      <c r="N1" s="13">
        <v>2028</v>
      </c>
      <c r="O1" s="13">
        <v>2029</v>
      </c>
      <c r="P1" s="13">
        <v>2030</v>
      </c>
      <c r="Q1" s="13">
        <v>2031</v>
      </c>
      <c r="R1" s="13">
        <v>2032</v>
      </c>
      <c r="S1" s="13">
        <v>2033</v>
      </c>
      <c r="T1" s="13">
        <v>2034</v>
      </c>
      <c r="U1" s="13">
        <v>2035</v>
      </c>
      <c r="V1" s="13">
        <v>2036</v>
      </c>
      <c r="W1" s="13">
        <v>2037</v>
      </c>
      <c r="X1" s="13">
        <v>2038</v>
      </c>
      <c r="Y1" s="13">
        <v>2039</v>
      </c>
      <c r="Z1" s="13">
        <v>2040</v>
      </c>
      <c r="AA1" s="13">
        <v>2041</v>
      </c>
      <c r="AB1" s="13">
        <v>2042</v>
      </c>
      <c r="AC1" s="13">
        <v>2043</v>
      </c>
      <c r="AD1" s="13">
        <v>2044</v>
      </c>
      <c r="AE1" s="13">
        <v>2045</v>
      </c>
      <c r="AF1" s="13">
        <v>2046</v>
      </c>
      <c r="AG1" s="13">
        <v>2047</v>
      </c>
      <c r="AH1" s="13">
        <v>2048</v>
      </c>
      <c r="AI1" s="13">
        <v>2049</v>
      </c>
      <c r="AJ1" s="13">
        <v>2050</v>
      </c>
    </row>
    <row r="2" spans="1:43" ht="15" customHeight="1" thickTop="1" x14ac:dyDescent="0.15"/>
    <row r="3" spans="1:43" ht="15" customHeight="1" x14ac:dyDescent="0.15">
      <c r="C3" s="17" t="s">
        <v>49</v>
      </c>
      <c r="D3" s="17" t="s">
        <v>5</v>
      </c>
      <c r="E3" s="17"/>
      <c r="F3" s="17"/>
      <c r="G3" s="17"/>
    </row>
    <row r="4" spans="1:43" ht="15" customHeight="1" x14ac:dyDescent="0.15">
      <c r="C4" s="17" t="s">
        <v>50</v>
      </c>
      <c r="D4" s="17" t="s">
        <v>51</v>
      </c>
      <c r="E4" s="17"/>
      <c r="F4" s="17"/>
      <c r="G4" s="17" t="s">
        <v>52</v>
      </c>
    </row>
    <row r="5" spans="1:43" ht="15" customHeight="1" x14ac:dyDescent="0.15">
      <c r="C5" s="17" t="s">
        <v>53</v>
      </c>
      <c r="D5" s="17" t="s">
        <v>54</v>
      </c>
      <c r="E5" s="17"/>
      <c r="F5" s="17"/>
      <c r="G5" s="17"/>
    </row>
    <row r="6" spans="1:43" ht="15" customHeight="1" x14ac:dyDescent="0.15">
      <c r="C6" s="17" t="s">
        <v>55</v>
      </c>
      <c r="D6" s="17"/>
      <c r="E6" s="17" t="s">
        <v>56</v>
      </c>
      <c r="F6" s="17"/>
      <c r="G6" s="17"/>
    </row>
    <row r="10" spans="1:43" ht="15" customHeight="1" x14ac:dyDescent="0.2">
      <c r="A10" s="9" t="s">
        <v>57</v>
      </c>
      <c r="B10" s="16" t="s">
        <v>58</v>
      </c>
    </row>
    <row r="11" spans="1:43" ht="15" customHeight="1" x14ac:dyDescent="0.15">
      <c r="B11" s="15" t="s">
        <v>59</v>
      </c>
    </row>
    <row r="12" spans="1:43" ht="15" customHeight="1" x14ac:dyDescent="0.15">
      <c r="B12" s="15" t="s">
        <v>59</v>
      </c>
      <c r="C12" s="14" t="s">
        <v>59</v>
      </c>
      <c r="D12" s="14" t="s">
        <v>59</v>
      </c>
      <c r="E12" s="14" t="s">
        <v>59</v>
      </c>
      <c r="F12" s="14" t="s">
        <v>59</v>
      </c>
      <c r="G12" s="14" t="s">
        <v>59</v>
      </c>
      <c r="H12" s="14" t="s">
        <v>59</v>
      </c>
      <c r="I12" s="14" t="s">
        <v>59</v>
      </c>
      <c r="J12" s="14" t="s">
        <v>59</v>
      </c>
      <c r="K12" s="14" t="s">
        <v>59</v>
      </c>
      <c r="L12" s="14" t="s">
        <v>59</v>
      </c>
      <c r="M12" s="14" t="s">
        <v>59</v>
      </c>
      <c r="N12" s="14" t="s">
        <v>59</v>
      </c>
      <c r="O12" s="14" t="s">
        <v>59</v>
      </c>
      <c r="P12" s="14" t="s">
        <v>59</v>
      </c>
      <c r="Q12" s="14" t="s">
        <v>59</v>
      </c>
      <c r="R12" s="14" t="s">
        <v>59</v>
      </c>
      <c r="S12" s="14" t="s">
        <v>59</v>
      </c>
      <c r="T12" s="14" t="s">
        <v>59</v>
      </c>
      <c r="U12" s="14" t="s">
        <v>59</v>
      </c>
      <c r="V12" s="14" t="s">
        <v>59</v>
      </c>
      <c r="W12" s="14" t="s">
        <v>59</v>
      </c>
      <c r="X12" s="14" t="s">
        <v>59</v>
      </c>
      <c r="Y12" s="14" t="s">
        <v>59</v>
      </c>
      <c r="Z12" s="14" t="s">
        <v>59</v>
      </c>
      <c r="AA12" s="14" t="s">
        <v>59</v>
      </c>
      <c r="AB12" s="14" t="s">
        <v>59</v>
      </c>
      <c r="AC12" s="14" t="s">
        <v>59</v>
      </c>
      <c r="AD12" s="14" t="s">
        <v>59</v>
      </c>
      <c r="AE12" s="14" t="s">
        <v>59</v>
      </c>
      <c r="AF12" s="14" t="s">
        <v>59</v>
      </c>
      <c r="AG12" s="14" t="s">
        <v>59</v>
      </c>
      <c r="AH12" s="14" t="s">
        <v>59</v>
      </c>
      <c r="AI12" s="14" t="s">
        <v>59</v>
      </c>
      <c r="AJ12" s="14" t="s">
        <v>59</v>
      </c>
      <c r="AK12" s="14" t="s">
        <v>60</v>
      </c>
    </row>
    <row r="13" spans="1:43" ht="15" customHeight="1" thickBot="1" x14ac:dyDescent="0.2">
      <c r="B13" s="13" t="s">
        <v>61</v>
      </c>
      <c r="C13" s="13">
        <v>2017</v>
      </c>
      <c r="D13" s="13">
        <v>2018</v>
      </c>
      <c r="E13" s="13">
        <v>2019</v>
      </c>
      <c r="F13" s="13">
        <v>2020</v>
      </c>
      <c r="G13" s="13">
        <v>2021</v>
      </c>
      <c r="H13" s="13">
        <v>2022</v>
      </c>
      <c r="I13" s="13">
        <v>2023</v>
      </c>
      <c r="J13" s="13">
        <v>2024</v>
      </c>
      <c r="K13" s="13">
        <v>2025</v>
      </c>
      <c r="L13" s="13">
        <v>2026</v>
      </c>
      <c r="M13" s="13">
        <v>2027</v>
      </c>
      <c r="N13" s="13">
        <v>2028</v>
      </c>
      <c r="O13" s="13">
        <v>2029</v>
      </c>
      <c r="P13" s="13">
        <v>2030</v>
      </c>
      <c r="Q13" s="13">
        <v>2031</v>
      </c>
      <c r="R13" s="13">
        <v>2032</v>
      </c>
      <c r="S13" s="13">
        <v>2033</v>
      </c>
      <c r="T13" s="13">
        <v>2034</v>
      </c>
      <c r="U13" s="13">
        <v>2035</v>
      </c>
      <c r="V13" s="13">
        <v>2036</v>
      </c>
      <c r="W13" s="13">
        <v>2037</v>
      </c>
      <c r="X13" s="13">
        <v>2038</v>
      </c>
      <c r="Y13" s="13">
        <v>2039</v>
      </c>
      <c r="Z13" s="13">
        <v>2040</v>
      </c>
      <c r="AA13" s="13">
        <v>2041</v>
      </c>
      <c r="AB13" s="13">
        <v>2042</v>
      </c>
      <c r="AC13" s="13">
        <v>2043</v>
      </c>
      <c r="AD13" s="13">
        <v>2044</v>
      </c>
      <c r="AE13" s="13">
        <v>2045</v>
      </c>
      <c r="AF13" s="13">
        <v>2046</v>
      </c>
      <c r="AG13" s="13">
        <v>2047</v>
      </c>
      <c r="AH13" s="13">
        <v>2048</v>
      </c>
      <c r="AI13" s="13">
        <v>2049</v>
      </c>
      <c r="AJ13" s="13">
        <v>2050</v>
      </c>
      <c r="AK13" s="13">
        <v>2050</v>
      </c>
    </row>
    <row r="14" spans="1:43" ht="15" customHeight="1" thickTop="1" x14ac:dyDescent="0.15"/>
    <row r="15" spans="1:43" ht="15" customHeight="1" x14ac:dyDescent="0.15">
      <c r="A15" s="9" t="s">
        <v>62</v>
      </c>
      <c r="B15" s="8" t="s">
        <v>63</v>
      </c>
      <c r="C15" s="7">
        <v>17096.179688</v>
      </c>
      <c r="D15" s="7">
        <v>17581.587890999999</v>
      </c>
      <c r="E15" s="7">
        <v>18098.652343999998</v>
      </c>
      <c r="F15" s="7">
        <v>18486.851562</v>
      </c>
      <c r="G15" s="7">
        <v>18791.873047000001</v>
      </c>
      <c r="H15" s="7">
        <v>19102.099609000001</v>
      </c>
      <c r="I15" s="7">
        <v>19412.966797000001</v>
      </c>
      <c r="J15" s="7">
        <v>19749.794922000001</v>
      </c>
      <c r="K15" s="7">
        <v>20115.927734000001</v>
      </c>
      <c r="L15" s="7">
        <v>20495.132812</v>
      </c>
      <c r="M15" s="7">
        <v>20893.289062</v>
      </c>
      <c r="N15" s="7">
        <v>21314.609375</v>
      </c>
      <c r="O15" s="7">
        <v>21725.949218999998</v>
      </c>
      <c r="P15" s="7">
        <v>22156.757812</v>
      </c>
      <c r="Q15" s="7">
        <v>22591.580077999999</v>
      </c>
      <c r="R15" s="7">
        <v>23014.095702999999</v>
      </c>
      <c r="S15" s="7">
        <v>23459.132812</v>
      </c>
      <c r="T15" s="7">
        <v>23909.533202999999</v>
      </c>
      <c r="U15" s="7">
        <v>24347.900390999999</v>
      </c>
      <c r="V15" s="7">
        <v>24789.902343999998</v>
      </c>
      <c r="W15" s="7">
        <v>25245.341797000001</v>
      </c>
      <c r="X15" s="7">
        <v>25713.199218999998</v>
      </c>
      <c r="Y15" s="7">
        <v>26188.455077999999</v>
      </c>
      <c r="Z15" s="7">
        <v>26674.789062</v>
      </c>
      <c r="AA15" s="7">
        <v>27162.408202999999</v>
      </c>
      <c r="AB15" s="7">
        <v>27671.130859000001</v>
      </c>
      <c r="AC15" s="7">
        <v>28191.525390999999</v>
      </c>
      <c r="AD15" s="7">
        <v>28717.710938</v>
      </c>
      <c r="AE15" s="7">
        <v>29261.375</v>
      </c>
      <c r="AF15" s="7">
        <v>29800.648438</v>
      </c>
      <c r="AG15" s="7">
        <v>30360.574218999998</v>
      </c>
      <c r="AH15" s="7">
        <v>30909.953125</v>
      </c>
      <c r="AI15" s="7">
        <v>31460.224609000001</v>
      </c>
      <c r="AJ15" s="7">
        <v>32006.382812</v>
      </c>
      <c r="AK15" s="6">
        <v>1.8898000000000002E-2</v>
      </c>
      <c r="AL15" s="44">
        <v>29801</v>
      </c>
      <c r="AM15" s="44">
        <v>30361</v>
      </c>
      <c r="AN15" s="44">
        <v>30910</v>
      </c>
      <c r="AO15" s="44">
        <v>31460</v>
      </c>
      <c r="AP15" s="44">
        <v>32006</v>
      </c>
      <c r="AQ15" s="45">
        <v>1.9E-2</v>
      </c>
    </row>
    <row r="17" spans="1:37" ht="15" customHeight="1" x14ac:dyDescent="0.15">
      <c r="A17" s="9" t="s">
        <v>64</v>
      </c>
      <c r="B17" s="8" t="s">
        <v>65</v>
      </c>
      <c r="C17" s="7">
        <v>146.47886700000001</v>
      </c>
      <c r="D17" s="7">
        <v>148.82621800000001</v>
      </c>
      <c r="E17" s="7">
        <v>150.34655799999999</v>
      </c>
      <c r="F17" s="7">
        <v>151.715698</v>
      </c>
      <c r="G17" s="7">
        <v>152.52299500000001</v>
      </c>
      <c r="H17" s="7">
        <v>153.153763</v>
      </c>
      <c r="I17" s="7">
        <v>153.540649</v>
      </c>
      <c r="J17" s="7">
        <v>153.988235</v>
      </c>
      <c r="K17" s="7">
        <v>154.556747</v>
      </c>
      <c r="L17" s="7">
        <v>155.214752</v>
      </c>
      <c r="M17" s="7">
        <v>156.01364100000001</v>
      </c>
      <c r="N17" s="7">
        <v>156.93598900000001</v>
      </c>
      <c r="O17" s="7">
        <v>157.843063</v>
      </c>
      <c r="P17" s="7">
        <v>158.89724699999999</v>
      </c>
      <c r="Q17" s="7">
        <v>159.82431</v>
      </c>
      <c r="R17" s="7">
        <v>160.81573499999999</v>
      </c>
      <c r="S17" s="7">
        <v>161.79948400000001</v>
      </c>
      <c r="T17" s="7">
        <v>162.83570900000001</v>
      </c>
      <c r="U17" s="7">
        <v>163.81388899999999</v>
      </c>
      <c r="V17" s="7">
        <v>164.75874300000001</v>
      </c>
      <c r="W17" s="7">
        <v>165.69450399999999</v>
      </c>
      <c r="X17" s="7">
        <v>166.654999</v>
      </c>
      <c r="Y17" s="7">
        <v>167.623322</v>
      </c>
      <c r="Z17" s="7">
        <v>168.719177</v>
      </c>
      <c r="AA17" s="7">
        <v>169.57524100000001</v>
      </c>
      <c r="AB17" s="7">
        <v>170.58575400000001</v>
      </c>
      <c r="AC17" s="7">
        <v>171.61831699999999</v>
      </c>
      <c r="AD17" s="7">
        <v>172.67292800000001</v>
      </c>
      <c r="AE17" s="7">
        <v>173.76211499999999</v>
      </c>
      <c r="AF17" s="7">
        <v>174.87562600000001</v>
      </c>
      <c r="AG17" s="7">
        <v>175.99243200000001</v>
      </c>
      <c r="AH17" s="7">
        <v>177.03633099999999</v>
      </c>
      <c r="AI17" s="7">
        <v>178.06089800000001</v>
      </c>
      <c r="AJ17" s="7">
        <v>179.151917</v>
      </c>
      <c r="AK17" s="6">
        <v>5.8120000000000003E-3</v>
      </c>
    </row>
    <row r="19" spans="1:37" ht="15" customHeight="1" x14ac:dyDescent="0.15">
      <c r="B19" s="8" t="s">
        <v>66</v>
      </c>
    </row>
    <row r="21" spans="1:37" ht="15" customHeight="1" x14ac:dyDescent="0.15">
      <c r="B21" s="8" t="s">
        <v>67</v>
      </c>
    </row>
    <row r="22" spans="1:37" ht="15" customHeight="1" x14ac:dyDescent="0.2">
      <c r="A22" s="9" t="s">
        <v>68</v>
      </c>
      <c r="B22" s="22" t="s">
        <v>69</v>
      </c>
      <c r="C22" s="11">
        <v>362.89962800000001</v>
      </c>
      <c r="D22" s="11">
        <v>362.614441</v>
      </c>
      <c r="E22" s="11">
        <v>369.52792399999998</v>
      </c>
      <c r="F22" s="11">
        <v>375.66763300000002</v>
      </c>
      <c r="G22" s="11">
        <v>381.76007099999998</v>
      </c>
      <c r="H22" s="11">
        <v>388.22048999999998</v>
      </c>
      <c r="I22" s="11">
        <v>394.60314899999997</v>
      </c>
      <c r="J22" s="11">
        <v>399.98019399999998</v>
      </c>
      <c r="K22" s="11">
        <v>404.81664999999998</v>
      </c>
      <c r="L22" s="11">
        <v>409.90182499999997</v>
      </c>
      <c r="M22" s="11">
        <v>414.07797199999999</v>
      </c>
      <c r="N22" s="11">
        <v>418.66848800000002</v>
      </c>
      <c r="O22" s="11">
        <v>422.73751800000002</v>
      </c>
      <c r="P22" s="11">
        <v>426.74453699999998</v>
      </c>
      <c r="Q22" s="11">
        <v>431.627319</v>
      </c>
      <c r="R22" s="11">
        <v>436.52880900000002</v>
      </c>
      <c r="S22" s="11">
        <v>441.44274899999999</v>
      </c>
      <c r="T22" s="11">
        <v>446.13488799999999</v>
      </c>
      <c r="U22" s="11">
        <v>450.88311800000002</v>
      </c>
      <c r="V22" s="11">
        <v>455.56811499999998</v>
      </c>
      <c r="W22" s="11">
        <v>460.33926400000001</v>
      </c>
      <c r="X22" s="11">
        <v>465.07714800000002</v>
      </c>
      <c r="Y22" s="11">
        <v>469.48776199999998</v>
      </c>
      <c r="Z22" s="11">
        <v>473.863586</v>
      </c>
      <c r="AA22" s="11">
        <v>478.38061499999998</v>
      </c>
      <c r="AB22" s="11">
        <v>483.125092</v>
      </c>
      <c r="AC22" s="11">
        <v>488.04757699999999</v>
      </c>
      <c r="AD22" s="11">
        <v>493.20971700000001</v>
      </c>
      <c r="AE22" s="11">
        <v>498.65072600000002</v>
      </c>
      <c r="AF22" s="11">
        <v>504.27175899999997</v>
      </c>
      <c r="AG22" s="11">
        <v>509.93637100000001</v>
      </c>
      <c r="AH22" s="11">
        <v>515.855591</v>
      </c>
      <c r="AI22" s="11">
        <v>521.68811000000005</v>
      </c>
      <c r="AJ22" s="11">
        <v>527.16082800000004</v>
      </c>
      <c r="AK22" s="10">
        <v>1.1761000000000001E-2</v>
      </c>
    </row>
    <row r="23" spans="1:37" ht="15" customHeight="1" x14ac:dyDescent="0.2">
      <c r="A23" s="9" t="s">
        <v>70</v>
      </c>
      <c r="B23" s="25" t="s">
        <v>71</v>
      </c>
      <c r="C23" s="11">
        <v>474.23843399999998</v>
      </c>
      <c r="D23" s="11">
        <v>518.78442399999994</v>
      </c>
      <c r="E23" s="11">
        <v>623.94903599999998</v>
      </c>
      <c r="F23" s="11">
        <v>647.33569299999999</v>
      </c>
      <c r="G23" s="11">
        <v>663.08764599999995</v>
      </c>
      <c r="H23" s="11">
        <v>674.510986</v>
      </c>
      <c r="I23" s="11">
        <v>680.09301800000003</v>
      </c>
      <c r="J23" s="11">
        <v>687.71899399999995</v>
      </c>
      <c r="K23" s="11">
        <v>696.25238000000002</v>
      </c>
      <c r="L23" s="11">
        <v>709.39892599999996</v>
      </c>
      <c r="M23" s="11">
        <v>714.28015100000005</v>
      </c>
      <c r="N23" s="11">
        <v>716.78125</v>
      </c>
      <c r="O23" s="11">
        <v>719.64672900000005</v>
      </c>
      <c r="P23" s="11">
        <v>721.78747599999997</v>
      </c>
      <c r="Q23" s="11">
        <v>726.67413299999998</v>
      </c>
      <c r="R23" s="11">
        <v>727.94433600000002</v>
      </c>
      <c r="S23" s="11">
        <v>730.02984600000002</v>
      </c>
      <c r="T23" s="11">
        <v>731.82794200000001</v>
      </c>
      <c r="U23" s="11">
        <v>732.95886199999995</v>
      </c>
      <c r="V23" s="11">
        <v>735.268372</v>
      </c>
      <c r="W23" s="11">
        <v>736.53704800000003</v>
      </c>
      <c r="X23" s="11">
        <v>739.59747300000004</v>
      </c>
      <c r="Y23" s="11">
        <v>741.56658900000002</v>
      </c>
      <c r="Z23" s="11">
        <v>743.546021</v>
      </c>
      <c r="AA23" s="11">
        <v>744.47595200000001</v>
      </c>
      <c r="AB23" s="11">
        <v>744.68670699999996</v>
      </c>
      <c r="AC23" s="11">
        <v>742.52417000000003</v>
      </c>
      <c r="AD23" s="11">
        <v>742.61474599999997</v>
      </c>
      <c r="AE23" s="11">
        <v>741.33685300000002</v>
      </c>
      <c r="AF23" s="11">
        <v>740.75244099999998</v>
      </c>
      <c r="AG23" s="11">
        <v>740.07312000000002</v>
      </c>
      <c r="AH23" s="11">
        <v>739.87329099999999</v>
      </c>
      <c r="AI23" s="11">
        <v>737.57916299999999</v>
      </c>
      <c r="AJ23" s="11">
        <v>737.88378899999998</v>
      </c>
      <c r="AK23" s="10">
        <v>1.107E-2</v>
      </c>
    </row>
    <row r="24" spans="1:37" ht="15" customHeight="1" x14ac:dyDescent="0.2">
      <c r="A24" s="9" t="s">
        <v>72</v>
      </c>
      <c r="B24" s="12" t="s">
        <v>73</v>
      </c>
      <c r="C24" s="11">
        <v>1225.1319579999999</v>
      </c>
      <c r="D24" s="11">
        <v>1264.615967</v>
      </c>
      <c r="E24" s="11">
        <v>1311.530029</v>
      </c>
      <c r="F24" s="11">
        <v>1342.6750489999999</v>
      </c>
      <c r="G24" s="11">
        <v>1353.3220209999999</v>
      </c>
      <c r="H24" s="11">
        <v>1368.6729740000001</v>
      </c>
      <c r="I24" s="11">
        <v>1380.23999</v>
      </c>
      <c r="J24" s="11">
        <v>1389.9270019999999</v>
      </c>
      <c r="K24" s="11">
        <v>1403.290039</v>
      </c>
      <c r="L24" s="11">
        <v>1417.2540280000001</v>
      </c>
      <c r="M24" s="11">
        <v>1432.235962</v>
      </c>
      <c r="N24" s="11">
        <v>1454.2700199999999</v>
      </c>
      <c r="O24" s="11">
        <v>1471.765991</v>
      </c>
      <c r="P24" s="11">
        <v>1490.7669679999999</v>
      </c>
      <c r="Q24" s="11">
        <v>1514.8289789999999</v>
      </c>
      <c r="R24" s="11">
        <v>1534.3020019999999</v>
      </c>
      <c r="S24" s="11">
        <v>1553.4110109999999</v>
      </c>
      <c r="T24" s="11">
        <v>1578.843018</v>
      </c>
      <c r="U24" s="11">
        <v>1604.494995</v>
      </c>
      <c r="V24" s="11">
        <v>1627.248047</v>
      </c>
      <c r="W24" s="11">
        <v>1649.6970209999999</v>
      </c>
      <c r="X24" s="11">
        <v>1675.0920410000001</v>
      </c>
      <c r="Y24" s="11">
        <v>1694.7020259999999</v>
      </c>
      <c r="Z24" s="11">
        <v>1721.0119629999999</v>
      </c>
      <c r="AA24" s="11">
        <v>1751.6979980000001</v>
      </c>
      <c r="AB24" s="11">
        <v>1776.365967</v>
      </c>
      <c r="AC24" s="11">
        <v>1805.534058</v>
      </c>
      <c r="AD24" s="11">
        <v>1837.2960210000001</v>
      </c>
      <c r="AE24" s="11">
        <v>1867.644043</v>
      </c>
      <c r="AF24" s="11">
        <v>1902.099976</v>
      </c>
      <c r="AG24" s="11">
        <v>1934.536987</v>
      </c>
      <c r="AH24" s="11">
        <v>1963.1290280000001</v>
      </c>
      <c r="AI24" s="11">
        <v>1987.384033</v>
      </c>
      <c r="AJ24" s="11">
        <v>2014.8280030000001</v>
      </c>
      <c r="AK24" s="10">
        <v>1.4662E-2</v>
      </c>
    </row>
    <row r="26" spans="1:37" ht="15" customHeight="1" x14ac:dyDescent="0.15">
      <c r="B26" s="8" t="s">
        <v>74</v>
      </c>
    </row>
    <row r="27" spans="1:37" ht="15" customHeight="1" x14ac:dyDescent="0.2">
      <c r="A27" s="9" t="s">
        <v>75</v>
      </c>
      <c r="B27" s="12" t="s">
        <v>76</v>
      </c>
      <c r="C27" s="11">
        <v>722.18847700000003</v>
      </c>
      <c r="D27" s="11">
        <v>736.98138400000005</v>
      </c>
      <c r="E27" s="11">
        <v>751.71942100000001</v>
      </c>
      <c r="F27" s="11">
        <v>768.45678699999996</v>
      </c>
      <c r="G27" s="11">
        <v>783.52911400000005</v>
      </c>
      <c r="H27" s="11">
        <v>796.78472899999997</v>
      </c>
      <c r="I27" s="11">
        <v>810.76361099999997</v>
      </c>
      <c r="J27" s="11">
        <v>826.20281999999997</v>
      </c>
      <c r="K27" s="11">
        <v>840.40679899999998</v>
      </c>
      <c r="L27" s="11">
        <v>853.97479199999998</v>
      </c>
      <c r="M27" s="11">
        <v>871.36132799999996</v>
      </c>
      <c r="N27" s="11">
        <v>887.87640399999998</v>
      </c>
      <c r="O27" s="11">
        <v>903.25732400000004</v>
      </c>
      <c r="P27" s="11">
        <v>918.47222899999997</v>
      </c>
      <c r="Q27" s="11">
        <v>933.59161400000005</v>
      </c>
      <c r="R27" s="11">
        <v>949.06817599999999</v>
      </c>
      <c r="S27" s="11">
        <v>965.01251200000002</v>
      </c>
      <c r="T27" s="11">
        <v>981.82281499999999</v>
      </c>
      <c r="U27" s="11">
        <v>999.72113000000002</v>
      </c>
      <c r="V27" s="11">
        <v>1018.106995</v>
      </c>
      <c r="W27" s="11">
        <v>1036.30603</v>
      </c>
      <c r="X27" s="11">
        <v>1055.012939</v>
      </c>
      <c r="Y27" s="11">
        <v>1074.0040280000001</v>
      </c>
      <c r="Z27" s="11">
        <v>1092.6180420000001</v>
      </c>
      <c r="AA27" s="11">
        <v>1110.3310550000001</v>
      </c>
      <c r="AB27" s="11">
        <v>1128.265991</v>
      </c>
      <c r="AC27" s="11">
        <v>1146.9990230000001</v>
      </c>
      <c r="AD27" s="11">
        <v>1166.5639650000001</v>
      </c>
      <c r="AE27" s="11">
        <v>1186.4110109999999</v>
      </c>
      <c r="AF27" s="11">
        <v>1206.985962</v>
      </c>
      <c r="AG27" s="11">
        <v>1227.525024</v>
      </c>
      <c r="AH27" s="11">
        <v>1249.3270259999999</v>
      </c>
      <c r="AI27" s="11">
        <v>1271.589966</v>
      </c>
      <c r="AJ27" s="11">
        <v>1294.350952</v>
      </c>
      <c r="AK27" s="10">
        <v>1.7756000000000001E-2</v>
      </c>
    </row>
    <row r="28" spans="1:37" ht="15" customHeight="1" x14ac:dyDescent="0.2">
      <c r="A28" s="9" t="s">
        <v>77</v>
      </c>
      <c r="B28" s="12" t="s">
        <v>78</v>
      </c>
      <c r="C28" s="11">
        <v>161.55090300000001</v>
      </c>
      <c r="D28" s="11">
        <v>160.21519499999999</v>
      </c>
      <c r="E28" s="11">
        <v>160.430801</v>
      </c>
      <c r="F28" s="11">
        <v>160.743301</v>
      </c>
      <c r="G28" s="11">
        <v>161.16360499999999</v>
      </c>
      <c r="H28" s="11">
        <v>161.547394</v>
      </c>
      <c r="I28" s="11">
        <v>161.930801</v>
      </c>
      <c r="J28" s="11">
        <v>162.44929500000001</v>
      </c>
      <c r="K28" s="11">
        <v>163.33500699999999</v>
      </c>
      <c r="L28" s="11">
        <v>164.240906</v>
      </c>
      <c r="M28" s="11">
        <v>164.74409499999999</v>
      </c>
      <c r="N28" s="11">
        <v>165.85029599999999</v>
      </c>
      <c r="O28" s="11">
        <v>166.64909399999999</v>
      </c>
      <c r="P28" s="11">
        <v>167.55119300000001</v>
      </c>
      <c r="Q28" s="11">
        <v>168.62150600000001</v>
      </c>
      <c r="R28" s="11">
        <v>169.87029999999999</v>
      </c>
      <c r="S28" s="11">
        <v>171.211197</v>
      </c>
      <c r="T28" s="11">
        <v>172.658997</v>
      </c>
      <c r="U28" s="11">
        <v>174.07690400000001</v>
      </c>
      <c r="V28" s="11">
        <v>175.54789700000001</v>
      </c>
      <c r="W28" s="11">
        <v>177.21650700000001</v>
      </c>
      <c r="X28" s="11">
        <v>178.78919999999999</v>
      </c>
      <c r="Y28" s="11">
        <v>180.445007</v>
      </c>
      <c r="Z28" s="11">
        <v>182.003906</v>
      </c>
      <c r="AA28" s="11">
        <v>183.86850000000001</v>
      </c>
      <c r="AB28" s="11">
        <v>185.628601</v>
      </c>
      <c r="AC28" s="11">
        <v>187.36940000000001</v>
      </c>
      <c r="AD28" s="11">
        <v>188.47830200000001</v>
      </c>
      <c r="AE28" s="11">
        <v>189.71369899999999</v>
      </c>
      <c r="AF28" s="11">
        <v>190.74749800000001</v>
      </c>
      <c r="AG28" s="11">
        <v>191.973206</v>
      </c>
      <c r="AH28" s="11">
        <v>193.08290099999999</v>
      </c>
      <c r="AI28" s="11">
        <v>194.191498</v>
      </c>
      <c r="AJ28" s="11">
        <v>195.23230000000001</v>
      </c>
      <c r="AK28" s="10">
        <v>6.1960000000000001E-3</v>
      </c>
    </row>
    <row r="29" spans="1:37" ht="15" customHeight="1" x14ac:dyDescent="0.2">
      <c r="A29" s="9" t="s">
        <v>79</v>
      </c>
      <c r="B29" s="12" t="s">
        <v>80</v>
      </c>
      <c r="C29" s="11">
        <v>70.193686999999997</v>
      </c>
      <c r="D29" s="11">
        <v>70.376953</v>
      </c>
      <c r="E29" s="11">
        <v>68.607048000000006</v>
      </c>
      <c r="F29" s="11">
        <v>66.336478999999997</v>
      </c>
      <c r="G29" s="11">
        <v>64.307663000000005</v>
      </c>
      <c r="H29" s="11">
        <v>63.131720999999999</v>
      </c>
      <c r="I29" s="11">
        <v>62.069640999999997</v>
      </c>
      <c r="J29" s="11">
        <v>60.939621000000002</v>
      </c>
      <c r="K29" s="11">
        <v>60.040390000000002</v>
      </c>
      <c r="L29" s="11">
        <v>59.140968000000001</v>
      </c>
      <c r="M29" s="11">
        <v>57.337741999999999</v>
      </c>
      <c r="N29" s="11">
        <v>56.543990999999998</v>
      </c>
      <c r="O29" s="11">
        <v>55.442439999999998</v>
      </c>
      <c r="P29" s="11">
        <v>54.283679999999997</v>
      </c>
      <c r="Q29" s="11">
        <v>53.381309999999999</v>
      </c>
      <c r="R29" s="11">
        <v>52.403858</v>
      </c>
      <c r="S29" s="11">
        <v>51.53772</v>
      </c>
      <c r="T29" s="11">
        <v>50.794311999999998</v>
      </c>
      <c r="U29" s="11">
        <v>49.976761000000003</v>
      </c>
      <c r="V29" s="11">
        <v>49.054938999999997</v>
      </c>
      <c r="W29" s="11">
        <v>48.409801000000002</v>
      </c>
      <c r="X29" s="11">
        <v>47.642639000000003</v>
      </c>
      <c r="Y29" s="11">
        <v>46.698891000000003</v>
      </c>
      <c r="Z29" s="11">
        <v>45.697929000000002</v>
      </c>
      <c r="AA29" s="11">
        <v>44.787880000000001</v>
      </c>
      <c r="AB29" s="11">
        <v>43.907378999999999</v>
      </c>
      <c r="AC29" s="11">
        <v>43.248550000000002</v>
      </c>
      <c r="AD29" s="11">
        <v>42.518970000000003</v>
      </c>
      <c r="AE29" s="11">
        <v>42.140861999999998</v>
      </c>
      <c r="AF29" s="11">
        <v>41.500149</v>
      </c>
      <c r="AG29" s="11">
        <v>41.106780999999998</v>
      </c>
      <c r="AH29" s="11">
        <v>40.662159000000003</v>
      </c>
      <c r="AI29" s="11">
        <v>40.213638000000003</v>
      </c>
      <c r="AJ29" s="11">
        <v>39.703091000000001</v>
      </c>
      <c r="AK29" s="10">
        <v>-1.7729999999999999E-2</v>
      </c>
    </row>
    <row r="30" spans="1:37" ht="15" customHeight="1" x14ac:dyDescent="0.2">
      <c r="A30" s="9" t="s">
        <v>81</v>
      </c>
      <c r="B30" s="12" t="s">
        <v>82</v>
      </c>
      <c r="C30" s="11">
        <v>90.168892</v>
      </c>
      <c r="D30" s="11">
        <v>93.926688999999996</v>
      </c>
      <c r="E30" s="11">
        <v>96.632019</v>
      </c>
      <c r="F30" s="11">
        <v>97.547393999999997</v>
      </c>
      <c r="G30" s="11">
        <v>97.94265</v>
      </c>
      <c r="H30" s="11">
        <v>98.507949999999994</v>
      </c>
      <c r="I30" s="11">
        <v>99.268096999999997</v>
      </c>
      <c r="J30" s="11">
        <v>99.970687999999996</v>
      </c>
      <c r="K30" s="11">
        <v>101.116997</v>
      </c>
      <c r="L30" s="11">
        <v>102.137497</v>
      </c>
      <c r="M30" s="11">
        <v>101.6138</v>
      </c>
      <c r="N30" s="11">
        <v>101.150497</v>
      </c>
      <c r="O30" s="11">
        <v>101.483704</v>
      </c>
      <c r="P30" s="11">
        <v>102.075203</v>
      </c>
      <c r="Q30" s="11">
        <v>103.526398</v>
      </c>
      <c r="R30" s="11">
        <v>104.506203</v>
      </c>
      <c r="S30" s="11">
        <v>105.1427</v>
      </c>
      <c r="T30" s="11">
        <v>107.502197</v>
      </c>
      <c r="U30" s="11">
        <v>110.192001</v>
      </c>
      <c r="V30" s="11">
        <v>112.14479799999999</v>
      </c>
      <c r="W30" s="11">
        <v>113.978302</v>
      </c>
      <c r="X30" s="11">
        <v>116.14009900000001</v>
      </c>
      <c r="Y30" s="11">
        <v>116.865303</v>
      </c>
      <c r="Z30" s="11">
        <v>118.382301</v>
      </c>
      <c r="AA30" s="11">
        <v>120.54239699999999</v>
      </c>
      <c r="AB30" s="11">
        <v>121.90709699999999</v>
      </c>
      <c r="AC30" s="11">
        <v>122.23159800000001</v>
      </c>
      <c r="AD30" s="11">
        <v>123.7332</v>
      </c>
      <c r="AE30" s="11">
        <v>125.08260300000001</v>
      </c>
      <c r="AF30" s="11">
        <v>126.933296</v>
      </c>
      <c r="AG30" s="11">
        <v>128.4897</v>
      </c>
      <c r="AH30" s="11">
        <v>129.38029499999999</v>
      </c>
      <c r="AI30" s="11">
        <v>129.47430399999999</v>
      </c>
      <c r="AJ30" s="11">
        <v>130.08000200000001</v>
      </c>
      <c r="AK30" s="10">
        <v>1.0227999999999999E-2</v>
      </c>
    </row>
    <row r="31" spans="1:37" ht="15" customHeight="1" x14ac:dyDescent="0.2">
      <c r="A31" s="9" t="s">
        <v>83</v>
      </c>
      <c r="B31" s="12" t="s">
        <v>84</v>
      </c>
      <c r="C31" s="11">
        <v>71.821479999999994</v>
      </c>
      <c r="D31" s="11">
        <v>72.511581000000007</v>
      </c>
      <c r="E31" s="11">
        <v>74.572547999999998</v>
      </c>
      <c r="F31" s="11">
        <v>74.519951000000006</v>
      </c>
      <c r="G31" s="11">
        <v>74.162529000000006</v>
      </c>
      <c r="H31" s="11">
        <v>74.956260999999998</v>
      </c>
      <c r="I31" s="11">
        <v>76.302757</v>
      </c>
      <c r="J31" s="11">
        <v>77.808998000000003</v>
      </c>
      <c r="K31" s="11">
        <v>79.369185999999999</v>
      </c>
      <c r="L31" s="11">
        <v>80.790756000000002</v>
      </c>
      <c r="M31" s="11">
        <v>81.606773000000004</v>
      </c>
      <c r="N31" s="11">
        <v>82.623619000000005</v>
      </c>
      <c r="O31" s="11">
        <v>83.446517999999998</v>
      </c>
      <c r="P31" s="11">
        <v>83.987831</v>
      </c>
      <c r="Q31" s="11">
        <v>84.997542999999993</v>
      </c>
      <c r="R31" s="11">
        <v>86.319716999999997</v>
      </c>
      <c r="S31" s="11">
        <v>87.372649999999993</v>
      </c>
      <c r="T31" s="11">
        <v>88.665870999999996</v>
      </c>
      <c r="U31" s="11">
        <v>90.581703000000005</v>
      </c>
      <c r="V31" s="11">
        <v>92.677291999999994</v>
      </c>
      <c r="W31" s="11">
        <v>94.931601999999998</v>
      </c>
      <c r="X31" s="11">
        <v>96.744911000000002</v>
      </c>
      <c r="Y31" s="11">
        <v>98.005959000000004</v>
      </c>
      <c r="Z31" s="11">
        <v>98.954032999999995</v>
      </c>
      <c r="AA31" s="11">
        <v>99.683768999999998</v>
      </c>
      <c r="AB31" s="11">
        <v>100.496201</v>
      </c>
      <c r="AC31" s="11">
        <v>101.444298</v>
      </c>
      <c r="AD31" s="11">
        <v>102.50859800000001</v>
      </c>
      <c r="AE31" s="11">
        <v>104.047302</v>
      </c>
      <c r="AF31" s="11">
        <v>106.0047</v>
      </c>
      <c r="AG31" s="11">
        <v>108.22820299999999</v>
      </c>
      <c r="AH31" s="11">
        <v>110.69349699999999</v>
      </c>
      <c r="AI31" s="11">
        <v>113.218903</v>
      </c>
      <c r="AJ31" s="11">
        <v>115.513397</v>
      </c>
      <c r="AK31" s="10">
        <v>1.4657999999999999E-2</v>
      </c>
    </row>
    <row r="32" spans="1:37" ht="15" customHeight="1" x14ac:dyDescent="0.2">
      <c r="A32" s="9" t="s">
        <v>85</v>
      </c>
      <c r="B32" s="12" t="s">
        <v>86</v>
      </c>
      <c r="C32" s="11">
        <v>166.92489599999999</v>
      </c>
      <c r="D32" s="11">
        <v>167.40240499999999</v>
      </c>
      <c r="E32" s="11">
        <v>167.752701</v>
      </c>
      <c r="F32" s="11">
        <v>167.599503</v>
      </c>
      <c r="G32" s="11">
        <v>168.31359900000001</v>
      </c>
      <c r="H32" s="11">
        <v>169.83450300000001</v>
      </c>
      <c r="I32" s="11">
        <v>171.418396</v>
      </c>
      <c r="J32" s="11">
        <v>173.16709900000001</v>
      </c>
      <c r="K32" s="11">
        <v>175.13879399999999</v>
      </c>
      <c r="L32" s="11">
        <v>177.02810700000001</v>
      </c>
      <c r="M32" s="11">
        <v>178.016006</v>
      </c>
      <c r="N32" s="11">
        <v>179.682007</v>
      </c>
      <c r="O32" s="11">
        <v>180.679306</v>
      </c>
      <c r="P32" s="11">
        <v>181.60279800000001</v>
      </c>
      <c r="Q32" s="11">
        <v>182.904099</v>
      </c>
      <c r="R32" s="11">
        <v>184.31970200000001</v>
      </c>
      <c r="S32" s="11">
        <v>186.57429500000001</v>
      </c>
      <c r="T32" s="11">
        <v>189.084</v>
      </c>
      <c r="U32" s="11">
        <v>191.80299400000001</v>
      </c>
      <c r="V32" s="11">
        <v>194.58720400000001</v>
      </c>
      <c r="W32" s="11">
        <v>197.520096</v>
      </c>
      <c r="X32" s="11">
        <v>200.18820199999999</v>
      </c>
      <c r="Y32" s="11">
        <v>202.69560200000001</v>
      </c>
      <c r="Z32" s="11">
        <v>204.85240200000001</v>
      </c>
      <c r="AA32" s="11">
        <v>206.90870699999999</v>
      </c>
      <c r="AB32" s="11">
        <v>208.90770000000001</v>
      </c>
      <c r="AC32" s="11">
        <v>211.23230000000001</v>
      </c>
      <c r="AD32" s="11">
        <v>213.71189899999999</v>
      </c>
      <c r="AE32" s="11">
        <v>216.48019400000001</v>
      </c>
      <c r="AF32" s="11">
        <v>219.050995</v>
      </c>
      <c r="AG32" s="11">
        <v>221.787094</v>
      </c>
      <c r="AH32" s="11">
        <v>224.629898</v>
      </c>
      <c r="AI32" s="11">
        <v>227.476395</v>
      </c>
      <c r="AJ32" s="11">
        <v>230.10609400000001</v>
      </c>
      <c r="AK32" s="10">
        <v>9.9909999999999999E-3</v>
      </c>
    </row>
    <row r="33" spans="1:37" ht="15" customHeight="1" x14ac:dyDescent="0.2">
      <c r="A33" s="9" t="s">
        <v>87</v>
      </c>
      <c r="B33" s="12" t="s">
        <v>88</v>
      </c>
      <c r="C33" s="11">
        <v>80.733253000000005</v>
      </c>
      <c r="D33" s="11">
        <v>79.572456000000003</v>
      </c>
      <c r="E33" s="11">
        <v>78.361237000000003</v>
      </c>
      <c r="F33" s="11">
        <v>77.256989000000004</v>
      </c>
      <c r="G33" s="11">
        <v>76.760963000000004</v>
      </c>
      <c r="H33" s="11">
        <v>76.649276999999998</v>
      </c>
      <c r="I33" s="11">
        <v>76.764961</v>
      </c>
      <c r="J33" s="11">
        <v>77.032013000000006</v>
      </c>
      <c r="K33" s="11">
        <v>77.403098999999997</v>
      </c>
      <c r="L33" s="11">
        <v>77.753838000000002</v>
      </c>
      <c r="M33" s="11">
        <v>77.960808</v>
      </c>
      <c r="N33" s="11">
        <v>78.240532000000002</v>
      </c>
      <c r="O33" s="11">
        <v>78.361816000000005</v>
      </c>
      <c r="P33" s="11">
        <v>78.477279999999993</v>
      </c>
      <c r="Q33" s="11">
        <v>78.605727999999999</v>
      </c>
      <c r="R33" s="11">
        <v>78.732879999999994</v>
      </c>
      <c r="S33" s="11">
        <v>78.897552000000005</v>
      </c>
      <c r="T33" s="11">
        <v>79.112183000000002</v>
      </c>
      <c r="U33" s="11">
        <v>79.385459999999995</v>
      </c>
      <c r="V33" s="11">
        <v>79.687888999999998</v>
      </c>
      <c r="W33" s="11">
        <v>79.970260999999994</v>
      </c>
      <c r="X33" s="11">
        <v>80.331862999999998</v>
      </c>
      <c r="Y33" s="11">
        <v>80.704361000000006</v>
      </c>
      <c r="Z33" s="11">
        <v>81.002326999999994</v>
      </c>
      <c r="AA33" s="11">
        <v>81.234093000000001</v>
      </c>
      <c r="AB33" s="11">
        <v>81.454032999999995</v>
      </c>
      <c r="AC33" s="11">
        <v>81.732132000000007</v>
      </c>
      <c r="AD33" s="11">
        <v>82.028251999999995</v>
      </c>
      <c r="AE33" s="11">
        <v>82.348540999999997</v>
      </c>
      <c r="AF33" s="11">
        <v>82.658882000000006</v>
      </c>
      <c r="AG33" s="11">
        <v>82.967522000000002</v>
      </c>
      <c r="AH33" s="11">
        <v>83.316269000000005</v>
      </c>
      <c r="AI33" s="11">
        <v>83.685219000000004</v>
      </c>
      <c r="AJ33" s="11">
        <v>84.045952</v>
      </c>
      <c r="AK33" s="10">
        <v>1.7110000000000001E-3</v>
      </c>
    </row>
    <row r="34" spans="1:37" ht="15" customHeight="1" x14ac:dyDescent="0.2">
      <c r="A34" s="9" t="s">
        <v>89</v>
      </c>
      <c r="B34" s="22" t="s">
        <v>90</v>
      </c>
      <c r="C34" s="11">
        <v>720.88574200000005</v>
      </c>
      <c r="D34" s="11">
        <v>746.08019999999999</v>
      </c>
      <c r="E34" s="11">
        <v>786.05090299999995</v>
      </c>
      <c r="F34" s="11">
        <v>802.65612799999997</v>
      </c>
      <c r="G34" s="11">
        <v>827.37323000000004</v>
      </c>
      <c r="H34" s="11">
        <v>849.51861599999995</v>
      </c>
      <c r="I34" s="11">
        <v>869.13439900000003</v>
      </c>
      <c r="J34" s="11">
        <v>891.36010699999997</v>
      </c>
      <c r="K34" s="11">
        <v>912.52783199999999</v>
      </c>
      <c r="L34" s="11">
        <v>931.925659</v>
      </c>
      <c r="M34" s="11">
        <v>956.94482400000004</v>
      </c>
      <c r="N34" s="11">
        <v>977.96899399999995</v>
      </c>
      <c r="O34" s="11">
        <v>998.817993</v>
      </c>
      <c r="P34" s="11">
        <v>1014.1585690000001</v>
      </c>
      <c r="Q34" s="11">
        <v>1032.4704589999999</v>
      </c>
      <c r="R34" s="11">
        <v>1050.4997559999999</v>
      </c>
      <c r="S34" s="11">
        <v>1067.388428</v>
      </c>
      <c r="T34" s="11">
        <v>1079.8500979999999</v>
      </c>
      <c r="U34" s="11">
        <v>1096.958496</v>
      </c>
      <c r="V34" s="11">
        <v>1116.3107910000001</v>
      </c>
      <c r="W34" s="11">
        <v>1131.357178</v>
      </c>
      <c r="X34" s="11">
        <v>1152.4110109999999</v>
      </c>
      <c r="Y34" s="11">
        <v>1169.819092</v>
      </c>
      <c r="Z34" s="11">
        <v>1184.620361</v>
      </c>
      <c r="AA34" s="11">
        <v>1201.244019</v>
      </c>
      <c r="AB34" s="11">
        <v>1218.344116</v>
      </c>
      <c r="AC34" s="11">
        <v>1230.679443</v>
      </c>
      <c r="AD34" s="11">
        <v>1247.9963379999999</v>
      </c>
      <c r="AE34" s="11">
        <v>1267.310303</v>
      </c>
      <c r="AF34" s="11">
        <v>1285.169922</v>
      </c>
      <c r="AG34" s="11">
        <v>1303.664307</v>
      </c>
      <c r="AH34" s="11">
        <v>1326.3698730000001</v>
      </c>
      <c r="AI34" s="11">
        <v>1344.1293949999999</v>
      </c>
      <c r="AJ34" s="11">
        <v>1364.8359379999999</v>
      </c>
      <c r="AK34" s="10">
        <v>1.9053E-2</v>
      </c>
    </row>
    <row r="35" spans="1:37" ht="15" customHeight="1" x14ac:dyDescent="0.2">
      <c r="A35" s="9" t="s">
        <v>91</v>
      </c>
      <c r="B35" s="19" t="s">
        <v>92</v>
      </c>
      <c r="C35" s="20">
        <v>363.27761800000002</v>
      </c>
      <c r="D35" s="20">
        <v>372.549713</v>
      </c>
      <c r="E35" s="20">
        <v>407.01525900000001</v>
      </c>
      <c r="F35" s="20">
        <v>417.83718900000002</v>
      </c>
      <c r="G35" s="20">
        <v>435.14813199999998</v>
      </c>
      <c r="H35" s="20">
        <v>449.01062000000002</v>
      </c>
      <c r="I35" s="20">
        <v>459.033997</v>
      </c>
      <c r="J35" s="20">
        <v>470.87020899999999</v>
      </c>
      <c r="K35" s="20">
        <v>479.74465900000001</v>
      </c>
      <c r="L35" s="20">
        <v>486.33978300000001</v>
      </c>
      <c r="M35" s="20">
        <v>499.138733</v>
      </c>
      <c r="N35" s="20">
        <v>507.04290800000001</v>
      </c>
      <c r="O35" s="20">
        <v>516.83667000000003</v>
      </c>
      <c r="P35" s="20">
        <v>521.03601100000003</v>
      </c>
      <c r="Q35" s="20">
        <v>527.96069299999999</v>
      </c>
      <c r="R35" s="20">
        <v>534.93414299999995</v>
      </c>
      <c r="S35" s="20">
        <v>540.56073000000004</v>
      </c>
      <c r="T35" s="20">
        <v>540.97045900000001</v>
      </c>
      <c r="U35" s="20">
        <v>545.63073699999995</v>
      </c>
      <c r="V35" s="20">
        <v>552.07415800000001</v>
      </c>
      <c r="W35" s="20">
        <v>554.48498500000005</v>
      </c>
      <c r="X35" s="20">
        <v>563.04748500000005</v>
      </c>
      <c r="Y35" s="20">
        <v>567.85687299999995</v>
      </c>
      <c r="Z35" s="20">
        <v>570.91247599999997</v>
      </c>
      <c r="AA35" s="20">
        <v>575.94451900000001</v>
      </c>
      <c r="AB35" s="20">
        <v>581.68872099999999</v>
      </c>
      <c r="AC35" s="20">
        <v>582.09082000000001</v>
      </c>
      <c r="AD35" s="20">
        <v>586.90484600000002</v>
      </c>
      <c r="AE35" s="20">
        <v>590.09216300000003</v>
      </c>
      <c r="AF35" s="20">
        <v>594.68432600000006</v>
      </c>
      <c r="AG35" s="20">
        <v>599.27819799999997</v>
      </c>
      <c r="AH35" s="20">
        <v>607.26861599999995</v>
      </c>
      <c r="AI35" s="20">
        <v>609.63659700000005</v>
      </c>
      <c r="AJ35" s="20">
        <v>614.665527</v>
      </c>
      <c r="AK35" s="21">
        <v>1.5769999999999999E-2</v>
      </c>
    </row>
    <row r="36" spans="1:37" ht="15" customHeight="1" x14ac:dyDescent="0.2">
      <c r="A36" s="9" t="s">
        <v>93</v>
      </c>
      <c r="B36" s="19" t="s">
        <v>94</v>
      </c>
      <c r="C36" s="20">
        <v>40.983452</v>
      </c>
      <c r="D36" s="20">
        <v>41.330261</v>
      </c>
      <c r="E36" s="20">
        <v>41.270499999999998</v>
      </c>
      <c r="F36" s="20">
        <v>41.09787</v>
      </c>
      <c r="G36" s="20">
        <v>40.759231999999997</v>
      </c>
      <c r="H36" s="20">
        <v>40.574069999999999</v>
      </c>
      <c r="I36" s="20">
        <v>40.662930000000003</v>
      </c>
      <c r="J36" s="20">
        <v>40.925559999999997</v>
      </c>
      <c r="K36" s="20">
        <v>41.253830000000001</v>
      </c>
      <c r="L36" s="20">
        <v>41.557789</v>
      </c>
      <c r="M36" s="20">
        <v>41.805351000000002</v>
      </c>
      <c r="N36" s="20">
        <v>42.064929999999997</v>
      </c>
      <c r="O36" s="20">
        <v>42.225842</v>
      </c>
      <c r="P36" s="20">
        <v>42.231571000000002</v>
      </c>
      <c r="Q36" s="20">
        <v>42.13176</v>
      </c>
      <c r="R36" s="20">
        <v>41.949309999999997</v>
      </c>
      <c r="S36" s="20">
        <v>41.736190999999998</v>
      </c>
      <c r="T36" s="20">
        <v>41.570571999999999</v>
      </c>
      <c r="U36" s="20">
        <v>41.420051999999998</v>
      </c>
      <c r="V36" s="20">
        <v>41.270741000000001</v>
      </c>
      <c r="W36" s="20">
        <v>41.100422000000002</v>
      </c>
      <c r="X36" s="20">
        <v>40.926022000000003</v>
      </c>
      <c r="Y36" s="20">
        <v>40.712550999999998</v>
      </c>
      <c r="Z36" s="20">
        <v>40.483952000000002</v>
      </c>
      <c r="AA36" s="20">
        <v>40.241508000000003</v>
      </c>
      <c r="AB36" s="20">
        <v>39.943401000000001</v>
      </c>
      <c r="AC36" s="20">
        <v>39.683188999999999</v>
      </c>
      <c r="AD36" s="20">
        <v>39.447761999999997</v>
      </c>
      <c r="AE36" s="20">
        <v>39.201511000000004</v>
      </c>
      <c r="AF36" s="20">
        <v>38.941848999999998</v>
      </c>
      <c r="AG36" s="20">
        <v>38.686931999999999</v>
      </c>
      <c r="AH36" s="20">
        <v>38.414940000000001</v>
      </c>
      <c r="AI36" s="20">
        <v>38.129477999999999</v>
      </c>
      <c r="AJ36" s="20">
        <v>37.839581000000003</v>
      </c>
      <c r="AK36" s="21">
        <v>-2.7539999999999999E-3</v>
      </c>
    </row>
    <row r="37" spans="1:37" ht="15" customHeight="1" x14ac:dyDescent="0.2">
      <c r="A37" s="9" t="s">
        <v>95</v>
      </c>
      <c r="B37" s="19" t="s">
        <v>96</v>
      </c>
      <c r="C37" s="20">
        <v>192.24319499999999</v>
      </c>
      <c r="D37" s="20">
        <v>197.99710099999999</v>
      </c>
      <c r="E37" s="20">
        <v>224.97250399999999</v>
      </c>
      <c r="F37" s="20">
        <v>228.01859999999999</v>
      </c>
      <c r="G37" s="20">
        <v>240.095901</v>
      </c>
      <c r="H37" s="20">
        <v>249.241196</v>
      </c>
      <c r="I37" s="20">
        <v>254.26229900000001</v>
      </c>
      <c r="J37" s="20">
        <v>261.25280800000002</v>
      </c>
      <c r="K37" s="20">
        <v>265.61190800000003</v>
      </c>
      <c r="L37" s="20">
        <v>268.11520400000001</v>
      </c>
      <c r="M37" s="20">
        <v>277.088593</v>
      </c>
      <c r="N37" s="20">
        <v>280.83840900000001</v>
      </c>
      <c r="O37" s="20">
        <v>288.19470200000001</v>
      </c>
      <c r="P37" s="20">
        <v>290.229401</v>
      </c>
      <c r="Q37" s="20">
        <v>294.763214</v>
      </c>
      <c r="R37" s="20">
        <v>299.62539700000002</v>
      </c>
      <c r="S37" s="20">
        <v>303.75158699999997</v>
      </c>
      <c r="T37" s="20">
        <v>302.45700099999999</v>
      </c>
      <c r="U37" s="20">
        <v>305.85449199999999</v>
      </c>
      <c r="V37" s="20">
        <v>311.40429699999999</v>
      </c>
      <c r="W37" s="20">
        <v>311.967896</v>
      </c>
      <c r="X37" s="20">
        <v>318.71460000000002</v>
      </c>
      <c r="Y37" s="20">
        <v>323.08139</v>
      </c>
      <c r="Z37" s="20">
        <v>326.19610599999999</v>
      </c>
      <c r="AA37" s="20">
        <v>331.52911399999999</v>
      </c>
      <c r="AB37" s="20">
        <v>338.11090100000001</v>
      </c>
      <c r="AC37" s="20">
        <v>338.50659200000001</v>
      </c>
      <c r="AD37" s="20">
        <v>343.05599999999998</v>
      </c>
      <c r="AE37" s="20">
        <v>345.85400399999997</v>
      </c>
      <c r="AF37" s="20">
        <v>349.94601399999999</v>
      </c>
      <c r="AG37" s="20">
        <v>353.96719400000001</v>
      </c>
      <c r="AH37" s="20">
        <v>361.38738999999998</v>
      </c>
      <c r="AI37" s="20">
        <v>362.97180200000003</v>
      </c>
      <c r="AJ37" s="20">
        <v>367.17858899999999</v>
      </c>
      <c r="AK37" s="21">
        <v>1.9487000000000001E-2</v>
      </c>
    </row>
    <row r="38" spans="1:37" ht="15" customHeight="1" x14ac:dyDescent="0.2">
      <c r="A38" s="9" t="s">
        <v>97</v>
      </c>
      <c r="B38" s="19" t="s">
        <v>98</v>
      </c>
      <c r="C38" s="20">
        <v>83.963050999999993</v>
      </c>
      <c r="D38" s="20">
        <v>84.718231000000003</v>
      </c>
      <c r="E38" s="20">
        <v>89.674492000000001</v>
      </c>
      <c r="F38" s="20">
        <v>96.828948999999994</v>
      </c>
      <c r="G38" s="20">
        <v>102.057098</v>
      </c>
      <c r="H38" s="20">
        <v>106.310997</v>
      </c>
      <c r="I38" s="20">
        <v>110.312798</v>
      </c>
      <c r="J38" s="20">
        <v>113.908997</v>
      </c>
      <c r="K38" s="20">
        <v>117.183098</v>
      </c>
      <c r="L38" s="20">
        <v>120.14389799999999</v>
      </c>
      <c r="M38" s="20">
        <v>123.019897</v>
      </c>
      <c r="N38" s="20">
        <v>126.129501</v>
      </c>
      <c r="O38" s="20">
        <v>128.55270400000001</v>
      </c>
      <c r="P38" s="20">
        <v>131.03100599999999</v>
      </c>
      <c r="Q38" s="20">
        <v>133.57730100000001</v>
      </c>
      <c r="R38" s="20">
        <v>135.89729299999999</v>
      </c>
      <c r="S38" s="20">
        <v>137.642899</v>
      </c>
      <c r="T38" s="20">
        <v>139.39999399999999</v>
      </c>
      <c r="U38" s="20">
        <v>140.71710200000001</v>
      </c>
      <c r="V38" s="20">
        <v>141.64359999999999</v>
      </c>
      <c r="W38" s="20">
        <v>143.59539799999999</v>
      </c>
      <c r="X38" s="20">
        <v>145.49929800000001</v>
      </c>
      <c r="Y38" s="20">
        <v>146.18009900000001</v>
      </c>
      <c r="Z38" s="20">
        <v>146.45979299999999</v>
      </c>
      <c r="AA38" s="20">
        <v>146.501205</v>
      </c>
      <c r="AB38" s="20">
        <v>146.06660500000001</v>
      </c>
      <c r="AC38" s="20">
        <v>146.34489400000001</v>
      </c>
      <c r="AD38" s="20">
        <v>146.78990200000001</v>
      </c>
      <c r="AE38" s="20">
        <v>147.38789399999999</v>
      </c>
      <c r="AF38" s="20">
        <v>148.10609400000001</v>
      </c>
      <c r="AG38" s="20">
        <v>148.818298</v>
      </c>
      <c r="AH38" s="20">
        <v>149.48060599999999</v>
      </c>
      <c r="AI38" s="20">
        <v>150.300003</v>
      </c>
      <c r="AJ38" s="20">
        <v>151.22950700000001</v>
      </c>
      <c r="AK38" s="21">
        <v>1.8273000000000001E-2</v>
      </c>
    </row>
    <row r="39" spans="1:37" ht="15" customHeight="1" x14ac:dyDescent="0.2">
      <c r="A39" s="9" t="s">
        <v>99</v>
      </c>
      <c r="B39" s="19" t="s">
        <v>100</v>
      </c>
      <c r="C39" s="20">
        <v>46.087921000000001</v>
      </c>
      <c r="D39" s="20">
        <v>48.50412</v>
      </c>
      <c r="E39" s="20">
        <v>51.097752</v>
      </c>
      <c r="F39" s="20">
        <v>51.891781000000002</v>
      </c>
      <c r="G39" s="20">
        <v>52.235908999999999</v>
      </c>
      <c r="H39" s="20">
        <v>52.884331000000003</v>
      </c>
      <c r="I39" s="20">
        <v>53.795959000000003</v>
      </c>
      <c r="J39" s="20">
        <v>54.782829</v>
      </c>
      <c r="K39" s="20">
        <v>55.695819999999998</v>
      </c>
      <c r="L39" s="20">
        <v>56.522888000000002</v>
      </c>
      <c r="M39" s="20">
        <v>57.224891999999997</v>
      </c>
      <c r="N39" s="20">
        <v>58.010058999999998</v>
      </c>
      <c r="O39" s="20">
        <v>57.863461000000001</v>
      </c>
      <c r="P39" s="20">
        <v>57.544029000000002</v>
      </c>
      <c r="Q39" s="20">
        <v>57.488461000000001</v>
      </c>
      <c r="R39" s="20">
        <v>57.462131999999997</v>
      </c>
      <c r="S39" s="20">
        <v>57.430031</v>
      </c>
      <c r="T39" s="20">
        <v>57.542850000000001</v>
      </c>
      <c r="U39" s="20">
        <v>57.639111</v>
      </c>
      <c r="V39" s="20">
        <v>57.755482000000001</v>
      </c>
      <c r="W39" s="20">
        <v>57.821269999999998</v>
      </c>
      <c r="X39" s="20">
        <v>57.907539</v>
      </c>
      <c r="Y39" s="20">
        <v>57.882832000000001</v>
      </c>
      <c r="Z39" s="20">
        <v>57.772640000000003</v>
      </c>
      <c r="AA39" s="20">
        <v>57.672642000000003</v>
      </c>
      <c r="AB39" s="20">
        <v>57.567791</v>
      </c>
      <c r="AC39" s="20">
        <v>57.556140999999997</v>
      </c>
      <c r="AD39" s="20">
        <v>57.611198000000002</v>
      </c>
      <c r="AE39" s="20">
        <v>57.648719999999997</v>
      </c>
      <c r="AF39" s="20">
        <v>57.690361000000003</v>
      </c>
      <c r="AG39" s="20">
        <v>57.805801000000002</v>
      </c>
      <c r="AH39" s="20">
        <v>57.985661</v>
      </c>
      <c r="AI39" s="20">
        <v>58.235259999999997</v>
      </c>
      <c r="AJ39" s="20">
        <v>58.417839000000001</v>
      </c>
      <c r="AK39" s="21">
        <v>5.829E-3</v>
      </c>
    </row>
    <row r="40" spans="1:37" ht="15" customHeight="1" x14ac:dyDescent="0.2">
      <c r="A40" s="9" t="s">
        <v>101</v>
      </c>
      <c r="B40" s="19" t="s">
        <v>102</v>
      </c>
      <c r="C40" s="20">
        <v>357.608093</v>
      </c>
      <c r="D40" s="20">
        <v>373.53048699999999</v>
      </c>
      <c r="E40" s="20">
        <v>379.03561400000001</v>
      </c>
      <c r="F40" s="20">
        <v>384.81890900000002</v>
      </c>
      <c r="G40" s="20">
        <v>392.225098</v>
      </c>
      <c r="H40" s="20">
        <v>400.50799599999999</v>
      </c>
      <c r="I40" s="20">
        <v>410.10040300000003</v>
      </c>
      <c r="J40" s="20">
        <v>420.48989899999998</v>
      </c>
      <c r="K40" s="20">
        <v>432.78320300000001</v>
      </c>
      <c r="L40" s="20">
        <v>445.58590700000002</v>
      </c>
      <c r="M40" s="20">
        <v>457.80609099999998</v>
      </c>
      <c r="N40" s="20">
        <v>470.926086</v>
      </c>
      <c r="O40" s="20">
        <v>481.98129299999999</v>
      </c>
      <c r="P40" s="20">
        <v>493.122589</v>
      </c>
      <c r="Q40" s="20">
        <v>504.50979599999999</v>
      </c>
      <c r="R40" s="20">
        <v>515.56561299999998</v>
      </c>
      <c r="S40" s="20">
        <v>526.82769800000005</v>
      </c>
      <c r="T40" s="20">
        <v>538.87957800000004</v>
      </c>
      <c r="U40" s="20">
        <v>551.32769800000005</v>
      </c>
      <c r="V40" s="20">
        <v>564.23657200000002</v>
      </c>
      <c r="W40" s="20">
        <v>576.87219200000004</v>
      </c>
      <c r="X40" s="20">
        <v>589.36352499999998</v>
      </c>
      <c r="Y40" s="20">
        <v>601.962219</v>
      </c>
      <c r="Z40" s="20">
        <v>613.70788600000003</v>
      </c>
      <c r="AA40" s="20">
        <v>625.29949999999997</v>
      </c>
      <c r="AB40" s="20">
        <v>636.655396</v>
      </c>
      <c r="AC40" s="20">
        <v>648.58862299999998</v>
      </c>
      <c r="AD40" s="20">
        <v>661.09149200000002</v>
      </c>
      <c r="AE40" s="20">
        <v>677.21807899999999</v>
      </c>
      <c r="AF40" s="20">
        <v>690.48559599999999</v>
      </c>
      <c r="AG40" s="20">
        <v>704.38610800000004</v>
      </c>
      <c r="AH40" s="20">
        <v>719.10119599999996</v>
      </c>
      <c r="AI40" s="20">
        <v>734.49279799999999</v>
      </c>
      <c r="AJ40" s="20">
        <v>750.17047100000002</v>
      </c>
      <c r="AK40" s="21">
        <v>2.2030000000000001E-2</v>
      </c>
    </row>
    <row r="41" spans="1:37" ht="15" customHeight="1" x14ac:dyDescent="0.2">
      <c r="A41" s="9" t="s">
        <v>103</v>
      </c>
      <c r="B41" s="19" t="s">
        <v>104</v>
      </c>
      <c r="C41" s="20">
        <v>514.89105199999995</v>
      </c>
      <c r="D41" s="20">
        <v>524.72045900000001</v>
      </c>
      <c r="E41" s="20">
        <v>501.279022</v>
      </c>
      <c r="F41" s="20">
        <v>511.472015</v>
      </c>
      <c r="G41" s="20">
        <v>507.56399499999998</v>
      </c>
      <c r="H41" s="20">
        <v>505.03393599999998</v>
      </c>
      <c r="I41" s="20">
        <v>501.93609600000002</v>
      </c>
      <c r="J41" s="20">
        <v>495.90121499999998</v>
      </c>
      <c r="K41" s="20">
        <v>491.38250699999998</v>
      </c>
      <c r="L41" s="20">
        <v>487.76004</v>
      </c>
      <c r="M41" s="20">
        <v>485.93450899999999</v>
      </c>
      <c r="N41" s="20">
        <v>483.07074</v>
      </c>
      <c r="O41" s="20">
        <v>480.36273199999999</v>
      </c>
      <c r="P41" s="20">
        <v>477.667664</v>
      </c>
      <c r="Q41" s="20">
        <v>475.61380000000003</v>
      </c>
      <c r="R41" s="20">
        <v>472.85107399999998</v>
      </c>
      <c r="S41" s="20">
        <v>470.73800699999998</v>
      </c>
      <c r="T41" s="20">
        <v>470.01135299999999</v>
      </c>
      <c r="U41" s="20">
        <v>469.52871699999997</v>
      </c>
      <c r="V41" s="20">
        <v>467.51574699999998</v>
      </c>
      <c r="W41" s="20">
        <v>469.31680299999999</v>
      </c>
      <c r="X41" s="20">
        <v>469.74386600000003</v>
      </c>
      <c r="Y41" s="20">
        <v>469.77844199999998</v>
      </c>
      <c r="Z41" s="20">
        <v>469.58117700000003</v>
      </c>
      <c r="AA41" s="20">
        <v>470.17016599999999</v>
      </c>
      <c r="AB41" s="20">
        <v>471.35906999999997</v>
      </c>
      <c r="AC41" s="20">
        <v>471.89386000000002</v>
      </c>
      <c r="AD41" s="20">
        <v>472.72164900000001</v>
      </c>
      <c r="AE41" s="20">
        <v>473.84582499999999</v>
      </c>
      <c r="AF41" s="20">
        <v>476.45074499999998</v>
      </c>
      <c r="AG41" s="20">
        <v>478.020599</v>
      </c>
      <c r="AH41" s="20">
        <v>480.473389</v>
      </c>
      <c r="AI41" s="20">
        <v>481.342896</v>
      </c>
      <c r="AJ41" s="20">
        <v>483.17300399999999</v>
      </c>
      <c r="AK41" s="21">
        <v>-2.575E-3</v>
      </c>
    </row>
    <row r="42" spans="1:37" ht="15" customHeight="1" x14ac:dyDescent="0.2">
      <c r="A42" s="9" t="s">
        <v>105</v>
      </c>
      <c r="B42" s="26" t="s">
        <v>106</v>
      </c>
      <c r="C42" s="20">
        <v>477.04278599999998</v>
      </c>
      <c r="D42" s="20">
        <v>486.10140999999999</v>
      </c>
      <c r="E42" s="20">
        <v>462.25711100000001</v>
      </c>
      <c r="F42" s="20">
        <v>472.71850599999999</v>
      </c>
      <c r="G42" s="20">
        <v>469.25531000000001</v>
      </c>
      <c r="H42" s="20">
        <v>467.02038599999997</v>
      </c>
      <c r="I42" s="20">
        <v>464.36389200000002</v>
      </c>
      <c r="J42" s="20">
        <v>458.73458900000003</v>
      </c>
      <c r="K42" s="20">
        <v>454.64410400000003</v>
      </c>
      <c r="L42" s="20">
        <v>451.27090500000003</v>
      </c>
      <c r="M42" s="20">
        <v>449.89889499999998</v>
      </c>
      <c r="N42" s="20">
        <v>447.340912</v>
      </c>
      <c r="O42" s="20">
        <v>444.908905</v>
      </c>
      <c r="P42" s="20">
        <v>442.39779700000003</v>
      </c>
      <c r="Q42" s="20">
        <v>440.44030800000002</v>
      </c>
      <c r="R42" s="20">
        <v>437.76870700000001</v>
      </c>
      <c r="S42" s="20">
        <v>435.72180200000003</v>
      </c>
      <c r="T42" s="20">
        <v>435.01629600000001</v>
      </c>
      <c r="U42" s="20">
        <v>434.552887</v>
      </c>
      <c r="V42" s="20">
        <v>432.56579599999998</v>
      </c>
      <c r="W42" s="20">
        <v>434.32620200000002</v>
      </c>
      <c r="X42" s="20">
        <v>434.756012</v>
      </c>
      <c r="Y42" s="20">
        <v>434.83081099999998</v>
      </c>
      <c r="Z42" s="20">
        <v>434.73831200000001</v>
      </c>
      <c r="AA42" s="20">
        <v>435.45379600000001</v>
      </c>
      <c r="AB42" s="20">
        <v>436.797302</v>
      </c>
      <c r="AC42" s="20">
        <v>437.45431500000001</v>
      </c>
      <c r="AD42" s="20">
        <v>438.435089</v>
      </c>
      <c r="AE42" s="20">
        <v>439.63799999999998</v>
      </c>
      <c r="AF42" s="20">
        <v>442.36599699999999</v>
      </c>
      <c r="AG42" s="20">
        <v>444.013214</v>
      </c>
      <c r="AH42" s="20">
        <v>446.54458599999998</v>
      </c>
      <c r="AI42" s="20">
        <v>447.479401</v>
      </c>
      <c r="AJ42" s="20">
        <v>449.39428700000002</v>
      </c>
      <c r="AK42" s="21">
        <v>-2.4510000000000001E-3</v>
      </c>
    </row>
    <row r="43" spans="1:37" ht="15" customHeight="1" x14ac:dyDescent="0.2">
      <c r="A43" s="9" t="s">
        <v>107</v>
      </c>
      <c r="B43" s="19" t="s">
        <v>108</v>
      </c>
      <c r="C43" s="20">
        <v>37.848281999999998</v>
      </c>
      <c r="D43" s="20">
        <v>38.619048999999997</v>
      </c>
      <c r="E43" s="20">
        <v>39.021912</v>
      </c>
      <c r="F43" s="20">
        <v>38.753520999999999</v>
      </c>
      <c r="G43" s="20">
        <v>38.308681</v>
      </c>
      <c r="H43" s="20">
        <v>38.013537999999997</v>
      </c>
      <c r="I43" s="20">
        <v>37.572189000000002</v>
      </c>
      <c r="J43" s="20">
        <v>37.166629999999998</v>
      </c>
      <c r="K43" s="20">
        <v>36.738410999999999</v>
      </c>
      <c r="L43" s="20">
        <v>36.489128000000001</v>
      </c>
      <c r="M43" s="20">
        <v>36.035629</v>
      </c>
      <c r="N43" s="20">
        <v>35.729838999999998</v>
      </c>
      <c r="O43" s="20">
        <v>35.453837999999998</v>
      </c>
      <c r="P43" s="20">
        <v>35.269858999999997</v>
      </c>
      <c r="Q43" s="20">
        <v>35.173499999999997</v>
      </c>
      <c r="R43" s="20">
        <v>35.082352</v>
      </c>
      <c r="S43" s="20">
        <v>35.016209000000003</v>
      </c>
      <c r="T43" s="20">
        <v>34.995071000000003</v>
      </c>
      <c r="U43" s="20">
        <v>34.975842</v>
      </c>
      <c r="V43" s="20">
        <v>34.949939999999998</v>
      </c>
      <c r="W43" s="20">
        <v>34.990608000000002</v>
      </c>
      <c r="X43" s="20">
        <v>34.987850000000002</v>
      </c>
      <c r="Y43" s="20">
        <v>34.947631999999999</v>
      </c>
      <c r="Z43" s="20">
        <v>34.842869</v>
      </c>
      <c r="AA43" s="20">
        <v>34.716369999999998</v>
      </c>
      <c r="AB43" s="20">
        <v>34.561779000000001</v>
      </c>
      <c r="AC43" s="20">
        <v>34.43956</v>
      </c>
      <c r="AD43" s="20">
        <v>34.286560000000001</v>
      </c>
      <c r="AE43" s="20">
        <v>34.207828999999997</v>
      </c>
      <c r="AF43" s="20">
        <v>34.084739999999996</v>
      </c>
      <c r="AG43" s="20">
        <v>34.007381000000002</v>
      </c>
      <c r="AH43" s="20">
        <v>33.928790999999997</v>
      </c>
      <c r="AI43" s="20">
        <v>33.863498999999997</v>
      </c>
      <c r="AJ43" s="20">
        <v>33.778728000000001</v>
      </c>
      <c r="AK43" s="21">
        <v>-4.176E-3</v>
      </c>
    </row>
    <row r="44" spans="1:37" ht="15" customHeight="1" x14ac:dyDescent="0.2">
      <c r="A44" s="9" t="s">
        <v>109</v>
      </c>
      <c r="B44" s="23" t="s">
        <v>110</v>
      </c>
      <c r="C44" s="20">
        <v>214.639206</v>
      </c>
      <c r="D44" s="20">
        <v>219.516098</v>
      </c>
      <c r="E44" s="20">
        <v>228.18980400000001</v>
      </c>
      <c r="F44" s="20">
        <v>235.57539399999999</v>
      </c>
      <c r="G44" s="20">
        <v>243.003006</v>
      </c>
      <c r="H44" s="20">
        <v>248.44000199999999</v>
      </c>
      <c r="I44" s="20">
        <v>254.16630599999999</v>
      </c>
      <c r="J44" s="20">
        <v>260.410797</v>
      </c>
      <c r="K44" s="20">
        <v>267.31900000000002</v>
      </c>
      <c r="L44" s="20">
        <v>274.35150099999998</v>
      </c>
      <c r="M44" s="20">
        <v>281.08358800000002</v>
      </c>
      <c r="N44" s="20">
        <v>288.19500699999998</v>
      </c>
      <c r="O44" s="20">
        <v>294.83081099999998</v>
      </c>
      <c r="P44" s="20">
        <v>301.26251200000002</v>
      </c>
      <c r="Q44" s="20">
        <v>307.58551</v>
      </c>
      <c r="R44" s="20">
        <v>313.859711</v>
      </c>
      <c r="S44" s="20">
        <v>320.37298600000003</v>
      </c>
      <c r="T44" s="20">
        <v>327.38299599999999</v>
      </c>
      <c r="U44" s="20">
        <v>334.62341300000003</v>
      </c>
      <c r="V44" s="20">
        <v>342.31478900000002</v>
      </c>
      <c r="W44" s="20">
        <v>350.00149499999998</v>
      </c>
      <c r="X44" s="20">
        <v>357.82089200000001</v>
      </c>
      <c r="Y44" s="20">
        <v>365.91570999999999</v>
      </c>
      <c r="Z44" s="20">
        <v>373.86801100000002</v>
      </c>
      <c r="AA44" s="20">
        <v>381.70831299999998</v>
      </c>
      <c r="AB44" s="20">
        <v>389.80551100000002</v>
      </c>
      <c r="AC44" s="20">
        <v>397.87640399999998</v>
      </c>
      <c r="AD44" s="20">
        <v>406.08758499999999</v>
      </c>
      <c r="AE44" s="20">
        <v>414.57989500000002</v>
      </c>
      <c r="AF44" s="20">
        <v>423.24841300000003</v>
      </c>
      <c r="AG44" s="20">
        <v>432.15240499999999</v>
      </c>
      <c r="AH44" s="20">
        <v>441.40811200000002</v>
      </c>
      <c r="AI44" s="20">
        <v>451.209991</v>
      </c>
      <c r="AJ44" s="20">
        <v>461.53799400000003</v>
      </c>
      <c r="AK44" s="21">
        <v>2.3494999999999999E-2</v>
      </c>
    </row>
    <row r="45" spans="1:37" ht="15" customHeight="1" x14ac:dyDescent="0.2">
      <c r="A45" s="9" t="s">
        <v>111</v>
      </c>
      <c r="B45" s="19" t="s">
        <v>112</v>
      </c>
      <c r="C45" s="20">
        <v>110.700333</v>
      </c>
      <c r="D45" s="20">
        <v>118.80323</v>
      </c>
      <c r="E45" s="20">
        <v>123.652039</v>
      </c>
      <c r="F45" s="20">
        <v>128.24453700000001</v>
      </c>
      <c r="G45" s="20">
        <v>131.474548</v>
      </c>
      <c r="H45" s="20">
        <v>134.446045</v>
      </c>
      <c r="I45" s="20">
        <v>136.899689</v>
      </c>
      <c r="J45" s="20">
        <v>138.71417199999999</v>
      </c>
      <c r="K45" s="20">
        <v>140.41037</v>
      </c>
      <c r="L45" s="20">
        <v>142.46109000000001</v>
      </c>
      <c r="M45" s="20">
        <v>144.69665499999999</v>
      </c>
      <c r="N45" s="20">
        <v>146.92804000000001</v>
      </c>
      <c r="O45" s="20">
        <v>148.700287</v>
      </c>
      <c r="P45" s="20">
        <v>151.546661</v>
      </c>
      <c r="Q45" s="20">
        <v>154.278503</v>
      </c>
      <c r="R45" s="20">
        <v>156.556107</v>
      </c>
      <c r="S45" s="20">
        <v>158.47058100000001</v>
      </c>
      <c r="T45" s="20">
        <v>161.19354200000001</v>
      </c>
      <c r="U45" s="20">
        <v>164.038635</v>
      </c>
      <c r="V45" s="20">
        <v>166.408646</v>
      </c>
      <c r="W45" s="20">
        <v>169.28387499999999</v>
      </c>
      <c r="X45" s="20">
        <v>172.264343</v>
      </c>
      <c r="Y45" s="20">
        <v>175.05453499999999</v>
      </c>
      <c r="Z45" s="20">
        <v>178.06137100000001</v>
      </c>
      <c r="AA45" s="20">
        <v>181.58111600000001</v>
      </c>
      <c r="AB45" s="20">
        <v>184.431793</v>
      </c>
      <c r="AC45" s="20">
        <v>187.63554400000001</v>
      </c>
      <c r="AD45" s="20">
        <v>191.13031000000001</v>
      </c>
      <c r="AE45" s="20">
        <v>194.36828600000001</v>
      </c>
      <c r="AF45" s="20">
        <v>197.577789</v>
      </c>
      <c r="AG45" s="20">
        <v>200.78817699999999</v>
      </c>
      <c r="AH45" s="20">
        <v>203.92982499999999</v>
      </c>
      <c r="AI45" s="20">
        <v>206.881012</v>
      </c>
      <c r="AJ45" s="20">
        <v>210.27461199999999</v>
      </c>
      <c r="AK45" s="21">
        <v>1.8002000000000001E-2</v>
      </c>
    </row>
    <row r="46" spans="1:37" ht="15" customHeight="1" x14ac:dyDescent="0.2">
      <c r="A46" s="9" t="s">
        <v>113</v>
      </c>
      <c r="B46" s="19" t="s">
        <v>114</v>
      </c>
      <c r="C46" s="20">
        <v>24.047599999999999</v>
      </c>
      <c r="D46" s="20">
        <v>26.138359000000001</v>
      </c>
      <c r="E46" s="20">
        <v>26.575060000000001</v>
      </c>
      <c r="F46" s="20">
        <v>27.086981000000002</v>
      </c>
      <c r="G46" s="20">
        <v>27.61204</v>
      </c>
      <c r="H46" s="20">
        <v>28.073540000000001</v>
      </c>
      <c r="I46" s="20">
        <v>28.543261000000001</v>
      </c>
      <c r="J46" s="20">
        <v>28.905629999999999</v>
      </c>
      <c r="K46" s="20">
        <v>29.240110000000001</v>
      </c>
      <c r="L46" s="20">
        <v>29.585439999999998</v>
      </c>
      <c r="M46" s="20">
        <v>29.978339999999999</v>
      </c>
      <c r="N46" s="20">
        <v>30.394079000000001</v>
      </c>
      <c r="O46" s="20">
        <v>30.762429999999998</v>
      </c>
      <c r="P46" s="20">
        <v>31.191780000000001</v>
      </c>
      <c r="Q46" s="20">
        <v>31.668039</v>
      </c>
      <c r="R46" s="20">
        <v>31.853339999999999</v>
      </c>
      <c r="S46" s="20">
        <v>32.084029999999998</v>
      </c>
      <c r="T46" s="20">
        <v>32.497928999999999</v>
      </c>
      <c r="U46" s="20">
        <v>32.89875</v>
      </c>
      <c r="V46" s="20">
        <v>33.188201999999997</v>
      </c>
      <c r="W46" s="20">
        <v>33.524109000000003</v>
      </c>
      <c r="X46" s="20">
        <v>33.857449000000003</v>
      </c>
      <c r="Y46" s="20">
        <v>34.104239999999997</v>
      </c>
      <c r="Z46" s="20">
        <v>34.509312000000001</v>
      </c>
      <c r="AA46" s="20">
        <v>34.953879999999998</v>
      </c>
      <c r="AB46" s="20">
        <v>35.287750000000003</v>
      </c>
      <c r="AC46" s="20">
        <v>35.770221999999997</v>
      </c>
      <c r="AD46" s="20">
        <v>36.370818999999997</v>
      </c>
      <c r="AE46" s="20">
        <v>36.951889000000001</v>
      </c>
      <c r="AF46" s="20">
        <v>37.441527999999998</v>
      </c>
      <c r="AG46" s="20">
        <v>37.840930999999998</v>
      </c>
      <c r="AH46" s="20">
        <v>38.145671999999998</v>
      </c>
      <c r="AI46" s="20">
        <v>38.278289999999998</v>
      </c>
      <c r="AJ46" s="20">
        <v>38.555092000000002</v>
      </c>
      <c r="AK46" s="21">
        <v>1.2220999999999999E-2</v>
      </c>
    </row>
    <row r="47" spans="1:37" ht="15" customHeight="1" x14ac:dyDescent="0.2">
      <c r="A47" s="9" t="s">
        <v>115</v>
      </c>
      <c r="B47" s="23" t="s">
        <v>116</v>
      </c>
      <c r="C47" s="20">
        <v>14.272517000000001</v>
      </c>
      <c r="D47" s="20">
        <v>14.976663</v>
      </c>
      <c r="E47" s="20">
        <v>15.621076</v>
      </c>
      <c r="F47" s="20">
        <v>16.196178</v>
      </c>
      <c r="G47" s="20">
        <v>16.538778000000001</v>
      </c>
      <c r="H47" s="20">
        <v>16.846184000000001</v>
      </c>
      <c r="I47" s="20">
        <v>17.085035000000001</v>
      </c>
      <c r="J47" s="20">
        <v>17.265011000000001</v>
      </c>
      <c r="K47" s="20">
        <v>17.398372999999999</v>
      </c>
      <c r="L47" s="20">
        <v>17.590873999999999</v>
      </c>
      <c r="M47" s="20">
        <v>17.720756999999999</v>
      </c>
      <c r="N47" s="20">
        <v>17.925915</v>
      </c>
      <c r="O47" s="20">
        <v>18.010636999999999</v>
      </c>
      <c r="P47" s="20">
        <v>18.240088</v>
      </c>
      <c r="Q47" s="20">
        <v>18.591759</v>
      </c>
      <c r="R47" s="20">
        <v>18.895271000000001</v>
      </c>
      <c r="S47" s="20">
        <v>19.156745999999998</v>
      </c>
      <c r="T47" s="20">
        <v>19.604824000000001</v>
      </c>
      <c r="U47" s="20">
        <v>20.004481999999999</v>
      </c>
      <c r="V47" s="20">
        <v>20.313848</v>
      </c>
      <c r="W47" s="20">
        <v>20.719169999999998</v>
      </c>
      <c r="X47" s="20">
        <v>21.075298</v>
      </c>
      <c r="Y47" s="20">
        <v>21.282285999999999</v>
      </c>
      <c r="Z47" s="20">
        <v>21.630455000000001</v>
      </c>
      <c r="AA47" s="20">
        <v>22.067824999999999</v>
      </c>
      <c r="AB47" s="20">
        <v>22.409447</v>
      </c>
      <c r="AC47" s="20">
        <v>22.79402</v>
      </c>
      <c r="AD47" s="20">
        <v>23.242802000000001</v>
      </c>
      <c r="AE47" s="20">
        <v>23.659309</v>
      </c>
      <c r="AF47" s="20">
        <v>24.013770999999998</v>
      </c>
      <c r="AG47" s="20">
        <v>24.414149999999999</v>
      </c>
      <c r="AH47" s="20">
        <v>24.791450999999999</v>
      </c>
      <c r="AI47" s="20">
        <v>25.107928999999999</v>
      </c>
      <c r="AJ47" s="20">
        <v>25.521832</v>
      </c>
      <c r="AK47" s="21">
        <v>1.6796999999999999E-2</v>
      </c>
    </row>
    <row r="48" spans="1:37" ht="15" customHeight="1" x14ac:dyDescent="0.2">
      <c r="A48" s="9" t="s">
        <v>117</v>
      </c>
      <c r="B48" s="19" t="s">
        <v>118</v>
      </c>
      <c r="C48" s="20">
        <v>72.380211000000003</v>
      </c>
      <c r="D48" s="20">
        <v>77.688209999999998</v>
      </c>
      <c r="E48" s="20">
        <v>81.455901999999995</v>
      </c>
      <c r="F48" s="20">
        <v>84.961371999999997</v>
      </c>
      <c r="G48" s="20">
        <v>87.323723000000001</v>
      </c>
      <c r="H48" s="20">
        <v>89.526320999999996</v>
      </c>
      <c r="I48" s="20">
        <v>91.2714</v>
      </c>
      <c r="J48" s="20">
        <v>92.543532999999996</v>
      </c>
      <c r="K48" s="20">
        <v>93.771880999999993</v>
      </c>
      <c r="L48" s="20">
        <v>95.284767000000002</v>
      </c>
      <c r="M48" s="20">
        <v>96.997566000000006</v>
      </c>
      <c r="N48" s="20">
        <v>98.608046999999999</v>
      </c>
      <c r="O48" s="20">
        <v>99.927231000000006</v>
      </c>
      <c r="P48" s="20">
        <v>102.114799</v>
      </c>
      <c r="Q48" s="20">
        <v>104.0187</v>
      </c>
      <c r="R48" s="20">
        <v>105.807503</v>
      </c>
      <c r="S48" s="20">
        <v>107.229797</v>
      </c>
      <c r="T48" s="20">
        <v>109.09079699999999</v>
      </c>
      <c r="U48" s="20">
        <v>111.13539900000001</v>
      </c>
      <c r="V48" s="20">
        <v>112.90660099999999</v>
      </c>
      <c r="W48" s="20">
        <v>115.040604</v>
      </c>
      <c r="X48" s="20">
        <v>117.331596</v>
      </c>
      <c r="Y48" s="20">
        <v>119.66799899999999</v>
      </c>
      <c r="Z48" s="20">
        <v>121.9216</v>
      </c>
      <c r="AA48" s="20">
        <v>124.55940200000001</v>
      </c>
      <c r="AB48" s="20">
        <v>126.734596</v>
      </c>
      <c r="AC48" s="20">
        <v>129.071304</v>
      </c>
      <c r="AD48" s="20">
        <v>131.516693</v>
      </c>
      <c r="AE48" s="20">
        <v>133.75709499999999</v>
      </c>
      <c r="AF48" s="20">
        <v>136.12249800000001</v>
      </c>
      <c r="AG48" s="20">
        <v>138.533096</v>
      </c>
      <c r="AH48" s="20">
        <v>140.992706</v>
      </c>
      <c r="AI48" s="20">
        <v>143.49479700000001</v>
      </c>
      <c r="AJ48" s="20">
        <v>146.19769299999999</v>
      </c>
      <c r="AK48" s="21">
        <v>1.9954E-2</v>
      </c>
    </row>
    <row r="49" spans="1:37" ht="15" customHeight="1" x14ac:dyDescent="0.2">
      <c r="A49" s="9" t="s">
        <v>119</v>
      </c>
      <c r="B49" s="19" t="s">
        <v>120</v>
      </c>
      <c r="C49" s="20">
        <v>215.439941</v>
      </c>
      <c r="D49" s="20">
        <v>225.08990499999999</v>
      </c>
      <c r="E49" s="20">
        <v>228.164185</v>
      </c>
      <c r="F49" s="20">
        <v>225.764252</v>
      </c>
      <c r="G49" s="20">
        <v>222.48620600000001</v>
      </c>
      <c r="H49" s="20">
        <v>223.379974</v>
      </c>
      <c r="I49" s="20">
        <v>225.95169100000001</v>
      </c>
      <c r="J49" s="20">
        <v>228.348343</v>
      </c>
      <c r="K49" s="20">
        <v>231.20803799999999</v>
      </c>
      <c r="L49" s="20">
        <v>233.949951</v>
      </c>
      <c r="M49" s="20">
        <v>234.36288500000001</v>
      </c>
      <c r="N49" s="20">
        <v>237.51593</v>
      </c>
      <c r="O49" s="20">
        <v>239.05093400000001</v>
      </c>
      <c r="P49" s="20">
        <v>241.82006799999999</v>
      </c>
      <c r="Q49" s="20">
        <v>245.38400300000001</v>
      </c>
      <c r="R49" s="20">
        <v>248.91207900000001</v>
      </c>
      <c r="S49" s="20">
        <v>252.261841</v>
      </c>
      <c r="T49" s="20">
        <v>256.131531</v>
      </c>
      <c r="U49" s="20">
        <v>259.81024200000002</v>
      </c>
      <c r="V49" s="20">
        <v>263.647156</v>
      </c>
      <c r="W49" s="20">
        <v>268.10238600000002</v>
      </c>
      <c r="X49" s="20">
        <v>271.66708399999999</v>
      </c>
      <c r="Y49" s="20">
        <v>274.95581099999998</v>
      </c>
      <c r="Z49" s="20">
        <v>277.700287</v>
      </c>
      <c r="AA49" s="20">
        <v>279.781158</v>
      </c>
      <c r="AB49" s="20">
        <v>282.18804899999998</v>
      </c>
      <c r="AC49" s="20">
        <v>285.01767000000001</v>
      </c>
      <c r="AD49" s="20">
        <v>287.37811299999998</v>
      </c>
      <c r="AE49" s="20">
        <v>291.15332000000001</v>
      </c>
      <c r="AF49" s="20">
        <v>293.35711700000002</v>
      </c>
      <c r="AG49" s="20">
        <v>296.54766799999999</v>
      </c>
      <c r="AH49" s="20">
        <v>299.35064699999998</v>
      </c>
      <c r="AI49" s="20">
        <v>302.37261999999998</v>
      </c>
      <c r="AJ49" s="20">
        <v>305.28118899999998</v>
      </c>
      <c r="AK49" s="21">
        <v>9.5680000000000001E-3</v>
      </c>
    </row>
    <row r="50" spans="1:37" ht="15" customHeight="1" x14ac:dyDescent="0.2">
      <c r="A50" s="9" t="s">
        <v>121</v>
      </c>
      <c r="B50" s="23" t="s">
        <v>122</v>
      </c>
      <c r="C50" s="20">
        <v>102.827698</v>
      </c>
      <c r="D50" s="20">
        <v>109.1147</v>
      </c>
      <c r="E50" s="20">
        <v>110.353897</v>
      </c>
      <c r="F50" s="20">
        <v>107.944603</v>
      </c>
      <c r="G50" s="20">
        <v>104.635597</v>
      </c>
      <c r="H50" s="20">
        <v>104.131798</v>
      </c>
      <c r="I50" s="20">
        <v>104.66889999999999</v>
      </c>
      <c r="J50" s="20">
        <v>104.945999</v>
      </c>
      <c r="K50" s="20">
        <v>105.24990099999999</v>
      </c>
      <c r="L50" s="20">
        <v>105.567802</v>
      </c>
      <c r="M50" s="20">
        <v>104.7453</v>
      </c>
      <c r="N50" s="20">
        <v>105.055199</v>
      </c>
      <c r="O50" s="20">
        <v>104.836502</v>
      </c>
      <c r="P50" s="20">
        <v>104.91909800000001</v>
      </c>
      <c r="Q50" s="20">
        <v>105.482399</v>
      </c>
      <c r="R50" s="20">
        <v>106.079903</v>
      </c>
      <c r="S50" s="20">
        <v>106.694199</v>
      </c>
      <c r="T50" s="20">
        <v>107.438103</v>
      </c>
      <c r="U50" s="20">
        <v>108.04299899999999</v>
      </c>
      <c r="V50" s="20">
        <v>108.58669999999999</v>
      </c>
      <c r="W50" s="20">
        <v>109.51840199999999</v>
      </c>
      <c r="X50" s="20">
        <v>109.956703</v>
      </c>
      <c r="Y50" s="20">
        <v>110.08290100000001</v>
      </c>
      <c r="Z50" s="20">
        <v>109.790001</v>
      </c>
      <c r="AA50" s="20">
        <v>109.455704</v>
      </c>
      <c r="AB50" s="20">
        <v>108.989799</v>
      </c>
      <c r="AC50" s="20">
        <v>108.80349699999999</v>
      </c>
      <c r="AD50" s="20">
        <v>108.31349899999999</v>
      </c>
      <c r="AE50" s="20">
        <v>108.263496</v>
      </c>
      <c r="AF50" s="20">
        <v>107.76799800000001</v>
      </c>
      <c r="AG50" s="20">
        <v>107.585503</v>
      </c>
      <c r="AH50" s="20">
        <v>107.21639999999999</v>
      </c>
      <c r="AI50" s="20">
        <v>106.910698</v>
      </c>
      <c r="AJ50" s="20">
        <v>106.429298</v>
      </c>
      <c r="AK50" s="21">
        <v>-7.7800000000000005E-4</v>
      </c>
    </row>
    <row r="51" spans="1:37" ht="15" customHeight="1" x14ac:dyDescent="0.2">
      <c r="A51" s="9" t="s">
        <v>123</v>
      </c>
      <c r="B51" s="19" t="s">
        <v>124</v>
      </c>
      <c r="C51" s="20">
        <v>35.415691000000002</v>
      </c>
      <c r="D51" s="20">
        <v>36.572417999999999</v>
      </c>
      <c r="E51" s="20">
        <v>37.920051999999998</v>
      </c>
      <c r="F51" s="20">
        <v>37.452579</v>
      </c>
      <c r="G51" s="20">
        <v>37.38702</v>
      </c>
      <c r="H51" s="20">
        <v>37.742148999999998</v>
      </c>
      <c r="I51" s="20">
        <v>38.243640999999997</v>
      </c>
      <c r="J51" s="20">
        <v>38.702067999999997</v>
      </c>
      <c r="K51" s="20">
        <v>39.451981000000004</v>
      </c>
      <c r="L51" s="20">
        <v>40.039261000000003</v>
      </c>
      <c r="M51" s="20">
        <v>40.092269999999999</v>
      </c>
      <c r="N51" s="20">
        <v>40.971958000000001</v>
      </c>
      <c r="O51" s="20">
        <v>41.176707999999998</v>
      </c>
      <c r="P51" s="20">
        <v>41.801558999999997</v>
      </c>
      <c r="Q51" s="20">
        <v>42.433459999999997</v>
      </c>
      <c r="R51" s="20">
        <v>43.127800000000001</v>
      </c>
      <c r="S51" s="20">
        <v>43.626838999999997</v>
      </c>
      <c r="T51" s="20">
        <v>44.235309999999998</v>
      </c>
      <c r="U51" s="20">
        <v>44.665722000000002</v>
      </c>
      <c r="V51" s="20">
        <v>45.163670000000003</v>
      </c>
      <c r="W51" s="20">
        <v>45.676589999999997</v>
      </c>
      <c r="X51" s="20">
        <v>46.046489999999999</v>
      </c>
      <c r="Y51" s="20">
        <v>46.496090000000002</v>
      </c>
      <c r="Z51" s="20">
        <v>47.095989000000003</v>
      </c>
      <c r="AA51" s="20">
        <v>47.145949999999999</v>
      </c>
      <c r="AB51" s="20">
        <v>47.630828999999999</v>
      </c>
      <c r="AC51" s="20">
        <v>47.766972000000003</v>
      </c>
      <c r="AD51" s="20">
        <v>48.001227999999998</v>
      </c>
      <c r="AE51" s="20">
        <v>48.672508000000001</v>
      </c>
      <c r="AF51" s="20">
        <v>48.457839999999997</v>
      </c>
      <c r="AG51" s="20">
        <v>48.604660000000003</v>
      </c>
      <c r="AH51" s="20">
        <v>48.613762000000001</v>
      </c>
      <c r="AI51" s="20">
        <v>48.576309000000002</v>
      </c>
      <c r="AJ51" s="20">
        <v>48.478588000000002</v>
      </c>
      <c r="AK51" s="21">
        <v>8.8459999999999997E-3</v>
      </c>
    </row>
    <row r="52" spans="1:37" ht="15" customHeight="1" x14ac:dyDescent="0.2">
      <c r="A52" s="9" t="s">
        <v>125</v>
      </c>
      <c r="B52" s="19" t="s">
        <v>126</v>
      </c>
      <c r="C52" s="20">
        <v>77.196540999999996</v>
      </c>
      <c r="D52" s="20">
        <v>79.402778999999995</v>
      </c>
      <c r="E52" s="20">
        <v>79.890220999999997</v>
      </c>
      <c r="F52" s="20">
        <v>80.367073000000005</v>
      </c>
      <c r="G52" s="20">
        <v>80.463593000000003</v>
      </c>
      <c r="H52" s="20">
        <v>81.506020000000007</v>
      </c>
      <c r="I52" s="20">
        <v>83.039162000000005</v>
      </c>
      <c r="J52" s="20">
        <v>84.700271999999998</v>
      </c>
      <c r="K52" s="20">
        <v>86.506157000000002</v>
      </c>
      <c r="L52" s="20">
        <v>88.342888000000002</v>
      </c>
      <c r="M52" s="20">
        <v>89.525306999999998</v>
      </c>
      <c r="N52" s="20">
        <v>91.488761999999994</v>
      </c>
      <c r="O52" s="20">
        <v>93.037711999999999</v>
      </c>
      <c r="P52" s="20">
        <v>95.099411000000003</v>
      </c>
      <c r="Q52" s="20">
        <v>97.468147000000002</v>
      </c>
      <c r="R52" s="20">
        <v>99.704375999999996</v>
      </c>
      <c r="S52" s="20">
        <v>101.940804</v>
      </c>
      <c r="T52" s="20">
        <v>104.458099</v>
      </c>
      <c r="U52" s="20">
        <v>107.101501</v>
      </c>
      <c r="V52" s="20">
        <v>109.89679700000001</v>
      </c>
      <c r="W52" s="20">
        <v>112.907402</v>
      </c>
      <c r="X52" s="20">
        <v>115.66390199999999</v>
      </c>
      <c r="Y52" s="20">
        <v>118.376801</v>
      </c>
      <c r="Z52" s="20">
        <v>120.814301</v>
      </c>
      <c r="AA52" s="20">
        <v>123.179497</v>
      </c>
      <c r="AB52" s="20">
        <v>125.567398</v>
      </c>
      <c r="AC52" s="20">
        <v>128.447205</v>
      </c>
      <c r="AD52" s="20">
        <v>131.0634</v>
      </c>
      <c r="AE52" s="20">
        <v>134.21729999999999</v>
      </c>
      <c r="AF52" s="20">
        <v>137.13130200000001</v>
      </c>
      <c r="AG52" s="20">
        <v>140.35749799999999</v>
      </c>
      <c r="AH52" s="20">
        <v>143.52049299999999</v>
      </c>
      <c r="AI52" s="20">
        <v>146.885605</v>
      </c>
      <c r="AJ52" s="20">
        <v>150.37330600000001</v>
      </c>
      <c r="AK52" s="21">
        <v>2.0156E-2</v>
      </c>
    </row>
    <row r="53" spans="1:37" ht="15" customHeight="1" x14ac:dyDescent="0.2">
      <c r="A53" s="9" t="s">
        <v>127</v>
      </c>
      <c r="B53" s="12" t="s">
        <v>128</v>
      </c>
      <c r="C53" s="11">
        <v>368.48599200000001</v>
      </c>
      <c r="D53" s="11">
        <v>388.18579099999999</v>
      </c>
      <c r="E53" s="11">
        <v>399.74951199999998</v>
      </c>
      <c r="F53" s="11">
        <v>405.44339000000002</v>
      </c>
      <c r="G53" s="11">
        <v>408.780304</v>
      </c>
      <c r="H53" s="11">
        <v>416.28970299999997</v>
      </c>
      <c r="I53" s="11">
        <v>425.930115</v>
      </c>
      <c r="J53" s="11">
        <v>436.12109400000003</v>
      </c>
      <c r="K53" s="11">
        <v>446.59878500000002</v>
      </c>
      <c r="L53" s="11">
        <v>456.91891500000003</v>
      </c>
      <c r="M53" s="11">
        <v>465.73049900000001</v>
      </c>
      <c r="N53" s="11">
        <v>476.22738600000002</v>
      </c>
      <c r="O53" s="11">
        <v>487.29760700000003</v>
      </c>
      <c r="P53" s="11">
        <v>498.77420000000001</v>
      </c>
      <c r="Q53" s="11">
        <v>511.38949600000001</v>
      </c>
      <c r="R53" s="11">
        <v>523.941284</v>
      </c>
      <c r="S53" s="11">
        <v>536.30157499999996</v>
      </c>
      <c r="T53" s="11">
        <v>544.58599900000002</v>
      </c>
      <c r="U53" s="11">
        <v>553.38201900000001</v>
      </c>
      <c r="V53" s="11">
        <v>562.31738299999995</v>
      </c>
      <c r="W53" s="11">
        <v>571.24871800000005</v>
      </c>
      <c r="X53" s="11">
        <v>579.34088099999997</v>
      </c>
      <c r="Y53" s="11">
        <v>587.87707499999999</v>
      </c>
      <c r="Z53" s="11">
        <v>596.84948699999995</v>
      </c>
      <c r="AA53" s="11">
        <v>605.62792999999999</v>
      </c>
      <c r="AB53" s="11">
        <v>614.66961700000002</v>
      </c>
      <c r="AC53" s="11">
        <v>624.20770300000004</v>
      </c>
      <c r="AD53" s="11">
        <v>634.98431400000004</v>
      </c>
      <c r="AE53" s="11">
        <v>645.76599099999999</v>
      </c>
      <c r="AF53" s="11">
        <v>656.87658699999997</v>
      </c>
      <c r="AG53" s="11">
        <v>668.88110400000005</v>
      </c>
      <c r="AH53" s="11">
        <v>681.27221699999996</v>
      </c>
      <c r="AI53" s="11">
        <v>693.91400099999998</v>
      </c>
      <c r="AJ53" s="11">
        <v>706.05267300000003</v>
      </c>
      <c r="AK53" s="10">
        <v>1.8870000000000001E-2</v>
      </c>
    </row>
    <row r="54" spans="1:37" ht="15" customHeight="1" x14ac:dyDescent="0.2">
      <c r="A54" s="9" t="s">
        <v>129</v>
      </c>
      <c r="B54" s="12" t="s">
        <v>130</v>
      </c>
      <c r="C54" s="11">
        <v>354.77319299999999</v>
      </c>
      <c r="D54" s="11">
        <v>377.90939300000002</v>
      </c>
      <c r="E54" s="11">
        <v>401.29391500000003</v>
      </c>
      <c r="F54" s="11">
        <v>408.096405</v>
      </c>
      <c r="G54" s="11">
        <v>411.93069500000001</v>
      </c>
      <c r="H54" s="11">
        <v>420.657715</v>
      </c>
      <c r="I54" s="11">
        <v>430.946594</v>
      </c>
      <c r="J54" s="11">
        <v>441.41610700000001</v>
      </c>
      <c r="K54" s="11">
        <v>454.03601099999997</v>
      </c>
      <c r="L54" s="11">
        <v>466.95400999999998</v>
      </c>
      <c r="M54" s="11">
        <v>470.53100599999999</v>
      </c>
      <c r="N54" s="11">
        <v>487.70251500000001</v>
      </c>
      <c r="O54" s="11">
        <v>499.73318499999999</v>
      </c>
      <c r="P54" s="11">
        <v>513.04510500000004</v>
      </c>
      <c r="Q54" s="11">
        <v>529.14770499999997</v>
      </c>
      <c r="R54" s="11">
        <v>544.466003</v>
      </c>
      <c r="S54" s="11">
        <v>561.23748799999998</v>
      </c>
      <c r="T54" s="11">
        <v>577.85687299999995</v>
      </c>
      <c r="U54" s="11">
        <v>593.08898899999997</v>
      </c>
      <c r="V54" s="11">
        <v>608.41058299999997</v>
      </c>
      <c r="W54" s="11">
        <v>627.81951900000001</v>
      </c>
      <c r="X54" s="11">
        <v>643.52380400000004</v>
      </c>
      <c r="Y54" s="11">
        <v>659.00939900000003</v>
      </c>
      <c r="Z54" s="11">
        <v>672.45330799999999</v>
      </c>
      <c r="AA54" s="11">
        <v>688.06158400000004</v>
      </c>
      <c r="AB54" s="11">
        <v>703.17541500000004</v>
      </c>
      <c r="AC54" s="11">
        <v>722.85571300000004</v>
      </c>
      <c r="AD54" s="11">
        <v>739.11981200000002</v>
      </c>
      <c r="AE54" s="11">
        <v>762.54247999999995</v>
      </c>
      <c r="AF54" s="11">
        <v>778.72692900000004</v>
      </c>
      <c r="AG54" s="11">
        <v>801.10620100000006</v>
      </c>
      <c r="AH54" s="11">
        <v>821.13018799999998</v>
      </c>
      <c r="AI54" s="11">
        <v>842.68347200000005</v>
      </c>
      <c r="AJ54" s="11">
        <v>863.04638699999998</v>
      </c>
      <c r="AK54" s="10">
        <v>2.6143E-2</v>
      </c>
    </row>
    <row r="55" spans="1:37" ht="15" customHeight="1" x14ac:dyDescent="0.2">
      <c r="A55" s="9" t="s">
        <v>131</v>
      </c>
      <c r="B55" s="12" t="s">
        <v>132</v>
      </c>
      <c r="C55" s="11">
        <v>335.25210600000003</v>
      </c>
      <c r="D55" s="11">
        <v>344.80569500000001</v>
      </c>
      <c r="E55" s="11">
        <v>355.91439800000001</v>
      </c>
      <c r="F55" s="11">
        <v>364.49139400000001</v>
      </c>
      <c r="G55" s="11">
        <v>372.88668799999999</v>
      </c>
      <c r="H55" s="11">
        <v>385.39511099999999</v>
      </c>
      <c r="I55" s="11">
        <v>396.984894</v>
      </c>
      <c r="J55" s="11">
        <v>412.026794</v>
      </c>
      <c r="K55" s="11">
        <v>427.14080799999999</v>
      </c>
      <c r="L55" s="11">
        <v>443.45800800000001</v>
      </c>
      <c r="M55" s="11">
        <v>458.04431199999999</v>
      </c>
      <c r="N55" s="11">
        <v>473.545502</v>
      </c>
      <c r="O55" s="11">
        <v>486.27038599999997</v>
      </c>
      <c r="P55" s="11">
        <v>499.36261000000002</v>
      </c>
      <c r="Q55" s="11">
        <v>512.91210899999999</v>
      </c>
      <c r="R55" s="11">
        <v>526.49719200000004</v>
      </c>
      <c r="S55" s="11">
        <v>540.56518600000004</v>
      </c>
      <c r="T55" s="11">
        <v>555.142517</v>
      </c>
      <c r="U55" s="11">
        <v>570.07330300000001</v>
      </c>
      <c r="V55" s="11">
        <v>584.08892800000001</v>
      </c>
      <c r="W55" s="11">
        <v>598.43621800000005</v>
      </c>
      <c r="X55" s="11">
        <v>611.56848100000002</v>
      </c>
      <c r="Y55" s="11">
        <v>624.05041500000004</v>
      </c>
      <c r="Z55" s="11">
        <v>636.03527799999995</v>
      </c>
      <c r="AA55" s="11">
        <v>647.69818099999998</v>
      </c>
      <c r="AB55" s="11">
        <v>659.23889199999996</v>
      </c>
      <c r="AC55" s="11">
        <v>670.48388699999998</v>
      </c>
      <c r="AD55" s="11">
        <v>682.11712599999998</v>
      </c>
      <c r="AE55" s="11">
        <v>694.73767099999998</v>
      </c>
      <c r="AF55" s="11">
        <v>707.856628</v>
      </c>
      <c r="AG55" s="11">
        <v>722.58007799999996</v>
      </c>
      <c r="AH55" s="11">
        <v>737.86242700000003</v>
      </c>
      <c r="AI55" s="11">
        <v>753.37652600000001</v>
      </c>
      <c r="AJ55" s="11">
        <v>768.47631799999999</v>
      </c>
      <c r="AK55" s="10">
        <v>2.5361000000000002E-2</v>
      </c>
    </row>
    <row r="56" spans="1:37" ht="15" customHeight="1" x14ac:dyDescent="0.2">
      <c r="A56" s="9" t="s">
        <v>133</v>
      </c>
      <c r="B56" s="12" t="s">
        <v>134</v>
      </c>
      <c r="C56" s="11">
        <v>917.30078100000003</v>
      </c>
      <c r="D56" s="11">
        <v>947.33477800000003</v>
      </c>
      <c r="E56" s="11">
        <v>983.74700900000005</v>
      </c>
      <c r="F56" s="11">
        <v>1012.30603</v>
      </c>
      <c r="G56" s="11">
        <v>1041.4019780000001</v>
      </c>
      <c r="H56" s="11">
        <v>1051.0329589999999</v>
      </c>
      <c r="I56" s="11">
        <v>1068.213013</v>
      </c>
      <c r="J56" s="11">
        <v>1081.862061</v>
      </c>
      <c r="K56" s="11">
        <v>1110.3580320000001</v>
      </c>
      <c r="L56" s="11">
        <v>1141.6839600000001</v>
      </c>
      <c r="M56" s="11">
        <v>1180.9959719999999</v>
      </c>
      <c r="N56" s="11">
        <v>1216.8160399999999</v>
      </c>
      <c r="O56" s="11">
        <v>1248.0500489999999</v>
      </c>
      <c r="P56" s="11">
        <v>1276.366943</v>
      </c>
      <c r="Q56" s="11">
        <v>1304.1689449999999</v>
      </c>
      <c r="R56" s="11">
        <v>1336.470947</v>
      </c>
      <c r="S56" s="11">
        <v>1369.3170170000001</v>
      </c>
      <c r="T56" s="11">
        <v>1405.348999</v>
      </c>
      <c r="U56" s="11">
        <v>1444.974976</v>
      </c>
      <c r="V56" s="11">
        <v>1484.704956</v>
      </c>
      <c r="W56" s="11">
        <v>1525.260986</v>
      </c>
      <c r="X56" s="11">
        <v>1567.262939</v>
      </c>
      <c r="Y56" s="11">
        <v>1609.843018</v>
      </c>
      <c r="Z56" s="11">
        <v>1650.6689449999999</v>
      </c>
      <c r="AA56" s="11">
        <v>1687.729004</v>
      </c>
      <c r="AB56" s="11">
        <v>1728.4060059999999</v>
      </c>
      <c r="AC56" s="11">
        <v>1774.5429690000001</v>
      </c>
      <c r="AD56" s="11">
        <v>1822.339966</v>
      </c>
      <c r="AE56" s="11">
        <v>1872.7270510000001</v>
      </c>
      <c r="AF56" s="11">
        <v>1924.7170410000001</v>
      </c>
      <c r="AG56" s="11">
        <v>1975.448975</v>
      </c>
      <c r="AH56" s="11">
        <v>2028.014038</v>
      </c>
      <c r="AI56" s="11">
        <v>2082.6469729999999</v>
      </c>
      <c r="AJ56" s="11">
        <v>2137.538086</v>
      </c>
      <c r="AK56" s="10">
        <v>2.5756000000000001E-2</v>
      </c>
    </row>
    <row r="57" spans="1:37" ht="15" customHeight="1" x14ac:dyDescent="0.2">
      <c r="A57" s="9" t="s">
        <v>135</v>
      </c>
      <c r="B57" s="12" t="s">
        <v>136</v>
      </c>
      <c r="C57" s="11">
        <v>114.091301</v>
      </c>
      <c r="D57" s="11">
        <v>118.239197</v>
      </c>
      <c r="E57" s="11">
        <v>122.897003</v>
      </c>
      <c r="F57" s="11">
        <v>124.14810199999999</v>
      </c>
      <c r="G57" s="11">
        <v>125.042</v>
      </c>
      <c r="H57" s="11">
        <v>128.173203</v>
      </c>
      <c r="I57" s="11">
        <v>132.35429400000001</v>
      </c>
      <c r="J57" s="11">
        <v>137.05969200000001</v>
      </c>
      <c r="K57" s="11">
        <v>141.887405</v>
      </c>
      <c r="L57" s="11">
        <v>146.63960299999999</v>
      </c>
      <c r="M57" s="11">
        <v>150.13859600000001</v>
      </c>
      <c r="N57" s="11">
        <v>154.05659499999999</v>
      </c>
      <c r="O57" s="11">
        <v>158.26759300000001</v>
      </c>
      <c r="P57" s="11">
        <v>161.77619899999999</v>
      </c>
      <c r="Q57" s="11">
        <v>166.00309799999999</v>
      </c>
      <c r="R57" s="11">
        <v>170.797394</v>
      </c>
      <c r="S57" s="11">
        <v>175.37390099999999</v>
      </c>
      <c r="T57" s="11">
        <v>180.478195</v>
      </c>
      <c r="U57" s="11">
        <v>186.40699799999999</v>
      </c>
      <c r="V57" s="11">
        <v>192.471802</v>
      </c>
      <c r="W57" s="11">
        <v>198.72650100000001</v>
      </c>
      <c r="X57" s="11">
        <v>204.770599</v>
      </c>
      <c r="Y57" s="11">
        <v>210.24719200000001</v>
      </c>
      <c r="Z57" s="11">
        <v>214.855301</v>
      </c>
      <c r="AA57" s="11">
        <v>219.12350499999999</v>
      </c>
      <c r="AB57" s="11">
        <v>223.40220600000001</v>
      </c>
      <c r="AC57" s="11">
        <v>228.12629699999999</v>
      </c>
      <c r="AD57" s="11">
        <v>233.176895</v>
      </c>
      <c r="AE57" s="11">
        <v>238.764206</v>
      </c>
      <c r="AF57" s="11">
        <v>244.82730100000001</v>
      </c>
      <c r="AG57" s="11">
        <v>251.32139599999999</v>
      </c>
      <c r="AH57" s="11">
        <v>258.66281099999998</v>
      </c>
      <c r="AI57" s="11">
        <v>266.35730000000001</v>
      </c>
      <c r="AJ57" s="11">
        <v>273.70410199999998</v>
      </c>
      <c r="AK57" s="10">
        <v>2.6575999999999999E-2</v>
      </c>
    </row>
    <row r="58" spans="1:37" ht="15" customHeight="1" x14ac:dyDescent="0.2">
      <c r="A58" s="9" t="s">
        <v>137</v>
      </c>
      <c r="B58" s="12" t="s">
        <v>138</v>
      </c>
      <c r="C58" s="11">
        <v>152.09570299999999</v>
      </c>
      <c r="D58" s="11">
        <v>148.602203</v>
      </c>
      <c r="E58" s="11">
        <v>153.08630400000001</v>
      </c>
      <c r="F58" s="11">
        <v>156.53450000000001</v>
      </c>
      <c r="G58" s="11">
        <v>159.88909899999999</v>
      </c>
      <c r="H58" s="11">
        <v>163.79379299999999</v>
      </c>
      <c r="I58" s="11">
        <v>168.06089800000001</v>
      </c>
      <c r="J58" s="11">
        <v>173.04449500000001</v>
      </c>
      <c r="K58" s="11">
        <v>178.55740399999999</v>
      </c>
      <c r="L58" s="11">
        <v>184.23840300000001</v>
      </c>
      <c r="M58" s="11">
        <v>189.62390099999999</v>
      </c>
      <c r="N58" s="11">
        <v>195.507599</v>
      </c>
      <c r="O58" s="11">
        <v>201.87359599999999</v>
      </c>
      <c r="P58" s="11">
        <v>208.31779499999999</v>
      </c>
      <c r="Q58" s="11">
        <v>214.77900700000001</v>
      </c>
      <c r="R58" s="11">
        <v>221.34910600000001</v>
      </c>
      <c r="S58" s="11">
        <v>228.077698</v>
      </c>
      <c r="T58" s="11">
        <v>235.303406</v>
      </c>
      <c r="U58" s="11">
        <v>242.80900600000001</v>
      </c>
      <c r="V58" s="11">
        <v>250.53590399999999</v>
      </c>
      <c r="W58" s="11">
        <v>258.29620399999999</v>
      </c>
      <c r="X58" s="11">
        <v>266.22070300000001</v>
      </c>
      <c r="Y58" s="11">
        <v>274.151794</v>
      </c>
      <c r="Z58" s="11">
        <v>282.11498999999998</v>
      </c>
      <c r="AA58" s="11">
        <v>290.02719100000002</v>
      </c>
      <c r="AB58" s="11">
        <v>297.82019000000003</v>
      </c>
      <c r="AC58" s="11">
        <v>305.86889600000001</v>
      </c>
      <c r="AD58" s="11">
        <v>314.23370399999999</v>
      </c>
      <c r="AE58" s="11">
        <v>322.760986</v>
      </c>
      <c r="AF58" s="11">
        <v>331.447205</v>
      </c>
      <c r="AG58" s="11">
        <v>340.50689699999998</v>
      </c>
      <c r="AH58" s="11">
        <v>349.78259300000002</v>
      </c>
      <c r="AI58" s="11">
        <v>359.24798600000003</v>
      </c>
      <c r="AJ58" s="11">
        <v>368.82659899999999</v>
      </c>
      <c r="AK58" s="10">
        <v>2.8815E-2</v>
      </c>
    </row>
    <row r="60" spans="1:37" ht="15" customHeight="1" x14ac:dyDescent="0.15">
      <c r="A60" s="9" t="s">
        <v>139</v>
      </c>
      <c r="B60" s="8" t="s">
        <v>140</v>
      </c>
      <c r="C60" s="7">
        <v>7444.4067379999997</v>
      </c>
      <c r="D60" s="7">
        <v>7686.2875979999999</v>
      </c>
      <c r="E60" s="7">
        <v>7987.1069340000004</v>
      </c>
      <c r="F60" s="7">
        <v>8152.8706050000001</v>
      </c>
      <c r="G60" s="7">
        <v>8276.1816409999992</v>
      </c>
      <c r="H60" s="7">
        <v>8398.9765619999998</v>
      </c>
      <c r="I60" s="7">
        <v>8524.0332030000009</v>
      </c>
      <c r="J60" s="7">
        <v>8651.4619139999995</v>
      </c>
      <c r="K60" s="7">
        <v>8802.5957030000009</v>
      </c>
      <c r="L60" s="7">
        <v>8961.9628909999992</v>
      </c>
      <c r="M60" s="7">
        <v>9111.3212889999995</v>
      </c>
      <c r="N60" s="7">
        <v>9279.2226559999999</v>
      </c>
      <c r="O60" s="7">
        <v>9426.7265619999998</v>
      </c>
      <c r="P60" s="7">
        <v>9569.8476559999999</v>
      </c>
      <c r="Q60" s="7">
        <v>9732.4912110000005</v>
      </c>
      <c r="R60" s="7">
        <v>9890.1972659999992</v>
      </c>
      <c r="S60" s="7">
        <v>10050.737305000001</v>
      </c>
      <c r="T60" s="7">
        <v>10219.731444999999</v>
      </c>
      <c r="U60" s="7">
        <v>10399.767578000001</v>
      </c>
      <c r="V60" s="7">
        <v>10578.618164</v>
      </c>
      <c r="W60" s="7">
        <v>10762.755859000001</v>
      </c>
      <c r="X60" s="7">
        <v>10951.209961</v>
      </c>
      <c r="Y60" s="7">
        <v>11125.876953000001</v>
      </c>
      <c r="Z60" s="7">
        <v>11298.741211</v>
      </c>
      <c r="AA60" s="7">
        <v>11474.664062</v>
      </c>
      <c r="AB60" s="7">
        <v>11647.585938</v>
      </c>
      <c r="AC60" s="7">
        <v>11829.551758</v>
      </c>
      <c r="AD60" s="7">
        <v>12023.950194999999</v>
      </c>
      <c r="AE60" s="7">
        <v>12232.412109000001</v>
      </c>
      <c r="AF60" s="7">
        <v>12441.259765999999</v>
      </c>
      <c r="AG60" s="7">
        <v>12657.641602</v>
      </c>
      <c r="AH60" s="7">
        <v>12878.206055000001</v>
      </c>
      <c r="AI60" s="7">
        <v>13090.664062</v>
      </c>
      <c r="AJ60" s="7">
        <v>13311.650390999999</v>
      </c>
      <c r="AK60" s="6">
        <v>1.7311E-2</v>
      </c>
    </row>
    <row r="61" spans="1:37" ht="15" customHeight="1" thickBot="1" x14ac:dyDescent="0.2"/>
    <row r="62" spans="1:37" ht="15" customHeight="1" x14ac:dyDescent="0.15">
      <c r="B62" s="46" t="s">
        <v>141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</row>
    <row r="63" spans="1:37" ht="15" customHeight="1" x14ac:dyDescent="0.15">
      <c r="B63" s="5" t="s">
        <v>142</v>
      </c>
    </row>
    <row r="64" spans="1:37" ht="15" customHeight="1" x14ac:dyDescent="0.15">
      <c r="B64" s="5" t="s">
        <v>143</v>
      </c>
    </row>
    <row r="65" spans="2:2" ht="15" customHeight="1" x14ac:dyDescent="0.15">
      <c r="B65" s="5" t="s">
        <v>144</v>
      </c>
    </row>
  </sheetData>
  <mergeCells count="1">
    <mergeCell ref="B62:AK62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FD58-0F80-41A9-93C3-0DDC5091E86B}">
  <dimension ref="A1:K22"/>
  <sheetViews>
    <sheetView showGridLines="0" workbookViewId="0"/>
  </sheetViews>
  <sheetFormatPr baseColWidth="10" defaultColWidth="8.83203125" defaultRowHeight="15" x14ac:dyDescent="0.2"/>
  <cols>
    <col min="3" max="3" width="44.5" customWidth="1"/>
  </cols>
  <sheetData>
    <row r="1" spans="1:11" ht="16" thickBot="1" x14ac:dyDescent="0.25">
      <c r="A1" s="3" t="s">
        <v>145</v>
      </c>
      <c r="K1" t="s">
        <v>146</v>
      </c>
    </row>
    <row r="2" spans="1:11" ht="16" thickBot="1" x14ac:dyDescent="0.25">
      <c r="A2" s="50" t="s">
        <v>147</v>
      </c>
      <c r="B2" s="51"/>
      <c r="C2" s="52"/>
      <c r="D2" s="27">
        <v>2018</v>
      </c>
      <c r="E2" s="27">
        <v>2019</v>
      </c>
      <c r="F2" s="27">
        <v>2020</v>
      </c>
      <c r="G2" s="27">
        <v>2021</v>
      </c>
      <c r="H2" s="28"/>
    </row>
    <row r="3" spans="1:11" ht="16" thickBot="1" x14ac:dyDescent="0.25">
      <c r="A3" s="53" t="s">
        <v>148</v>
      </c>
      <c r="B3" s="54"/>
      <c r="C3" s="55"/>
      <c r="D3" s="29">
        <v>0.1</v>
      </c>
      <c r="E3" s="29">
        <v>0.1</v>
      </c>
      <c r="F3" s="29">
        <v>0.1</v>
      </c>
      <c r="G3" s="29">
        <v>0.1</v>
      </c>
      <c r="H3" s="29"/>
    </row>
    <row r="4" spans="1:11" ht="16" thickBot="1" x14ac:dyDescent="0.25">
      <c r="A4" s="53" t="s">
        <v>149</v>
      </c>
      <c r="B4" s="54"/>
      <c r="C4" s="55"/>
      <c r="D4" s="29">
        <v>1</v>
      </c>
      <c r="E4" s="29">
        <v>1.1000000000000001</v>
      </c>
      <c r="F4" s="29">
        <v>1</v>
      </c>
      <c r="G4" s="29">
        <v>1</v>
      </c>
      <c r="H4" s="29"/>
    </row>
    <row r="5" spans="1:11" ht="16" thickBot="1" x14ac:dyDescent="0.25">
      <c r="A5" s="53" t="s">
        <v>150</v>
      </c>
      <c r="B5" s="54"/>
      <c r="C5" s="55"/>
      <c r="D5" s="29">
        <v>1.3</v>
      </c>
      <c r="E5" s="29">
        <v>1.2</v>
      </c>
      <c r="F5" s="29">
        <v>1.4</v>
      </c>
      <c r="G5" s="29">
        <v>1.3</v>
      </c>
      <c r="H5" s="29"/>
    </row>
    <row r="6" spans="1:11" ht="16" thickBot="1" x14ac:dyDescent="0.25">
      <c r="A6" s="53" t="s">
        <v>151</v>
      </c>
      <c r="B6" s="54"/>
      <c r="C6" s="55"/>
      <c r="D6" s="29">
        <v>4.5</v>
      </c>
      <c r="E6" s="29">
        <v>4.2</v>
      </c>
      <c r="F6" s="29">
        <v>4.0999999999999996</v>
      </c>
      <c r="G6" s="29">
        <v>4</v>
      </c>
      <c r="H6" s="29"/>
    </row>
    <row r="7" spans="1:11" ht="16" thickBot="1" x14ac:dyDescent="0.25">
      <c r="A7" s="47" t="s">
        <v>152</v>
      </c>
      <c r="B7" s="48"/>
      <c r="C7" s="49"/>
      <c r="D7" s="30">
        <v>93.1</v>
      </c>
      <c r="E7" s="30">
        <v>93.4</v>
      </c>
      <c r="F7" s="30">
        <v>93.4</v>
      </c>
      <c r="G7" s="30">
        <v>93.7</v>
      </c>
      <c r="H7" s="30"/>
    </row>
    <row r="8" spans="1:11" ht="16" thickBot="1" x14ac:dyDescent="0.25">
      <c r="A8" s="56"/>
      <c r="B8" s="53" t="s">
        <v>153</v>
      </c>
      <c r="C8" s="55"/>
      <c r="D8" s="29">
        <v>21.3</v>
      </c>
      <c r="E8" s="29">
        <v>19.5</v>
      </c>
      <c r="F8" s="29">
        <v>18.399999999999999</v>
      </c>
      <c r="G8" s="29">
        <v>19.399999999999999</v>
      </c>
      <c r="H8" s="29"/>
    </row>
    <row r="9" spans="1:11" ht="16" thickBot="1" x14ac:dyDescent="0.25">
      <c r="A9" s="57"/>
      <c r="B9" s="56"/>
      <c r="C9" s="31" t="s">
        <v>154</v>
      </c>
      <c r="D9" s="32">
        <v>17.2</v>
      </c>
      <c r="E9" s="32">
        <v>16.100000000000001</v>
      </c>
      <c r="F9" s="32">
        <v>15.9</v>
      </c>
      <c r="G9" s="32">
        <v>16.8</v>
      </c>
      <c r="H9" s="32"/>
    </row>
    <row r="10" spans="1:11" ht="16" thickBot="1" x14ac:dyDescent="0.25">
      <c r="A10" s="57"/>
      <c r="B10" s="58"/>
      <c r="C10" s="31" t="s">
        <v>155</v>
      </c>
      <c r="D10" s="32">
        <v>4.0999999999999996</v>
      </c>
      <c r="E10" s="32">
        <v>3.4</v>
      </c>
      <c r="F10" s="32">
        <v>2.5</v>
      </c>
      <c r="G10" s="32">
        <v>2.6</v>
      </c>
      <c r="H10" s="32"/>
    </row>
    <row r="11" spans="1:11" ht="16" thickBot="1" x14ac:dyDescent="0.25">
      <c r="A11" s="57"/>
      <c r="B11" s="59" t="s">
        <v>156</v>
      </c>
      <c r="C11" s="60"/>
      <c r="D11" s="29">
        <v>3.4</v>
      </c>
      <c r="E11" s="29">
        <v>2.8</v>
      </c>
      <c r="F11" s="29">
        <v>1.4</v>
      </c>
      <c r="G11" s="29">
        <v>1.7</v>
      </c>
      <c r="H11" s="29"/>
    </row>
    <row r="12" spans="1:11" ht="16" thickBot="1" x14ac:dyDescent="0.25">
      <c r="A12" s="57"/>
      <c r="B12" s="53" t="s">
        <v>157</v>
      </c>
      <c r="C12" s="55"/>
      <c r="D12" s="29">
        <v>5.9</v>
      </c>
      <c r="E12" s="29">
        <v>5.5</v>
      </c>
      <c r="F12" s="29">
        <v>4.5</v>
      </c>
      <c r="G12" s="29">
        <v>7.3</v>
      </c>
      <c r="H12" s="29"/>
    </row>
    <row r="13" spans="1:11" ht="16" thickBot="1" x14ac:dyDescent="0.25">
      <c r="A13" s="57"/>
      <c r="B13" s="56"/>
      <c r="C13" s="31" t="s">
        <v>158</v>
      </c>
      <c r="D13" s="32">
        <v>5.5</v>
      </c>
      <c r="E13" s="32">
        <v>5.2</v>
      </c>
      <c r="F13" s="32">
        <v>4</v>
      </c>
      <c r="G13" s="32">
        <v>6.9</v>
      </c>
      <c r="H13" s="32"/>
    </row>
    <row r="14" spans="1:11" ht="16" thickBot="1" x14ac:dyDescent="0.25">
      <c r="A14" s="57"/>
      <c r="B14" s="58"/>
      <c r="C14" s="31" t="s">
        <v>159</v>
      </c>
      <c r="D14" s="32">
        <v>0.3</v>
      </c>
      <c r="E14" s="32">
        <v>0.3</v>
      </c>
      <c r="F14" s="32">
        <v>0.4</v>
      </c>
      <c r="G14" s="32">
        <v>0.4</v>
      </c>
      <c r="H14" s="32"/>
    </row>
    <row r="15" spans="1:11" ht="16" thickBot="1" x14ac:dyDescent="0.25">
      <c r="A15" s="57"/>
      <c r="B15" s="53" t="s">
        <v>160</v>
      </c>
      <c r="C15" s="55"/>
      <c r="D15" s="29">
        <v>3.4</v>
      </c>
      <c r="E15" s="29">
        <v>3.5</v>
      </c>
      <c r="F15" s="29">
        <v>3.7</v>
      </c>
      <c r="G15" s="29">
        <v>3.6</v>
      </c>
      <c r="H15" s="29"/>
    </row>
    <row r="16" spans="1:11" ht="16" thickBot="1" x14ac:dyDescent="0.25">
      <c r="A16" s="57"/>
      <c r="B16" s="53" t="s">
        <v>161</v>
      </c>
      <c r="C16" s="55"/>
      <c r="D16" s="29">
        <v>19.8</v>
      </c>
      <c r="E16" s="29">
        <v>21.2</v>
      </c>
      <c r="F16" s="29">
        <v>23.4</v>
      </c>
      <c r="G16" s="29">
        <v>21.3</v>
      </c>
      <c r="H16" s="29"/>
    </row>
    <row r="17" spans="1:9" ht="16" thickBot="1" x14ac:dyDescent="0.25">
      <c r="A17" s="57"/>
      <c r="B17" s="53" t="s">
        <v>162</v>
      </c>
      <c r="C17" s="55"/>
      <c r="D17" s="29">
        <v>10.4</v>
      </c>
      <c r="E17" s="29">
        <v>10.1</v>
      </c>
      <c r="F17" s="29">
        <v>9.5</v>
      </c>
      <c r="G17" s="29">
        <v>9.1</v>
      </c>
      <c r="H17" s="29"/>
    </row>
    <row r="18" spans="1:9" ht="16" thickBot="1" x14ac:dyDescent="0.25">
      <c r="A18" s="57"/>
      <c r="B18" s="56"/>
      <c r="C18" s="31" t="s">
        <v>163</v>
      </c>
      <c r="D18" s="32">
        <v>4.5999999999999996</v>
      </c>
      <c r="E18" s="32">
        <v>4.5</v>
      </c>
      <c r="F18" s="32">
        <v>4.2</v>
      </c>
      <c r="G18" s="32">
        <v>3.9</v>
      </c>
      <c r="H18" s="32"/>
      <c r="I18" s="34"/>
    </row>
    <row r="19" spans="1:9" ht="16" thickBot="1" x14ac:dyDescent="0.25">
      <c r="A19" s="57"/>
      <c r="B19" s="58"/>
      <c r="C19" s="31" t="s">
        <v>164</v>
      </c>
      <c r="D19" s="32">
        <v>5.8</v>
      </c>
      <c r="E19" s="32">
        <v>5.6</v>
      </c>
      <c r="F19" s="32">
        <v>5.3</v>
      </c>
      <c r="G19" s="32">
        <v>5.3</v>
      </c>
      <c r="H19" s="32"/>
    </row>
    <row r="20" spans="1:9" ht="16" thickBot="1" x14ac:dyDescent="0.25">
      <c r="A20" s="57"/>
      <c r="B20" s="53" t="s">
        <v>165</v>
      </c>
      <c r="C20" s="55"/>
      <c r="D20" s="29">
        <v>18.5</v>
      </c>
      <c r="E20" s="29">
        <v>19.600000000000001</v>
      </c>
      <c r="F20" s="29">
        <v>20.7</v>
      </c>
      <c r="G20" s="29">
        <v>20.5</v>
      </c>
      <c r="H20" s="29"/>
    </row>
    <row r="21" spans="1:9" ht="16" thickBot="1" x14ac:dyDescent="0.25">
      <c r="A21" s="58"/>
      <c r="B21" s="53" t="s">
        <v>166</v>
      </c>
      <c r="C21" s="55"/>
      <c r="D21" s="29">
        <v>10.5</v>
      </c>
      <c r="E21" s="29">
        <v>11.3</v>
      </c>
      <c r="F21" s="29">
        <v>11.8</v>
      </c>
      <c r="G21" s="29">
        <v>10.8</v>
      </c>
      <c r="H21" s="29"/>
    </row>
    <row r="22" spans="1:9" ht="16" thickBot="1" x14ac:dyDescent="0.25">
      <c r="A22" s="47" t="s">
        <v>167</v>
      </c>
      <c r="B22" s="48"/>
      <c r="C22" s="49"/>
      <c r="D22" s="30">
        <v>100</v>
      </c>
      <c r="E22" s="30">
        <v>100</v>
      </c>
      <c r="F22" s="30">
        <v>100</v>
      </c>
      <c r="G22" s="30">
        <v>100</v>
      </c>
      <c r="H22" s="30"/>
    </row>
  </sheetData>
  <mergeCells count="19">
    <mergeCell ref="B20:C20"/>
    <mergeCell ref="B21:C21"/>
    <mergeCell ref="A22:C22"/>
    <mergeCell ref="A8:A21"/>
    <mergeCell ref="B8:C8"/>
    <mergeCell ref="B9:B10"/>
    <mergeCell ref="B11:C11"/>
    <mergeCell ref="B12:C12"/>
    <mergeCell ref="B13:B14"/>
    <mergeCell ref="B15:C15"/>
    <mergeCell ref="B16:C16"/>
    <mergeCell ref="B17:C17"/>
    <mergeCell ref="B18:B19"/>
    <mergeCell ref="A7:C7"/>
    <mergeCell ref="A2:C2"/>
    <mergeCell ref="A3:C3"/>
    <mergeCell ref="A4:C4"/>
    <mergeCell ref="A5:C5"/>
    <mergeCell ref="A6:C6"/>
  </mergeCells>
  <hyperlinks>
    <hyperlink ref="B11" r:id="rId1" location="N1" display="https://www.censtatd.gov.hk/hkstat/sub/sp250.jsp?tableID=036&amp;ID=0&amp;productType=8 - N1" xr:uid="{3A57B898-98BF-4A2A-9FD9-CF728D4C9FF8}"/>
    <hyperlink ref="A1" r:id="rId2" xr:uid="{D20492F3-B55F-4D77-A9A8-50A21DC6297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59D2-D927-4200-B515-57C1BC614875}">
  <dimension ref="A1:D40"/>
  <sheetViews>
    <sheetView showGridLines="0" tabSelected="1" workbookViewId="0">
      <selection activeCell="B35" sqref="B35:B36"/>
    </sheetView>
  </sheetViews>
  <sheetFormatPr baseColWidth="10" defaultColWidth="8.83203125" defaultRowHeight="15" x14ac:dyDescent="0.2"/>
  <cols>
    <col min="2" max="2" width="14" customWidth="1"/>
  </cols>
  <sheetData>
    <row r="1" spans="1:4" x14ac:dyDescent="0.2">
      <c r="A1" t="s">
        <v>168</v>
      </c>
      <c r="C1" t="s">
        <v>169</v>
      </c>
    </row>
    <row r="2" spans="1:4" x14ac:dyDescent="0.2">
      <c r="B2" t="s">
        <v>170</v>
      </c>
    </row>
    <row r="3" spans="1:4" x14ac:dyDescent="0.2">
      <c r="B3" t="s">
        <v>171</v>
      </c>
      <c r="C3" t="s">
        <v>172</v>
      </c>
      <c r="D3" t="s">
        <v>173</v>
      </c>
    </row>
    <row r="4" spans="1:4" x14ac:dyDescent="0.2">
      <c r="B4" t="s">
        <v>174</v>
      </c>
    </row>
    <row r="5" spans="1:4" x14ac:dyDescent="0.2">
      <c r="A5" t="s">
        <v>175</v>
      </c>
      <c r="B5" s="38">
        <v>2490598</v>
      </c>
      <c r="C5" s="36">
        <v>3.5000000000000003E-2</v>
      </c>
      <c r="D5" s="39">
        <v>349958.94941412815</v>
      </c>
    </row>
    <row r="6" spans="1:4" x14ac:dyDescent="0.2">
      <c r="A6">
        <v>2017</v>
      </c>
      <c r="B6" s="38">
        <v>2659611</v>
      </c>
      <c r="C6" s="36">
        <v>3.5000000000000003E-2</v>
      </c>
      <c r="D6" s="39">
        <v>370791.18335935759</v>
      </c>
    </row>
    <row r="7" spans="1:4" x14ac:dyDescent="0.2">
      <c r="A7">
        <v>2018</v>
      </c>
      <c r="B7" s="38">
        <v>2835429</v>
      </c>
      <c r="C7" s="36">
        <v>3.5000000000000003E-2</v>
      </c>
      <c r="D7" s="39">
        <v>392294.88917789643</v>
      </c>
    </row>
    <row r="8" spans="1:4" x14ac:dyDescent="0.2">
      <c r="A8">
        <v>2019</v>
      </c>
      <c r="B8" s="38">
        <v>2845022</v>
      </c>
      <c r="C8" s="36">
        <v>3.5000000000000003E-2</v>
      </c>
      <c r="D8" s="39">
        <v>389121.37210383784</v>
      </c>
    </row>
    <row r="9" spans="1:4" x14ac:dyDescent="0.2">
      <c r="A9">
        <v>2020</v>
      </c>
      <c r="B9" s="38">
        <v>2675793</v>
      </c>
      <c r="C9" s="36">
        <v>3.5000000000000003E-2</v>
      </c>
      <c r="D9" s="39">
        <v>362004.57275826612</v>
      </c>
    </row>
    <row r="10" spans="1:4" x14ac:dyDescent="0.2">
      <c r="A10">
        <v>2021</v>
      </c>
      <c r="B10" s="38">
        <v>2867622</v>
      </c>
      <c r="C10" s="36">
        <v>3.5000000000000003E-2</v>
      </c>
      <c r="D10" s="39">
        <v>390969.06029079499</v>
      </c>
    </row>
    <row r="11" spans="1:4" x14ac:dyDescent="0.2">
      <c r="A11">
        <v>2022</v>
      </c>
      <c r="B11" s="38">
        <v>2818046</v>
      </c>
      <c r="C11" s="36">
        <v>0.03</v>
      </c>
      <c r="D11" s="39">
        <v>391689.04456119868</v>
      </c>
    </row>
    <row r="12" spans="1:4" x14ac:dyDescent="0.2">
      <c r="A12">
        <v>2023</v>
      </c>
      <c r="B12" s="38">
        <v>2902587</v>
      </c>
      <c r="C12" s="36">
        <v>0.03</v>
      </c>
      <c r="D12" s="39">
        <v>400395.53887961595</v>
      </c>
    </row>
    <row r="13" spans="1:4" x14ac:dyDescent="0.2">
      <c r="A13">
        <v>2024</v>
      </c>
      <c r="B13" s="35">
        <f t="shared" ref="B13:B38" si="0">B12*(1+C12)</f>
        <v>2989664.61</v>
      </c>
      <c r="C13" s="36">
        <v>0.03</v>
      </c>
      <c r="D13" s="39">
        <v>410104.93846364884</v>
      </c>
    </row>
    <row r="14" spans="1:4" x14ac:dyDescent="0.2">
      <c r="A14">
        <v>2025</v>
      </c>
      <c r="B14" s="35">
        <f t="shared" si="0"/>
        <v>3079354.5482999999</v>
      </c>
      <c r="C14" s="36">
        <v>0.03</v>
      </c>
      <c r="D14" s="39">
        <v>420464.37612709421</v>
      </c>
    </row>
    <row r="15" spans="1:4" x14ac:dyDescent="0.2">
      <c r="A15">
        <v>2026</v>
      </c>
      <c r="B15" s="35">
        <f t="shared" si="0"/>
        <v>3171735.1847489998</v>
      </c>
      <c r="C15" s="36">
        <v>2.5000000000000001E-2</v>
      </c>
      <c r="D15" s="39">
        <v>430883.79296091024</v>
      </c>
    </row>
    <row r="16" spans="1:4" x14ac:dyDescent="0.2">
      <c r="A16">
        <v>2027</v>
      </c>
      <c r="B16" s="35">
        <f t="shared" si="0"/>
        <v>3251028.5643677246</v>
      </c>
      <c r="C16" s="36">
        <v>2.5000000000000001E-2</v>
      </c>
      <c r="D16" s="39">
        <v>439132.41257073084</v>
      </c>
    </row>
    <row r="17" spans="1:4" x14ac:dyDescent="0.2">
      <c r="A17">
        <v>2028</v>
      </c>
      <c r="B17" s="35">
        <f t="shared" si="0"/>
        <v>3332304.2784769172</v>
      </c>
      <c r="C17" s="36">
        <v>2.5000000000000001E-2</v>
      </c>
      <c r="D17" s="39">
        <v>447289.22345429705</v>
      </c>
    </row>
    <row r="18" spans="1:4" x14ac:dyDescent="0.2">
      <c r="A18">
        <v>2029</v>
      </c>
      <c r="B18" s="35">
        <f t="shared" si="0"/>
        <v>3415611.8854388399</v>
      </c>
      <c r="C18" s="36">
        <v>2.5000000000000001E-2</v>
      </c>
      <c r="D18" s="39">
        <v>455560.75712266273</v>
      </c>
    </row>
    <row r="19" spans="1:4" x14ac:dyDescent="0.2">
      <c r="A19">
        <v>2030</v>
      </c>
      <c r="B19" s="35">
        <f t="shared" si="0"/>
        <v>3501002.1825748105</v>
      </c>
      <c r="C19" s="36">
        <v>2.5000000000000001E-2</v>
      </c>
      <c r="D19" s="39">
        <v>464028.55488786288</v>
      </c>
    </row>
    <row r="20" spans="1:4" x14ac:dyDescent="0.2">
      <c r="A20">
        <v>2031</v>
      </c>
      <c r="B20" s="35">
        <f>B19*(1+C19)</f>
        <v>3588527.2371391803</v>
      </c>
      <c r="C20" s="36">
        <v>2.5000000000000001E-2</v>
      </c>
      <c r="D20" s="39">
        <v>472803.02862236602</v>
      </c>
    </row>
    <row r="21" spans="1:4" x14ac:dyDescent="0.2">
      <c r="A21">
        <v>2032</v>
      </c>
      <c r="B21" s="35">
        <f t="shared" si="0"/>
        <v>3678240.4180676597</v>
      </c>
      <c r="C21" s="36">
        <v>2.5000000000000001E-2</v>
      </c>
      <c r="D21" s="39">
        <v>481798.29451095278</v>
      </c>
    </row>
    <row r="22" spans="1:4" x14ac:dyDescent="0.2">
      <c r="A22">
        <v>2033</v>
      </c>
      <c r="B22" s="35">
        <f t="shared" si="0"/>
        <v>3770196.4285193509</v>
      </c>
      <c r="C22" s="36">
        <v>2.5000000000000001E-2</v>
      </c>
      <c r="D22" s="39">
        <v>490994.16855779995</v>
      </c>
    </row>
    <row r="23" spans="1:4" x14ac:dyDescent="0.2">
      <c r="A23">
        <v>2034</v>
      </c>
      <c r="B23" s="35">
        <f t="shared" si="0"/>
        <v>3864451.3392323344</v>
      </c>
      <c r="C23" s="36">
        <v>2.5000000000000001E-2</v>
      </c>
      <c r="D23" s="39">
        <v>500375.73580005404</v>
      </c>
    </row>
    <row r="24" spans="1:4" x14ac:dyDescent="0.2">
      <c r="A24">
        <v>2035</v>
      </c>
      <c r="B24" s="35">
        <f t="shared" si="0"/>
        <v>3961062.6227131425</v>
      </c>
      <c r="C24" s="36">
        <v>2.5000000000000001E-2</v>
      </c>
      <c r="D24" s="39">
        <v>509848.39187117323</v>
      </c>
    </row>
    <row r="25" spans="1:4" x14ac:dyDescent="0.2">
      <c r="A25">
        <v>2036</v>
      </c>
      <c r="B25" s="35">
        <f t="shared" si="0"/>
        <v>4060089.1882809708</v>
      </c>
      <c r="C25" s="36">
        <v>2.5000000000000001E-2</v>
      </c>
      <c r="D25" s="39">
        <v>519990.99895216321</v>
      </c>
    </row>
    <row r="26" spans="1:4" x14ac:dyDescent="0.2">
      <c r="A26">
        <v>2037</v>
      </c>
      <c r="B26" s="35">
        <f t="shared" si="0"/>
        <v>4161591.4179879948</v>
      </c>
      <c r="C26" s="36">
        <v>2.5000000000000001E-2</v>
      </c>
      <c r="D26" s="39">
        <v>530368.81742588535</v>
      </c>
    </row>
    <row r="27" spans="1:4" x14ac:dyDescent="0.2">
      <c r="A27">
        <v>2038</v>
      </c>
      <c r="B27" s="35">
        <f t="shared" si="0"/>
        <v>4265631.2034376943</v>
      </c>
      <c r="C27" s="36">
        <v>2.5000000000000001E-2</v>
      </c>
      <c r="D27" s="39">
        <v>541255.14044972719</v>
      </c>
    </row>
    <row r="28" spans="1:4" x14ac:dyDescent="0.2">
      <c r="A28">
        <v>2039</v>
      </c>
      <c r="B28" s="35">
        <f t="shared" si="0"/>
        <v>4372271.9835236361</v>
      </c>
      <c r="C28" s="36">
        <v>2.5000000000000001E-2</v>
      </c>
      <c r="D28" s="39">
        <v>552717.59761474084</v>
      </c>
    </row>
    <row r="29" spans="1:4" x14ac:dyDescent="0.2">
      <c r="A29">
        <v>2040</v>
      </c>
      <c r="B29" s="35">
        <f t="shared" si="0"/>
        <v>4481578.7831117269</v>
      </c>
      <c r="C29" s="36">
        <v>2.5000000000000001E-2</v>
      </c>
      <c r="D29" s="39">
        <v>564772.07503650722</v>
      </c>
    </row>
    <row r="30" spans="1:4" x14ac:dyDescent="0.2">
      <c r="A30">
        <v>2041</v>
      </c>
      <c r="B30" s="35">
        <f t="shared" si="0"/>
        <v>4593618.2526895199</v>
      </c>
      <c r="C30" s="36">
        <v>2.5000000000000001E-2</v>
      </c>
      <c r="D30" s="39">
        <v>577435.99835019023</v>
      </c>
    </row>
    <row r="31" spans="1:4" x14ac:dyDescent="0.2">
      <c r="A31">
        <v>2042</v>
      </c>
      <c r="B31" s="35">
        <f t="shared" si="0"/>
        <v>4708458.7090067575</v>
      </c>
      <c r="C31" s="36">
        <v>2.5000000000000001E-2</v>
      </c>
      <c r="D31" s="39">
        <v>590691.28795615654</v>
      </c>
    </row>
    <row r="32" spans="1:4" x14ac:dyDescent="0.2">
      <c r="A32">
        <v>2043</v>
      </c>
      <c r="B32" s="35">
        <f t="shared" si="0"/>
        <v>4826170.1767319264</v>
      </c>
      <c r="C32" s="36">
        <v>2.5000000000000001E-2</v>
      </c>
      <c r="D32" s="39">
        <v>604480.31169376266</v>
      </c>
    </row>
    <row r="33" spans="1:4" x14ac:dyDescent="0.2">
      <c r="A33">
        <v>2044</v>
      </c>
      <c r="B33" s="35">
        <f t="shared" si="0"/>
        <v>4946824.4311502241</v>
      </c>
      <c r="C33" s="36">
        <v>2.5000000000000001E-2</v>
      </c>
      <c r="D33" s="39">
        <v>618902.41073666327</v>
      </c>
    </row>
    <row r="34" spans="1:4" x14ac:dyDescent="0.2">
      <c r="A34">
        <v>2045</v>
      </c>
      <c r="B34" s="35">
        <f t="shared" si="0"/>
        <v>5070495.0419289796</v>
      </c>
      <c r="C34" s="36">
        <v>2.5000000000000001E-2</v>
      </c>
      <c r="D34" s="39">
        <v>633954.60300398874</v>
      </c>
    </row>
    <row r="35" spans="1:4" x14ac:dyDescent="0.2">
      <c r="A35">
        <v>2046</v>
      </c>
      <c r="B35" s="35">
        <f t="shared" si="0"/>
        <v>5197257.4179772036</v>
      </c>
      <c r="C35" s="36">
        <v>2.5000000000000001E-2</v>
      </c>
      <c r="D35" s="39">
        <v>649730.35696392902</v>
      </c>
    </row>
    <row r="36" spans="1:4" x14ac:dyDescent="0.2">
      <c r="A36">
        <v>2047</v>
      </c>
      <c r="B36" s="35">
        <f t="shared" si="0"/>
        <v>5327188.8534266334</v>
      </c>
      <c r="C36" s="36">
        <v>2.5000000000000001E-2</v>
      </c>
      <c r="D36" s="39">
        <v>667768.44550365</v>
      </c>
    </row>
    <row r="37" spans="1:4" x14ac:dyDescent="0.2">
      <c r="A37">
        <v>2048</v>
      </c>
      <c r="B37" s="35">
        <f t="shared" si="0"/>
        <v>5460368.5747622987</v>
      </c>
      <c r="C37" s="36">
        <v>2.5000000000000001E-2</v>
      </c>
      <c r="D37" s="39">
        <v>685373.32617310982</v>
      </c>
    </row>
    <row r="38" spans="1:4" x14ac:dyDescent="0.2">
      <c r="A38">
        <v>2049</v>
      </c>
      <c r="B38" s="35">
        <f t="shared" si="0"/>
        <v>5596877.7891313555</v>
      </c>
      <c r="C38" s="36">
        <v>2.5000000000000001E-2</v>
      </c>
      <c r="D38" s="39">
        <v>703744.31307200983</v>
      </c>
    </row>
    <row r="39" spans="1:4" x14ac:dyDescent="0.2">
      <c r="A39">
        <v>2050</v>
      </c>
      <c r="B39" s="35">
        <v>6232620.9488792457</v>
      </c>
      <c r="C39" s="36">
        <v>2.5000000000000001E-2</v>
      </c>
      <c r="D39" s="39">
        <v>785271.44714929583</v>
      </c>
    </row>
    <row r="40" spans="1:4" ht="16" thickBot="1" x14ac:dyDescent="0.25">
      <c r="A40">
        <v>2050</v>
      </c>
      <c r="B40" s="35">
        <v>6232621</v>
      </c>
      <c r="C40" s="37">
        <v>2.5000000000000001E-2</v>
      </c>
      <c r="D40" s="39">
        <v>687434.06484081468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4B69-4047-4436-8830-0FEBB335263F}">
  <dimension ref="A1:AJ19"/>
  <sheetViews>
    <sheetView showGridLines="0" workbookViewId="0">
      <selection activeCell="F28" sqref="F28"/>
    </sheetView>
  </sheetViews>
  <sheetFormatPr baseColWidth="10" defaultColWidth="8.83203125" defaultRowHeight="15" x14ac:dyDescent="0.2"/>
  <cols>
    <col min="1" max="1" width="26.33203125" customWidth="1"/>
    <col min="2" max="2" width="23.5" customWidth="1"/>
    <col min="3" max="3" width="11.33203125" customWidth="1"/>
    <col min="4" max="4" width="10.33203125" customWidth="1"/>
    <col min="5" max="36" width="12.6640625" bestFit="1" customWidth="1"/>
  </cols>
  <sheetData>
    <row r="1" spans="1:36" x14ac:dyDescent="0.2">
      <c r="A1" s="1" t="s">
        <v>176</v>
      </c>
      <c r="B1" s="1"/>
      <c r="C1" s="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171</v>
      </c>
      <c r="B2" t="s">
        <v>177</v>
      </c>
      <c r="C2" s="40">
        <v>2659611</v>
      </c>
      <c r="D2" s="38">
        <v>2835429</v>
      </c>
      <c r="E2" s="43">
        <v>2845022</v>
      </c>
      <c r="F2" s="43">
        <v>2675793</v>
      </c>
      <c r="G2" s="43">
        <v>2867622</v>
      </c>
      <c r="H2" s="43">
        <v>2818046</v>
      </c>
      <c r="I2" s="43">
        <v>2902587</v>
      </c>
      <c r="J2" s="43">
        <v>2989655</v>
      </c>
      <c r="K2" s="43">
        <v>3079355</v>
      </c>
      <c r="L2" s="43">
        <v>3171735</v>
      </c>
      <c r="M2" s="43">
        <v>3251029</v>
      </c>
      <c r="N2" s="43">
        <v>3332305</v>
      </c>
      <c r="O2" s="43">
        <v>3415612</v>
      </c>
      <c r="P2" s="43">
        <v>3501003</v>
      </c>
      <c r="Q2" s="43">
        <v>3588528</v>
      </c>
      <c r="R2" s="43">
        <v>3678241</v>
      </c>
      <c r="S2" s="43">
        <v>3770197</v>
      </c>
      <c r="T2" s="43">
        <v>3864452</v>
      </c>
      <c r="U2" s="43">
        <v>3961063</v>
      </c>
      <c r="V2" s="43">
        <v>4060090</v>
      </c>
      <c r="W2" s="43">
        <v>4161592</v>
      </c>
      <c r="X2" s="43">
        <v>4265632</v>
      </c>
      <c r="Y2" s="43">
        <v>4372273</v>
      </c>
      <c r="Z2" s="43">
        <v>4481579</v>
      </c>
      <c r="AA2" s="43">
        <v>4593619</v>
      </c>
      <c r="AB2" s="43">
        <v>4709459</v>
      </c>
      <c r="AC2" s="43">
        <v>4826171</v>
      </c>
      <c r="AD2" s="43">
        <v>4946825</v>
      </c>
      <c r="AE2" s="43">
        <v>5070496</v>
      </c>
      <c r="AF2" s="43">
        <v>5197258</v>
      </c>
      <c r="AG2" s="43">
        <v>5327190</v>
      </c>
      <c r="AH2" s="43">
        <v>5460369</v>
      </c>
      <c r="AI2" s="43">
        <v>5596879</v>
      </c>
      <c r="AJ2" s="43">
        <v>6232621</v>
      </c>
    </row>
    <row r="3" spans="1:36" x14ac:dyDescent="0.2">
      <c r="A3" t="s">
        <v>178</v>
      </c>
      <c r="B3" t="s">
        <v>179</v>
      </c>
      <c r="C3" s="41">
        <v>0.1</v>
      </c>
      <c r="D3" s="41">
        <v>0.1</v>
      </c>
      <c r="E3" s="41">
        <v>0.1</v>
      </c>
      <c r="F3" s="41">
        <v>0.1</v>
      </c>
      <c r="G3" s="41">
        <v>0.1</v>
      </c>
      <c r="H3" s="41">
        <v>0.1</v>
      </c>
      <c r="I3" s="41">
        <v>0.1</v>
      </c>
      <c r="J3" s="41">
        <v>0.1</v>
      </c>
      <c r="K3" s="41">
        <v>0.1</v>
      </c>
      <c r="L3" s="41">
        <v>0.1</v>
      </c>
      <c r="M3" s="41">
        <v>0.1</v>
      </c>
      <c r="N3" s="41">
        <v>0.1</v>
      </c>
      <c r="O3" s="41">
        <v>0.1</v>
      </c>
      <c r="P3" s="41">
        <v>0.1</v>
      </c>
      <c r="Q3" s="41">
        <v>0.1</v>
      </c>
      <c r="R3" s="41">
        <v>0.1</v>
      </c>
      <c r="S3" s="41">
        <v>0.1</v>
      </c>
      <c r="T3" s="41">
        <v>0.1</v>
      </c>
      <c r="U3" s="41">
        <v>0.1</v>
      </c>
      <c r="V3" s="41">
        <v>0.1</v>
      </c>
      <c r="W3" s="41">
        <v>0.1</v>
      </c>
      <c r="X3" s="41">
        <v>0.1</v>
      </c>
      <c r="Y3" s="41">
        <v>0.1</v>
      </c>
      <c r="Z3" s="41">
        <v>0.1</v>
      </c>
      <c r="AA3" s="41">
        <v>0.1</v>
      </c>
      <c r="AB3" s="41">
        <v>0.1</v>
      </c>
      <c r="AC3" s="41">
        <v>0.1</v>
      </c>
      <c r="AD3" s="41">
        <v>0.1</v>
      </c>
      <c r="AE3" s="41">
        <v>0.1</v>
      </c>
      <c r="AF3" s="41">
        <v>0.1</v>
      </c>
      <c r="AG3" s="41">
        <v>0.1</v>
      </c>
      <c r="AH3" s="41">
        <v>0.1</v>
      </c>
      <c r="AI3" s="41">
        <v>0.1</v>
      </c>
      <c r="AJ3" s="41">
        <v>0.1</v>
      </c>
    </row>
    <row r="4" spans="1:36" x14ac:dyDescent="0.2">
      <c r="A4" t="s">
        <v>180</v>
      </c>
      <c r="B4" t="s">
        <v>179</v>
      </c>
      <c r="C4" s="41">
        <v>1.1000000000000001</v>
      </c>
      <c r="D4" s="41">
        <f>C4+($AJ$4-$C$4)/33</f>
        <v>1.0696969696969698</v>
      </c>
      <c r="E4" s="41">
        <f t="shared" ref="E4:AI4" si="0">D4+($AJ$4-$C$4)/33</f>
        <v>1.0393939393939395</v>
      </c>
      <c r="F4" s="41">
        <f t="shared" si="0"/>
        <v>1.0090909090909093</v>
      </c>
      <c r="G4" s="41">
        <f t="shared" si="0"/>
        <v>0.97878787878787898</v>
      </c>
      <c r="H4" s="41">
        <f t="shared" si="0"/>
        <v>0.94848484848484871</v>
      </c>
      <c r="I4" s="41">
        <f t="shared" si="0"/>
        <v>0.91818181818181843</v>
      </c>
      <c r="J4" s="41">
        <f t="shared" si="0"/>
        <v>0.88787878787878816</v>
      </c>
      <c r="K4" s="41">
        <f t="shared" si="0"/>
        <v>0.85757575757575788</v>
      </c>
      <c r="L4" s="41">
        <f t="shared" si="0"/>
        <v>0.8272727272727276</v>
      </c>
      <c r="M4" s="41">
        <f t="shared" si="0"/>
        <v>0.79696969696969733</v>
      </c>
      <c r="N4" s="41">
        <f t="shared" si="0"/>
        <v>0.76666666666666705</v>
      </c>
      <c r="O4" s="41">
        <f t="shared" si="0"/>
        <v>0.73636363636363678</v>
      </c>
      <c r="P4" s="41">
        <f t="shared" si="0"/>
        <v>0.7060606060606065</v>
      </c>
      <c r="Q4" s="41">
        <f t="shared" si="0"/>
        <v>0.67575757575757622</v>
      </c>
      <c r="R4" s="41">
        <f t="shared" si="0"/>
        <v>0.64545454545454595</v>
      </c>
      <c r="S4" s="41">
        <f t="shared" si="0"/>
        <v>0.61515151515151567</v>
      </c>
      <c r="T4" s="41">
        <f t="shared" si="0"/>
        <v>0.58484848484848539</v>
      </c>
      <c r="U4" s="41">
        <f t="shared" si="0"/>
        <v>0.55454545454545512</v>
      </c>
      <c r="V4" s="41">
        <f t="shared" si="0"/>
        <v>0.52424242424242484</v>
      </c>
      <c r="W4" s="41">
        <f t="shared" si="0"/>
        <v>0.49393939393939457</v>
      </c>
      <c r="X4" s="41">
        <f t="shared" si="0"/>
        <v>0.46363636363636429</v>
      </c>
      <c r="Y4" s="41">
        <f t="shared" si="0"/>
        <v>0.43333333333333401</v>
      </c>
      <c r="Z4" s="41">
        <f t="shared" si="0"/>
        <v>0.40303030303030374</v>
      </c>
      <c r="AA4" s="41">
        <f t="shared" si="0"/>
        <v>0.37272727272727346</v>
      </c>
      <c r="AB4" s="41">
        <f t="shared" si="0"/>
        <v>0.34242424242424319</v>
      </c>
      <c r="AC4" s="41">
        <f t="shared" si="0"/>
        <v>0.31212121212121291</v>
      </c>
      <c r="AD4" s="41">
        <f t="shared" si="0"/>
        <v>0.28181818181818263</v>
      </c>
      <c r="AE4" s="41">
        <f t="shared" si="0"/>
        <v>0.25151515151515236</v>
      </c>
      <c r="AF4" s="41">
        <f t="shared" si="0"/>
        <v>0.22121212121212205</v>
      </c>
      <c r="AG4" s="41">
        <f t="shared" si="0"/>
        <v>0.19090909090909175</v>
      </c>
      <c r="AH4" s="41">
        <f t="shared" si="0"/>
        <v>0.16060606060606145</v>
      </c>
      <c r="AI4" s="41">
        <f t="shared" si="0"/>
        <v>0.13030303030303114</v>
      </c>
      <c r="AJ4" s="41">
        <v>0.1</v>
      </c>
    </row>
    <row r="5" spans="1:36" x14ac:dyDescent="0.2"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</row>
    <row r="6" spans="1:36" x14ac:dyDescent="0.2">
      <c r="A6" t="s">
        <v>178</v>
      </c>
      <c r="B6" t="s">
        <v>177</v>
      </c>
      <c r="C6" s="42">
        <f>C2*C3/100</f>
        <v>2659.6110000000003</v>
      </c>
      <c r="D6" s="42">
        <f t="shared" ref="D6:AJ6" si="1">D2*D3/100</f>
        <v>2835.4290000000001</v>
      </c>
      <c r="E6" s="42">
        <f t="shared" si="1"/>
        <v>2845.0219999999999</v>
      </c>
      <c r="F6" s="42">
        <f t="shared" si="1"/>
        <v>2675.7929999999997</v>
      </c>
      <c r="G6" s="42">
        <f t="shared" si="1"/>
        <v>2867.6220000000003</v>
      </c>
      <c r="H6" s="42">
        <f t="shared" si="1"/>
        <v>2818.0460000000003</v>
      </c>
      <c r="I6" s="42">
        <f t="shared" si="1"/>
        <v>2902.587</v>
      </c>
      <c r="J6" s="42">
        <f t="shared" si="1"/>
        <v>2989.6550000000002</v>
      </c>
      <c r="K6" s="42">
        <f t="shared" si="1"/>
        <v>3079.355</v>
      </c>
      <c r="L6" s="42">
        <f t="shared" si="1"/>
        <v>3171.7350000000001</v>
      </c>
      <c r="M6" s="42">
        <f t="shared" si="1"/>
        <v>3251.0290000000005</v>
      </c>
      <c r="N6" s="42">
        <f t="shared" si="1"/>
        <v>3332.3049999999998</v>
      </c>
      <c r="O6" s="42">
        <f t="shared" si="1"/>
        <v>3415.6120000000001</v>
      </c>
      <c r="P6" s="42">
        <f t="shared" si="1"/>
        <v>3501.0030000000006</v>
      </c>
      <c r="Q6" s="42">
        <f t="shared" si="1"/>
        <v>3588.5280000000002</v>
      </c>
      <c r="R6" s="42">
        <f t="shared" si="1"/>
        <v>3678.2410000000004</v>
      </c>
      <c r="S6" s="42">
        <f t="shared" si="1"/>
        <v>3770.1970000000001</v>
      </c>
      <c r="T6" s="42">
        <f t="shared" si="1"/>
        <v>3864.4520000000002</v>
      </c>
      <c r="U6" s="42">
        <f t="shared" si="1"/>
        <v>3961.0630000000006</v>
      </c>
      <c r="V6" s="42">
        <f t="shared" si="1"/>
        <v>4060.09</v>
      </c>
      <c r="W6" s="42">
        <f t="shared" si="1"/>
        <v>4161.5920000000006</v>
      </c>
      <c r="X6" s="42">
        <f t="shared" si="1"/>
        <v>4265.6320000000005</v>
      </c>
      <c r="Y6" s="42">
        <f t="shared" si="1"/>
        <v>4372.2730000000001</v>
      </c>
      <c r="Z6" s="42">
        <f t="shared" si="1"/>
        <v>4481.5790000000006</v>
      </c>
      <c r="AA6" s="42">
        <f t="shared" si="1"/>
        <v>4593.6190000000006</v>
      </c>
      <c r="AB6" s="42">
        <f t="shared" si="1"/>
        <v>4709.4589999999998</v>
      </c>
      <c r="AC6" s="42">
        <f t="shared" si="1"/>
        <v>4826.1710000000003</v>
      </c>
      <c r="AD6" s="42">
        <f t="shared" si="1"/>
        <v>4946.8249999999998</v>
      </c>
      <c r="AE6" s="42">
        <f t="shared" si="1"/>
        <v>5070.4960000000001</v>
      </c>
      <c r="AF6" s="42">
        <f t="shared" si="1"/>
        <v>5197.2580000000007</v>
      </c>
      <c r="AG6" s="42">
        <f t="shared" si="1"/>
        <v>5327.19</v>
      </c>
      <c r="AH6" s="42">
        <f t="shared" si="1"/>
        <v>5460.3690000000006</v>
      </c>
      <c r="AI6" s="42">
        <f t="shared" si="1"/>
        <v>5596.8789999999999</v>
      </c>
      <c r="AJ6" s="42">
        <f t="shared" si="1"/>
        <v>6232.6210000000001</v>
      </c>
    </row>
    <row r="7" spans="1:36" x14ac:dyDescent="0.2">
      <c r="A7" t="s">
        <v>180</v>
      </c>
      <c r="B7" t="s">
        <v>181</v>
      </c>
      <c r="C7" s="42">
        <f>C2*C4/100</f>
        <v>29255.721000000001</v>
      </c>
      <c r="D7" s="42">
        <f t="shared" ref="D7:AJ7" si="2">D2*D4/100</f>
        <v>30330.498090909095</v>
      </c>
      <c r="E7" s="42">
        <f t="shared" si="2"/>
        <v>29570.986242424246</v>
      </c>
      <c r="F7" s="42">
        <f t="shared" si="2"/>
        <v>27001.183909090916</v>
      </c>
      <c r="G7" s="42">
        <f t="shared" si="2"/>
        <v>28067.936545454551</v>
      </c>
      <c r="H7" s="42">
        <f>H2*H4/100</f>
        <v>26728.739333333342</v>
      </c>
      <c r="I7" s="42">
        <f t="shared" si="2"/>
        <v>26651.026090909098</v>
      </c>
      <c r="J7" s="42">
        <f t="shared" si="2"/>
        <v>26544.512575757584</v>
      </c>
      <c r="K7" s="42">
        <f t="shared" si="2"/>
        <v>26407.801969696979</v>
      </c>
      <c r="L7" s="42">
        <f t="shared" si="2"/>
        <v>26238.898636363647</v>
      </c>
      <c r="M7" s="42">
        <f t="shared" si="2"/>
        <v>25909.715969696979</v>
      </c>
      <c r="N7" s="42">
        <f t="shared" si="2"/>
        <v>25547.67166666668</v>
      </c>
      <c r="O7" s="42">
        <f t="shared" si="2"/>
        <v>25151.324727272742</v>
      </c>
      <c r="P7" s="42">
        <f t="shared" si="2"/>
        <v>24719.203000000016</v>
      </c>
      <c r="Q7" s="42">
        <f t="shared" si="2"/>
        <v>24249.749818181834</v>
      </c>
      <c r="R7" s="42">
        <f t="shared" si="2"/>
        <v>23741.373727272745</v>
      </c>
      <c r="S7" s="42">
        <f t="shared" si="2"/>
        <v>23192.423969696989</v>
      </c>
      <c r="T7" s="42">
        <f t="shared" si="2"/>
        <v>22601.188969696992</v>
      </c>
      <c r="U7" s="42">
        <f t="shared" si="2"/>
        <v>21965.894818181841</v>
      </c>
      <c r="V7" s="42">
        <f t="shared" si="2"/>
        <v>21284.714242424267</v>
      </c>
      <c r="W7" s="42">
        <f t="shared" si="2"/>
        <v>20555.742303030329</v>
      </c>
      <c r="X7" s="42">
        <f t="shared" si="2"/>
        <v>19777.021090909118</v>
      </c>
      <c r="Y7" s="42">
        <f t="shared" si="2"/>
        <v>18946.516333333362</v>
      </c>
      <c r="Z7" s="42">
        <f t="shared" si="2"/>
        <v>18062.121424242458</v>
      </c>
      <c r="AA7" s="42">
        <f t="shared" si="2"/>
        <v>17121.670818181854</v>
      </c>
      <c r="AB7" s="42">
        <f t="shared" si="2"/>
        <v>16126.329303030339</v>
      </c>
      <c r="AC7" s="42">
        <f t="shared" si="2"/>
        <v>15063.503424242463</v>
      </c>
      <c r="AD7" s="42">
        <f t="shared" si="2"/>
        <v>13941.052272727313</v>
      </c>
      <c r="AE7" s="42">
        <f t="shared" si="2"/>
        <v>12753.065696969739</v>
      </c>
      <c r="AF7" s="42">
        <f t="shared" si="2"/>
        <v>11496.96466666671</v>
      </c>
      <c r="AG7" s="42">
        <f t="shared" si="2"/>
        <v>10170.090000000044</v>
      </c>
      <c r="AH7" s="42">
        <f t="shared" si="2"/>
        <v>8769.6835454545908</v>
      </c>
      <c r="AI7" s="42">
        <f t="shared" si="2"/>
        <v>7292.9029393939863</v>
      </c>
      <c r="AJ7" s="42">
        <f t="shared" si="2"/>
        <v>6232.6210000000001</v>
      </c>
    </row>
    <row r="8" spans="1:36" x14ac:dyDescent="0.2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spans="1:36" x14ac:dyDescent="0.2">
      <c r="A9" t="s">
        <v>178</v>
      </c>
      <c r="B9" t="s">
        <v>182</v>
      </c>
      <c r="C9" s="33">
        <f>C6/$B$15</f>
        <v>339.07607379170548</v>
      </c>
      <c r="D9" s="33">
        <f t="shared" ref="D9:AJ9" si="3">D6/$B$15</f>
        <v>361.49126050205899</v>
      </c>
      <c r="E9" s="33">
        <f t="shared" si="3"/>
        <v>362.71428025039199</v>
      </c>
      <c r="F9" s="33">
        <f t="shared" si="3"/>
        <v>341.13913076736742</v>
      </c>
      <c r="G9" s="33">
        <f t="shared" si="3"/>
        <v>365.59557351760014</v>
      </c>
      <c r="H9" s="33">
        <f t="shared" si="3"/>
        <v>359.2750870125069</v>
      </c>
      <c r="I9" s="33">
        <f t="shared" si="3"/>
        <v>370.05329117635807</v>
      </c>
      <c r="J9" s="33">
        <f t="shared" si="3"/>
        <v>381.15366472455605</v>
      </c>
      <c r="K9" s="33">
        <f t="shared" si="3"/>
        <v>392.58959419661642</v>
      </c>
      <c r="L9" s="33">
        <f t="shared" si="3"/>
        <v>404.36719915346077</v>
      </c>
      <c r="M9" s="33">
        <f t="shared" si="3"/>
        <v>414.47645881408016</v>
      </c>
      <c r="N9" s="33">
        <f t="shared" si="3"/>
        <v>424.83840534441651</v>
      </c>
      <c r="O9" s="33">
        <f t="shared" si="3"/>
        <v>435.4592857962441</v>
      </c>
      <c r="P9" s="33">
        <f t="shared" si="3"/>
        <v>446.34585718474705</v>
      </c>
      <c r="Q9" s="33">
        <f t="shared" si="3"/>
        <v>457.50449405255176</v>
      </c>
      <c r="R9" s="33">
        <f t="shared" si="3"/>
        <v>468.94208090569509</v>
      </c>
      <c r="S9" s="33">
        <f t="shared" si="3"/>
        <v>480.66562974106608</v>
      </c>
      <c r="T9" s="33">
        <f t="shared" si="3"/>
        <v>492.68228004640667</v>
      </c>
      <c r="U9" s="33">
        <f t="shared" si="3"/>
        <v>504.99929880031112</v>
      </c>
      <c r="V9" s="33">
        <f t="shared" si="3"/>
        <v>517.62433545393117</v>
      </c>
      <c r="W9" s="33">
        <f t="shared" si="3"/>
        <v>530.56491196756645</v>
      </c>
      <c r="X9" s="33">
        <f t="shared" si="3"/>
        <v>543.82906026492606</v>
      </c>
      <c r="Y9" s="33">
        <f t="shared" si="3"/>
        <v>557.42481226971961</v>
      </c>
      <c r="Z9" s="33">
        <f t="shared" si="3"/>
        <v>571.36032739650932</v>
      </c>
      <c r="AA9" s="33">
        <f t="shared" si="3"/>
        <v>585.64440251411963</v>
      </c>
      <c r="AB9" s="33">
        <f t="shared" si="3"/>
        <v>600.41294287134895</v>
      </c>
      <c r="AC9" s="33">
        <f t="shared" si="3"/>
        <v>615.29265525198571</v>
      </c>
      <c r="AD9" s="33">
        <f t="shared" si="3"/>
        <v>630.67493657330078</v>
      </c>
      <c r="AE9" s="33">
        <f t="shared" si="3"/>
        <v>646.44185779670306</v>
      </c>
      <c r="AF9" s="33">
        <f t="shared" si="3"/>
        <v>662.60285324527979</v>
      </c>
      <c r="AG9" s="33">
        <f t="shared" si="3"/>
        <v>679.16799469638045</v>
      </c>
      <c r="AH9" s="33">
        <f t="shared" si="3"/>
        <v>696.14709894565067</v>
      </c>
      <c r="AI9" s="33">
        <f t="shared" si="3"/>
        <v>713.55087522470262</v>
      </c>
      <c r="AJ9" s="33">
        <f t="shared" si="3"/>
        <v>794.60216479467601</v>
      </c>
    </row>
    <row r="10" spans="1:36" x14ac:dyDescent="0.2">
      <c r="A10" t="s">
        <v>180</v>
      </c>
      <c r="B10" t="s">
        <v>182</v>
      </c>
      <c r="C10" s="33">
        <f>C7/$B$15</f>
        <v>3729.8368117087598</v>
      </c>
      <c r="D10" s="33">
        <f t="shared" ref="D10:AJ10" si="4">D7/$B$15</f>
        <v>3866.8610593099042</v>
      </c>
      <c r="E10" s="33">
        <f t="shared" si="4"/>
        <v>3770.0302462389236</v>
      </c>
      <c r="F10" s="33">
        <f t="shared" si="4"/>
        <v>3442.4039559252542</v>
      </c>
      <c r="G10" s="33">
        <f t="shared" si="4"/>
        <v>3578.4051589752989</v>
      </c>
      <c r="H10" s="33">
        <f t="shared" si="4"/>
        <v>3407.6697646943844</v>
      </c>
      <c r="I10" s="33">
        <f t="shared" si="4"/>
        <v>3397.7620371647431</v>
      </c>
      <c r="J10" s="33">
        <f t="shared" si="4"/>
        <v>3384.1825383119681</v>
      </c>
      <c r="K10" s="33">
        <f t="shared" si="4"/>
        <v>3366.7531865952265</v>
      </c>
      <c r="L10" s="33">
        <f t="shared" si="4"/>
        <v>3345.2195566331766</v>
      </c>
      <c r="M10" s="33">
        <f t="shared" si="4"/>
        <v>3303.251777821306</v>
      </c>
      <c r="N10" s="33">
        <f t="shared" si="4"/>
        <v>3257.0944409738618</v>
      </c>
      <c r="O10" s="33">
        <f t="shared" si="4"/>
        <v>3206.5638317723451</v>
      </c>
      <c r="P10" s="33">
        <f t="shared" si="4"/>
        <v>3151.4722643650339</v>
      </c>
      <c r="Q10" s="33">
        <f t="shared" si="4"/>
        <v>3091.6212779914877</v>
      </c>
      <c r="R10" s="33">
        <f t="shared" si="4"/>
        <v>3026.807976754943</v>
      </c>
      <c r="S10" s="33">
        <f t="shared" si="4"/>
        <v>2956.8219041647421</v>
      </c>
      <c r="T10" s="33">
        <f t="shared" si="4"/>
        <v>2881.4448499683813</v>
      </c>
      <c r="U10" s="33">
        <f t="shared" si="4"/>
        <v>2800.4506569835462</v>
      </c>
      <c r="V10" s="33">
        <f t="shared" si="4"/>
        <v>2713.6063646524303</v>
      </c>
      <c r="W10" s="33">
        <f t="shared" si="4"/>
        <v>2620.6691106276794</v>
      </c>
      <c r="X10" s="33">
        <f t="shared" si="4"/>
        <v>2521.3892794101148</v>
      </c>
      <c r="Y10" s="33">
        <f t="shared" si="4"/>
        <v>2415.5075198354552</v>
      </c>
      <c r="Z10" s="33">
        <f t="shared" si="4"/>
        <v>2302.755258901087</v>
      </c>
      <c r="AA10" s="33">
        <f t="shared" si="4"/>
        <v>2182.8564093708142</v>
      </c>
      <c r="AB10" s="33">
        <f t="shared" si="4"/>
        <v>2055.9594710443207</v>
      </c>
      <c r="AC10" s="33">
        <f t="shared" si="4"/>
        <v>1920.4588936652935</v>
      </c>
      <c r="AD10" s="33">
        <f t="shared" si="4"/>
        <v>1777.3566394338529</v>
      </c>
      <c r="AE10" s="33">
        <f t="shared" si="4"/>
        <v>1625.8992180947434</v>
      </c>
      <c r="AF10" s="33">
        <f t="shared" si="4"/>
        <v>1465.7578268759271</v>
      </c>
      <c r="AG10" s="33">
        <f t="shared" si="4"/>
        <v>1296.5934444203683</v>
      </c>
      <c r="AH10" s="33">
        <f t="shared" si="4"/>
        <v>1118.0544316399901</v>
      </c>
      <c r="AI10" s="33">
        <f t="shared" si="4"/>
        <v>929.77841317158823</v>
      </c>
      <c r="AJ10" s="33">
        <f t="shared" si="4"/>
        <v>794.60216479467601</v>
      </c>
    </row>
    <row r="11" spans="1:36" x14ac:dyDescent="0.2"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spans="1:36" x14ac:dyDescent="0.2">
      <c r="A12" t="s">
        <v>178</v>
      </c>
      <c r="B12" t="s">
        <v>183</v>
      </c>
      <c r="C12" s="33">
        <f>C9*$D$18</f>
        <v>257.69781608169615</v>
      </c>
      <c r="D12" s="33">
        <f t="shared" ref="D12:AJ12" si="5">D9*$D$18</f>
        <v>274.73335798156484</v>
      </c>
      <c r="E12" s="33">
        <f t="shared" si="5"/>
        <v>275.66285299029789</v>
      </c>
      <c r="F12" s="33">
        <f t="shared" si="5"/>
        <v>259.26573938319922</v>
      </c>
      <c r="G12" s="33">
        <f>G9*$D$18</f>
        <v>277.85263587337613</v>
      </c>
      <c r="H12" s="33">
        <f t="shared" si="5"/>
        <v>273.04906612950526</v>
      </c>
      <c r="I12" s="33">
        <f t="shared" si="5"/>
        <v>281.24050129403213</v>
      </c>
      <c r="J12" s="33">
        <f t="shared" si="5"/>
        <v>289.6767851906626</v>
      </c>
      <c r="K12" s="33">
        <f t="shared" si="5"/>
        <v>298.3680915894285</v>
      </c>
      <c r="L12" s="33">
        <f t="shared" si="5"/>
        <v>307.31907135663022</v>
      </c>
      <c r="M12" s="33">
        <f t="shared" si="5"/>
        <v>315.00210869870091</v>
      </c>
      <c r="N12" s="33">
        <f t="shared" si="5"/>
        <v>322.87718806175656</v>
      </c>
      <c r="O12" s="33">
        <f t="shared" si="5"/>
        <v>330.94905720514555</v>
      </c>
      <c r="P12" s="33">
        <f t="shared" si="5"/>
        <v>339.22285146040775</v>
      </c>
      <c r="Q12" s="33">
        <f t="shared" si="5"/>
        <v>347.70341547993934</v>
      </c>
      <c r="R12" s="33">
        <f t="shared" si="5"/>
        <v>356.39598148832829</v>
      </c>
      <c r="S12" s="33">
        <f t="shared" si="5"/>
        <v>365.3058786032102</v>
      </c>
      <c r="T12" s="33">
        <f t="shared" si="5"/>
        <v>374.43853283526909</v>
      </c>
      <c r="U12" s="33">
        <f t="shared" si="5"/>
        <v>383.79946708823644</v>
      </c>
      <c r="V12" s="33">
        <f t="shared" si="5"/>
        <v>393.39449494498768</v>
      </c>
      <c r="W12" s="33">
        <f t="shared" si="5"/>
        <v>403.22933309535051</v>
      </c>
      <c r="X12" s="33">
        <f t="shared" si="5"/>
        <v>413.3100858013438</v>
      </c>
      <c r="Y12" s="33">
        <f t="shared" si="5"/>
        <v>423.64285732498689</v>
      </c>
      <c r="Z12" s="33">
        <f t="shared" si="5"/>
        <v>434.23384882134707</v>
      </c>
      <c r="AA12" s="33">
        <f t="shared" si="5"/>
        <v>445.08974591073093</v>
      </c>
      <c r="AB12" s="33">
        <f t="shared" si="5"/>
        <v>456.31383658222518</v>
      </c>
      <c r="AC12" s="33">
        <f t="shared" si="5"/>
        <v>467.62241799150917</v>
      </c>
      <c r="AD12" s="33">
        <f t="shared" si="5"/>
        <v>479.31295179570861</v>
      </c>
      <c r="AE12" s="33">
        <f t="shared" si="5"/>
        <v>491.29581192549432</v>
      </c>
      <c r="AF12" s="33">
        <f t="shared" si="5"/>
        <v>503.57816846641265</v>
      </c>
      <c r="AG12" s="33">
        <f t="shared" si="5"/>
        <v>516.1676759692491</v>
      </c>
      <c r="AH12" s="33">
        <f t="shared" si="5"/>
        <v>529.07179519869453</v>
      </c>
      <c r="AI12" s="33">
        <f t="shared" si="5"/>
        <v>542.29866517077403</v>
      </c>
      <c r="AJ12" s="33">
        <f t="shared" si="5"/>
        <v>603.89764524395378</v>
      </c>
    </row>
    <row r="13" spans="1:36" x14ac:dyDescent="0.2">
      <c r="A13" t="s">
        <v>180</v>
      </c>
      <c r="B13" t="s">
        <v>183</v>
      </c>
      <c r="C13" s="33">
        <f>C10*$D$18</f>
        <v>2834.6759768986576</v>
      </c>
      <c r="D13" s="33">
        <f t="shared" ref="D13:AJ13" si="6">D10*$D$18</f>
        <v>2938.8144050755272</v>
      </c>
      <c r="E13" s="33">
        <f t="shared" si="6"/>
        <v>2865.2229871415821</v>
      </c>
      <c r="F13" s="33">
        <f t="shared" si="6"/>
        <v>2616.227006503193</v>
      </c>
      <c r="G13" s="33">
        <f t="shared" si="6"/>
        <v>2719.5879208212273</v>
      </c>
      <c r="H13" s="33">
        <f t="shared" si="6"/>
        <v>2589.8290211677322</v>
      </c>
      <c r="I13" s="33">
        <f t="shared" si="6"/>
        <v>2582.2991482452048</v>
      </c>
      <c r="J13" s="33">
        <f t="shared" si="6"/>
        <v>2571.9787291170956</v>
      </c>
      <c r="K13" s="33">
        <f t="shared" si="6"/>
        <v>2558.7324218123722</v>
      </c>
      <c r="L13" s="33">
        <f t="shared" si="6"/>
        <v>2542.3668630412144</v>
      </c>
      <c r="M13" s="33">
        <f t="shared" si="6"/>
        <v>2510.4713511441923</v>
      </c>
      <c r="N13" s="33">
        <f t="shared" si="6"/>
        <v>2475.391775140135</v>
      </c>
      <c r="O13" s="33">
        <f t="shared" si="6"/>
        <v>2436.9885121469824</v>
      </c>
      <c r="P13" s="33">
        <f t="shared" si="6"/>
        <v>2395.1189209174258</v>
      </c>
      <c r="Q13" s="33">
        <f t="shared" si="6"/>
        <v>2349.6321712735307</v>
      </c>
      <c r="R13" s="33">
        <f t="shared" si="6"/>
        <v>2300.3740623337567</v>
      </c>
      <c r="S13" s="33">
        <f t="shared" si="6"/>
        <v>2247.1846471652038</v>
      </c>
      <c r="T13" s="33">
        <f t="shared" si="6"/>
        <v>2189.8980859759699</v>
      </c>
      <c r="U13" s="33">
        <f t="shared" si="6"/>
        <v>2128.342499307495</v>
      </c>
      <c r="V13" s="33">
        <f t="shared" si="6"/>
        <v>2062.3408371358469</v>
      </c>
      <c r="W13" s="33">
        <f t="shared" si="6"/>
        <v>1991.7085240770364</v>
      </c>
      <c r="X13" s="33">
        <f t="shared" si="6"/>
        <v>1916.2558523516873</v>
      </c>
      <c r="Y13" s="33">
        <f t="shared" si="6"/>
        <v>1835.785715074946</v>
      </c>
      <c r="Z13" s="33">
        <f t="shared" si="6"/>
        <v>1750.0939967648262</v>
      </c>
      <c r="AA13" s="33">
        <f t="shared" si="6"/>
        <v>1658.9708711218188</v>
      </c>
      <c r="AB13" s="33">
        <f t="shared" si="6"/>
        <v>1562.5291979936837</v>
      </c>
      <c r="AC13" s="33">
        <f t="shared" si="6"/>
        <v>1459.5487591856231</v>
      </c>
      <c r="AD13" s="33">
        <f t="shared" si="6"/>
        <v>1350.7910459697282</v>
      </c>
      <c r="AE13" s="33">
        <f t="shared" si="6"/>
        <v>1235.683405752005</v>
      </c>
      <c r="AF13" s="33">
        <f t="shared" si="6"/>
        <v>1113.9759484257047</v>
      </c>
      <c r="AG13" s="33">
        <f t="shared" si="6"/>
        <v>985.41101775947993</v>
      </c>
      <c r="AH13" s="33">
        <f t="shared" si="6"/>
        <v>849.72136804639251</v>
      </c>
      <c r="AI13" s="33">
        <f t="shared" si="6"/>
        <v>706.63159401040707</v>
      </c>
      <c r="AJ13" s="33">
        <f t="shared" si="6"/>
        <v>603.89764524395378</v>
      </c>
    </row>
    <row r="15" spans="1:36" x14ac:dyDescent="0.2">
      <c r="A15" t="s">
        <v>184</v>
      </c>
      <c r="B15">
        <v>7.8437000000000001</v>
      </c>
      <c r="C15" t="s">
        <v>185</v>
      </c>
    </row>
    <row r="16" spans="1:36" x14ac:dyDescent="0.2">
      <c r="A16" s="3" t="s">
        <v>186</v>
      </c>
    </row>
    <row r="18" spans="1:4" x14ac:dyDescent="0.2">
      <c r="A18" t="s">
        <v>187</v>
      </c>
      <c r="D18">
        <v>0.76</v>
      </c>
    </row>
    <row r="19" spans="1:4" x14ac:dyDescent="0.2">
      <c r="A19" s="3" t="s">
        <v>188</v>
      </c>
    </row>
  </sheetData>
  <hyperlinks>
    <hyperlink ref="A16" r:id="rId1" xr:uid="{9DB72826-211B-4305-932E-99ED0190CBDA}"/>
    <hyperlink ref="A19" r:id="rId2" xr:uid="{00349301-B055-43C8-9195-BB99F487EA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I11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36.5" customWidth="1"/>
    <col min="2" max="2" width="9.5" customWidth="1"/>
    <col min="3" max="3" width="11.5" customWidth="1"/>
  </cols>
  <sheetData>
    <row r="1" spans="1:35" x14ac:dyDescent="0.2">
      <c r="A1" s="1" t="s">
        <v>176</v>
      </c>
      <c r="B1" s="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189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190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191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192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193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195</v>
      </c>
      <c r="B8" s="24">
        <f>calcualtion!C12*1000000</f>
        <v>257697816.08169615</v>
      </c>
      <c r="C8" s="24">
        <f>calcualtion!D12*1000000</f>
        <v>274733357.98156482</v>
      </c>
      <c r="D8" s="24">
        <f>calcualtion!E12*1000000</f>
        <v>275662852.99029791</v>
      </c>
      <c r="E8" s="24">
        <f>calcualtion!F12*1000000</f>
        <v>259265739.38319921</v>
      </c>
      <c r="F8" s="24">
        <f>calcualtion!G12*1000000</f>
        <v>277852635.87337613</v>
      </c>
      <c r="G8" s="24">
        <f>calcualtion!H12*1000000</f>
        <v>273049066.12950528</v>
      </c>
      <c r="H8" s="24">
        <f>calcualtion!I12*1000000</f>
        <v>281240501.29403216</v>
      </c>
      <c r="I8" s="24">
        <f>calcualtion!J12*1000000</f>
        <v>289676785.19066262</v>
      </c>
      <c r="J8" s="24">
        <f>calcualtion!K12*1000000</f>
        <v>298368091.58942848</v>
      </c>
      <c r="K8" s="24">
        <f>calcualtion!L12*1000000</f>
        <v>307319071.35663021</v>
      </c>
      <c r="L8" s="24">
        <f>calcualtion!M12*1000000</f>
        <v>315002108.6987009</v>
      </c>
      <c r="M8" s="24">
        <f>calcualtion!N12*1000000</f>
        <v>322877188.06175655</v>
      </c>
      <c r="N8" s="24">
        <f>calcualtion!O12*1000000</f>
        <v>330949057.20514554</v>
      </c>
      <c r="O8" s="24">
        <f>calcualtion!P12*1000000</f>
        <v>339222851.46040773</v>
      </c>
      <c r="P8" s="24">
        <f>calcualtion!Q12*1000000</f>
        <v>347703415.47993934</v>
      </c>
      <c r="Q8" s="24">
        <f>calcualtion!R12*1000000</f>
        <v>356395981.48832828</v>
      </c>
      <c r="R8" s="24">
        <f>calcualtion!S12*1000000</f>
        <v>365305878.60321021</v>
      </c>
      <c r="S8" s="24">
        <f>calcualtion!T12*1000000</f>
        <v>374438532.83526909</v>
      </c>
      <c r="T8" s="24">
        <f>calcualtion!U12*1000000</f>
        <v>383799467.08823645</v>
      </c>
      <c r="U8" s="24">
        <f>calcualtion!V12*1000000</f>
        <v>393394494.94498765</v>
      </c>
      <c r="V8" s="24">
        <f>calcualtion!W12*1000000</f>
        <v>403229333.0953505</v>
      </c>
      <c r="W8" s="24">
        <f>calcualtion!X12*1000000</f>
        <v>413310085.8013438</v>
      </c>
      <c r="X8" s="24">
        <f>calcualtion!Y12*1000000</f>
        <v>423642857.32498688</v>
      </c>
      <c r="Y8" s="24">
        <f>calcualtion!Z12*1000000</f>
        <v>434233848.82134706</v>
      </c>
      <c r="Z8" s="24">
        <f>calcualtion!AA12*1000000</f>
        <v>445089745.9107309</v>
      </c>
      <c r="AA8" s="24">
        <f>calcualtion!AB12*1000000</f>
        <v>456313836.5822252</v>
      </c>
      <c r="AB8" s="24">
        <f>calcualtion!AC12*1000000</f>
        <v>467622417.99150914</v>
      </c>
      <c r="AC8" s="24">
        <f>calcualtion!AD12*1000000</f>
        <v>479312951.7957086</v>
      </c>
      <c r="AD8" s="24">
        <f>calcualtion!AE12*1000000</f>
        <v>491295811.92549431</v>
      </c>
      <c r="AE8" s="24">
        <f>calcualtion!AF12*1000000</f>
        <v>503578168.46641266</v>
      </c>
      <c r="AF8" s="24">
        <f>calcualtion!AG12*1000000</f>
        <v>516167675.96924913</v>
      </c>
      <c r="AG8" s="24">
        <f>calcualtion!AH12*1000000</f>
        <v>529071795.19869453</v>
      </c>
      <c r="AH8" s="24">
        <f>calcualtion!AI12*1000000</f>
        <v>542298665.17077398</v>
      </c>
      <c r="AI8" s="24">
        <f>calcualtion!AJ12*1000000</f>
        <v>603897645.24395382</v>
      </c>
    </row>
    <row r="9" spans="1:35" x14ac:dyDescent="0.2">
      <c r="A9" t="s">
        <v>196</v>
      </c>
      <c r="B9" s="24">
        <f>calcualtion!C13*1000000</f>
        <v>2834675976.8986578</v>
      </c>
      <c r="C9" s="24">
        <f>calcualtion!D13*1000000</f>
        <v>2938814405.0755272</v>
      </c>
      <c r="D9" s="24">
        <f>calcualtion!E13*1000000</f>
        <v>2865222987.141582</v>
      </c>
      <c r="E9" s="24">
        <f>calcualtion!F13*1000000</f>
        <v>2616227006.5031929</v>
      </c>
      <c r="F9" s="24">
        <f>calcualtion!G13*1000000</f>
        <v>2719587920.8212271</v>
      </c>
      <c r="G9" s="24">
        <f>calcualtion!H13*1000000</f>
        <v>2589829021.1677322</v>
      </c>
      <c r="H9" s="24">
        <f>calcualtion!I13*1000000</f>
        <v>2582299148.2452049</v>
      </c>
      <c r="I9" s="24">
        <f>calcualtion!J13*1000000</f>
        <v>2571978729.1170955</v>
      </c>
      <c r="J9" s="24">
        <f>calcualtion!K13*1000000</f>
        <v>2558732421.8123722</v>
      </c>
      <c r="K9" s="24">
        <f>calcualtion!L13*1000000</f>
        <v>2542366863.0412145</v>
      </c>
      <c r="L9" s="24">
        <f>calcualtion!M13*1000000</f>
        <v>2510471351.1441922</v>
      </c>
      <c r="M9" s="24">
        <f>calcualtion!N13*1000000</f>
        <v>2475391775.1401348</v>
      </c>
      <c r="N9" s="24">
        <f>calcualtion!O13*1000000</f>
        <v>2436988512.1469822</v>
      </c>
      <c r="O9" s="24">
        <f>calcualtion!P13*1000000</f>
        <v>2395118920.9174256</v>
      </c>
      <c r="P9" s="24">
        <f>calcualtion!Q13*1000000</f>
        <v>2349632171.273531</v>
      </c>
      <c r="Q9" s="24">
        <f>calcualtion!R13*1000000</f>
        <v>2300374062.3337564</v>
      </c>
      <c r="R9" s="24">
        <f>calcualtion!S13*1000000</f>
        <v>2247184647.165204</v>
      </c>
      <c r="S9" s="24">
        <f>calcualtion!T13*1000000</f>
        <v>2189898085.9759698</v>
      </c>
      <c r="T9" s="24">
        <f>calcualtion!U13*1000000</f>
        <v>2128342499.3074951</v>
      </c>
      <c r="U9" s="24">
        <f>calcualtion!V13*1000000</f>
        <v>2062340837.1358469</v>
      </c>
      <c r="V9" s="24">
        <f>calcualtion!W13*1000000</f>
        <v>1991708524.0770364</v>
      </c>
      <c r="W9" s="24">
        <f>calcualtion!X13*1000000</f>
        <v>1916255852.3516872</v>
      </c>
      <c r="X9" s="24">
        <f>calcualtion!Y13*1000000</f>
        <v>1835785715.0749459</v>
      </c>
      <c r="Y9" s="24">
        <f>calcualtion!Z13*1000000</f>
        <v>1750093996.7648263</v>
      </c>
      <c r="Z9" s="24">
        <f>calcualtion!AA13*1000000</f>
        <v>1658970871.1218188</v>
      </c>
      <c r="AA9" s="24">
        <f>calcualtion!AB13*1000000</f>
        <v>1562529197.9936838</v>
      </c>
      <c r="AB9" s="24">
        <f>calcualtion!AC13*1000000</f>
        <v>1459548759.1856232</v>
      </c>
      <c r="AC9" s="24">
        <f>calcualtion!AD13*1000000</f>
        <v>1350791045.9697282</v>
      </c>
      <c r="AD9" s="24">
        <f>calcualtion!AE13*1000000</f>
        <v>1235683405.7520051</v>
      </c>
      <c r="AE9" s="24">
        <f>calcualtion!AF13*1000000</f>
        <v>1113975948.4257047</v>
      </c>
      <c r="AF9" s="24">
        <f>calcualtion!AG13*1000000</f>
        <v>985411017.75947988</v>
      </c>
      <c r="AG9" s="24">
        <f>calcualtion!AH13*1000000</f>
        <v>849721368.04639256</v>
      </c>
      <c r="AH9" s="24">
        <f>calcualtion!AI13*1000000</f>
        <v>706631594.01040709</v>
      </c>
      <c r="AI9" s="24">
        <f>calcualtion!AJ13*1000000</f>
        <v>603897645.24395382</v>
      </c>
    </row>
    <row r="11" spans="1:35" x14ac:dyDescent="0.2">
      <c r="C11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1914CE-156C-45F9-8A48-EE3F4E116261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cb176f07-3112-4ee9-93fd-ae2cb5f3e433"/>
    <ds:schemaRef ds:uri="http://schemas.microsoft.com/office/infopath/2007/PartnerControls"/>
    <ds:schemaRef ds:uri="http://schemas.openxmlformats.org/package/2006/metadata/core-properties"/>
    <ds:schemaRef ds:uri="6b15a3a4-8173-42d6-9deb-398ec38eca4b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044EA7D-8449-448D-BA29-753265A84B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4B51C-21E6-41B8-BEEC-FB2E45C0BC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About</vt:lpstr>
      <vt:lpstr>EIA 24</vt:lpstr>
      <vt:lpstr>hk gdp contribution</vt:lpstr>
      <vt:lpstr>HK GDP</vt:lpstr>
      <vt:lpstr>calcualtion</vt:lpstr>
      <vt:lpstr>TNRbI</vt:lpstr>
      <vt:lpstr>currency_conv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2019-05-11T00:41:38Z</dcterms:created>
  <dcterms:modified xsi:type="dcterms:W3CDTF">2023-12-02T14:37:40Z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