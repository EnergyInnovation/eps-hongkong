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7"/>
  <workbookPr autoCompressPictures="0" defaultThemeVersion="124226"/>
  <mc:AlternateContent xmlns:mc="http://schemas.openxmlformats.org/markup-compatibility/2006">
    <mc:Choice Requires="x15">
      <x15ac:absPath xmlns:x15ac="http://schemas.microsoft.com/office/spreadsheetml/2010/11/ac" url="https://civicexchangeorg.sharepoint.com/sites/HongKong2050isNowTeamsite/Shared Documents/12 Hong Kong EPS technical note/HK EPS update/eps-us-3.4.7 working/InputData/indst/0 Need to Update/BIFUbC/"/>
    </mc:Choice>
  </mc:AlternateContent>
  <xr:revisionPtr revIDLastSave="269" documentId="6_{49BD37EF-2238-4340-B9F6-E2A8D51BC52D}" xr6:coauthVersionLast="47" xr6:coauthVersionMax="47" xr10:uidLastSave="{69459836-4356-4FCB-80D9-AD51E7119F60}"/>
  <bookViews>
    <workbookView xWindow="28800" yWindow="500" windowWidth="38400" windowHeight="21100" tabRatio="678" firstSheet="1" activeTab="7" xr2:uid="{00000000-000D-0000-FFFF-FFFF00000000}"/>
  </bookViews>
  <sheets>
    <sheet name="About" sheetId="1" r:id="rId1"/>
    <sheet name="EMSD Data" sheetId="22" r:id="rId2"/>
    <sheet name="BIFUbC-electricity" sheetId="15" r:id="rId3"/>
    <sheet name="BIFUbC-coal" sheetId="16" r:id="rId4"/>
    <sheet name="BIFUbC-natural-gas" sheetId="17" r:id="rId5"/>
    <sheet name="BIFUbC-biomass" sheetId="18" r:id="rId6"/>
    <sheet name="BIFUbC-heat" sheetId="20" r:id="rId7"/>
    <sheet name="BIFUbC-petroleum-diesel" sheetId="1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Q60" i="22" l="1"/>
  <c r="G59" i="22"/>
  <c r="M36" i="22"/>
  <c r="Q24" i="22"/>
  <c r="G18" i="22"/>
  <c r="B9" i="15" l="1"/>
  <c r="I9" i="15"/>
  <c r="F9" i="15"/>
  <c r="C9" i="19"/>
  <c r="E9" i="17"/>
  <c r="AH9" i="15"/>
  <c r="AD9" i="15"/>
  <c r="F9" i="19"/>
  <c r="Z9" i="15"/>
  <c r="V9" i="15"/>
  <c r="R9" i="15"/>
  <c r="N9" i="15"/>
  <c r="J9" i="15"/>
  <c r="B9" i="19"/>
  <c r="AH9" i="17"/>
  <c r="AD9" i="17"/>
  <c r="Z9" i="17"/>
  <c r="V9" i="17"/>
  <c r="R9" i="17"/>
  <c r="N9" i="17"/>
  <c r="J9" i="17"/>
  <c r="F9" i="17"/>
  <c r="AJ9" i="19"/>
  <c r="AF9" i="19"/>
  <c r="AB9" i="19"/>
  <c r="X9" i="19"/>
  <c r="T9" i="19"/>
  <c r="P9" i="19"/>
  <c r="L9" i="19"/>
  <c r="H9" i="19"/>
  <c r="AJ9" i="15"/>
  <c r="AF9" i="15"/>
  <c r="AB9" i="15"/>
  <c r="X9" i="15"/>
  <c r="T9" i="15"/>
  <c r="P9" i="15"/>
  <c r="L9" i="15"/>
  <c r="H9" i="15"/>
  <c r="C9" i="15"/>
  <c r="AJ9" i="17"/>
  <c r="AF9" i="17"/>
  <c r="AB9" i="17"/>
  <c r="X9" i="17"/>
  <c r="T9" i="17"/>
  <c r="P9" i="17"/>
  <c r="L9" i="17"/>
  <c r="H9" i="17"/>
  <c r="D9" i="17"/>
  <c r="AH9" i="19"/>
  <c r="AD9" i="19"/>
  <c r="Z9" i="19"/>
  <c r="V9" i="19"/>
  <c r="R9" i="19"/>
  <c r="N9" i="19"/>
  <c r="J9" i="19"/>
  <c r="AI9" i="15"/>
  <c r="AE9" i="15"/>
  <c r="AA9" i="15"/>
  <c r="W9" i="15"/>
  <c r="S9" i="15"/>
  <c r="O9" i="15"/>
  <c r="K9" i="15"/>
  <c r="G9" i="15"/>
  <c r="B9" i="17"/>
  <c r="AI9" i="17"/>
  <c r="AE9" i="17"/>
  <c r="AA9" i="17"/>
  <c r="W9" i="17"/>
  <c r="S9" i="17"/>
  <c r="O9" i="17"/>
  <c r="K9" i="17"/>
  <c r="G9" i="17"/>
  <c r="C9" i="17"/>
  <c r="AG9" i="19"/>
  <c r="AC9" i="19"/>
  <c r="Y9" i="19"/>
  <c r="U9" i="19"/>
  <c r="Q9" i="19"/>
  <c r="M9" i="19"/>
  <c r="I9" i="19"/>
  <c r="E9" i="19"/>
  <c r="D9" i="19"/>
  <c r="AG9" i="15"/>
  <c r="AC9" i="15"/>
  <c r="Y9" i="15"/>
  <c r="U9" i="15"/>
  <c r="Q9" i="15"/>
  <c r="M9" i="15"/>
  <c r="E9" i="15"/>
  <c r="D9" i="15"/>
  <c r="AG9" i="17"/>
  <c r="AC9" i="17"/>
  <c r="Y9" i="17"/>
  <c r="U9" i="17"/>
  <c r="Q9" i="17"/>
  <c r="M9" i="17"/>
  <c r="I9" i="17"/>
  <c r="AI9" i="19"/>
  <c r="AE9" i="19"/>
  <c r="AA9" i="19"/>
  <c r="W9" i="19"/>
  <c r="S9" i="19"/>
  <c r="O9" i="19"/>
  <c r="K9" i="19"/>
  <c r="G9" i="19"/>
  <c r="B7" i="15"/>
  <c r="C7" i="15"/>
  <c r="D7" i="15"/>
  <c r="E7" i="15"/>
  <c r="F7" i="15"/>
  <c r="G7" i="15"/>
  <c r="H7" i="15"/>
  <c r="I7" i="15"/>
  <c r="J7" i="15"/>
  <c r="K7" i="15"/>
  <c r="L7" i="15"/>
  <c r="M7" i="15"/>
  <c r="N7" i="15"/>
  <c r="O7" i="15"/>
  <c r="P7" i="15"/>
  <c r="Q7" i="15"/>
  <c r="R7" i="15"/>
  <c r="S7" i="15"/>
  <c r="T7" i="15"/>
  <c r="U7" i="15"/>
  <c r="V7" i="15"/>
  <c r="W7" i="15"/>
  <c r="X7" i="15"/>
  <c r="Y7" i="15"/>
  <c r="Z7" i="15"/>
  <c r="AA7" i="15"/>
  <c r="AB7" i="15"/>
  <c r="AC7" i="15"/>
  <c r="AD7" i="15"/>
  <c r="AE7" i="15"/>
  <c r="AF7" i="15"/>
  <c r="AG7" i="15"/>
  <c r="AH7" i="15"/>
  <c r="AI7" i="15"/>
  <c r="AJ7" i="15"/>
</calcChain>
</file>

<file path=xl/sharedStrings.xml><?xml version="1.0" encoding="utf-8"?>
<sst xmlns="http://schemas.openxmlformats.org/spreadsheetml/2006/main" count="91" uniqueCount="46">
  <si>
    <t>BIFUbC BAU Industrial Fuel Use before CCS</t>
  </si>
  <si>
    <t>Sources:</t>
  </si>
  <si>
    <t>Share of energy consumption by sectors</t>
    <phoneticPr fontId="9" type="noConversion"/>
  </si>
  <si>
    <t>Electrical and Mechanical Services Department</t>
  </si>
  <si>
    <t>Hong Kong Energy End Use Data 2022</t>
  </si>
  <si>
    <t>www.emsd.gov.hk/filemanager/en/content_762/HKEEUD2022.pdf</t>
  </si>
  <si>
    <t>Data table</t>
    <phoneticPr fontId="9" type="noConversion"/>
  </si>
  <si>
    <t>Data. Gov.hk</t>
  </si>
  <si>
    <t>https://data.gov.hk/en-data/dataset/hk-emsd-emsd1-energy-end-use-data-2022</t>
  </si>
  <si>
    <t xml:space="preserve">Electricity Consumption in Industrial Sector by Segment </t>
  </si>
  <si>
    <t>Electrical &amp; Mechanical Services Department</t>
  </si>
  <si>
    <t>Hong Kong Energy End Use 2022</t>
  </si>
  <si>
    <t>https://www.emsd.gov.hk/filemanager/en/content_762/HKEEUD2022.pdf</t>
  </si>
  <si>
    <t>Chart 41, Table 51, 53, 56</t>
  </si>
  <si>
    <t>Proportions for coal, electricity, oil and gas</t>
    <phoneticPr fontId="9" type="noConversion"/>
  </si>
  <si>
    <t>Census and Statistics Department </t>
  </si>
  <si>
    <t>2022 Edition</t>
  </si>
  <si>
    <t xml:space="preserve">Hong Kong Energy Statistics Annual Report </t>
  </si>
  <si>
    <t>https://www.censtatd.gov.hk/en/wbr.html?ecode=B11000022022AN22&amp;scode=90</t>
  </si>
  <si>
    <t>P6, 7,</t>
  </si>
  <si>
    <t>Note:</t>
    <phoneticPr fontId="9" type="noConversion"/>
  </si>
  <si>
    <t>Official statistics reports classify industrial sectors into categories including: food&amp;beverage, textile and garment industry, Metals and Machinery, Non manufacturing industry and other industries. Since this does not align with EPS classification, we assume all of the industries presented here to be in the "Other Industries" category of the EPS.</t>
  </si>
  <si>
    <t>All energy consumption</t>
  </si>
  <si>
    <t>Trend:</t>
  </si>
  <si>
    <t>all industries in Btu 2021:</t>
  </si>
  <si>
    <t>Electricity consumption</t>
  </si>
  <si>
    <t xml:space="preserve">The downward trend seems to have slowed in recent years. </t>
  </si>
  <si>
    <t>perc. Decrease per year:</t>
  </si>
  <si>
    <t>we assume the percentage decrease per year is split homogenously across all energy sources.</t>
  </si>
  <si>
    <t>2021, in Btu:</t>
  </si>
  <si>
    <t>Oil &amp; Coal:</t>
  </si>
  <si>
    <t>Town Gas &amp; LPG:</t>
  </si>
  <si>
    <t>2020, in Btu:</t>
  </si>
  <si>
    <t>Note:</t>
  </si>
  <si>
    <t>we assume all energy use from this category to be in the petroleum-diesel category of the EPS, since there is very little heavy industry which would use coal</t>
  </si>
  <si>
    <t>Year</t>
  </si>
  <si>
    <t>Cement and other carbonate use (BTU)</t>
  </si>
  <si>
    <t>Natural gas and petroleum systems (BTU)</t>
    <phoneticPr fontId="9" type="noConversion"/>
  </si>
  <si>
    <t>Iron and steel (BTU)</t>
  </si>
  <si>
    <t>Chemicals (BTU)</t>
  </si>
  <si>
    <t>Mining (BTU)</t>
  </si>
  <si>
    <t>Waste management (BTU)</t>
  </si>
  <si>
    <t>Agriculture (BTU)</t>
  </si>
  <si>
    <t>Other industries (BTU)</t>
  </si>
  <si>
    <t>Natural gas and petroleum systems (BTU)</t>
  </si>
  <si>
    <t>Cement and other carbonate use (BTU)</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</si>
</sst>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sz val="11"/>
      <color theme="1"/>
      <name val="Calibri"/>
      <family val="2"/>
      <scheme val="minor"/>
    </font>
    <font>
      <sz val="12"/>
      <name val="Helv"/>
    </font>
    <font>
      <sz val="9"/>
      <name val="Calibri"/>
      <family val="3"/>
      <charset val="134"/>
      <scheme val="minor"/>
    </font>
  </fonts>
  <fills count="3">
    <fill>
      <patternFill patternType="none"/>
    </fill>
    <fill>
      <patternFill patternType="gray125"/>
    </fill>
    <fill>
      <patternFill patternType="solid">
        <fgColor theme="0" tint="-0.249977111117893"/>
        <bgColor indexed="64"/>
      </patternFill>
    </fill>
  </fills>
  <borders count="8">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s>
  <cellStyleXfs count="18">
    <xf numFmtId="0" fontId="0" fillId="0" borderId="0"/>
    <xf numFmtId="0" fontId="2" fillId="0" borderId="1" applyNumberFormat="0" applyProtection="0">
      <alignment wrapText="1"/>
    </xf>
    <xf numFmtId="0" fontId="3" fillId="0" borderId="2" applyNumberFormat="0" applyFont="0" applyProtection="0">
      <alignment wrapText="1"/>
    </xf>
    <xf numFmtId="0" fontId="2" fillId="0" borderId="7" applyNumberFormat="0" applyProtection="0">
      <alignment horizontal="left" wrapText="1"/>
    </xf>
    <xf numFmtId="0" fontId="2" fillId="0" borderId="6" applyNumberFormat="0" applyFill="0" applyProtection="0">
      <alignment wrapText="1"/>
    </xf>
    <xf numFmtId="0" fontId="2" fillId="0" borderId="4" applyNumberFormat="0" applyProtection="0">
      <alignment wrapText="1"/>
    </xf>
    <xf numFmtId="0" fontId="3" fillId="0" borderId="3" applyNumberFormat="0" applyProtection="0">
      <alignment vertical="top" wrapText="1"/>
    </xf>
    <xf numFmtId="0" fontId="3" fillId="0" borderId="5" applyNumberFormat="0" applyFont="0" applyFill="0" applyProtection="0">
      <alignment wrapText="1"/>
    </xf>
    <xf numFmtId="0" fontId="3" fillId="0" borderId="0" applyNumberFormat="0" applyFill="0" applyBorder="0" applyAlignment="0" applyProtection="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3" fillId="0" borderId="0" applyNumberFormat="0" applyProtection="0">
      <alignment vertical="top" wrapText="1"/>
    </xf>
    <xf numFmtId="0" fontId="6" fillId="0" borderId="0" applyNumberFormat="0" applyProtection="0">
      <alignment horizontal="left"/>
    </xf>
    <xf numFmtId="0" fontId="8" fillId="0" borderId="0"/>
    <xf numFmtId="0" fontId="8" fillId="0" borderId="0"/>
    <xf numFmtId="0" fontId="8" fillId="0" borderId="0"/>
    <xf numFmtId="0" fontId="8" fillId="0" borderId="0"/>
    <xf numFmtId="0" fontId="7" fillId="0" borderId="0"/>
  </cellStyleXfs>
  <cellXfs count="9">
    <xf numFmtId="0" fontId="0" fillId="0" borderId="0" xfId="0"/>
    <xf numFmtId="0" fontId="1" fillId="0" borderId="0" xfId="0" applyFont="1"/>
    <xf numFmtId="0" fontId="1" fillId="2" borderId="0" xfId="0" applyFont="1" applyFill="1"/>
    <xf numFmtId="11" fontId="0" fillId="0" borderId="0" xfId="0" applyNumberFormat="1"/>
    <xf numFmtId="0" fontId="0" fillId="0" borderId="0" xfId="0" applyAlignment="1">
      <alignment horizontal="left" vertical="top"/>
    </xf>
    <xf numFmtId="0" fontId="4" fillId="0" borderId="0" xfId="9" applyAlignment="1" applyProtection="1"/>
    <xf numFmtId="0" fontId="0" fillId="0" borderId="0" xfId="0" applyAlignment="1">
      <alignment wrapText="1"/>
    </xf>
    <xf numFmtId="10" fontId="0" fillId="0" borderId="0" xfId="0" applyNumberFormat="1"/>
    <xf numFmtId="0" fontId="0" fillId="0" borderId="0" xfId="0" applyAlignment="1">
      <alignment horizontal="left"/>
    </xf>
  </cellXfs>
  <cellStyles count="18">
    <cellStyle name="Body: normal cell" xfId="2" xr:uid="{00000000-0005-0000-0000-000000000000}"/>
    <cellStyle name="Followed Hyperlink" xfId="10" builtinId="9" customBuiltin="1"/>
    <cellStyle name="Font: Calibri, 9pt regular" xfId="8" xr:uid="{00000000-0005-0000-0000-000002000000}"/>
    <cellStyle name="Footnotes: all except top row" xfId="11" xr:uid="{00000000-0005-0000-0000-000003000000}"/>
    <cellStyle name="Footnotes: top row" xfId="6" xr:uid="{00000000-0005-0000-0000-000004000000}"/>
    <cellStyle name="Header: bottom row" xfId="1" xr:uid="{00000000-0005-0000-0000-000005000000}"/>
    <cellStyle name="Header: top rows" xfId="3" xr:uid="{00000000-0005-0000-0000-000006000000}"/>
    <cellStyle name="Hyperlink" xfId="9" builtinId="8" customBuiltin="1"/>
    <cellStyle name="Normal" xfId="0" builtinId="0"/>
    <cellStyle name="Normal 3" xfId="13" xr:uid="{00000000-0005-0000-0000-000009000000}"/>
    <cellStyle name="Normal 4" xfId="14" xr:uid="{00000000-0005-0000-0000-00000A000000}"/>
    <cellStyle name="Normal 5" xfId="15" xr:uid="{00000000-0005-0000-0000-00000B000000}"/>
    <cellStyle name="Normal 58" xfId="17" xr:uid="{00000000-0005-0000-0000-00000C000000}"/>
    <cellStyle name="Normal 6" xfId="16" xr:uid="{00000000-0005-0000-0000-00000D000000}"/>
    <cellStyle name="Parent row" xfId="5" xr:uid="{00000000-0005-0000-0000-00000E000000}"/>
    <cellStyle name="Section Break" xfId="7" xr:uid="{00000000-0005-0000-0000-00000F000000}"/>
    <cellStyle name="Section Break: parent row" xfId="4" xr:uid="{00000000-0005-0000-0000-000010000000}"/>
    <cellStyle name="Table title" xfId="12" xr:uid="{00000000-0005-0000-0000-000011000000}"/>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314325</xdr:colOff>
      <xdr:row>1</xdr:row>
      <xdr:rowOff>0</xdr:rowOff>
    </xdr:from>
    <xdr:to>
      <xdr:col>9</xdr:col>
      <xdr:colOff>123825</xdr:colOff>
      <xdr:row>19</xdr:row>
      <xdr:rowOff>28575</xdr:rowOff>
    </xdr:to>
    <xdr:pic>
      <xdr:nvPicPr>
        <xdr:cNvPr id="2" name="Picture 1">
          <a:extLst>
            <a:ext uri="{FF2B5EF4-FFF2-40B4-BE49-F238E27FC236}">
              <a16:creationId xmlns:a16="http://schemas.microsoft.com/office/drawing/2014/main" id="{54DEBCE5-E489-8BAB-A732-03DF0F6255FB}"/>
            </a:ext>
            <a:ext uri="{147F2762-F138-4A5C-976F-8EAC2B608ADB}">
              <a16:predDERef xmlns:a16="http://schemas.microsoft.com/office/drawing/2014/main" pred="{4717E706-7C94-A8FC-BEC0-82BEFB8E95CD}"/>
            </a:ext>
          </a:extLst>
        </xdr:cNvPr>
        <xdr:cNvPicPr>
          <a:picLocks noChangeAspect="1"/>
        </xdr:cNvPicPr>
      </xdr:nvPicPr>
      <xdr:blipFill>
        <a:blip xmlns:r="http://schemas.openxmlformats.org/officeDocument/2006/relationships" r:embed="rId1"/>
        <a:stretch>
          <a:fillRect/>
        </a:stretch>
      </xdr:blipFill>
      <xdr:spPr>
        <a:xfrm>
          <a:off x="904875" y="190500"/>
          <a:ext cx="4743450" cy="3457575"/>
        </a:xfrm>
        <a:prstGeom prst="rect">
          <a:avLst/>
        </a:prstGeom>
      </xdr:spPr>
    </xdr:pic>
    <xdr:clientData/>
  </xdr:twoCellAnchor>
  <xdr:twoCellAnchor editAs="oneCell">
    <xdr:from>
      <xdr:col>12</xdr:col>
      <xdr:colOff>104775</xdr:colOff>
      <xdr:row>2</xdr:row>
      <xdr:rowOff>19050</xdr:rowOff>
    </xdr:from>
    <xdr:to>
      <xdr:col>20</xdr:col>
      <xdr:colOff>381000</xdr:colOff>
      <xdr:row>20</xdr:row>
      <xdr:rowOff>161925</xdr:rowOff>
    </xdr:to>
    <xdr:pic>
      <xdr:nvPicPr>
        <xdr:cNvPr id="3" name="Picture 2">
          <a:extLst>
            <a:ext uri="{FF2B5EF4-FFF2-40B4-BE49-F238E27FC236}">
              <a16:creationId xmlns:a16="http://schemas.microsoft.com/office/drawing/2014/main" id="{4CEDA04F-2614-5649-11B4-D1A0B39AC67E}"/>
            </a:ext>
            <a:ext uri="{147F2762-F138-4A5C-976F-8EAC2B608ADB}">
              <a16:predDERef xmlns:a16="http://schemas.microsoft.com/office/drawing/2014/main" pred="{54DEBCE5-E489-8BAB-A732-03DF0F6255FB}"/>
            </a:ext>
          </a:extLst>
        </xdr:cNvPr>
        <xdr:cNvPicPr>
          <a:picLocks noChangeAspect="1"/>
        </xdr:cNvPicPr>
      </xdr:nvPicPr>
      <xdr:blipFill>
        <a:blip xmlns:r="http://schemas.openxmlformats.org/officeDocument/2006/relationships" r:embed="rId2"/>
        <a:stretch>
          <a:fillRect/>
        </a:stretch>
      </xdr:blipFill>
      <xdr:spPr>
        <a:xfrm>
          <a:off x="7400925" y="400050"/>
          <a:ext cx="5419725" cy="3571875"/>
        </a:xfrm>
        <a:prstGeom prst="rect">
          <a:avLst/>
        </a:prstGeom>
      </xdr:spPr>
    </xdr:pic>
    <xdr:clientData/>
  </xdr:twoCellAnchor>
  <xdr:twoCellAnchor editAs="oneCell">
    <xdr:from>
      <xdr:col>1</xdr:col>
      <xdr:colOff>9525</xdr:colOff>
      <xdr:row>21</xdr:row>
      <xdr:rowOff>9525</xdr:rowOff>
    </xdr:from>
    <xdr:to>
      <xdr:col>9</xdr:col>
      <xdr:colOff>542925</xdr:colOff>
      <xdr:row>38</xdr:row>
      <xdr:rowOff>142875</xdr:rowOff>
    </xdr:to>
    <xdr:pic>
      <xdr:nvPicPr>
        <xdr:cNvPr id="5" name="Picture 4">
          <a:extLst>
            <a:ext uri="{FF2B5EF4-FFF2-40B4-BE49-F238E27FC236}">
              <a16:creationId xmlns:a16="http://schemas.microsoft.com/office/drawing/2014/main" id="{8840C4AF-E00F-9C76-E9DE-D5E26AFA0C5B}"/>
            </a:ext>
            <a:ext uri="{147F2762-F138-4A5C-976F-8EAC2B608ADB}">
              <a16:predDERef xmlns:a16="http://schemas.microsoft.com/office/drawing/2014/main" pred="{4CEDA04F-2614-5649-11B4-D1A0B39AC67E}"/>
            </a:ext>
          </a:extLst>
        </xdr:cNvPr>
        <xdr:cNvPicPr>
          <a:picLocks noChangeAspect="1"/>
        </xdr:cNvPicPr>
      </xdr:nvPicPr>
      <xdr:blipFill>
        <a:blip xmlns:r="http://schemas.openxmlformats.org/officeDocument/2006/relationships" r:embed="rId3"/>
        <a:stretch>
          <a:fillRect/>
        </a:stretch>
      </xdr:blipFill>
      <xdr:spPr>
        <a:xfrm>
          <a:off x="600075" y="4010025"/>
          <a:ext cx="5467350" cy="3371850"/>
        </a:xfrm>
        <a:prstGeom prst="rect">
          <a:avLst/>
        </a:prstGeom>
      </xdr:spPr>
    </xdr:pic>
    <xdr:clientData/>
  </xdr:twoCellAnchor>
  <xdr:twoCellAnchor editAs="oneCell">
    <xdr:from>
      <xdr:col>1</xdr:col>
      <xdr:colOff>57150</xdr:colOff>
      <xdr:row>40</xdr:row>
      <xdr:rowOff>38100</xdr:rowOff>
    </xdr:from>
    <xdr:to>
      <xdr:col>9</xdr:col>
      <xdr:colOff>571500</xdr:colOff>
      <xdr:row>56</xdr:row>
      <xdr:rowOff>114300</xdr:rowOff>
    </xdr:to>
    <xdr:pic>
      <xdr:nvPicPr>
        <xdr:cNvPr id="6" name="Picture 5">
          <a:extLst>
            <a:ext uri="{FF2B5EF4-FFF2-40B4-BE49-F238E27FC236}">
              <a16:creationId xmlns:a16="http://schemas.microsoft.com/office/drawing/2014/main" id="{24FA098D-B899-391A-5133-08F205B2D371}"/>
            </a:ext>
            <a:ext uri="{147F2762-F138-4A5C-976F-8EAC2B608ADB}">
              <a16:predDERef xmlns:a16="http://schemas.microsoft.com/office/drawing/2014/main" pred="{8840C4AF-E00F-9C76-E9DE-D5E26AFA0C5B}"/>
            </a:ext>
          </a:extLst>
        </xdr:cNvPr>
        <xdr:cNvPicPr>
          <a:picLocks noChangeAspect="1"/>
        </xdr:cNvPicPr>
      </xdr:nvPicPr>
      <xdr:blipFill>
        <a:blip xmlns:r="http://schemas.openxmlformats.org/officeDocument/2006/relationships" r:embed="rId4"/>
        <a:stretch>
          <a:fillRect/>
        </a:stretch>
      </xdr:blipFill>
      <xdr:spPr>
        <a:xfrm>
          <a:off x="647700" y="7658100"/>
          <a:ext cx="5448300" cy="3124200"/>
        </a:xfrm>
        <a:prstGeom prst="rect">
          <a:avLst/>
        </a:prstGeom>
      </xdr:spPr>
    </xdr:pic>
    <xdr:clientData/>
  </xdr:twoCellAnchor>
  <xdr:twoCellAnchor editAs="oneCell">
    <xdr:from>
      <xdr:col>12</xdr:col>
      <xdr:colOff>0</xdr:colOff>
      <xdr:row>40</xdr:row>
      <xdr:rowOff>9525</xdr:rowOff>
    </xdr:from>
    <xdr:to>
      <xdr:col>21</xdr:col>
      <xdr:colOff>200025</xdr:colOff>
      <xdr:row>58</xdr:row>
      <xdr:rowOff>171450</xdr:rowOff>
    </xdr:to>
    <xdr:pic>
      <xdr:nvPicPr>
        <xdr:cNvPr id="7" name="Picture 6">
          <a:extLst>
            <a:ext uri="{FF2B5EF4-FFF2-40B4-BE49-F238E27FC236}">
              <a16:creationId xmlns:a16="http://schemas.microsoft.com/office/drawing/2014/main" id="{48917AF1-60AC-D48B-3E38-DC3895A6EC01}"/>
            </a:ext>
            <a:ext uri="{147F2762-F138-4A5C-976F-8EAC2B608ADB}">
              <a16:predDERef xmlns:a16="http://schemas.microsoft.com/office/drawing/2014/main" pred="{24FA098D-B899-391A-5133-08F205B2D371}"/>
            </a:ext>
          </a:extLst>
        </xdr:cNvPr>
        <xdr:cNvPicPr>
          <a:picLocks noChangeAspect="1"/>
        </xdr:cNvPicPr>
      </xdr:nvPicPr>
      <xdr:blipFill>
        <a:blip xmlns:r="http://schemas.openxmlformats.org/officeDocument/2006/relationships" r:embed="rId5"/>
        <a:stretch>
          <a:fillRect/>
        </a:stretch>
      </xdr:blipFill>
      <xdr:spPr>
        <a:xfrm>
          <a:off x="7296150" y="7629525"/>
          <a:ext cx="5934075" cy="35909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ta.gov.hk/en-data/dataset/hk-emsd-emsd1-energy-end-use-data-2022" TargetMode="External"/><Relationship Id="rId2" Type="http://schemas.openxmlformats.org/officeDocument/2006/relationships/hyperlink" Target="https://www.emsd.gov.hk/filemanager/en/content_762/HKEEUD2022.pdf" TargetMode="External"/><Relationship Id="rId1" Type="http://schemas.openxmlformats.org/officeDocument/2006/relationships/hyperlink" Target="http://www.emsd.gov.hk/filemanager/en/content_762/HKEEUD2022.pdf" TargetMode="External"/><Relationship Id="rId5" Type="http://schemas.openxmlformats.org/officeDocument/2006/relationships/printerSettings" Target="../printerSettings/printerSettings1.bin"/><Relationship Id="rId4" Type="http://schemas.openxmlformats.org/officeDocument/2006/relationships/hyperlink" Target="https://www.censtatd.gov.hk/en/wbr.html?ecode=B11000022022AN22&amp;scode=9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workbookViewId="0">
      <selection activeCell="B12" sqref="B12"/>
    </sheetView>
  </sheetViews>
  <sheetFormatPr defaultColWidth="8.85546875" defaultRowHeight="15"/>
  <cols>
    <col min="2" max="2" width="61.42578125" customWidth="1"/>
    <col min="3" max="3" width="42.42578125" customWidth="1"/>
    <col min="4" max="4" width="44.140625" customWidth="1"/>
    <col min="5" max="5" width="60.42578125" customWidth="1"/>
  </cols>
  <sheetData>
    <row r="1" spans="1:2">
      <c r="A1" s="1" t="s">
        <v>0</v>
      </c>
    </row>
    <row r="3" spans="1:2">
      <c r="A3" s="1" t="s">
        <v>1</v>
      </c>
      <c r="B3" s="2" t="s">
        <v>2</v>
      </c>
    </row>
    <row r="4" spans="1:2">
      <c r="B4" t="s">
        <v>3</v>
      </c>
    </row>
    <row r="5" spans="1:2">
      <c r="B5" s="8">
        <v>2022</v>
      </c>
    </row>
    <row r="6" spans="1:2">
      <c r="B6" t="s">
        <v>4</v>
      </c>
    </row>
    <row r="7" spans="1:2">
      <c r="B7" s="5" t="s">
        <v>5</v>
      </c>
    </row>
    <row r="8" spans="1:2">
      <c r="B8" t="s">
        <v>6</v>
      </c>
    </row>
    <row r="9" spans="1:2">
      <c r="B9" t="s">
        <v>7</v>
      </c>
    </row>
    <row r="10" spans="1:2">
      <c r="B10" s="8">
        <v>2022</v>
      </c>
    </row>
    <row r="11" spans="1:2">
      <c r="B11" t="s">
        <v>4</v>
      </c>
    </row>
    <row r="12" spans="1:2">
      <c r="B12" s="5" t="s">
        <v>8</v>
      </c>
    </row>
    <row r="14" spans="1:2">
      <c r="B14" s="2" t="s">
        <v>9</v>
      </c>
    </row>
    <row r="15" spans="1:2">
      <c r="B15" t="s">
        <v>10</v>
      </c>
    </row>
    <row r="16" spans="1:2">
      <c r="B16" s="8">
        <v>2021</v>
      </c>
    </row>
    <row r="17" spans="1:2">
      <c r="B17" t="s">
        <v>11</v>
      </c>
    </row>
    <row r="18" spans="1:2">
      <c r="B18" s="5" t="s">
        <v>12</v>
      </c>
    </row>
    <row r="19" spans="1:2">
      <c r="B19" t="s">
        <v>13</v>
      </c>
    </row>
    <row r="20" spans="1:2">
      <c r="B20" s="2" t="s">
        <v>14</v>
      </c>
    </row>
    <row r="21" spans="1:2">
      <c r="B21" t="s">
        <v>15</v>
      </c>
    </row>
    <row r="22" spans="1:2">
      <c r="B22" s="4" t="s">
        <v>16</v>
      </c>
    </row>
    <row r="23" spans="1:2">
      <c r="B23" t="s">
        <v>17</v>
      </c>
    </row>
    <row r="24" spans="1:2">
      <c r="B24" s="5" t="s">
        <v>18</v>
      </c>
    </row>
    <row r="25" spans="1:2">
      <c r="B25" t="s">
        <v>19</v>
      </c>
    </row>
    <row r="27" spans="1:2" ht="118.5" customHeight="1">
      <c r="A27" s="4" t="s">
        <v>20</v>
      </c>
      <c r="B27" s="6" t="s">
        <v>21</v>
      </c>
    </row>
    <row r="28" spans="1:2" ht="139.5" customHeight="1"/>
    <row r="29" spans="1:2" ht="56.45" customHeight="1"/>
    <row r="33" spans="1:1">
      <c r="A33" s="1"/>
    </row>
    <row r="37" spans="1:1">
      <c r="A37" s="1"/>
    </row>
  </sheetData>
  <phoneticPr fontId="9" type="noConversion"/>
  <hyperlinks>
    <hyperlink ref="B7" r:id="rId1" xr:uid="{106FFF6B-8264-4D7C-B4CB-D790FE666CF6}"/>
    <hyperlink ref="B18" r:id="rId2" xr:uid="{3AF42BF9-D677-41B3-9C61-399EE7BB236E}"/>
    <hyperlink ref="B12" r:id="rId3" xr:uid="{0F92808E-B348-0A4B-A22A-4D742D0C3549}"/>
    <hyperlink ref="B24" r:id="rId4" xr:uid="{C5B0F417-EEA1-064B-933E-B3286ED039A8}"/>
  </hyperlinks>
  <pageMargins left="0.7" right="0.7" top="0.75" bottom="0.75" header="0.3" footer="0.3"/>
  <pageSetup orientation="portrait" horizontalDpi="1200" verticalDpi="1200" r:id="rId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D63AC-801C-4AE3-822B-CE3EA5B65BA7}">
  <dimension ref="A1:U62"/>
  <sheetViews>
    <sheetView zoomScale="108" workbookViewId="0">
      <selection activeCell="P64" sqref="P64"/>
    </sheetView>
  </sheetViews>
  <sheetFormatPr defaultColWidth="8.85546875" defaultRowHeight="15"/>
  <cols>
    <col min="7" max="7" width="12" bestFit="1" customWidth="1"/>
    <col min="13" max="13" width="12" bestFit="1" customWidth="1"/>
    <col min="17" max="17" width="12" bestFit="1" customWidth="1"/>
  </cols>
  <sheetData>
    <row r="1" spans="1:13">
      <c r="A1" t="s">
        <v>22</v>
      </c>
    </row>
    <row r="2" spans="1:13">
      <c r="M2" t="s">
        <v>23</v>
      </c>
    </row>
    <row r="6" spans="1:13">
      <c r="K6">
        <v>14155</v>
      </c>
    </row>
    <row r="7" spans="1:13">
      <c r="K7">
        <v>13655</v>
      </c>
    </row>
    <row r="8" spans="1:13">
      <c r="K8">
        <v>13204</v>
      </c>
    </row>
    <row r="9" spans="1:13">
      <c r="K9">
        <v>13028</v>
      </c>
    </row>
    <row r="10" spans="1:13">
      <c r="K10">
        <v>13054</v>
      </c>
    </row>
    <row r="11" spans="1:13">
      <c r="K11">
        <v>12294</v>
      </c>
    </row>
    <row r="12" spans="1:13">
      <c r="K12">
        <v>12722</v>
      </c>
    </row>
    <row r="13" spans="1:13">
      <c r="K13">
        <v>12829</v>
      </c>
    </row>
    <row r="14" spans="1:13">
      <c r="K14">
        <v>12274</v>
      </c>
    </row>
    <row r="15" spans="1:13">
      <c r="K15">
        <v>12161</v>
      </c>
    </row>
    <row r="16" spans="1:13">
      <c r="K16">
        <v>11945</v>
      </c>
    </row>
    <row r="18" spans="1:17">
      <c r="C18" t="s">
        <v>24</v>
      </c>
      <c r="G18">
        <f>$K16*947817077.74915</f>
        <v>11321674993713.598</v>
      </c>
    </row>
    <row r="21" spans="1:17">
      <c r="A21" t="s">
        <v>25</v>
      </c>
    </row>
    <row r="22" spans="1:17">
      <c r="N22" t="s">
        <v>26</v>
      </c>
    </row>
    <row r="24" spans="1:17">
      <c r="N24" t="s">
        <v>27</v>
      </c>
      <c r="Q24" s="7">
        <f>1-(K16/K11)^(1/5)</f>
        <v>5.743156202797195E-3</v>
      </c>
    </row>
    <row r="26" spans="1:17">
      <c r="N26" t="s">
        <v>28</v>
      </c>
    </row>
    <row r="31" spans="1:17">
      <c r="K31">
        <v>2021</v>
      </c>
      <c r="L31">
        <v>7222</v>
      </c>
    </row>
    <row r="36" spans="1:13">
      <c r="K36" t="s">
        <v>29</v>
      </c>
      <c r="M36">
        <f xml:space="preserve"> L31*947817077.74915</f>
        <v>6845134935504.3613</v>
      </c>
    </row>
    <row r="41" spans="1:13">
      <c r="A41" t="s">
        <v>30</v>
      </c>
      <c r="K41" t="s">
        <v>31</v>
      </c>
    </row>
    <row r="59" spans="1:21">
      <c r="B59">
        <v>2021</v>
      </c>
      <c r="C59">
        <v>3237</v>
      </c>
      <c r="E59" t="s">
        <v>32</v>
      </c>
      <c r="G59">
        <f>C59*947817077.74915</f>
        <v>3068083880673.9985</v>
      </c>
    </row>
    <row r="60" spans="1:21">
      <c r="O60" t="s">
        <v>29</v>
      </c>
      <c r="Q60">
        <f>U60*947817077.74915</f>
        <v>1408456177535.2371</v>
      </c>
      <c r="T60">
        <v>2021</v>
      </c>
      <c r="U60">
        <v>1486</v>
      </c>
    </row>
    <row r="62" spans="1:21">
      <c r="A62" t="s">
        <v>33</v>
      </c>
      <c r="B62" t="s">
        <v>34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9"/>
  <sheetViews>
    <sheetView workbookViewId="0">
      <selection activeCell="D9" sqref="D9"/>
    </sheetView>
  </sheetViews>
  <sheetFormatPr defaultColWidth="8.85546875" defaultRowHeight="15"/>
  <cols>
    <col min="1" max="1" width="39.85546875" customWidth="1"/>
    <col min="2" max="2" width="9.28515625" bestFit="1" customWidth="1"/>
    <col min="3" max="5" width="12.42578125" bestFit="1" customWidth="1"/>
  </cols>
  <sheetData>
    <row r="1" spans="1:36">
      <c r="A1" s="1" t="s">
        <v>35</v>
      </c>
      <c r="B1" s="1">
        <v>2016</v>
      </c>
      <c r="C1" s="1">
        <v>2017</v>
      </c>
      <c r="D1" s="1">
        <v>2018</v>
      </c>
      <c r="E1" s="1">
        <v>2019</v>
      </c>
      <c r="F1" s="1">
        <v>2020</v>
      </c>
      <c r="G1" s="1">
        <v>2021</v>
      </c>
      <c r="H1" s="1">
        <v>2022</v>
      </c>
      <c r="I1" s="1">
        <v>2023</v>
      </c>
      <c r="J1" s="1">
        <v>2024</v>
      </c>
      <c r="K1" s="1">
        <v>2025</v>
      </c>
      <c r="L1" s="1">
        <v>2026</v>
      </c>
      <c r="M1" s="1">
        <v>2027</v>
      </c>
      <c r="N1" s="1">
        <v>2028</v>
      </c>
      <c r="O1" s="1">
        <v>2029</v>
      </c>
      <c r="P1" s="1">
        <v>2030</v>
      </c>
      <c r="Q1" s="1">
        <v>2031</v>
      </c>
      <c r="R1" s="1">
        <v>2032</v>
      </c>
      <c r="S1" s="1">
        <v>2033</v>
      </c>
      <c r="T1" s="1">
        <v>2034</v>
      </c>
      <c r="U1" s="1">
        <v>2035</v>
      </c>
      <c r="V1" s="1">
        <v>2036</v>
      </c>
      <c r="W1" s="1">
        <v>2037</v>
      </c>
      <c r="X1" s="1">
        <v>2038</v>
      </c>
      <c r="Y1" s="1">
        <v>2039</v>
      </c>
      <c r="Z1" s="1">
        <v>2040</v>
      </c>
      <c r="AA1" s="1">
        <v>2041</v>
      </c>
      <c r="AB1" s="1">
        <v>2042</v>
      </c>
      <c r="AC1" s="1">
        <v>2043</v>
      </c>
      <c r="AD1" s="1">
        <v>2044</v>
      </c>
      <c r="AE1" s="1">
        <v>2045</v>
      </c>
      <c r="AF1" s="1">
        <v>2046</v>
      </c>
      <c r="AG1" s="1">
        <v>2047</v>
      </c>
      <c r="AH1" s="1">
        <v>2048</v>
      </c>
      <c r="AI1" s="1">
        <v>2049</v>
      </c>
      <c r="AJ1" s="1">
        <v>2050</v>
      </c>
    </row>
    <row r="2" spans="1:36">
      <c r="A2" t="s">
        <v>36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37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38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39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40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41</v>
      </c>
      <c r="B7">
        <f>0</f>
        <v>0</v>
      </c>
      <c r="C7">
        <f>0</f>
        <v>0</v>
      </c>
      <c r="D7">
        <f>0</f>
        <v>0</v>
      </c>
      <c r="E7">
        <f>0</f>
        <v>0</v>
      </c>
      <c r="F7">
        <f>0</f>
        <v>0</v>
      </c>
      <c r="G7">
        <f>0</f>
        <v>0</v>
      </c>
      <c r="H7">
        <f>0</f>
        <v>0</v>
      </c>
      <c r="I7">
        <f>0</f>
        <v>0</v>
      </c>
      <c r="J7">
        <f>0</f>
        <v>0</v>
      </c>
      <c r="K7">
        <f>0</f>
        <v>0</v>
      </c>
      <c r="L7">
        <f>0</f>
        <v>0</v>
      </c>
      <c r="M7">
        <f>0</f>
        <v>0</v>
      </c>
      <c r="N7">
        <f>0</f>
        <v>0</v>
      </c>
      <c r="O7">
        <f>0</f>
        <v>0</v>
      </c>
      <c r="P7">
        <f>0</f>
        <v>0</v>
      </c>
      <c r="Q7">
        <f>0</f>
        <v>0</v>
      </c>
      <c r="R7">
        <f>0</f>
        <v>0</v>
      </c>
      <c r="S7">
        <f>0</f>
        <v>0</v>
      </c>
      <c r="T7">
        <f>0</f>
        <v>0</v>
      </c>
      <c r="U7">
        <f>0</f>
        <v>0</v>
      </c>
      <c r="V7">
        <f>0</f>
        <v>0</v>
      </c>
      <c r="W7">
        <f>0</f>
        <v>0</v>
      </c>
      <c r="X7">
        <f>0</f>
        <v>0</v>
      </c>
      <c r="Y7">
        <f>0</f>
        <v>0</v>
      </c>
      <c r="Z7">
        <f>0</f>
        <v>0</v>
      </c>
      <c r="AA7">
        <f>0</f>
        <v>0</v>
      </c>
      <c r="AB7">
        <f>0</f>
        <v>0</v>
      </c>
      <c r="AC7">
        <f>0</f>
        <v>0</v>
      </c>
      <c r="AD7">
        <f>0</f>
        <v>0</v>
      </c>
      <c r="AE7">
        <f>0</f>
        <v>0</v>
      </c>
      <c r="AF7">
        <f>0</f>
        <v>0</v>
      </c>
      <c r="AG7">
        <f>0</f>
        <v>0</v>
      </c>
      <c r="AH7">
        <f>0</f>
        <v>0</v>
      </c>
      <c r="AI7">
        <f>0</f>
        <v>0</v>
      </c>
      <c r="AJ7">
        <f>0</f>
        <v>0</v>
      </c>
    </row>
    <row r="8" spans="1:36">
      <c r="A8" t="s">
        <v>42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43</v>
      </c>
      <c r="B9">
        <f>'EMSD Data'!$M$36*(1-'EMSD Data'!$Q$24)^('BIFUbC-electricity'!B1-'BIFUbC-electricity'!$B$1)</f>
        <v>6845134935504.3613</v>
      </c>
      <c r="C9" s="3">
        <f>'EMSD Data'!$M$36*(1-'EMSD Data'!$Q$24)^('BIFUbC-electricity'!C1-'BIFUbC-electricity'!$B$1)</f>
        <v>6805822256340.5361</v>
      </c>
      <c r="D9" s="3">
        <f>'EMSD Data'!$M$36*(1-'EMSD Data'!$Q$24)^('BIFUbC-electricity'!D1-'BIFUbC-electricity'!$B$1)</f>
        <v>6766735356033.8984</v>
      </c>
      <c r="E9" s="3">
        <f>'EMSD Data'!$M$36*(1-'EMSD Data'!$Q$24)^('BIFUbC-electricity'!E1-'BIFUbC-electricity'!$B$1)</f>
        <v>6727872937901.2051</v>
      </c>
      <c r="F9" s="3">
        <f>'EMSD Data'!$M$36*(1-'EMSD Data'!$Q$24)^('BIFUbC-electricity'!F1-'BIFUbC-electricity'!$B$1)</f>
        <v>6689233712706.2666</v>
      </c>
      <c r="G9" s="3">
        <f>'EMSD Data'!$M$36*(1-'EMSD Data'!$Q$24)^('BIFUbC-electricity'!G1-'BIFUbC-electricity'!$B$1)</f>
        <v>6650816398617.1777</v>
      </c>
      <c r="H9" s="3">
        <f>'EMSD Data'!$M$36*(1-'EMSD Data'!$Q$24)^('BIFUbC-electricity'!H1-'BIFUbC-electricity'!$B$1)</f>
        <v>6612619721163.7949</v>
      </c>
      <c r="I9" s="3">
        <f>'EMSD Data'!$M$36*(1-'EMSD Data'!$Q$24)^('BIFUbC-electricity'!I1-'BIFUbC-electricity'!$B$1)</f>
        <v>6574642413195.4531</v>
      </c>
      <c r="J9" s="3">
        <f>'EMSD Data'!$M$36*(1-'EMSD Data'!$Q$24)^('BIFUbC-electricity'!J1-'BIFUbC-electricity'!$B$1)</f>
        <v>6536883214838.9365</v>
      </c>
      <c r="K9" s="3">
        <f>'EMSD Data'!$M$36*(1-'EMSD Data'!$Q$24)^('BIFUbC-electricity'!K1-'BIFUbC-electricity'!$B$1)</f>
        <v>6499340873456.6738</v>
      </c>
      <c r="L9" s="3">
        <f>'EMSD Data'!$M$36*(1-'EMSD Data'!$Q$24)^('BIFUbC-electricity'!L1-'BIFUbC-electricity'!$B$1)</f>
        <v>6462014143605.1875</v>
      </c>
      <c r="M9" s="3">
        <f>'EMSD Data'!$M$36*(1-'EMSD Data'!$Q$24)^('BIFUbC-electricity'!M1-'BIFUbC-electricity'!$B$1)</f>
        <v>6424901786993.7783</v>
      </c>
      <c r="N9" s="3">
        <f>'EMSD Data'!$M$36*(1-'EMSD Data'!$Q$24)^('BIFUbC-electricity'!N1-'BIFUbC-electricity'!$B$1)</f>
        <v>6388002572443.4424</v>
      </c>
      <c r="O9" s="3">
        <f>'EMSD Data'!$M$36*(1-'EMSD Data'!$Q$24)^('BIFUbC-electricity'!O1-'BIFUbC-electricity'!$B$1)</f>
        <v>6351315275846.0293</v>
      </c>
      <c r="P9" s="3">
        <f>'EMSD Data'!$M$36*(1-'EMSD Data'!$Q$24)^('BIFUbC-electricity'!P1-'BIFUbC-electricity'!$B$1)</f>
        <v>6314838680123.6338</v>
      </c>
      <c r="Q9" s="3">
        <f>'EMSD Data'!$M$36*(1-'EMSD Data'!$Q$24)^('BIFUbC-electricity'!Q1-'BIFUbC-electricity'!$B$1)</f>
        <v>6278571575188.2188</v>
      </c>
      <c r="R9" s="3">
        <f>'EMSD Data'!$M$36*(1-'EMSD Data'!$Q$24)^('BIFUbC-electricity'!R1-'BIFUbC-electricity'!$B$1)</f>
        <v>6242512757901.4697</v>
      </c>
      <c r="S9" s="3">
        <f>'EMSD Data'!$M$36*(1-'EMSD Data'!$Q$24)^('BIFUbC-electricity'!S1-'BIFUbC-electricity'!$B$1)</f>
        <v>6206661032034.8877</v>
      </c>
      <c r="T9" s="3">
        <f>'EMSD Data'!$M$36*(1-'EMSD Data'!$Q$24)^('BIFUbC-electricity'!T1-'BIFUbC-electricity'!$B$1)</f>
        <v>6171015208230.0967</v>
      </c>
      <c r="U9" s="3">
        <f>'EMSD Data'!$M$36*(1-'EMSD Data'!$Q$24)^('BIFUbC-electricity'!U1-'BIFUbC-electricity'!$B$1)</f>
        <v>6135574103959.3945</v>
      </c>
      <c r="V9" s="3">
        <f>'EMSD Data'!$M$36*(1-'EMSD Data'!$Q$24)^('BIFUbC-electricity'!V1-'BIFUbC-electricity'!$B$1)</f>
        <v>6100336543486.5176</v>
      </c>
      <c r="W9" s="3">
        <f>'EMSD Data'!$M$36*(1-'EMSD Data'!$Q$24)^('BIFUbC-electricity'!W1-'BIFUbC-electricity'!$B$1)</f>
        <v>6065301357827.6426</v>
      </c>
      <c r="X9" s="3">
        <f>'EMSD Data'!$M$36*(1-'EMSD Data'!$Q$24)^('BIFUbC-electricity'!X1-'BIFUbC-electricity'!$B$1)</f>
        <v>6030467384712.6016</v>
      </c>
      <c r="Y9" s="3">
        <f>'EMSD Data'!$M$36*(1-'EMSD Data'!$Q$24)^('BIFUbC-electricity'!Y1-'BIFUbC-electricity'!$B$1)</f>
        <v>5995833468546.3232</v>
      </c>
      <c r="Z9" s="3">
        <f>'EMSD Data'!$M$36*(1-'EMSD Data'!$Q$24)^('BIFUbC-electricity'!Z1-'BIFUbC-electricity'!$B$1)</f>
        <v>5961398460370.5029</v>
      </c>
      <c r="AA9" s="3">
        <f>'EMSD Data'!$M$36*(1-'EMSD Data'!$Q$24)^('BIFUbC-electricity'!AA1-'BIFUbC-electricity'!$B$1)</f>
        <v>5927161217825.4795</v>
      </c>
      <c r="AB9" s="3">
        <f>'EMSD Data'!$M$36*(1-'EMSD Data'!$Q$24)^('BIFUbC-electricity'!AB1-'BIFUbC-electricity'!$B$1)</f>
        <v>5893120605112.3467</v>
      </c>
      <c r="AC9" s="3">
        <f>'EMSD Data'!$M$36*(1-'EMSD Data'!$Q$24)^('BIFUbC-electricity'!AC1-'BIFUbC-electricity'!$B$1)</f>
        <v>5859275492955.2637</v>
      </c>
      <c r="AD9" s="3">
        <f>'EMSD Data'!$M$36*(1-'EMSD Data'!$Q$24)^('BIFUbC-electricity'!AD1-'BIFUbC-electricity'!$B$1)</f>
        <v>5825624758564</v>
      </c>
      <c r="AE9" s="3">
        <f>'EMSD Data'!$M$36*(1-'EMSD Data'!$Q$24)^('BIFUbC-electricity'!AE1-'BIFUbC-electricity'!$B$1)</f>
        <v>5792167285596.6836</v>
      </c>
      <c r="AF9" s="3">
        <f>'EMSD Data'!$M$36*(1-'EMSD Data'!$Q$24)^('BIFUbC-electricity'!AF1-'BIFUbC-electricity'!$B$1)</f>
        <v>5758901964122.7715</v>
      </c>
      <c r="AG9" s="3">
        <f>'EMSD Data'!$M$36*(1-'EMSD Data'!$Q$24)^('BIFUbC-electricity'!AG1-'BIFUbC-electricity'!$B$1)</f>
        <v>5725827690586.2188</v>
      </c>
      <c r="AH9" s="3">
        <f>'EMSD Data'!$M$36*(1-'EMSD Data'!$Q$24)^('BIFUbC-electricity'!AH1-'BIFUbC-electricity'!$B$1)</f>
        <v>5692943367768.8799</v>
      </c>
      <c r="AI9" s="3">
        <f>'EMSD Data'!$M$36*(1-'EMSD Data'!$Q$24)^('BIFUbC-electricity'!AI1-'BIFUbC-electricity'!$B$1)</f>
        <v>5660247904754.1055</v>
      </c>
      <c r="AJ9" s="3">
        <f>'EMSD Data'!$M$36*(1-'EMSD Data'!$Q$24)^('BIFUbC-electricity'!AJ1-'BIFUbC-electricity'!$B$1)</f>
        <v>5627740216890.5469</v>
      </c>
    </row>
  </sheetData>
  <phoneticPr fontId="9"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9"/>
  <sheetViews>
    <sheetView workbookViewId="0">
      <selection activeCell="B1" sqref="B1"/>
    </sheetView>
  </sheetViews>
  <sheetFormatPr defaultColWidth="9.140625" defaultRowHeight="15"/>
  <cols>
    <col min="1" max="1" width="39.85546875" customWidth="1"/>
  </cols>
  <sheetData>
    <row r="1" spans="1:36">
      <c r="A1" s="1" t="s">
        <v>35</v>
      </c>
      <c r="B1" s="1">
        <v>2016</v>
      </c>
      <c r="C1" s="1">
        <v>2017</v>
      </c>
      <c r="D1" s="1">
        <v>2018</v>
      </c>
      <c r="E1" s="1">
        <v>2019</v>
      </c>
      <c r="F1" s="1">
        <v>2020</v>
      </c>
      <c r="G1" s="1">
        <v>2021</v>
      </c>
      <c r="H1" s="1">
        <v>2022</v>
      </c>
      <c r="I1" s="1">
        <v>2023</v>
      </c>
      <c r="J1" s="1">
        <v>2024</v>
      </c>
      <c r="K1" s="1">
        <v>2025</v>
      </c>
      <c r="L1" s="1">
        <v>2026</v>
      </c>
      <c r="M1" s="1">
        <v>2027</v>
      </c>
      <c r="N1" s="1">
        <v>2028</v>
      </c>
      <c r="O1" s="1">
        <v>2029</v>
      </c>
      <c r="P1" s="1">
        <v>2030</v>
      </c>
      <c r="Q1" s="1">
        <v>2031</v>
      </c>
      <c r="R1" s="1">
        <v>2032</v>
      </c>
      <c r="S1" s="1">
        <v>2033</v>
      </c>
      <c r="T1" s="1">
        <v>2034</v>
      </c>
      <c r="U1" s="1">
        <v>2035</v>
      </c>
      <c r="V1" s="1">
        <v>2036</v>
      </c>
      <c r="W1" s="1">
        <v>2037</v>
      </c>
      <c r="X1" s="1">
        <v>2038</v>
      </c>
      <c r="Y1" s="1">
        <v>2039</v>
      </c>
      <c r="Z1" s="1">
        <v>2040</v>
      </c>
      <c r="AA1" s="1">
        <v>2041</v>
      </c>
      <c r="AB1" s="1">
        <v>2042</v>
      </c>
      <c r="AC1" s="1">
        <v>2043</v>
      </c>
      <c r="AD1" s="1">
        <v>2044</v>
      </c>
      <c r="AE1" s="1">
        <v>2045</v>
      </c>
      <c r="AF1" s="1">
        <v>2046</v>
      </c>
      <c r="AG1" s="1">
        <v>2047</v>
      </c>
      <c r="AH1" s="1">
        <v>2048</v>
      </c>
      <c r="AI1" s="1">
        <v>2049</v>
      </c>
      <c r="AJ1" s="1">
        <v>2050</v>
      </c>
    </row>
    <row r="2" spans="1:36">
      <c r="A2" t="s">
        <v>36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44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38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39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40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41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row r="8" spans="1:36">
      <c r="A8" t="s">
        <v>42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43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J9"/>
  <sheetViews>
    <sheetView workbookViewId="0">
      <selection activeCell="G9" sqref="G9"/>
    </sheetView>
  </sheetViews>
  <sheetFormatPr defaultColWidth="9.140625" defaultRowHeight="15"/>
  <cols>
    <col min="1" max="1" width="39.85546875" customWidth="1"/>
  </cols>
  <sheetData>
    <row r="1" spans="1:36">
      <c r="A1" s="1" t="s">
        <v>35</v>
      </c>
      <c r="B1" s="1">
        <v>2016</v>
      </c>
      <c r="C1" s="1">
        <v>2017</v>
      </c>
      <c r="D1" s="1">
        <v>2018</v>
      </c>
      <c r="E1" s="1">
        <v>2019</v>
      </c>
      <c r="F1" s="1">
        <v>2020</v>
      </c>
      <c r="G1" s="1">
        <v>2021</v>
      </c>
      <c r="H1" s="1">
        <v>2022</v>
      </c>
      <c r="I1" s="1">
        <v>2023</v>
      </c>
      <c r="J1" s="1">
        <v>2024</v>
      </c>
      <c r="K1" s="1">
        <v>2025</v>
      </c>
      <c r="L1" s="1">
        <v>2026</v>
      </c>
      <c r="M1" s="1">
        <v>2027</v>
      </c>
      <c r="N1" s="1">
        <v>2028</v>
      </c>
      <c r="O1" s="1">
        <v>2029</v>
      </c>
      <c r="P1" s="1">
        <v>2030</v>
      </c>
      <c r="Q1" s="1">
        <v>2031</v>
      </c>
      <c r="R1" s="1">
        <v>2032</v>
      </c>
      <c r="S1" s="1">
        <v>2033</v>
      </c>
      <c r="T1" s="1">
        <v>2034</v>
      </c>
      <c r="U1" s="1">
        <v>2035</v>
      </c>
      <c r="V1" s="1">
        <v>2036</v>
      </c>
      <c r="W1" s="1">
        <v>2037</v>
      </c>
      <c r="X1" s="1">
        <v>2038</v>
      </c>
      <c r="Y1" s="1">
        <v>2039</v>
      </c>
      <c r="Z1" s="1">
        <v>2040</v>
      </c>
      <c r="AA1" s="1">
        <v>2041</v>
      </c>
      <c r="AB1" s="1">
        <v>2042</v>
      </c>
      <c r="AC1" s="1">
        <v>2043</v>
      </c>
      <c r="AD1" s="1">
        <v>2044</v>
      </c>
      <c r="AE1" s="1">
        <v>2045</v>
      </c>
      <c r="AF1" s="1">
        <v>2046</v>
      </c>
      <c r="AG1" s="1">
        <v>2047</v>
      </c>
      <c r="AH1" s="1">
        <v>2048</v>
      </c>
      <c r="AI1" s="1">
        <v>2049</v>
      </c>
      <c r="AJ1" s="1">
        <v>2050</v>
      </c>
    </row>
    <row r="2" spans="1:36">
      <c r="A2" t="s">
        <v>45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44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38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39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40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41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row r="8" spans="1:36">
      <c r="A8" t="s">
        <v>42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43</v>
      </c>
      <c r="B9" s="3">
        <f>'EMSD Data'!$Q$60*(1-'EMSD Data'!$Q$24)^('BIFUbC-electricity'!B1-'BIFUbC-electricity'!$B$1)</f>
        <v>1408456177535.2371</v>
      </c>
      <c r="C9" s="3">
        <f>'EMSD Data'!$Q$60*(1-'EMSD Data'!$Q$24)^('BIFUbC-electricity'!C1-'BIFUbC-electricity'!$B$1)</f>
        <v>1400367193702.8574</v>
      </c>
      <c r="D9" s="3">
        <f>'EMSD Data'!$Q$60*(1-'EMSD Data'!$Q$24)^('BIFUbC-electricity'!D1-'BIFUbC-electricity'!$B$1)</f>
        <v>1392324666168.1492</v>
      </c>
      <c r="E9" s="3">
        <f>'EMSD Data'!$Q$60*(1-'EMSD Data'!$Q$24)^('BIFUbC-electricity'!E1-'BIFUbC-electricity'!$B$1)</f>
        <v>1384328328125.3381</v>
      </c>
      <c r="F9" s="3">
        <f>'EMSD Data'!$Q$60*(1-'EMSD Data'!$Q$24)^('BIFUbC-electricity'!F1-'BIFUbC-electricity'!$B$1)</f>
        <v>1376377914300.9573</v>
      </c>
      <c r="G9" s="3">
        <f>'EMSD Data'!$Q$60*(1-'EMSD Data'!$Q$24)^('BIFUbC-electricity'!G1-'BIFUbC-electricity'!$B$1)</f>
        <v>1368473160945.0466</v>
      </c>
      <c r="H9" s="3">
        <f>'EMSD Data'!$Q$60*(1-'EMSD Data'!$Q$24)^('BIFUbC-electricity'!H1-'BIFUbC-electricity'!$B$1)</f>
        <v>1360613805822.4038</v>
      </c>
      <c r="I9" s="3">
        <f>'EMSD Data'!$Q$60*(1-'EMSD Data'!$Q$24)^('BIFUbC-electricity'!I1-'BIFUbC-electricity'!$B$1)</f>
        <v>1352799588203.8833</v>
      </c>
      <c r="J9" s="3">
        <f>'EMSD Data'!$Q$60*(1-'EMSD Data'!$Q$24)^('BIFUbC-electricity'!J1-'BIFUbC-electricity'!$B$1)</f>
        <v>1345030248857.7488</v>
      </c>
      <c r="K9" s="3">
        <f>'EMSD Data'!$Q$60*(1-'EMSD Data'!$Q$24)^('BIFUbC-electricity'!K1-'BIFUbC-electricity'!$B$1)</f>
        <v>1337305530041.0715</v>
      </c>
      <c r="L9" s="3">
        <f>'EMSD Data'!$Q$60*(1-'EMSD Data'!$Q$24)^('BIFUbC-electricity'!L1-'BIFUbC-electricity'!$B$1)</f>
        <v>1329625175491.1812</v>
      </c>
      <c r="M9" s="3">
        <f>'EMSD Data'!$Q$60*(1-'EMSD Data'!$Q$24)^('BIFUbC-electricity'!M1-'BIFUbC-electricity'!$B$1)</f>
        <v>1321988930417.1636</v>
      </c>
      <c r="N9" s="3">
        <f>'EMSD Data'!$Q$60*(1-'EMSD Data'!$Q$24)^('BIFUbC-electricity'!N1-'BIFUbC-electricity'!$B$1)</f>
        <v>1314396541491.4092</v>
      </c>
      <c r="O9" s="3">
        <f>'EMSD Data'!$Q$60*(1-'EMSD Data'!$Q$24)^('BIFUbC-electricity'!O1-'BIFUbC-electricity'!$B$1)</f>
        <v>1306847756841.2075</v>
      </c>
      <c r="P9" s="3">
        <f>'EMSD Data'!$Q$60*(1-'EMSD Data'!$Q$24)^('BIFUbC-electricity'!P1-'BIFUbC-electricity'!$B$1)</f>
        <v>1299342326040.3933</v>
      </c>
      <c r="Q9" s="3">
        <f>'EMSD Data'!$Q$60*(1-'EMSD Data'!$Q$24)^('BIFUbC-electricity'!Q1-'BIFUbC-electricity'!$B$1)</f>
        <v>1291880000101.0376</v>
      </c>
      <c r="R9" s="3">
        <f>'EMSD Data'!$Q$60*(1-'EMSD Data'!$Q$24)^('BIFUbC-electricity'!R1-'BIFUbC-electricity'!$B$1)</f>
        <v>1284460531465.1877</v>
      </c>
      <c r="S9" s="3">
        <f>'EMSD Data'!$Q$60*(1-'EMSD Data'!$Q$24)^('BIFUbC-electricity'!S1-'BIFUbC-electricity'!$B$1)</f>
        <v>1277083673996.6553</v>
      </c>
      <c r="T9" s="3">
        <f>'EMSD Data'!$Q$60*(1-'EMSD Data'!$Q$24)^('BIFUbC-electricity'!T1-'BIFUbC-electricity'!$B$1)</f>
        <v>1269749182972.8503</v>
      </c>
      <c r="U9" s="3">
        <f>'EMSD Data'!$Q$60*(1-'EMSD Data'!$Q$24)^('BIFUbC-electricity'!U1-'BIFUbC-electricity'!$B$1)</f>
        <v>1262456815076.6631</v>
      </c>
      <c r="V9" s="3">
        <f>'EMSD Data'!$Q$60*(1-'EMSD Data'!$Q$24)^('BIFUbC-electricity'!V1-'BIFUbC-electricity'!$B$1)</f>
        <v>1255206328388.3918</v>
      </c>
      <c r="W9" s="3">
        <f>'EMSD Data'!$Q$60*(1-'EMSD Data'!$Q$24)^('BIFUbC-electricity'!W1-'BIFUbC-electricity'!$B$1)</f>
        <v>1247997482377.7178</v>
      </c>
      <c r="X9" s="3">
        <f>'EMSD Data'!$Q$60*(1-'EMSD Data'!$Q$24)^('BIFUbC-electricity'!X1-'BIFUbC-electricity'!$B$1)</f>
        <v>1240830037895.7251</v>
      </c>
      <c r="Y9" s="3">
        <f>'EMSD Data'!$Q$60*(1-'EMSD Data'!$Q$24)^('BIFUbC-electricity'!Y1-'BIFUbC-electricity'!$B$1)</f>
        <v>1233703757166.967</v>
      </c>
      <c r="Z9" s="3">
        <f>'EMSD Data'!$Q$60*(1-'EMSD Data'!$Q$24)^('BIFUbC-electricity'!Z1-'BIFUbC-electricity'!$B$1)</f>
        <v>1226618403781.5796</v>
      </c>
      <c r="AA9" s="3">
        <f>'EMSD Data'!$Q$60*(1-'EMSD Data'!$Q$24)^('BIFUbC-electricity'!AA1-'BIFUbC-electricity'!$B$1)</f>
        <v>1219573742687.436</v>
      </c>
      <c r="AB9" s="3">
        <f>'EMSD Data'!$Q$60*(1-'EMSD Data'!$Q$24)^('BIFUbC-electricity'!AB1-'BIFUbC-electricity'!$B$1)</f>
        <v>1212569540182.3523</v>
      </c>
      <c r="AC9" s="3">
        <f>'EMSD Data'!$Q$60*(1-'EMSD Data'!$Q$24)^('BIFUbC-electricity'!AC1-'BIFUbC-electricity'!$B$1)</f>
        <v>1205605563906.3311</v>
      </c>
      <c r="AD9" s="3">
        <f>'EMSD Data'!$Q$60*(1-'EMSD Data'!$Q$24)^('BIFUbC-electricity'!AD1-'BIFUbC-electricity'!$B$1)</f>
        <v>1198681582833.8557</v>
      </c>
      <c r="AE9" s="3">
        <f>'EMSD Data'!$Q$60*(1-'EMSD Data'!$Q$24)^('BIFUbC-electricity'!AE1-'BIFUbC-electricity'!$B$1)</f>
        <v>1191797367266.2246</v>
      </c>
      <c r="AF9" s="3">
        <f>'EMSD Data'!$Q$60*(1-'EMSD Data'!$Q$24)^('BIFUbC-electricity'!AF1-'BIFUbC-electricity'!$B$1)</f>
        <v>1184952688823.9324</v>
      </c>
      <c r="AG9" s="3">
        <f>'EMSD Data'!$Q$60*(1-'EMSD Data'!$Q$24)^('BIFUbC-electricity'!AG1-'BIFUbC-electricity'!$B$1)</f>
        <v>1178147320439.092</v>
      </c>
      <c r="AH9" s="3">
        <f>'EMSD Data'!$Q$60*(1-'EMSD Data'!$Q$24)^('BIFUbC-electricity'!AH1-'BIFUbC-electricity'!$B$1)</f>
        <v>1171381036347.9031</v>
      </c>
      <c r="AI9" s="3">
        <f>'EMSD Data'!$Q$60*(1-'EMSD Data'!$Q$24)^('BIFUbC-electricity'!AI1-'BIFUbC-electricity'!$B$1)</f>
        <v>1164653612083.1626</v>
      </c>
      <c r="AJ9" s="3">
        <f>'EMSD Data'!$Q$60*(1-'EMSD Data'!$Q$24)^('BIFUbC-electricity'!AJ1-'BIFUbC-electricity'!$B$1)</f>
        <v>1157964824466.8171</v>
      </c>
    </row>
  </sheetData>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J9"/>
  <sheetViews>
    <sheetView workbookViewId="0">
      <selection activeCell="B1" sqref="B1"/>
    </sheetView>
  </sheetViews>
  <sheetFormatPr defaultColWidth="9.140625" defaultRowHeight="15"/>
  <cols>
    <col min="1" max="1" width="39.85546875" customWidth="1"/>
  </cols>
  <sheetData>
    <row r="1" spans="1:36">
      <c r="A1" s="1" t="s">
        <v>35</v>
      </c>
      <c r="B1" s="1">
        <v>2016</v>
      </c>
      <c r="C1" s="1">
        <v>2017</v>
      </c>
      <c r="D1" s="1">
        <v>2018</v>
      </c>
      <c r="E1" s="1">
        <v>2019</v>
      </c>
      <c r="F1" s="1">
        <v>2020</v>
      </c>
      <c r="G1" s="1">
        <v>2021</v>
      </c>
      <c r="H1" s="1">
        <v>2022</v>
      </c>
      <c r="I1" s="1">
        <v>2023</v>
      </c>
      <c r="J1" s="1">
        <v>2024</v>
      </c>
      <c r="K1" s="1">
        <v>2025</v>
      </c>
      <c r="L1" s="1">
        <v>2026</v>
      </c>
      <c r="M1" s="1">
        <v>2027</v>
      </c>
      <c r="N1" s="1">
        <v>2028</v>
      </c>
      <c r="O1" s="1">
        <v>2029</v>
      </c>
      <c r="P1" s="1">
        <v>2030</v>
      </c>
      <c r="Q1" s="1">
        <v>2031</v>
      </c>
      <c r="R1" s="1">
        <v>2032</v>
      </c>
      <c r="S1" s="1">
        <v>2033</v>
      </c>
      <c r="T1" s="1">
        <v>2034</v>
      </c>
      <c r="U1" s="1">
        <v>2035</v>
      </c>
      <c r="V1" s="1">
        <v>2036</v>
      </c>
      <c r="W1" s="1">
        <v>2037</v>
      </c>
      <c r="X1" s="1">
        <v>2038</v>
      </c>
      <c r="Y1" s="1">
        <v>2039</v>
      </c>
      <c r="Z1" s="1">
        <v>2040</v>
      </c>
      <c r="AA1" s="1">
        <v>2041</v>
      </c>
      <c r="AB1" s="1">
        <v>2042</v>
      </c>
      <c r="AC1" s="1">
        <v>2043</v>
      </c>
      <c r="AD1" s="1">
        <v>2044</v>
      </c>
      <c r="AE1" s="1">
        <v>2045</v>
      </c>
      <c r="AF1" s="1">
        <v>2046</v>
      </c>
      <c r="AG1" s="1">
        <v>2047</v>
      </c>
      <c r="AH1" s="1">
        <v>2048</v>
      </c>
      <c r="AI1" s="1">
        <v>2049</v>
      </c>
      <c r="AJ1" s="1">
        <v>2050</v>
      </c>
    </row>
    <row r="2" spans="1:36">
      <c r="A2" t="s">
        <v>36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44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38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39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40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41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row r="8" spans="1:36">
      <c r="A8" t="s">
        <v>42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43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sheetData>
  <phoneticPr fontId="9"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J9"/>
  <sheetViews>
    <sheetView workbookViewId="0">
      <selection activeCell="J33" sqref="J33"/>
    </sheetView>
  </sheetViews>
  <sheetFormatPr defaultColWidth="9.140625" defaultRowHeight="15"/>
  <cols>
    <col min="1" max="1" width="39.85546875" customWidth="1"/>
  </cols>
  <sheetData>
    <row r="1" spans="1:36">
      <c r="A1" s="1" t="s">
        <v>35</v>
      </c>
      <c r="B1" s="1">
        <v>2016</v>
      </c>
      <c r="C1" s="1">
        <v>2017</v>
      </c>
      <c r="D1" s="1">
        <v>2018</v>
      </c>
      <c r="E1" s="1">
        <v>2019</v>
      </c>
      <c r="F1" s="1">
        <v>2020</v>
      </c>
      <c r="G1" s="1">
        <v>2021</v>
      </c>
      <c r="H1" s="1">
        <v>2022</v>
      </c>
      <c r="I1" s="1">
        <v>2023</v>
      </c>
      <c r="J1" s="1">
        <v>2024</v>
      </c>
      <c r="K1" s="1">
        <v>2025</v>
      </c>
      <c r="L1" s="1">
        <v>2026</v>
      </c>
      <c r="M1" s="1">
        <v>2027</v>
      </c>
      <c r="N1" s="1">
        <v>2028</v>
      </c>
      <c r="O1" s="1">
        <v>2029</v>
      </c>
      <c r="P1" s="1">
        <v>2030</v>
      </c>
      <c r="Q1" s="1">
        <v>2031</v>
      </c>
      <c r="R1" s="1">
        <v>2032</v>
      </c>
      <c r="S1" s="1">
        <v>2033</v>
      </c>
      <c r="T1" s="1">
        <v>2034</v>
      </c>
      <c r="U1" s="1">
        <v>2035</v>
      </c>
      <c r="V1" s="1">
        <v>2036</v>
      </c>
      <c r="W1" s="1">
        <v>2037</v>
      </c>
      <c r="X1" s="1">
        <v>2038</v>
      </c>
      <c r="Y1" s="1">
        <v>2039</v>
      </c>
      <c r="Z1" s="1">
        <v>2040</v>
      </c>
      <c r="AA1" s="1">
        <v>2041</v>
      </c>
      <c r="AB1" s="1">
        <v>2042</v>
      </c>
      <c r="AC1" s="1">
        <v>2043</v>
      </c>
      <c r="AD1" s="1">
        <v>2044</v>
      </c>
      <c r="AE1" s="1">
        <v>2045</v>
      </c>
      <c r="AF1" s="1">
        <v>2046</v>
      </c>
      <c r="AG1" s="1">
        <v>2047</v>
      </c>
      <c r="AH1" s="1">
        <v>2048</v>
      </c>
      <c r="AI1" s="1">
        <v>2049</v>
      </c>
      <c r="AJ1" s="1">
        <v>2050</v>
      </c>
    </row>
    <row r="2" spans="1:36">
      <c r="A2" t="s">
        <v>36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44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38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39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40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41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row r="8" spans="1:36">
      <c r="A8" t="s">
        <v>42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43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sheetData>
  <phoneticPr fontId="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J9"/>
  <sheetViews>
    <sheetView tabSelected="1" workbookViewId="0">
      <selection activeCell="A23" sqref="A23"/>
    </sheetView>
  </sheetViews>
  <sheetFormatPr defaultColWidth="9.140625" defaultRowHeight="15"/>
  <cols>
    <col min="1" max="1" width="39.85546875" customWidth="1"/>
  </cols>
  <sheetData>
    <row r="1" spans="1:36">
      <c r="A1" s="1" t="s">
        <v>35</v>
      </c>
      <c r="B1" s="1">
        <v>2016</v>
      </c>
      <c r="C1" s="1">
        <v>2017</v>
      </c>
      <c r="D1" s="1">
        <v>2018</v>
      </c>
      <c r="E1" s="1">
        <v>2019</v>
      </c>
      <c r="F1" s="1">
        <v>2020</v>
      </c>
      <c r="G1" s="1">
        <v>2021</v>
      </c>
      <c r="H1" s="1">
        <v>2022</v>
      </c>
      <c r="I1" s="1">
        <v>2023</v>
      </c>
      <c r="J1" s="1">
        <v>2024</v>
      </c>
      <c r="K1" s="1">
        <v>2025</v>
      </c>
      <c r="L1" s="1">
        <v>2026</v>
      </c>
      <c r="M1" s="1">
        <v>2027</v>
      </c>
      <c r="N1" s="1">
        <v>2028</v>
      </c>
      <c r="O1" s="1">
        <v>2029</v>
      </c>
      <c r="P1" s="1">
        <v>2030</v>
      </c>
      <c r="Q1" s="1">
        <v>2031</v>
      </c>
      <c r="R1" s="1">
        <v>2032</v>
      </c>
      <c r="S1" s="1">
        <v>2033</v>
      </c>
      <c r="T1" s="1">
        <v>2034</v>
      </c>
      <c r="U1" s="1">
        <v>2035</v>
      </c>
      <c r="V1" s="1">
        <v>2036</v>
      </c>
      <c r="W1" s="1">
        <v>2037</v>
      </c>
      <c r="X1" s="1">
        <v>2038</v>
      </c>
      <c r="Y1" s="1">
        <v>2039</v>
      </c>
      <c r="Z1" s="1">
        <v>2040</v>
      </c>
      <c r="AA1" s="1">
        <v>2041</v>
      </c>
      <c r="AB1" s="1">
        <v>2042</v>
      </c>
      <c r="AC1" s="1">
        <v>2043</v>
      </c>
      <c r="AD1" s="1">
        <v>2044</v>
      </c>
      <c r="AE1" s="1">
        <v>2045</v>
      </c>
      <c r="AF1" s="1">
        <v>2046</v>
      </c>
      <c r="AG1" s="1">
        <v>2047</v>
      </c>
      <c r="AH1" s="1">
        <v>2048</v>
      </c>
      <c r="AI1" s="1">
        <v>2049</v>
      </c>
      <c r="AJ1" s="1">
        <v>2050</v>
      </c>
    </row>
    <row r="2" spans="1:36">
      <c r="A2" t="s">
        <v>36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44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38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39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40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41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row r="8" spans="1:36">
      <c r="A8" t="s">
        <v>42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43</v>
      </c>
      <c r="B9" s="3">
        <f>'EMSD Data'!$G$59*(1-'EMSD Data'!$Q$24)^('BIFUbC-electricity'!B1-'BIFUbC-electricity'!$B$1)</f>
        <v>3068083880673.9985</v>
      </c>
      <c r="C9" s="3">
        <f>'EMSD Data'!$G$59*(1-'EMSD Data'!$Q$24)^('BIFUbC-electricity'!C1-'BIFUbC-electricity'!$B$1)</f>
        <v>3050463395704.0034</v>
      </c>
      <c r="D9" s="3">
        <f>'EMSD Data'!$G$59*(1-'EMSD Data'!$Q$24)^('BIFUbC-electricity'!D1-'BIFUbC-electricity'!$B$1)</f>
        <v>3032944107931.5605</v>
      </c>
      <c r="E9" s="3">
        <f>'EMSD Data'!$G$59*(1-'EMSD Data'!$Q$24)^('BIFUbC-electricity'!E1-'BIFUbC-electricity'!$B$1)</f>
        <v>3015525436165.356</v>
      </c>
      <c r="F9" s="3">
        <f>'EMSD Data'!$G$59*(1-'EMSD Data'!$Q$24)^('BIFUbC-electricity'!F1-'BIFUbC-electricity'!$B$1)</f>
        <v>2998206802551.9502</v>
      </c>
      <c r="G9" s="3">
        <f>'EMSD Data'!$G$59*(1-'EMSD Data'!$Q$24)^('BIFUbC-electricity'!G1-'BIFUbC-electricity'!$B$1)</f>
        <v>2980987632556.6055</v>
      </c>
      <c r="H9" s="3">
        <f>'EMSD Data'!$G$59*(1-'EMSD Data'!$Q$24)^('BIFUbC-electricity'!H1-'BIFUbC-electricity'!$B$1)</f>
        <v>2963867354944.2266</v>
      </c>
      <c r="I9" s="3">
        <f>'EMSD Data'!$G$59*(1-'EMSD Data'!$Q$24)^('BIFUbC-electricity'!I1-'BIFUbC-electricity'!$B$1)</f>
        <v>2946845401760.4102</v>
      </c>
      <c r="J9" s="3">
        <f>'EMSD Data'!$G$59*(1-'EMSD Data'!$Q$24)^('BIFUbC-electricity'!J1-'BIFUbC-electricity'!$B$1)</f>
        <v>2929921208312.6055</v>
      </c>
      <c r="K9" s="3">
        <f>'EMSD Data'!$G$59*(1-'EMSD Data'!$Q$24)^('BIFUbC-electricity'!K1-'BIFUbC-electricity'!$B$1)</f>
        <v>2913094213151.3779</v>
      </c>
      <c r="L9" s="3">
        <f>'EMSD Data'!$G$59*(1-'EMSD Data'!$Q$24)^('BIFUbC-electricity'!L1-'BIFUbC-electricity'!$B$1)</f>
        <v>2896363858051.7852</v>
      </c>
      <c r="M9" s="3">
        <f>'EMSD Data'!$G$59*(1-'EMSD Data'!$Q$24)^('BIFUbC-electricity'!M1-'BIFUbC-electricity'!$B$1)</f>
        <v>2879729587994.8574</v>
      </c>
      <c r="N9" s="3">
        <f>'EMSD Data'!$G$59*(1-'EMSD Data'!$Q$24)^('BIFUbC-electricity'!N1-'BIFUbC-electricity'!$B$1)</f>
        <v>2863190851149.186</v>
      </c>
      <c r="O9" s="3">
        <f>'EMSD Data'!$G$59*(1-'EMSD Data'!$Q$24)^('BIFUbC-electricity'!O1-'BIFUbC-electricity'!$B$1)</f>
        <v>2846747098852.6162</v>
      </c>
      <c r="P9" s="3">
        <f>'EMSD Data'!$G$59*(1-'EMSD Data'!$Q$24)^('BIFUbC-electricity'!P1-'BIFUbC-electricity'!$B$1)</f>
        <v>2830397785594.0464</v>
      </c>
      <c r="Q9" s="3">
        <f>'EMSD Data'!$G$59*(1-'EMSD Data'!$Q$24)^('BIFUbC-electricity'!Q1-'BIFUbC-electricity'!$B$1)</f>
        <v>2814142368995.3286</v>
      </c>
      <c r="R9" s="3">
        <f>'EMSD Data'!$G$59*(1-'EMSD Data'!$Q$24)^('BIFUbC-electricity'!R1-'BIFUbC-electricity'!$B$1)</f>
        <v>2797980309793.2788</v>
      </c>
      <c r="S9" s="3">
        <f>'EMSD Data'!$G$59*(1-'EMSD Data'!$Q$24)^('BIFUbC-electricity'!S1-'BIFUbC-electricity'!$B$1)</f>
        <v>2781911071821.7847</v>
      </c>
      <c r="T9" s="3">
        <f>'EMSD Data'!$G$59*(1-'EMSD Data'!$Q$24)^('BIFUbC-electricity'!T1-'BIFUbC-electricity'!$B$1)</f>
        <v>2765934121994.0215</v>
      </c>
      <c r="U9" s="3">
        <f>'EMSD Data'!$G$59*(1-'EMSD Data'!$Q$24)^('BIFUbC-electricity'!U1-'BIFUbC-electricity'!$B$1)</f>
        <v>2750048930284.7632</v>
      </c>
      <c r="V9" s="3">
        <f>'EMSD Data'!$G$59*(1-'EMSD Data'!$Q$24)^('BIFUbC-electricity'!V1-'BIFUbC-electricity'!$B$1)</f>
        <v>2734254969712.8022</v>
      </c>
      <c r="W9" s="3">
        <f>'EMSD Data'!$G$59*(1-'EMSD Data'!$Q$24)^('BIFUbC-electricity'!W1-'BIFUbC-electricity'!$B$1)</f>
        <v>2718551716323.4673</v>
      </c>
      <c r="X9" s="3">
        <f>'EMSD Data'!$G$59*(1-'EMSD Data'!$Q$24)^('BIFUbC-electricity'!X1-'BIFUbC-electricity'!$B$1)</f>
        <v>2702938649171.2393</v>
      </c>
      <c r="Y9" s="3">
        <f>'EMSD Data'!$G$59*(1-'EMSD Data'!$Q$24)^('BIFUbC-electricity'!Y1-'BIFUbC-electricity'!$B$1)</f>
        <v>2687415250302.4712</v>
      </c>
      <c r="Z9" s="3">
        <f>'EMSD Data'!$G$59*(1-'EMSD Data'!$Q$24)^('BIFUbC-electricity'!Z1-'BIFUbC-electricity'!$B$1)</f>
        <v>2671981004738.2051</v>
      </c>
      <c r="AA9" s="3">
        <f>'EMSD Data'!$G$59*(1-'EMSD Data'!$Q$24)^('BIFUbC-electricity'!AA1-'BIFUbC-electricity'!$B$1)</f>
        <v>2656635400457.0864</v>
      </c>
      <c r="AB9" s="3">
        <f>'EMSD Data'!$G$59*(1-'EMSD Data'!$Q$24)^('BIFUbC-electricity'!AB1-'BIFUbC-electricity'!$B$1)</f>
        <v>2641377928378.3809</v>
      </c>
      <c r="AC9" s="3">
        <f>'EMSD Data'!$G$59*(1-'EMSD Data'!$Q$24)^('BIFUbC-electricity'!AC1-'BIFUbC-electricity'!$B$1)</f>
        <v>2626208082345.083</v>
      </c>
      <c r="AD9" s="3">
        <f>'EMSD Data'!$G$59*(1-'EMSD Data'!$Q$24)^('BIFUbC-electricity'!AD1-'BIFUbC-electricity'!$B$1)</f>
        <v>2611125359107.1265</v>
      </c>
      <c r="AE9" s="3">
        <f>'EMSD Data'!$G$59*(1-'EMSD Data'!$Q$24)^('BIFUbC-electricity'!AE1-'BIFUbC-electricity'!$B$1)</f>
        <v>2596129258304.6895</v>
      </c>
      <c r="AF9" s="3">
        <f>'EMSD Data'!$G$59*(1-'EMSD Data'!$Q$24)^('BIFUbC-electricity'!AF1-'BIFUbC-electricity'!$B$1)</f>
        <v>2581219282451.5938</v>
      </c>
      <c r="AG9" s="3">
        <f>'EMSD Data'!$G$59*(1-'EMSD Data'!$Q$24)^('BIFUbC-electricity'!AG1-'BIFUbC-electricity'!$B$1)</f>
        <v>2566394936918.8022</v>
      </c>
      <c r="AH9" s="3">
        <f>'EMSD Data'!$G$59*(1-'EMSD Data'!$Q$24)^('BIFUbC-electricity'!AH1-'BIFUbC-electricity'!$B$1)</f>
        <v>2551655729918.0098</v>
      </c>
      <c r="AI9" s="3">
        <f>'EMSD Data'!$G$59*(1-'EMSD Data'!$Q$24)^('BIFUbC-electricity'!AI1-'BIFUbC-electricity'!$B$1)</f>
        <v>2537001172485.3276</v>
      </c>
      <c r="AJ9" s="3">
        <f>'EMSD Data'!$G$59*(1-'EMSD Data'!$Q$24)^('BIFUbC-electricity'!AJ1-'BIFUbC-electricity'!$B$1)</f>
        <v>2522430778465.0649</v>
      </c>
    </row>
  </sheetData>
  <phoneticPr fontId="9"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D5480E-A98D-4AAD-961D-1F68A275A59F}"/>
</file>

<file path=customXml/itemProps2.xml><?xml version="1.0" encoding="utf-8"?>
<ds:datastoreItem xmlns:ds="http://schemas.openxmlformats.org/officeDocument/2006/customXml" ds:itemID="{CFA457BC-C083-4A65-BFCD-DD6AC898EBAF}"/>
</file>

<file path=customXml/itemProps3.xml><?xml version="1.0" encoding="utf-8"?>
<ds:datastoreItem xmlns:ds="http://schemas.openxmlformats.org/officeDocument/2006/customXml" ds:itemID="{24734CEB-917D-4535-AF11-2E4ADEB7C1E5}"/>
</file>

<file path=docProps/app.xml><?xml version="1.0" encoding="utf-8"?>
<Properties xmlns="http://schemas.openxmlformats.org/officeDocument/2006/extended-properties" xmlns:vt="http://schemas.openxmlformats.org/officeDocument/2006/docPropsVTypes">
  <Application>Microsoft Excel Online</Application>
  <Manager/>
  <Company>EnergyInnovation.org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Harriet Tsang</cp:lastModifiedBy>
  <cp:revision/>
  <dcterms:created xsi:type="dcterms:W3CDTF">2014-03-20T21:01:41Z</dcterms:created>
  <dcterms:modified xsi:type="dcterms:W3CDTF">2023-12-01T03:42:08Z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AuthorIds_UIVersion_512">
    <vt:lpwstr>344</vt:lpwstr>
  </property>
  <property fmtid="{D5CDD505-2E9C-101B-9397-08002B2CF9AE}" pid="4" name="MediaServiceImageTags">
    <vt:lpwstr/>
  </property>
</Properties>
</file>