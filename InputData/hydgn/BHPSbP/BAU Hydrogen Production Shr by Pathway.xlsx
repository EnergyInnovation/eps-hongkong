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830"/>
  <workbookPr/>
  <mc:AlternateContent xmlns:mc="http://schemas.openxmlformats.org/markup-compatibility/2006">
    <mc:Choice Requires="x15">
      <x15ac:absPath xmlns:x15ac="http://schemas.microsoft.com/office/spreadsheetml/2010/11/ac" url="C:\Users\mdeng\Desktop\Dropbox_Free_Zone\EPS\Model Repos\China\Subnational\eps-hongkong\InputData\hydgn\BHPSbP\"/>
    </mc:Choice>
  </mc:AlternateContent>
  <xr:revisionPtr revIDLastSave="0" documentId="13_ncr:1_{4FBB3D58-9983-4018-8132-FD3F481801D3}" xr6:coauthVersionLast="47" xr6:coauthVersionMax="47" xr10:uidLastSave="{00000000-0000-0000-0000-000000000000}"/>
  <bookViews>
    <workbookView xWindow="2190" yWindow="1110" windowWidth="23595" windowHeight="12900" activeTab="1" xr2:uid="{00000000-000D-0000-FFFF-FFFF00000000}"/>
  </bookViews>
  <sheets>
    <sheet name="About" sheetId="1" r:id="rId1"/>
    <sheet name="BHPSbP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" i="2" l="1"/>
  <c r="AA3" i="2" s="1"/>
  <c r="AB3" i="2" s="1"/>
  <c r="AC3" i="2" s="1"/>
  <c r="AA2" i="2"/>
  <c r="AB2" i="2" s="1"/>
  <c r="AC2" i="2" s="1"/>
  <c r="Z2" i="2"/>
  <c r="U3" i="2"/>
  <c r="V3" i="2" s="1"/>
  <c r="W3" i="2" s="1"/>
  <c r="X3" i="2" s="1"/>
  <c r="V2" i="2"/>
  <c r="W2" i="2" s="1"/>
  <c r="X2" i="2" s="1"/>
  <c r="U2" i="2"/>
  <c r="P3" i="2"/>
  <c r="Q3" i="2" s="1"/>
  <c r="R3" i="2" s="1"/>
  <c r="S3" i="2" s="1"/>
  <c r="Q2" i="2"/>
  <c r="R2" i="2"/>
  <c r="S2" i="2" s="1"/>
  <c r="P2" i="2"/>
  <c r="D2" i="2"/>
  <c r="E2" i="2"/>
  <c r="F2" i="2"/>
  <c r="G2" i="2"/>
  <c r="H2" i="2"/>
  <c r="I2" i="2"/>
  <c r="J2" i="2"/>
  <c r="K2" i="2"/>
  <c r="L2" i="2"/>
  <c r="M2" i="2"/>
  <c r="N2" i="2"/>
  <c r="D3" i="2"/>
  <c r="E3" i="2"/>
  <c r="F3" i="2"/>
  <c r="G3" i="2"/>
  <c r="H3" i="2"/>
  <c r="I3" i="2"/>
  <c r="J3" i="2"/>
  <c r="K3" i="2"/>
  <c r="L3" i="2"/>
  <c r="M3" i="2"/>
  <c r="N3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C3" i="2"/>
  <c r="C4" i="2"/>
  <c r="C5" i="2"/>
  <c r="C6" i="2"/>
  <c r="C2" i="2"/>
  <c r="A21" i="1" l="1"/>
</calcChain>
</file>

<file path=xl/sharedStrings.xml><?xml version="1.0" encoding="utf-8"?>
<sst xmlns="http://schemas.openxmlformats.org/spreadsheetml/2006/main" count="22" uniqueCount="20">
  <si>
    <t>BHPSbP BAU Hydrogen Production Shares by Pathway</t>
  </si>
  <si>
    <t>Sources:</t>
  </si>
  <si>
    <t>Notes</t>
  </si>
  <si>
    <t>electrolysis</t>
  </si>
  <si>
    <t>natural gas reforming</t>
  </si>
  <si>
    <t>coal gasification</t>
  </si>
  <si>
    <t>biomass gasification</t>
  </si>
  <si>
    <t>U.S. Department of Energy Fuel Cell Technologies Office</t>
  </si>
  <si>
    <t>Hydrogen Production Processes</t>
  </si>
  <si>
    <t>https://www.energy.gov/eere/fuelcells/hydrogen-production-processes</t>
  </si>
  <si>
    <t>See sub-pages for each process, particularly "natural gas reforming"</t>
  </si>
  <si>
    <t>For international (global) statistics, see:</t>
  </si>
  <si>
    <t>International Energy Agency</t>
  </si>
  <si>
    <t>Hydrogen Production</t>
  </si>
  <si>
    <t>https://www.iea.org/topics/hydrogen/production/</t>
  </si>
  <si>
    <t>coal gasification (mostly located in China)</t>
  </si>
  <si>
    <t>International values:</t>
  </si>
  <si>
    <t>We assume today's shares are constant in the BAU case.</t>
  </si>
  <si>
    <t>thermochemical water splitting</t>
  </si>
  <si>
    <t>Production Share (dimensionless)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</si>
</sst>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name val="Calibri"/>
      <family val="3"/>
      <charset val="136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2" fillId="0" borderId="0" xfId="1"/>
    <xf numFmtId="0" fontId="0" fillId="2" borderId="0" xfId="0" applyFill="1"/>
    <xf numFmtId="0" fontId="0" fillId="3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iea.org/topics/hydrogen/production/" TargetMode="External"/><Relationship Id="rId1" Type="http://schemas.openxmlformats.org/officeDocument/2006/relationships/hyperlink" Target="https://www.energy.gov/eere/fuelcells/hydrogen-production-process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1"/>
  <sheetViews>
    <sheetView workbookViewId="0">
      <selection activeCell="B19" sqref="B19"/>
    </sheetView>
  </sheetViews>
  <sheetFormatPr defaultColWidth="9" defaultRowHeight="14.5"/>
  <cols>
    <col min="1" max="1" width="12.81640625" customWidth="1"/>
  </cols>
  <sheetData>
    <row r="1" spans="1:2">
      <c r="A1" s="1" t="s">
        <v>0</v>
      </c>
    </row>
    <row r="3" spans="1:2">
      <c r="A3" s="1" t="s">
        <v>1</v>
      </c>
      <c r="B3" t="s">
        <v>7</v>
      </c>
    </row>
    <row r="4" spans="1:2">
      <c r="B4" s="3">
        <v>2019</v>
      </c>
    </row>
    <row r="5" spans="1:2">
      <c r="B5" t="s">
        <v>8</v>
      </c>
    </row>
    <row r="6" spans="1:2">
      <c r="B6" s="4" t="s">
        <v>9</v>
      </c>
    </row>
    <row r="7" spans="1:2">
      <c r="B7" t="s">
        <v>10</v>
      </c>
    </row>
    <row r="10" spans="1:2">
      <c r="A10" s="1" t="s">
        <v>2</v>
      </c>
    </row>
    <row r="11" spans="1:2">
      <c r="A11" t="s">
        <v>17</v>
      </c>
    </row>
    <row r="13" spans="1:2">
      <c r="A13" t="s">
        <v>11</v>
      </c>
    </row>
    <row r="14" spans="1:2">
      <c r="B14" t="s">
        <v>12</v>
      </c>
    </row>
    <row r="15" spans="1:2">
      <c r="B15" t="s">
        <v>13</v>
      </c>
    </row>
    <row r="16" spans="1:2">
      <c r="B16" s="4" t="s">
        <v>14</v>
      </c>
    </row>
    <row r="18" spans="1:2">
      <c r="A18" t="s">
        <v>16</v>
      </c>
    </row>
    <row r="19" spans="1:2">
      <c r="A19">
        <v>0.02</v>
      </c>
      <c r="B19" t="s">
        <v>3</v>
      </c>
    </row>
    <row r="20" spans="1:2">
      <c r="A20">
        <v>0.76</v>
      </c>
      <c r="B20" t="s">
        <v>4</v>
      </c>
    </row>
    <row r="21" spans="1:2">
      <c r="A21">
        <f>0.22</f>
        <v>0.22</v>
      </c>
      <c r="B21" t="s">
        <v>15</v>
      </c>
    </row>
  </sheetData>
  <phoneticPr fontId="3" type="noConversion"/>
  <hyperlinks>
    <hyperlink ref="B6" r:id="rId1" xr:uid="{00000000-0004-0000-0000-000000000000}"/>
    <hyperlink ref="B16" r:id="rId2" xr:uid="{00000000-0004-0000-0000-000001000000}"/>
  </hyperlinks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8" tint="-0.249977111117893"/>
  </sheetPr>
  <dimension ref="A1:AI6"/>
  <sheetViews>
    <sheetView tabSelected="1" topLeftCell="N1" workbookViewId="0">
      <selection activeCell="AB7" sqref="AB7"/>
    </sheetView>
  </sheetViews>
  <sheetFormatPr defaultColWidth="9" defaultRowHeight="14.5"/>
  <cols>
    <col min="1" max="1" width="30.1796875" customWidth="1"/>
  </cols>
  <sheetData>
    <row r="1" spans="1:35">
      <c r="A1" s="1" t="s">
        <v>19</v>
      </c>
      <c r="B1" s="2">
        <v>2017</v>
      </c>
      <c r="C1">
        <v>2018</v>
      </c>
      <c r="D1" s="2">
        <v>2019</v>
      </c>
      <c r="E1">
        <v>2020</v>
      </c>
      <c r="F1" s="2">
        <v>2021</v>
      </c>
      <c r="G1">
        <v>2022</v>
      </c>
      <c r="H1" s="2">
        <v>2023</v>
      </c>
      <c r="I1">
        <v>2024</v>
      </c>
      <c r="J1" s="2">
        <v>2025</v>
      </c>
      <c r="K1">
        <v>2026</v>
      </c>
      <c r="L1" s="2">
        <v>2027</v>
      </c>
      <c r="M1">
        <v>2028</v>
      </c>
      <c r="N1" s="2">
        <v>2029</v>
      </c>
      <c r="O1">
        <v>2030</v>
      </c>
      <c r="P1" s="2">
        <v>2031</v>
      </c>
      <c r="Q1">
        <v>2032</v>
      </c>
      <c r="R1" s="2">
        <v>2033</v>
      </c>
      <c r="S1">
        <v>2034</v>
      </c>
      <c r="T1" s="2">
        <v>2035</v>
      </c>
      <c r="U1">
        <v>2036</v>
      </c>
      <c r="V1" s="2">
        <v>2037</v>
      </c>
      <c r="W1">
        <v>2038</v>
      </c>
      <c r="X1" s="2">
        <v>2039</v>
      </c>
      <c r="Y1">
        <v>2040</v>
      </c>
      <c r="Z1" s="2">
        <v>2041</v>
      </c>
      <c r="AA1">
        <v>2042</v>
      </c>
      <c r="AB1" s="2">
        <v>2043</v>
      </c>
      <c r="AC1">
        <v>2044</v>
      </c>
      <c r="AD1" s="2">
        <v>2045</v>
      </c>
      <c r="AE1">
        <v>2046</v>
      </c>
      <c r="AF1" s="2">
        <v>2047</v>
      </c>
      <c r="AG1">
        <v>2048</v>
      </c>
      <c r="AH1" s="2">
        <v>2049</v>
      </c>
      <c r="AI1">
        <v>2050</v>
      </c>
    </row>
    <row r="2" spans="1:35">
      <c r="A2" t="s">
        <v>3</v>
      </c>
      <c r="B2">
        <v>0</v>
      </c>
      <c r="C2">
        <f>$B2</f>
        <v>0</v>
      </c>
      <c r="D2">
        <f t="shared" ref="D2:AI6" si="0">$B2</f>
        <v>0</v>
      </c>
      <c r="E2">
        <f t="shared" si="0"/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0</v>
      </c>
      <c r="L2">
        <f t="shared" si="0"/>
        <v>0</v>
      </c>
      <c r="M2">
        <f t="shared" si="0"/>
        <v>0</v>
      </c>
      <c r="N2">
        <f t="shared" si="0"/>
        <v>0</v>
      </c>
      <c r="O2" s="5">
        <v>0.1</v>
      </c>
      <c r="P2" s="6">
        <f>($T2-$O2)/COUNT($P$1:$T$1)+O2</f>
        <v>0.12000000000000001</v>
      </c>
      <c r="Q2" s="6">
        <f t="shared" ref="Q2:S3" si="1">($T2-$O2)/COUNT($P$1:$T$1)+P2</f>
        <v>0.14000000000000001</v>
      </c>
      <c r="R2" s="6">
        <f t="shared" si="1"/>
        <v>0.16</v>
      </c>
      <c r="S2" s="6">
        <f t="shared" si="1"/>
        <v>0.18</v>
      </c>
      <c r="T2" s="5">
        <v>0.2</v>
      </c>
      <c r="U2" s="6">
        <f>($Y2-$T2)/COUNT($U$1:$Y$1)+T2</f>
        <v>0.26</v>
      </c>
      <c r="V2" s="6">
        <f t="shared" ref="V2:X3" si="2">($Y2-$T2)/COUNT($U$1:$Y$1)+U2</f>
        <v>0.32</v>
      </c>
      <c r="W2" s="6">
        <f t="shared" si="2"/>
        <v>0.38</v>
      </c>
      <c r="X2" s="6">
        <f t="shared" si="2"/>
        <v>0.44</v>
      </c>
      <c r="Y2" s="5">
        <v>0.5</v>
      </c>
      <c r="Z2" s="6">
        <f>($AD2-$Y2)/COUNT($Z$1:$AD$1)+Y2</f>
        <v>0.56000000000000005</v>
      </c>
      <c r="AA2" s="6">
        <f t="shared" ref="AA2:AC3" si="3">($AD2-$Y2)/COUNT($Z$1:$AD$1)+Z2</f>
        <v>0.62000000000000011</v>
      </c>
      <c r="AB2" s="6">
        <f t="shared" si="3"/>
        <v>0.68000000000000016</v>
      </c>
      <c r="AC2" s="6">
        <f t="shared" si="3"/>
        <v>0.74000000000000021</v>
      </c>
      <c r="AD2" s="5">
        <v>0.8</v>
      </c>
      <c r="AE2" s="5">
        <v>0.8</v>
      </c>
      <c r="AF2" s="5">
        <v>0.8</v>
      </c>
      <c r="AG2" s="5">
        <v>0.8</v>
      </c>
      <c r="AH2" s="5">
        <v>0.8</v>
      </c>
      <c r="AI2" s="5">
        <v>0.8</v>
      </c>
    </row>
    <row r="3" spans="1:35">
      <c r="A3" t="s">
        <v>4</v>
      </c>
      <c r="B3">
        <v>1</v>
      </c>
      <c r="C3">
        <f t="shared" ref="C3:N6" si="4">$B3</f>
        <v>1</v>
      </c>
      <c r="D3">
        <f t="shared" si="4"/>
        <v>1</v>
      </c>
      <c r="E3">
        <f t="shared" si="4"/>
        <v>1</v>
      </c>
      <c r="F3">
        <f t="shared" si="4"/>
        <v>1</v>
      </c>
      <c r="G3">
        <f t="shared" si="4"/>
        <v>1</v>
      </c>
      <c r="H3">
        <f t="shared" si="4"/>
        <v>1</v>
      </c>
      <c r="I3">
        <f t="shared" si="4"/>
        <v>1</v>
      </c>
      <c r="J3">
        <f t="shared" si="4"/>
        <v>1</v>
      </c>
      <c r="K3">
        <f t="shared" si="4"/>
        <v>1</v>
      </c>
      <c r="L3">
        <f t="shared" si="4"/>
        <v>1</v>
      </c>
      <c r="M3">
        <f t="shared" si="4"/>
        <v>1</v>
      </c>
      <c r="N3">
        <f t="shared" si="4"/>
        <v>1</v>
      </c>
      <c r="O3" s="5">
        <v>0.9</v>
      </c>
      <c r="P3" s="6">
        <f>($T3-$O3)/COUNT($P$1:$T$1)+O3</f>
        <v>0.88</v>
      </c>
      <c r="Q3" s="6">
        <f t="shared" si="1"/>
        <v>0.86</v>
      </c>
      <c r="R3" s="6">
        <f t="shared" si="1"/>
        <v>0.84</v>
      </c>
      <c r="S3" s="6">
        <f t="shared" si="1"/>
        <v>0.82</v>
      </c>
      <c r="T3" s="5">
        <v>0.8</v>
      </c>
      <c r="U3" s="6">
        <f>($Y3-$T3)/COUNT($U$1:$Y$1)+T3</f>
        <v>0.74</v>
      </c>
      <c r="V3" s="6">
        <f t="shared" si="2"/>
        <v>0.67999999999999994</v>
      </c>
      <c r="W3" s="6">
        <f t="shared" si="2"/>
        <v>0.61999999999999988</v>
      </c>
      <c r="X3" s="6">
        <f t="shared" si="2"/>
        <v>0.55999999999999983</v>
      </c>
      <c r="Y3" s="5">
        <v>0.5</v>
      </c>
      <c r="Z3" s="6">
        <f>($AD3-$Y3)/COUNT($Z$1:$AD$1)+Y3</f>
        <v>0.44</v>
      </c>
      <c r="AA3" s="6">
        <f t="shared" si="3"/>
        <v>0.38</v>
      </c>
      <c r="AB3" s="6">
        <f t="shared" si="3"/>
        <v>0.32</v>
      </c>
      <c r="AC3" s="6">
        <f t="shared" si="3"/>
        <v>0.26</v>
      </c>
      <c r="AD3" s="5">
        <v>0.2</v>
      </c>
      <c r="AE3" s="5">
        <v>0.2</v>
      </c>
      <c r="AF3" s="5">
        <v>0.2</v>
      </c>
      <c r="AG3" s="5">
        <v>0.2</v>
      </c>
      <c r="AH3" s="5">
        <v>0.2</v>
      </c>
      <c r="AI3" s="5">
        <v>0.2</v>
      </c>
    </row>
    <row r="4" spans="1:35">
      <c r="A4" t="s">
        <v>5</v>
      </c>
      <c r="B4">
        <v>0</v>
      </c>
      <c r="C4">
        <f t="shared" si="4"/>
        <v>0</v>
      </c>
      <c r="D4">
        <f t="shared" si="0"/>
        <v>0</v>
      </c>
      <c r="E4">
        <f t="shared" si="0"/>
        <v>0</v>
      </c>
      <c r="F4">
        <f t="shared" si="0"/>
        <v>0</v>
      </c>
      <c r="G4">
        <f t="shared" si="0"/>
        <v>0</v>
      </c>
      <c r="H4">
        <f t="shared" si="0"/>
        <v>0</v>
      </c>
      <c r="I4">
        <f t="shared" si="0"/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0"/>
        <v>0</v>
      </c>
      <c r="T4">
        <f t="shared" si="0"/>
        <v>0</v>
      </c>
      <c r="U4">
        <f t="shared" si="0"/>
        <v>0</v>
      </c>
      <c r="V4">
        <f t="shared" si="0"/>
        <v>0</v>
      </c>
      <c r="W4">
        <f t="shared" si="0"/>
        <v>0</v>
      </c>
      <c r="X4">
        <f t="shared" si="0"/>
        <v>0</v>
      </c>
      <c r="Y4">
        <f t="shared" si="0"/>
        <v>0</v>
      </c>
      <c r="Z4">
        <f t="shared" si="0"/>
        <v>0</v>
      </c>
      <c r="AA4">
        <f t="shared" si="0"/>
        <v>0</v>
      </c>
      <c r="AB4">
        <f t="shared" si="0"/>
        <v>0</v>
      </c>
      <c r="AC4">
        <f t="shared" si="0"/>
        <v>0</v>
      </c>
      <c r="AD4">
        <f t="shared" si="0"/>
        <v>0</v>
      </c>
      <c r="AE4">
        <f t="shared" si="0"/>
        <v>0</v>
      </c>
      <c r="AF4">
        <f t="shared" si="0"/>
        <v>0</v>
      </c>
      <c r="AG4">
        <f t="shared" si="0"/>
        <v>0</v>
      </c>
      <c r="AH4">
        <f t="shared" si="0"/>
        <v>0</v>
      </c>
      <c r="AI4">
        <f t="shared" si="0"/>
        <v>0</v>
      </c>
    </row>
    <row r="5" spans="1:35">
      <c r="A5" t="s">
        <v>6</v>
      </c>
      <c r="B5">
        <v>0</v>
      </c>
      <c r="C5">
        <f t="shared" si="4"/>
        <v>0</v>
      </c>
      <c r="D5">
        <f t="shared" si="0"/>
        <v>0</v>
      </c>
      <c r="E5">
        <f t="shared" si="0"/>
        <v>0</v>
      </c>
      <c r="F5">
        <f t="shared" si="0"/>
        <v>0</v>
      </c>
      <c r="G5">
        <f t="shared" si="0"/>
        <v>0</v>
      </c>
      <c r="H5">
        <f t="shared" si="0"/>
        <v>0</v>
      </c>
      <c r="I5">
        <f t="shared" si="0"/>
        <v>0</v>
      </c>
      <c r="J5">
        <f t="shared" si="0"/>
        <v>0</v>
      </c>
      <c r="K5">
        <f t="shared" si="0"/>
        <v>0</v>
      </c>
      <c r="L5">
        <f t="shared" si="0"/>
        <v>0</v>
      </c>
      <c r="M5">
        <f t="shared" si="0"/>
        <v>0</v>
      </c>
      <c r="N5">
        <f t="shared" si="0"/>
        <v>0</v>
      </c>
      <c r="O5">
        <f t="shared" si="0"/>
        <v>0</v>
      </c>
      <c r="P5">
        <f t="shared" si="0"/>
        <v>0</v>
      </c>
      <c r="Q5">
        <f t="shared" si="0"/>
        <v>0</v>
      </c>
      <c r="R5">
        <f t="shared" si="0"/>
        <v>0</v>
      </c>
      <c r="S5">
        <f t="shared" si="0"/>
        <v>0</v>
      </c>
      <c r="T5">
        <f t="shared" si="0"/>
        <v>0</v>
      </c>
      <c r="U5">
        <f t="shared" si="0"/>
        <v>0</v>
      </c>
      <c r="V5">
        <f t="shared" si="0"/>
        <v>0</v>
      </c>
      <c r="W5">
        <f t="shared" si="0"/>
        <v>0</v>
      </c>
      <c r="X5">
        <f t="shared" si="0"/>
        <v>0</v>
      </c>
      <c r="Y5">
        <f t="shared" si="0"/>
        <v>0</v>
      </c>
      <c r="Z5">
        <f t="shared" si="0"/>
        <v>0</v>
      </c>
      <c r="AA5">
        <f t="shared" si="0"/>
        <v>0</v>
      </c>
      <c r="AB5">
        <f t="shared" si="0"/>
        <v>0</v>
      </c>
      <c r="AC5">
        <f t="shared" si="0"/>
        <v>0</v>
      </c>
      <c r="AD5">
        <f t="shared" si="0"/>
        <v>0</v>
      </c>
      <c r="AE5">
        <f t="shared" si="0"/>
        <v>0</v>
      </c>
      <c r="AF5">
        <f t="shared" si="0"/>
        <v>0</v>
      </c>
      <c r="AG5">
        <f t="shared" si="0"/>
        <v>0</v>
      </c>
      <c r="AH5">
        <f t="shared" si="0"/>
        <v>0</v>
      </c>
      <c r="AI5">
        <f t="shared" si="0"/>
        <v>0</v>
      </c>
    </row>
    <row r="6" spans="1:35">
      <c r="A6" t="s">
        <v>18</v>
      </c>
      <c r="B6">
        <v>0</v>
      </c>
      <c r="C6">
        <f t="shared" si="4"/>
        <v>0</v>
      </c>
      <c r="D6">
        <f t="shared" si="0"/>
        <v>0</v>
      </c>
      <c r="E6">
        <f t="shared" si="0"/>
        <v>0</v>
      </c>
      <c r="F6">
        <f t="shared" si="0"/>
        <v>0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0"/>
        <v>0</v>
      </c>
      <c r="M6">
        <f t="shared" si="0"/>
        <v>0</v>
      </c>
      <c r="N6">
        <f t="shared" si="0"/>
        <v>0</v>
      </c>
      <c r="O6">
        <f t="shared" si="0"/>
        <v>0</v>
      </c>
      <c r="P6">
        <f t="shared" si="0"/>
        <v>0</v>
      </c>
      <c r="Q6">
        <f t="shared" si="0"/>
        <v>0</v>
      </c>
      <c r="R6">
        <f t="shared" si="0"/>
        <v>0</v>
      </c>
      <c r="S6">
        <f t="shared" si="0"/>
        <v>0</v>
      </c>
      <c r="T6">
        <f t="shared" si="0"/>
        <v>0</v>
      </c>
      <c r="U6">
        <f t="shared" si="0"/>
        <v>0</v>
      </c>
      <c r="V6">
        <f t="shared" si="0"/>
        <v>0</v>
      </c>
      <c r="W6">
        <f t="shared" si="0"/>
        <v>0</v>
      </c>
      <c r="X6">
        <f t="shared" si="0"/>
        <v>0</v>
      </c>
      <c r="Y6">
        <f t="shared" si="0"/>
        <v>0</v>
      </c>
      <c r="Z6">
        <f t="shared" si="0"/>
        <v>0</v>
      </c>
      <c r="AA6">
        <f t="shared" si="0"/>
        <v>0</v>
      </c>
      <c r="AB6">
        <f t="shared" si="0"/>
        <v>0</v>
      </c>
      <c r="AC6">
        <f t="shared" si="0"/>
        <v>0</v>
      </c>
      <c r="AD6">
        <f t="shared" si="0"/>
        <v>0</v>
      </c>
      <c r="AE6">
        <f t="shared" si="0"/>
        <v>0</v>
      </c>
      <c r="AF6">
        <f t="shared" si="0"/>
        <v>0</v>
      </c>
      <c r="AG6">
        <f t="shared" si="0"/>
        <v>0</v>
      </c>
      <c r="AH6">
        <f t="shared" si="0"/>
        <v>0</v>
      </c>
      <c r="AI6">
        <f t="shared" si="0"/>
        <v>0</v>
      </c>
    </row>
  </sheetData>
  <phoneticPr fontId="3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257B2780BAD0A45A02FA065B9C6CC6A" ma:contentTypeVersion="17" ma:contentTypeDescription="Create a new document." ma:contentTypeScope="" ma:versionID="54b727ac31dab95898e9cf92f0402afe">
  <xsd:schema xmlns:xsd="http://www.w3.org/2001/XMLSchema" xmlns:xs="http://www.w3.org/2001/XMLSchema" xmlns:p="http://schemas.microsoft.com/office/2006/metadata/properties" xmlns:ns2="cb176f07-3112-4ee9-93fd-ae2cb5f3e433" xmlns:ns3="6b15a3a4-8173-42d6-9deb-398ec38eca4b" targetNamespace="http://schemas.microsoft.com/office/2006/metadata/properties" ma:root="true" ma:fieldsID="42611c3eb46fef4c2b2610d1e51cc1b0" ns2:_="" ns3:_="">
    <xsd:import namespace="cb176f07-3112-4ee9-93fd-ae2cb5f3e433"/>
    <xsd:import namespace="6b15a3a4-8173-42d6-9deb-398ec38eca4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OCR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176f07-3112-4ee9-93fd-ae2cb5f3e43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ca0deac2-43b9-460d-a4eb-012f87ec990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15a3a4-8173-42d6-9deb-398ec38eca4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caf201a3-c970-477d-b8ee-c5923cb026e5}" ma:internalName="TaxCatchAll" ma:showField="CatchAllData" ma:web="6b15a3a4-8173-42d6-9deb-398ec38eca4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5D84DA1-2C59-4299-ABF0-55EA5DC3813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b176f07-3112-4ee9-93fd-ae2cb5f3e433"/>
    <ds:schemaRef ds:uri="6b15a3a4-8173-42d6-9deb-398ec38eca4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59B11A2-12A3-4602-8E35-0801755A568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BHPSbP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Minshu Deng</cp:lastModifiedBy>
  <dcterms:created xsi:type="dcterms:W3CDTF">2019-07-22T20:16:37Z</dcterms:created>
  <dcterms:modified xsi:type="dcterms:W3CDTF">2024-09-03T19:08:32Z</dcterms:modified>
</cp:coreProperties>
</file>