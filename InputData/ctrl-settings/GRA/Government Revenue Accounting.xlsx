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ganM\Documents\eps-us\InputData\ctrl-settings\GRA\"/>
    </mc:Choice>
  </mc:AlternateContent>
  <bookViews>
    <workbookView xWindow="2070" yWindow="2670" windowWidth="25665" windowHeight="13515" tabRatio="698"/>
  </bookViews>
  <sheets>
    <sheet name="About" sheetId="1" r:id="rId1"/>
    <sheet name="Set Values Here" sheetId="7" r:id="rId2"/>
    <sheet name="GRA-carbontax" sheetId="8" r:id="rId3"/>
    <sheet name="GRA-fueltax" sheetId="9" r:id="rId4"/>
    <sheet name="GRA-evsubsidy" sheetId="10" r:id="rId5"/>
    <sheet name="GRA-elecgensubsidy" sheetId="11" r:id="rId6"/>
    <sheet name="GRA-eleccapconstsubsidy" sheetId="12" r:id="rId7"/>
    <sheet name="GRA-distsolarsubsidy" sheetId="13" r:id="rId8"/>
    <sheet name="GRA-fuelsubsidy" sheetId="14" r:id="rId9"/>
    <sheet name="GRA-ntnldebtinterest" sheetId="15" r:id="rId10"/>
    <sheet name="GRA-remainder" sheetId="16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6" l="1" a="1"/>
  <c r="B2" i="16" s="1"/>
  <c r="B2" i="15" a="1"/>
  <c r="B2" i="15" s="1"/>
  <c r="B2" i="14" a="1"/>
  <c r="B5" i="14" s="1"/>
  <c r="B2" i="13" a="1"/>
  <c r="B2" i="13" s="1"/>
  <c r="B2" i="12" a="1"/>
  <c r="B2" i="12" s="1"/>
  <c r="B2" i="11" a="1"/>
  <c r="B2" i="11" s="1"/>
  <c r="B2" i="10" a="1"/>
  <c r="B2" i="10" s="1"/>
  <c r="B2" i="9" a="1"/>
  <c r="B2" i="9" s="1"/>
  <c r="B2" i="8" a="1"/>
  <c r="B2" i="8" s="1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B28" i="7"/>
  <c r="C28" i="7"/>
  <c r="D28" i="7"/>
  <c r="E28" i="7"/>
  <c r="F28" i="7"/>
  <c r="B29" i="7"/>
  <c r="C29" i="7"/>
  <c r="D29" i="7"/>
  <c r="E29" i="7"/>
  <c r="F29" i="7"/>
  <c r="B30" i="7"/>
  <c r="C30" i="7"/>
  <c r="D30" i="7"/>
  <c r="E30" i="7"/>
  <c r="F30" i="7"/>
  <c r="C22" i="7"/>
  <c r="D22" i="7"/>
  <c r="E22" i="7"/>
  <c r="F22" i="7"/>
  <c r="B22" i="7"/>
  <c r="B4" i="16" l="1"/>
  <c r="B3" i="16"/>
  <c r="B5" i="16"/>
  <c r="B6" i="16"/>
  <c r="B4" i="15"/>
  <c r="B5" i="15"/>
  <c r="B3" i="15"/>
  <c r="B6" i="15"/>
  <c r="B4" i="14"/>
  <c r="B3" i="14"/>
  <c r="B6" i="14"/>
  <c r="B2" i="14"/>
  <c r="B4" i="13"/>
  <c r="B3" i="13"/>
  <c r="B5" i="13"/>
  <c r="B6" i="13"/>
  <c r="B5" i="12"/>
  <c r="B4" i="12"/>
  <c r="B3" i="12"/>
  <c r="B6" i="12"/>
  <c r="B5" i="11"/>
  <c r="B4" i="11"/>
  <c r="B3" i="11"/>
  <c r="B6" i="11"/>
  <c r="B4" i="10"/>
  <c r="B3" i="10"/>
  <c r="B5" i="10"/>
  <c r="B6" i="10"/>
  <c r="B5" i="9"/>
  <c r="B4" i="9"/>
  <c r="B3" i="9"/>
  <c r="B6" i="9"/>
  <c r="B5" i="8"/>
  <c r="B4" i="8"/>
  <c r="B3" i="8"/>
  <c r="B6" i="8"/>
</calcChain>
</file>

<file path=xl/comments1.xml><?xml version="1.0" encoding="utf-8"?>
<comments xmlns="http://schemas.openxmlformats.org/spreadsheetml/2006/main">
  <authors>
    <author>tc={4F81BCB5-E56D-426A-91DB-BCF0877CB817}</author>
  </authors>
  <commentList>
    <comment ref="C15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It is recommended to leave this cell set to zero and to set a non-zero value in at least one other cell in this row.</t>
        </r>
      </text>
    </comment>
  </commentList>
</comments>
</file>

<file path=xl/sharedStrings.xml><?xml version="1.0" encoding="utf-8"?>
<sst xmlns="http://schemas.openxmlformats.org/spreadsheetml/2006/main" count="143" uniqueCount="66">
  <si>
    <t>GRA Government Revenue Accounting</t>
  </si>
  <si>
    <t>Source:</t>
  </si>
  <si>
    <t>This variable sets how government compensates for positive or negative cash flows caused by the</t>
  </si>
  <si>
    <t>policy package - for example, by raising or lowering spending or taxes.  This is important because</t>
  </si>
  <si>
    <t>the consequences of a policy such as a tax or subsidy can depend strongly on how government</t>
  </si>
  <si>
    <t>to use.</t>
  </si>
  <si>
    <t>obtains the necessary funds to pay for a program or how government puts revenue from a tax</t>
  </si>
  <si>
    <t>This variable allows government to use the following different mechanisms to account for</t>
  </si>
  <si>
    <t>cash flow changes caused by policies.  Each mechanism affects government cash flows whether</t>
  </si>
  <si>
    <t>those flows are positive or negative.  For example, a change in spending on programs can be</t>
  </si>
  <si>
    <t>either an increase in spending or a decrease in spending, depending on whether the policy</t>
  </si>
  <si>
    <t>increased or decreased government money.</t>
  </si>
  <si>
    <t>Change in spending on regular government programs (e.g. according to BAU budget allocations)</t>
  </si>
  <si>
    <t>Change in deficit spending</t>
  </si>
  <si>
    <t>Change in taxes on or rebates/dividends to households</t>
  </si>
  <si>
    <t>Change in payroll taxes (affecting businesses and workers)</t>
  </si>
  <si>
    <t>Change in corporate income taxes</t>
  </si>
  <si>
    <t>Notes</t>
  </si>
  <si>
    <t>and would assign 3/20 (or 15%) to deficit spending, 5/20 (or 25%) to change in</t>
  </si>
  <si>
    <t>taxes/rebates on households, etc.</t>
  </si>
  <si>
    <t>Government can use any mixture of these five strategies by assigning weights</t>
  </si>
  <si>
    <t>For example, if 25% of a carbon tax is to be rebated to households as a climate dividend</t>
  </si>
  <si>
    <t>Weights do not need to sum to 10.  For example, [0, 3, 5, 5, 7] is a valid set of weights</t>
  </si>
  <si>
    <t>Unit: dimensionless (relative weight)</t>
  </si>
  <si>
    <t>none needed</t>
  </si>
  <si>
    <t>when designing a policy package.</t>
  </si>
  <si>
    <t>use integer values, reflecting the step size of these levers in the web app.</t>
  </si>
  <si>
    <t>and 75% is to be used to offset payroll taxes, one correct set of weightings is: [0, 0, 1, 3, 0].</t>
  </si>
  <si>
    <t>to the values in this variable.  Weights must be between 0 and 10 (inclusive) and must</t>
  </si>
  <si>
    <t>Another correct set of weights that would produce identical results is: [0, 0, 2, 6, 0].</t>
  </si>
  <si>
    <t>settings are exposed in the web app, and a user must be able to adjust one setting without</t>
  </si>
  <si>
    <t>(Weights are used rather than percentages that must add to 100% because the GRA control</t>
  </si>
  <si>
    <t>adjusting the others and still have a valid set of strategies that enable the model to run.)</t>
  </si>
  <si>
    <t>How To Assign Weights</t>
  </si>
  <si>
    <t>remainder</t>
  </si>
  <si>
    <t>carbon tax revenue</t>
  </si>
  <si>
    <t>fuel tax revenue</t>
  </si>
  <si>
    <t>EV subsidy</t>
  </si>
  <si>
    <t>elec gen subsidy</t>
  </si>
  <si>
    <t>elec cap construction subsidy</t>
  </si>
  <si>
    <t>distributed solar subsidy</t>
  </si>
  <si>
    <t>fuel subsidy</t>
  </si>
  <si>
    <t>national debt interest</t>
  </si>
  <si>
    <t>These levers need to be split into five variables (not subscripts of one variable) in order to</t>
  </si>
  <si>
    <t>allow separate policy implementation schedules for each lever.  However, it's easiest to</t>
  </si>
  <si>
    <t>set the priorities when they are all visible on one sheet.  Therefore, set the priorities on</t>
  </si>
  <si>
    <t>Government Cash Flow Type</t>
  </si>
  <si>
    <t>Regular Spending</t>
  </si>
  <si>
    <t>Deficit Spending</t>
  </si>
  <si>
    <t>Household Taxes</t>
  </si>
  <si>
    <t>Payroll Taxes</t>
  </si>
  <si>
    <t>Set weights below.  Use only integers from 0 to 10.</t>
  </si>
  <si>
    <t>Percentages of Govt Cash Flow Changes Handled via Each Mechanism</t>
  </si>
  <si>
    <t>This is only to help you set weights correctly.  Do not edit the formulas below.  Edit the weights above.</t>
  </si>
  <si>
    <t>this sheet, and the blue tabs read the priorities from this sheet.</t>
  </si>
  <si>
    <t>Government Cash Flow Types</t>
  </si>
  <si>
    <t>The EPS allows the government revenue accounting levers to be set to different values for</t>
  </si>
  <si>
    <t>different sources of government cash flow change.  Each tax or subsidy policy, changes in payments</t>
  </si>
  <si>
    <t>on interest on the national debt, and "remainder" (referring to all other sources of government</t>
  </si>
  <si>
    <t>cash flow change) can each have their own custom weights for each revenue accounting mechanism</t>
  </si>
  <si>
    <t>lever.</t>
  </si>
  <si>
    <t>It is recommended that you avoid using the "deficit spending" mechanism to handle "national debt</t>
  </si>
  <si>
    <t>interest" to avoid creating a feedback loop where deficit spending increases debt, which increases</t>
  </si>
  <si>
    <t>interest, which further increases debt, etc.</t>
  </si>
  <si>
    <t>Corporate Taxes</t>
  </si>
  <si>
    <t>Government revenue handling is one of the design decisions a model user should 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</si>
</sst>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0" fillId="4" borderId="0" xfId="0" applyFill="1"/>
    <xf numFmtId="9" fontId="0" fillId="0" borderId="0" xfId="1" applyNumberFormat="1" applyFont="1"/>
    <xf numFmtId="0" fontId="4" fillId="0" borderId="0" xfId="0" applyFont="1"/>
    <xf numFmtId="0" fontId="1" fillId="5" borderId="0" xfId="0" applyFon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B752AA03-E7FD-47E9-A7F9-587DA10781FB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0-08-18T18:45:50.17" personId="{B752AA03-E7FD-47E9-A7F9-587DA10781FB}" id="{4F81BCB5-E56D-426A-91DB-BCF0877CB817}">
    <text>It is recommended to leave this cell set to zero and to set a non-zero value in at least one other cell in this row.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4.25" x14ac:dyDescent="0.45"/>
  <cols>
    <col min="2" max="2" width="80.8632812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t="s">
        <v>24</v>
      </c>
    </row>
    <row r="4" spans="1:2" x14ac:dyDescent="0.45">
      <c r="B4" s="3" t="s">
        <v>65</v>
      </c>
    </row>
    <row r="5" spans="1:2" x14ac:dyDescent="0.45">
      <c r="B5" s="3" t="s">
        <v>25</v>
      </c>
    </row>
    <row r="7" spans="1:2" x14ac:dyDescent="0.45">
      <c r="A7" s="1" t="s">
        <v>17</v>
      </c>
    </row>
    <row r="8" spans="1:2" x14ac:dyDescent="0.45">
      <c r="A8" t="s">
        <v>2</v>
      </c>
    </row>
    <row r="9" spans="1:2" x14ac:dyDescent="0.45">
      <c r="A9" t="s">
        <v>3</v>
      </c>
    </row>
    <row r="10" spans="1:2" x14ac:dyDescent="0.45">
      <c r="A10" t="s">
        <v>4</v>
      </c>
    </row>
    <row r="11" spans="1:2" x14ac:dyDescent="0.45">
      <c r="A11" t="s">
        <v>6</v>
      </c>
    </row>
    <row r="12" spans="1:2" x14ac:dyDescent="0.45">
      <c r="A12" t="s">
        <v>5</v>
      </c>
    </row>
    <row r="14" spans="1:2" x14ac:dyDescent="0.45">
      <c r="A14" t="s">
        <v>7</v>
      </c>
    </row>
    <row r="15" spans="1:2" x14ac:dyDescent="0.45">
      <c r="A15" t="s">
        <v>8</v>
      </c>
    </row>
    <row r="16" spans="1:2" x14ac:dyDescent="0.45">
      <c r="A16" t="s">
        <v>9</v>
      </c>
    </row>
    <row r="17" spans="1:2" x14ac:dyDescent="0.45">
      <c r="A17" t="s">
        <v>10</v>
      </c>
    </row>
    <row r="18" spans="1:2" x14ac:dyDescent="0.45">
      <c r="A18" t="s">
        <v>11</v>
      </c>
    </row>
    <row r="20" spans="1:2" x14ac:dyDescent="0.45">
      <c r="A20" s="2">
        <v>1</v>
      </c>
      <c r="B20" t="s">
        <v>12</v>
      </c>
    </row>
    <row r="21" spans="1:2" x14ac:dyDescent="0.45">
      <c r="A21" s="2">
        <v>2</v>
      </c>
      <c r="B21" t="s">
        <v>13</v>
      </c>
    </row>
    <row r="22" spans="1:2" x14ac:dyDescent="0.45">
      <c r="A22" s="2">
        <v>3</v>
      </c>
      <c r="B22" t="s">
        <v>14</v>
      </c>
    </row>
    <row r="23" spans="1:2" x14ac:dyDescent="0.45">
      <c r="A23" s="2">
        <v>4</v>
      </c>
      <c r="B23" t="s">
        <v>15</v>
      </c>
    </row>
    <row r="24" spans="1:2" x14ac:dyDescent="0.45">
      <c r="A24" s="2">
        <v>5</v>
      </c>
      <c r="B24" t="s">
        <v>16</v>
      </c>
    </row>
    <row r="26" spans="1:2" x14ac:dyDescent="0.45">
      <c r="A26" s="4" t="s">
        <v>33</v>
      </c>
      <c r="B26" s="5"/>
    </row>
    <row r="27" spans="1:2" x14ac:dyDescent="0.45">
      <c r="A27" t="s">
        <v>20</v>
      </c>
    </row>
    <row r="28" spans="1:2" x14ac:dyDescent="0.45">
      <c r="A28" t="s">
        <v>28</v>
      </c>
    </row>
    <row r="29" spans="1:2" x14ac:dyDescent="0.45">
      <c r="A29" t="s">
        <v>26</v>
      </c>
    </row>
    <row r="30" spans="1:2" x14ac:dyDescent="0.45">
      <c r="A30" t="s">
        <v>21</v>
      </c>
    </row>
    <row r="31" spans="1:2" x14ac:dyDescent="0.45">
      <c r="A31" t="s">
        <v>27</v>
      </c>
    </row>
    <row r="32" spans="1:2" x14ac:dyDescent="0.45">
      <c r="A32" t="s">
        <v>29</v>
      </c>
    </row>
    <row r="33" spans="1:2" x14ac:dyDescent="0.45">
      <c r="A33" t="s">
        <v>22</v>
      </c>
    </row>
    <row r="34" spans="1:2" x14ac:dyDescent="0.45">
      <c r="A34" t="s">
        <v>18</v>
      </c>
    </row>
    <row r="35" spans="1:2" x14ac:dyDescent="0.45">
      <c r="A35" t="s">
        <v>19</v>
      </c>
    </row>
    <row r="37" spans="1:2" x14ac:dyDescent="0.45">
      <c r="A37" t="s">
        <v>31</v>
      </c>
    </row>
    <row r="38" spans="1:2" x14ac:dyDescent="0.45">
      <c r="A38" t="s">
        <v>30</v>
      </c>
    </row>
    <row r="39" spans="1:2" x14ac:dyDescent="0.45">
      <c r="A39" t="s">
        <v>32</v>
      </c>
    </row>
    <row r="41" spans="1:2" x14ac:dyDescent="0.45">
      <c r="A41" s="12" t="s">
        <v>55</v>
      </c>
      <c r="B41" s="13"/>
    </row>
    <row r="42" spans="1:2" x14ac:dyDescent="0.45">
      <c r="A42" t="s">
        <v>56</v>
      </c>
    </row>
    <row r="43" spans="1:2" x14ac:dyDescent="0.45">
      <c r="A43" t="s">
        <v>57</v>
      </c>
    </row>
    <row r="44" spans="1:2" x14ac:dyDescent="0.45">
      <c r="A44" t="s">
        <v>58</v>
      </c>
    </row>
    <row r="45" spans="1:2" x14ac:dyDescent="0.45">
      <c r="A45" t="s">
        <v>59</v>
      </c>
    </row>
    <row r="46" spans="1:2" x14ac:dyDescent="0.45">
      <c r="A46" t="s">
        <v>60</v>
      </c>
    </row>
    <row r="48" spans="1:2" x14ac:dyDescent="0.45">
      <c r="A48" t="s">
        <v>61</v>
      </c>
    </row>
    <row r="49" spans="1:1" x14ac:dyDescent="0.45">
      <c r="A49" t="s">
        <v>62</v>
      </c>
    </row>
    <row r="50" spans="1:1" x14ac:dyDescent="0.45">
      <c r="A50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F30"/>
  <sheetViews>
    <sheetView workbookViewId="0">
      <selection activeCell="F10" sqref="F10"/>
    </sheetView>
  </sheetViews>
  <sheetFormatPr defaultRowHeight="14.25" x14ac:dyDescent="0.45"/>
  <cols>
    <col min="1" max="1" width="32" customWidth="1"/>
    <col min="2" max="6" width="12" customWidth="1"/>
  </cols>
  <sheetData>
    <row r="1" spans="1:6" x14ac:dyDescent="0.45">
      <c r="A1" t="s">
        <v>43</v>
      </c>
    </row>
    <row r="2" spans="1:6" x14ac:dyDescent="0.45">
      <c r="A2" t="s">
        <v>44</v>
      </c>
    </row>
    <row r="3" spans="1:6" x14ac:dyDescent="0.45">
      <c r="A3" t="s">
        <v>45</v>
      </c>
    </row>
    <row r="4" spans="1:6" x14ac:dyDescent="0.45">
      <c r="A4" t="s">
        <v>54</v>
      </c>
    </row>
    <row r="6" spans="1:6" x14ac:dyDescent="0.45">
      <c r="A6" s="8" t="s">
        <v>51</v>
      </c>
      <c r="B6" s="9"/>
      <c r="C6" s="9"/>
      <c r="D6" s="9"/>
      <c r="E6" s="9"/>
      <c r="F6" s="9"/>
    </row>
    <row r="7" spans="1:6" ht="28.5" x14ac:dyDescent="0.45">
      <c r="A7" s="6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64</v>
      </c>
    </row>
    <row r="8" spans="1:6" x14ac:dyDescent="0.45">
      <c r="A8" t="s">
        <v>35</v>
      </c>
      <c r="B8">
        <v>0</v>
      </c>
      <c r="C8">
        <v>5</v>
      </c>
      <c r="D8">
        <v>5</v>
      </c>
      <c r="E8">
        <v>5</v>
      </c>
      <c r="F8">
        <v>0</v>
      </c>
    </row>
    <row r="9" spans="1:6" x14ac:dyDescent="0.45">
      <c r="A9" t="s">
        <v>36</v>
      </c>
      <c r="B9">
        <v>0</v>
      </c>
      <c r="C9">
        <v>5</v>
      </c>
      <c r="D9">
        <v>0</v>
      </c>
      <c r="E9">
        <v>0</v>
      </c>
      <c r="F9">
        <v>5</v>
      </c>
    </row>
    <row r="10" spans="1:6" x14ac:dyDescent="0.45">
      <c r="A10" t="s">
        <v>37</v>
      </c>
      <c r="B10">
        <v>0</v>
      </c>
      <c r="C10">
        <v>5</v>
      </c>
      <c r="D10">
        <v>0</v>
      </c>
      <c r="E10">
        <v>0</v>
      </c>
      <c r="F10">
        <v>0</v>
      </c>
    </row>
    <row r="11" spans="1:6" x14ac:dyDescent="0.45">
      <c r="A11" t="s">
        <v>38</v>
      </c>
      <c r="B11">
        <v>0</v>
      </c>
      <c r="C11">
        <v>5</v>
      </c>
      <c r="D11">
        <v>0</v>
      </c>
      <c r="E11">
        <v>0</v>
      </c>
      <c r="F11">
        <v>0</v>
      </c>
    </row>
    <row r="12" spans="1:6" x14ac:dyDescent="0.45">
      <c r="A12" t="s">
        <v>39</v>
      </c>
      <c r="B12">
        <v>0</v>
      </c>
      <c r="C12">
        <v>5</v>
      </c>
      <c r="D12">
        <v>0</v>
      </c>
      <c r="E12">
        <v>0</v>
      </c>
      <c r="F12">
        <v>0</v>
      </c>
    </row>
    <row r="13" spans="1:6" x14ac:dyDescent="0.45">
      <c r="A13" t="s">
        <v>40</v>
      </c>
      <c r="B13">
        <v>0</v>
      </c>
      <c r="C13">
        <v>5</v>
      </c>
      <c r="D13">
        <v>0</v>
      </c>
      <c r="E13">
        <v>0</v>
      </c>
      <c r="F13">
        <v>0</v>
      </c>
    </row>
    <row r="14" spans="1:6" x14ac:dyDescent="0.45">
      <c r="A14" t="s">
        <v>41</v>
      </c>
      <c r="B14">
        <v>0</v>
      </c>
      <c r="C14">
        <v>5</v>
      </c>
      <c r="D14">
        <v>0</v>
      </c>
      <c r="E14">
        <v>0</v>
      </c>
      <c r="F14">
        <v>0</v>
      </c>
    </row>
    <row r="15" spans="1:6" x14ac:dyDescent="0.45">
      <c r="A15" t="s">
        <v>42</v>
      </c>
      <c r="B15">
        <v>5</v>
      </c>
      <c r="C15" s="14">
        <v>0</v>
      </c>
      <c r="D15">
        <v>5</v>
      </c>
      <c r="E15">
        <v>0</v>
      </c>
      <c r="F15">
        <v>0</v>
      </c>
    </row>
    <row r="16" spans="1:6" x14ac:dyDescent="0.45">
      <c r="A16" t="s">
        <v>34</v>
      </c>
      <c r="B16">
        <v>5</v>
      </c>
      <c r="C16">
        <v>5</v>
      </c>
      <c r="D16">
        <v>5</v>
      </c>
      <c r="E16">
        <v>0</v>
      </c>
      <c r="F16">
        <v>0</v>
      </c>
    </row>
    <row r="19" spans="1:6" x14ac:dyDescent="0.45">
      <c r="A19" s="12" t="s">
        <v>52</v>
      </c>
      <c r="B19" s="13"/>
      <c r="C19" s="13"/>
      <c r="D19" s="13"/>
      <c r="E19" s="13"/>
      <c r="F19" s="13"/>
    </row>
    <row r="20" spans="1:6" x14ac:dyDescent="0.45">
      <c r="A20" s="11" t="s">
        <v>53</v>
      </c>
    </row>
    <row r="21" spans="1:6" ht="28.5" x14ac:dyDescent="0.45">
      <c r="A21" s="6" t="s">
        <v>46</v>
      </c>
      <c r="B21" s="7" t="s">
        <v>47</v>
      </c>
      <c r="C21" s="7" t="s">
        <v>48</v>
      </c>
      <c r="D21" s="7" t="s">
        <v>49</v>
      </c>
      <c r="E21" s="7" t="s">
        <v>50</v>
      </c>
      <c r="F21" s="7" t="s">
        <v>64</v>
      </c>
    </row>
    <row r="22" spans="1:6" x14ac:dyDescent="0.45">
      <c r="A22" t="s">
        <v>35</v>
      </c>
      <c r="B22" s="10">
        <f>IFERROR(B8/SUM($B8:$F8),1/COUNT($B8:$F8))</f>
        <v>0</v>
      </c>
      <c r="C22" s="10">
        <f t="shared" ref="C22:F22" si="0">IFERROR(C8/SUM($B8:$F8),1/COUNT($B8:$F8))</f>
        <v>0.33333333333333331</v>
      </c>
      <c r="D22" s="10">
        <f t="shared" si="0"/>
        <v>0.33333333333333331</v>
      </c>
      <c r="E22" s="10">
        <f t="shared" si="0"/>
        <v>0.33333333333333331</v>
      </c>
      <c r="F22" s="10">
        <f t="shared" si="0"/>
        <v>0</v>
      </c>
    </row>
    <row r="23" spans="1:6" x14ac:dyDescent="0.45">
      <c r="A23" t="s">
        <v>36</v>
      </c>
      <c r="B23" s="10">
        <f t="shared" ref="B23:F23" si="1">IFERROR(B9/SUM($B9:$F9),1/COUNT($B9:$F9))</f>
        <v>0</v>
      </c>
      <c r="C23" s="10">
        <f t="shared" si="1"/>
        <v>0.5</v>
      </c>
      <c r="D23" s="10">
        <f t="shared" si="1"/>
        <v>0</v>
      </c>
      <c r="E23" s="10">
        <f t="shared" si="1"/>
        <v>0</v>
      </c>
      <c r="F23" s="10">
        <f t="shared" si="1"/>
        <v>0.5</v>
      </c>
    </row>
    <row r="24" spans="1:6" x14ac:dyDescent="0.45">
      <c r="A24" t="s">
        <v>37</v>
      </c>
      <c r="B24" s="10">
        <f t="shared" ref="B24:F24" si="2">IFERROR(B10/SUM($B10:$F10),1/COUNT($B10:$F10))</f>
        <v>0</v>
      </c>
      <c r="C24" s="10">
        <f t="shared" si="2"/>
        <v>1</v>
      </c>
      <c r="D24" s="10">
        <f t="shared" si="2"/>
        <v>0</v>
      </c>
      <c r="E24" s="10">
        <f t="shared" si="2"/>
        <v>0</v>
      </c>
      <c r="F24" s="10">
        <f t="shared" si="2"/>
        <v>0</v>
      </c>
    </row>
    <row r="25" spans="1:6" x14ac:dyDescent="0.45">
      <c r="A25" t="s">
        <v>38</v>
      </c>
      <c r="B25" s="10">
        <f t="shared" ref="B25:F25" si="3">IFERROR(B11/SUM($B11:$F11),1/COUNT($B11:$F11))</f>
        <v>0</v>
      </c>
      <c r="C25" s="10">
        <f t="shared" si="3"/>
        <v>1</v>
      </c>
      <c r="D25" s="10">
        <f t="shared" si="3"/>
        <v>0</v>
      </c>
      <c r="E25" s="10">
        <f t="shared" si="3"/>
        <v>0</v>
      </c>
      <c r="F25" s="10">
        <f t="shared" si="3"/>
        <v>0</v>
      </c>
    </row>
    <row r="26" spans="1:6" x14ac:dyDescent="0.45">
      <c r="A26" t="s">
        <v>39</v>
      </c>
      <c r="B26" s="10">
        <f t="shared" ref="B26:F26" si="4">IFERROR(B12/SUM($B12:$F12),1/COUNT($B12:$F12))</f>
        <v>0</v>
      </c>
      <c r="C26" s="10">
        <f t="shared" si="4"/>
        <v>1</v>
      </c>
      <c r="D26" s="10">
        <f t="shared" si="4"/>
        <v>0</v>
      </c>
      <c r="E26" s="10">
        <f t="shared" si="4"/>
        <v>0</v>
      </c>
      <c r="F26" s="10">
        <f t="shared" si="4"/>
        <v>0</v>
      </c>
    </row>
    <row r="27" spans="1:6" x14ac:dyDescent="0.45">
      <c r="A27" t="s">
        <v>40</v>
      </c>
      <c r="B27" s="10">
        <f t="shared" ref="B27:F27" si="5">IFERROR(B13/SUM($B13:$F13),1/COUNT($B13:$F13))</f>
        <v>0</v>
      </c>
      <c r="C27" s="10">
        <f t="shared" si="5"/>
        <v>1</v>
      </c>
      <c r="D27" s="10">
        <f t="shared" si="5"/>
        <v>0</v>
      </c>
      <c r="E27" s="10">
        <f t="shared" si="5"/>
        <v>0</v>
      </c>
      <c r="F27" s="10">
        <f t="shared" si="5"/>
        <v>0</v>
      </c>
    </row>
    <row r="28" spans="1:6" x14ac:dyDescent="0.45">
      <c r="A28" t="s">
        <v>41</v>
      </c>
      <c r="B28" s="10">
        <f t="shared" ref="B28:F28" si="6">IFERROR(B14/SUM($B14:$F14),1/COUNT($B14:$F14))</f>
        <v>0</v>
      </c>
      <c r="C28" s="10">
        <f t="shared" si="6"/>
        <v>1</v>
      </c>
      <c r="D28" s="10">
        <f t="shared" si="6"/>
        <v>0</v>
      </c>
      <c r="E28" s="10">
        <f t="shared" si="6"/>
        <v>0</v>
      </c>
      <c r="F28" s="10">
        <f t="shared" si="6"/>
        <v>0</v>
      </c>
    </row>
    <row r="29" spans="1:6" x14ac:dyDescent="0.45">
      <c r="A29" t="s">
        <v>42</v>
      </c>
      <c r="B29" s="10">
        <f t="shared" ref="B29:F29" si="7">IFERROR(B15/SUM($B15:$F15),1/COUNT($B15:$F15))</f>
        <v>0.5</v>
      </c>
      <c r="C29" s="10">
        <f t="shared" si="7"/>
        <v>0</v>
      </c>
      <c r="D29" s="10">
        <f t="shared" si="7"/>
        <v>0.5</v>
      </c>
      <c r="E29" s="10">
        <f t="shared" si="7"/>
        <v>0</v>
      </c>
      <c r="F29" s="10">
        <f t="shared" si="7"/>
        <v>0</v>
      </c>
    </row>
    <row r="30" spans="1:6" x14ac:dyDescent="0.45">
      <c r="A30" t="s">
        <v>34</v>
      </c>
      <c r="B30" s="10">
        <f t="shared" ref="B30:F30" si="8">IFERROR(B16/SUM($B16:$F16),1/COUNT($B16:$F16))</f>
        <v>0.33333333333333331</v>
      </c>
      <c r="C30" s="10">
        <f t="shared" si="8"/>
        <v>0.33333333333333331</v>
      </c>
      <c r="D30" s="10">
        <f t="shared" si="8"/>
        <v>0.33333333333333331</v>
      </c>
      <c r="E30" s="10">
        <f t="shared" si="8"/>
        <v>0</v>
      </c>
      <c r="F30" s="10">
        <f t="shared" si="8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>
      <selection activeCell="B5" sqref="B5"/>
    </sheetView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35</v>
      </c>
    </row>
    <row r="2" spans="1:2" x14ac:dyDescent="0.45">
      <c r="A2" t="s">
        <v>47</v>
      </c>
      <c r="B2">
        <f t="array" ref="B2:B6">TRANSPOSE('Set Values Here'!B8:F8)</f>
        <v>0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5</v>
      </c>
    </row>
    <row r="5" spans="1:2" x14ac:dyDescent="0.45">
      <c r="A5" t="s">
        <v>50</v>
      </c>
      <c r="B5">
        <v>5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>
      <selection activeCell="B2" sqref="B2"/>
    </sheetView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36</v>
      </c>
    </row>
    <row r="2" spans="1:2" x14ac:dyDescent="0.45">
      <c r="A2" t="s">
        <v>47</v>
      </c>
      <c r="B2">
        <f t="array" ref="B2:B6">TRANSPOSE('Set Values Here'!B9:F9)</f>
        <v>0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0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37</v>
      </c>
    </row>
    <row r="2" spans="1:2" x14ac:dyDescent="0.45">
      <c r="A2" t="s">
        <v>47</v>
      </c>
      <c r="B2">
        <f t="array" ref="B2:B6">TRANSPOSE('Set Values Here'!B10:F10)</f>
        <v>0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0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38</v>
      </c>
    </row>
    <row r="2" spans="1:2" x14ac:dyDescent="0.45">
      <c r="A2" t="s">
        <v>47</v>
      </c>
      <c r="B2">
        <f t="array" ref="B2:B6">TRANSPOSE('Set Values Here'!B11:F11)</f>
        <v>0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0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39</v>
      </c>
    </row>
    <row r="2" spans="1:2" x14ac:dyDescent="0.45">
      <c r="A2" t="s">
        <v>47</v>
      </c>
      <c r="B2">
        <f t="array" ref="B2:B6">TRANSPOSE('Set Values Here'!B12:F12)</f>
        <v>0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0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40</v>
      </c>
    </row>
    <row r="2" spans="1:2" x14ac:dyDescent="0.45">
      <c r="A2" t="s">
        <v>47</v>
      </c>
      <c r="B2">
        <f t="array" ref="B2:B6">TRANSPOSE('Set Values Here'!B13:F13)</f>
        <v>0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0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41</v>
      </c>
    </row>
    <row r="2" spans="1:2" x14ac:dyDescent="0.45">
      <c r="A2" t="s">
        <v>47</v>
      </c>
      <c r="B2">
        <f t="array" ref="B2:B6">TRANSPOSE('Set Values Here'!B14:F14)</f>
        <v>0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0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42</v>
      </c>
    </row>
    <row r="2" spans="1:2" x14ac:dyDescent="0.45">
      <c r="A2" t="s">
        <v>47</v>
      </c>
      <c r="B2">
        <f t="array" ref="B2:B6">TRANSPOSE('Set Values Here'!B15:F15)</f>
        <v>5</v>
      </c>
    </row>
    <row r="3" spans="1:2" x14ac:dyDescent="0.45">
      <c r="A3" t="s">
        <v>48</v>
      </c>
      <c r="B3">
        <v>0</v>
      </c>
    </row>
    <row r="4" spans="1:2" x14ac:dyDescent="0.45">
      <c r="A4" t="s">
        <v>49</v>
      </c>
      <c r="B4">
        <v>5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defaultRowHeight="14.25" x14ac:dyDescent="0.45"/>
  <cols>
    <col min="1" max="1" width="34.86328125" customWidth="1"/>
  </cols>
  <sheetData>
    <row r="1" spans="1:2" x14ac:dyDescent="0.45">
      <c r="A1" s="3" t="s">
        <v>23</v>
      </c>
      <c r="B1" t="s">
        <v>34</v>
      </c>
    </row>
    <row r="2" spans="1:2" x14ac:dyDescent="0.45">
      <c r="A2" t="s">
        <v>47</v>
      </c>
      <c r="B2">
        <f t="array" ref="B2:B6">TRANSPOSE('Set Values Here'!B16:F16)</f>
        <v>5</v>
      </c>
    </row>
    <row r="3" spans="1:2" x14ac:dyDescent="0.45">
      <c r="A3" t="s">
        <v>48</v>
      </c>
      <c r="B3">
        <v>5</v>
      </c>
    </row>
    <row r="4" spans="1:2" x14ac:dyDescent="0.45">
      <c r="A4" t="s">
        <v>49</v>
      </c>
      <c r="B4">
        <v>5</v>
      </c>
    </row>
    <row r="5" spans="1:2" x14ac:dyDescent="0.45">
      <c r="A5" t="s">
        <v>50</v>
      </c>
      <c r="B5">
        <v>0</v>
      </c>
    </row>
    <row r="6" spans="1:2" x14ac:dyDescent="0.45">
      <c r="A6" t="s">
        <v>64</v>
      </c>
      <c r="B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F8945B-810A-4FAA-A541-9CF82B541C32}"/>
</file>

<file path=customXml/itemProps2.xml><?xml version="1.0" encoding="utf-8"?>
<ds:datastoreItem xmlns:ds="http://schemas.openxmlformats.org/officeDocument/2006/customXml" ds:itemID="{F97DF80B-0F81-42BF-A565-41D6E3848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Set Values Here</vt:lpstr>
      <vt:lpstr>GRA-carbontax</vt:lpstr>
      <vt:lpstr>GRA-fueltax</vt:lpstr>
      <vt:lpstr>GRA-evsubsidy</vt:lpstr>
      <vt:lpstr>GRA-elecgensubsidy</vt:lpstr>
      <vt:lpstr>GRA-eleccapconstsubsidy</vt:lpstr>
      <vt:lpstr>GRA-distsolarsubsidy</vt:lpstr>
      <vt:lpstr>GRA-fuelsubsidy</vt:lpstr>
      <vt:lpstr>GRA-ntnldebtinterest</vt:lpstr>
      <vt:lpstr>GRA-remainder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MeganM</cp:lastModifiedBy>
  <dcterms:created xsi:type="dcterms:W3CDTF">2020-08-11T23:32:01Z</dcterms:created>
  <dcterms:modified xsi:type="dcterms:W3CDTF">2021-04-16T13:39:40Z</dcterms:modified>
</cp:coreProperties>
</file>