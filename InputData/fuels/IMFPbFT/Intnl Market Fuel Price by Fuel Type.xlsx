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style1.xml" ContentType="application/vnd.ms-office.chart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metadata.xml" ContentType="application/vnd.openxmlformats-officedocument.spreadsheetml.sheetMetadata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fuels\IMFPbFT\"/>
    </mc:Choice>
  </mc:AlternateContent>
  <xr:revisionPtr revIDLastSave="0" documentId="13_ncr:1_{AC859BD6-37BB-45C6-BD3C-84DAA07B8E11}" xr6:coauthVersionLast="47" xr6:coauthVersionMax="47" xr10:uidLastSave="{00000000-0000-0000-0000-000000000000}"/>
  <bookViews>
    <workbookView xWindow="-120" yWindow="-120" windowWidth="57840" windowHeight="23640" tabRatio="991" activeTab="12" xr2:uid="{00000000-000D-0000-FFFF-FFFF00000000}"/>
  </bookViews>
  <sheets>
    <sheet name="About" sheetId="1" r:id="rId1"/>
    <sheet name="AEO21 Table13" sheetId="10" r:id="rId2"/>
    <sheet name="AEO22 Table13" sheetId="19" r:id="rId3"/>
    <sheet name="AEO21 Table60" sheetId="8" r:id="rId4"/>
    <sheet name="AEO22 Table60" sheetId="20" r:id="rId5"/>
    <sheet name="Historical Monthly Gas Cons" sheetId="24" r:id="rId6"/>
    <sheet name="EIA Henry Hub Nat Gas Spot" sheetId="12" r:id="rId7"/>
    <sheet name="NG Sector Price Historicals" sheetId="22" r:id="rId8"/>
    <sheet name="NG Calcs" sheetId="23" r:id="rId9"/>
    <sheet name="Natural Gas Prices" sheetId="11" r:id="rId10"/>
    <sheet name="Pretax Fuel Prices" sheetId="5" r:id="rId11"/>
    <sheet name="Fuel Taxes" sheetId="4" r:id="rId12"/>
    <sheet name="BAU Fuel Use by Sector" sheetId="7" r:id="rId13"/>
    <sheet name="Fuel Price Data" sheetId="3" r:id="rId14"/>
    <sheet name="IMFPbFT" sheetId="2" r:id="rId15"/>
  </sheets>
  <externalReferences>
    <externalReference r:id="rId16"/>
    <externalReference r:id="rId17"/>
  </externalReferences>
  <definedNames>
    <definedName name="dollars_2020_2012">[1]About!$A$104</definedName>
    <definedName name="dollars_2021_2012">[1]About!$A$103</definedName>
    <definedName name="lignite_multiplier">'[1]Hard Coal and Lig Multipliers'!$N$15</definedName>
    <definedName name="nonlignite_multiplier" localSheetId="5">'[1]Hard Coal and Lig Multipliers'!$N$16</definedName>
    <definedName name="nonlignite_multiplier" localSheetId="8">'[1]Hard Coal and Lig Multipliers'!$N$16</definedName>
    <definedName name="nonlignite_multiplier" localSheetId="7">'[1]Hard Coal and Lig Multipliers'!$N$16</definedName>
    <definedName name="nonlignite_multiplier">'[2]Hard Coal and Lig Multipliers'!$N$15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3" l="1" a="1"/>
  <c r="B3" i="23" s="1"/>
  <c r="B4" i="23" a="1"/>
  <c r="B4" i="23" s="1"/>
  <c r="B5" i="23" a="1"/>
  <c r="B5" i="23" s="1"/>
  <c r="B6" i="23" a="1"/>
  <c r="B6" i="23" s="1"/>
  <c r="B7" i="23" a="1"/>
  <c r="B7" i="23" s="1"/>
  <c r="B8" i="23" a="1"/>
  <c r="B8" i="23" s="1"/>
  <c r="B9" i="23" a="1"/>
  <c r="B9" i="23" s="1"/>
  <c r="B10" i="23" a="1"/>
  <c r="B10" i="23" s="1"/>
  <c r="B11" i="23" a="1"/>
  <c r="B11" i="23" s="1"/>
  <c r="B12" i="23" a="1"/>
  <c r="B12" i="23" s="1"/>
  <c r="B13" i="23" a="1"/>
  <c r="B13" i="23" s="1"/>
  <c r="B2" i="23" a="1"/>
  <c r="B2" i="23" s="1"/>
  <c r="C4" i="24"/>
  <c r="D4" i="24"/>
  <c r="C5" i="24"/>
  <c r="D5" i="24"/>
  <c r="C6" i="24"/>
  <c r="D6" i="24"/>
  <c r="C7" i="24"/>
  <c r="D7" i="24"/>
  <c r="C8" i="24"/>
  <c r="D8" i="24"/>
  <c r="C9" i="24"/>
  <c r="D9" i="24"/>
  <c r="C10" i="24"/>
  <c r="D10" i="24"/>
  <c r="C11" i="24"/>
  <c r="D11" i="24"/>
  <c r="C12" i="24"/>
  <c r="D12" i="24"/>
  <c r="C13" i="24"/>
  <c r="D13" i="24"/>
  <c r="C14" i="24"/>
  <c r="D14" i="24"/>
  <c r="C15" i="24"/>
  <c r="D15" i="24"/>
  <c r="C16" i="24"/>
  <c r="D16" i="24"/>
  <c r="C17" i="24"/>
  <c r="D17" i="24"/>
  <c r="C18" i="24"/>
  <c r="D18" i="24"/>
  <c r="C19" i="24"/>
  <c r="D19" i="24"/>
  <c r="C20" i="24"/>
  <c r="D20" i="24"/>
  <c r="C21" i="24"/>
  <c r="D21" i="24"/>
  <c r="C22" i="24"/>
  <c r="D22" i="24"/>
  <c r="C23" i="24"/>
  <c r="D23" i="24"/>
  <c r="C24" i="24"/>
  <c r="D24" i="24"/>
  <c r="C25" i="24"/>
  <c r="D25" i="24"/>
  <c r="C26" i="24"/>
  <c r="D26" i="24"/>
  <c r="C27" i="24"/>
  <c r="D27" i="24"/>
  <c r="C28" i="24"/>
  <c r="D28" i="24"/>
  <c r="C29" i="24"/>
  <c r="D29" i="24"/>
  <c r="C30" i="24"/>
  <c r="D30" i="24"/>
  <c r="C31" i="24"/>
  <c r="D31" i="24"/>
  <c r="C32" i="24"/>
  <c r="D32" i="24"/>
  <c r="C33" i="24"/>
  <c r="D33" i="24"/>
  <c r="C34" i="24"/>
  <c r="D34" i="24"/>
  <c r="C35" i="24"/>
  <c r="D35" i="24"/>
  <c r="C36" i="24"/>
  <c r="D36" i="24"/>
  <c r="C37" i="24"/>
  <c r="D37" i="24"/>
  <c r="C38" i="24"/>
  <c r="D38" i="24"/>
  <c r="C39" i="24"/>
  <c r="D39" i="24"/>
  <c r="C40" i="24"/>
  <c r="D40" i="24"/>
  <c r="C41" i="24"/>
  <c r="D41" i="24"/>
  <c r="C42" i="24"/>
  <c r="D42" i="24"/>
  <c r="C43" i="24"/>
  <c r="D43" i="24"/>
  <c r="C44" i="24"/>
  <c r="D44" i="24"/>
  <c r="C45" i="24"/>
  <c r="D45" i="24"/>
  <c r="C46" i="24"/>
  <c r="D46" i="24"/>
  <c r="C47" i="24"/>
  <c r="D47" i="24"/>
  <c r="C48" i="24"/>
  <c r="D48" i="24"/>
  <c r="C49" i="24"/>
  <c r="D49" i="24"/>
  <c r="C50" i="24"/>
  <c r="D50" i="24"/>
  <c r="C51" i="24"/>
  <c r="D51" i="24"/>
  <c r="C52" i="24"/>
  <c r="D52" i="24"/>
  <c r="C53" i="24"/>
  <c r="D53" i="24"/>
  <c r="C54" i="24"/>
  <c r="D54" i="24"/>
  <c r="C55" i="24"/>
  <c r="D55" i="24"/>
  <c r="C56" i="24"/>
  <c r="D56" i="24"/>
  <c r="C57" i="24"/>
  <c r="D57" i="24"/>
  <c r="C58" i="24"/>
  <c r="D58" i="24"/>
  <c r="C59" i="24"/>
  <c r="D59" i="24"/>
  <c r="C60" i="24"/>
  <c r="D60" i="24"/>
  <c r="C61" i="24"/>
  <c r="D61" i="24"/>
  <c r="C62" i="24"/>
  <c r="D62" i="24"/>
  <c r="C63" i="24"/>
  <c r="D63" i="24"/>
  <c r="C64" i="24"/>
  <c r="D64" i="24"/>
  <c r="C65" i="24"/>
  <c r="D65" i="24"/>
  <c r="C66" i="24"/>
  <c r="D66" i="24"/>
  <c r="C67" i="24"/>
  <c r="D67" i="24"/>
  <c r="C68" i="24"/>
  <c r="D68" i="24"/>
  <c r="C69" i="24"/>
  <c r="D69" i="24"/>
  <c r="C70" i="24"/>
  <c r="D70" i="24"/>
  <c r="C71" i="24"/>
  <c r="D71" i="24"/>
  <c r="C72" i="24"/>
  <c r="D72" i="24"/>
  <c r="C73" i="24"/>
  <c r="D73" i="24"/>
  <c r="C74" i="24"/>
  <c r="D74" i="24"/>
  <c r="C75" i="24"/>
  <c r="D75" i="24"/>
  <c r="C76" i="24"/>
  <c r="D76" i="24"/>
  <c r="C77" i="24"/>
  <c r="D77" i="24"/>
  <c r="C78" i="24"/>
  <c r="D78" i="24"/>
  <c r="C79" i="24"/>
  <c r="D79" i="24"/>
  <c r="C80" i="24"/>
  <c r="D80" i="24"/>
  <c r="C81" i="24"/>
  <c r="D81" i="24"/>
  <c r="C82" i="24"/>
  <c r="D82" i="24"/>
  <c r="C83" i="24"/>
  <c r="D83" i="24"/>
  <c r="C84" i="24"/>
  <c r="D84" i="24"/>
  <c r="C85" i="24"/>
  <c r="D85" i="24"/>
  <c r="C86" i="24"/>
  <c r="D86" i="24"/>
  <c r="C87" i="24"/>
  <c r="D87" i="24"/>
  <c r="C88" i="24"/>
  <c r="D88" i="24"/>
  <c r="C89" i="24"/>
  <c r="D89" i="24"/>
  <c r="C90" i="24"/>
  <c r="D90" i="24"/>
  <c r="C91" i="24"/>
  <c r="D91" i="24"/>
  <c r="C92" i="24"/>
  <c r="D92" i="24"/>
  <c r="C93" i="24"/>
  <c r="D93" i="24"/>
  <c r="C94" i="24"/>
  <c r="D94" i="24"/>
  <c r="C95" i="24"/>
  <c r="D95" i="24"/>
  <c r="C96" i="24"/>
  <c r="D96" i="24"/>
  <c r="C97" i="24"/>
  <c r="D97" i="24"/>
  <c r="C98" i="24"/>
  <c r="D98" i="24"/>
  <c r="C99" i="24"/>
  <c r="D99" i="24"/>
  <c r="C100" i="24"/>
  <c r="D100" i="24"/>
  <c r="C101" i="24"/>
  <c r="D101" i="24"/>
  <c r="C102" i="24"/>
  <c r="D102" i="24"/>
  <c r="C103" i="24"/>
  <c r="D103" i="24"/>
  <c r="C104" i="24"/>
  <c r="D104" i="24"/>
  <c r="C105" i="24"/>
  <c r="D105" i="24"/>
  <c r="C106" i="24"/>
  <c r="D106" i="24"/>
  <c r="C107" i="24"/>
  <c r="D107" i="24"/>
  <c r="C108" i="24"/>
  <c r="D108" i="24"/>
  <c r="C109" i="24"/>
  <c r="D109" i="24"/>
  <c r="C110" i="24"/>
  <c r="D110" i="24"/>
  <c r="C111" i="24"/>
  <c r="D111" i="24"/>
  <c r="C112" i="24"/>
  <c r="D112" i="24"/>
  <c r="C113" i="24"/>
  <c r="D113" i="24"/>
  <c r="C114" i="24"/>
  <c r="D114" i="24"/>
  <c r="C115" i="24"/>
  <c r="D115" i="24"/>
  <c r="C116" i="24"/>
  <c r="D116" i="24"/>
  <c r="C117" i="24"/>
  <c r="D117" i="24"/>
  <c r="C118" i="24"/>
  <c r="D118" i="24"/>
  <c r="C119" i="24"/>
  <c r="D119" i="24"/>
  <c r="C120" i="24"/>
  <c r="D120" i="24"/>
  <c r="C121" i="24"/>
  <c r="D121" i="24"/>
  <c r="C122" i="24"/>
  <c r="D122" i="24"/>
  <c r="C123" i="24"/>
  <c r="D123" i="24"/>
  <c r="C124" i="24"/>
  <c r="D124" i="24"/>
  <c r="C125" i="24"/>
  <c r="D125" i="24"/>
  <c r="C126" i="24"/>
  <c r="D126" i="24"/>
  <c r="C127" i="24"/>
  <c r="D127" i="24"/>
  <c r="C128" i="24"/>
  <c r="D128" i="24"/>
  <c r="C129" i="24"/>
  <c r="D129" i="24"/>
  <c r="C130" i="24"/>
  <c r="D130" i="24"/>
  <c r="C131" i="24"/>
  <c r="D131" i="24"/>
  <c r="C132" i="24"/>
  <c r="D132" i="24"/>
  <c r="C133" i="24"/>
  <c r="D133" i="24"/>
  <c r="C134" i="24"/>
  <c r="D134" i="24"/>
  <c r="C135" i="24"/>
  <c r="D135" i="24"/>
  <c r="C136" i="24"/>
  <c r="D136" i="24"/>
  <c r="C137" i="24"/>
  <c r="D137" i="24"/>
  <c r="C138" i="24"/>
  <c r="D138" i="24"/>
  <c r="C139" i="24"/>
  <c r="D139" i="24"/>
  <c r="C140" i="24"/>
  <c r="D140" i="24"/>
  <c r="C141" i="24"/>
  <c r="D141" i="24"/>
  <c r="C142" i="24"/>
  <c r="D142" i="24"/>
  <c r="C143" i="24"/>
  <c r="D143" i="24"/>
  <c r="C144" i="24"/>
  <c r="D144" i="24"/>
  <c r="C145" i="24"/>
  <c r="D145" i="24"/>
  <c r="C146" i="24"/>
  <c r="D146" i="24"/>
  <c r="C147" i="24"/>
  <c r="D147" i="24"/>
  <c r="C148" i="24"/>
  <c r="D148" i="24"/>
  <c r="C149" i="24"/>
  <c r="D149" i="24"/>
  <c r="C150" i="24"/>
  <c r="D150" i="24"/>
  <c r="C151" i="24"/>
  <c r="D151" i="24"/>
  <c r="C152" i="24"/>
  <c r="D152" i="24"/>
  <c r="C153" i="24"/>
  <c r="D153" i="24"/>
  <c r="C154" i="24"/>
  <c r="D154" i="24"/>
  <c r="C155" i="24"/>
  <c r="D155" i="24"/>
  <c r="C156" i="24"/>
  <c r="D156" i="24"/>
  <c r="C157" i="24"/>
  <c r="D157" i="24"/>
  <c r="C158" i="24"/>
  <c r="D158" i="24"/>
  <c r="C159" i="24"/>
  <c r="D159" i="24"/>
  <c r="C160" i="24"/>
  <c r="D160" i="24"/>
  <c r="C161" i="24"/>
  <c r="D161" i="24"/>
  <c r="C162" i="24"/>
  <c r="D162" i="24"/>
  <c r="C163" i="24"/>
  <c r="D163" i="24"/>
  <c r="C164" i="24"/>
  <c r="D164" i="24"/>
  <c r="C165" i="24"/>
  <c r="D165" i="24"/>
  <c r="C166" i="24"/>
  <c r="D166" i="24"/>
  <c r="C167" i="24"/>
  <c r="D167" i="24"/>
  <c r="C168" i="24"/>
  <c r="D168" i="24"/>
  <c r="C169" i="24"/>
  <c r="D169" i="24"/>
  <c r="C170" i="24"/>
  <c r="D170" i="24"/>
  <c r="C171" i="24"/>
  <c r="D171" i="24"/>
  <c r="C172" i="24"/>
  <c r="D172" i="24"/>
  <c r="C173" i="24"/>
  <c r="D173" i="24"/>
  <c r="C174" i="24"/>
  <c r="D174" i="24"/>
  <c r="C175" i="24"/>
  <c r="D175" i="24"/>
  <c r="C176" i="24"/>
  <c r="D176" i="24"/>
  <c r="C177" i="24"/>
  <c r="D177" i="24"/>
  <c r="C178" i="24"/>
  <c r="D178" i="24"/>
  <c r="C179" i="24"/>
  <c r="D179" i="24"/>
  <c r="C180" i="24"/>
  <c r="D180" i="24"/>
  <c r="C181" i="24"/>
  <c r="D181" i="24"/>
  <c r="C182" i="24"/>
  <c r="D182" i="24"/>
  <c r="C183" i="24"/>
  <c r="D183" i="24"/>
  <c r="C184" i="24"/>
  <c r="D184" i="24"/>
  <c r="C185" i="24"/>
  <c r="D185" i="24"/>
  <c r="C186" i="24"/>
  <c r="D186" i="24"/>
  <c r="C187" i="24"/>
  <c r="D187" i="24"/>
  <c r="C188" i="24"/>
  <c r="D188" i="24"/>
  <c r="C189" i="24"/>
  <c r="D189" i="24"/>
  <c r="C190" i="24"/>
  <c r="D190" i="24"/>
  <c r="C191" i="24"/>
  <c r="D191" i="24"/>
  <c r="C192" i="24"/>
  <c r="D192" i="24"/>
  <c r="C193" i="24"/>
  <c r="D193" i="24"/>
  <c r="C194" i="24"/>
  <c r="D194" i="24"/>
  <c r="C195" i="24"/>
  <c r="D195" i="24"/>
  <c r="C196" i="24"/>
  <c r="D196" i="24"/>
  <c r="C197" i="24"/>
  <c r="D197" i="24"/>
  <c r="C198" i="24"/>
  <c r="D198" i="24"/>
  <c r="C199" i="24"/>
  <c r="D199" i="24"/>
  <c r="C200" i="24"/>
  <c r="D200" i="24"/>
  <c r="C201" i="24"/>
  <c r="D201" i="24"/>
  <c r="C202" i="24"/>
  <c r="D202" i="24"/>
  <c r="C203" i="24"/>
  <c r="D203" i="24"/>
  <c r="C204" i="24"/>
  <c r="D204" i="24"/>
  <c r="C205" i="24"/>
  <c r="D205" i="24"/>
  <c r="C206" i="24"/>
  <c r="D206" i="24"/>
  <c r="C207" i="24"/>
  <c r="D207" i="24"/>
  <c r="C208" i="24"/>
  <c r="D208" i="24"/>
  <c r="C209" i="24"/>
  <c r="D209" i="24"/>
  <c r="C210" i="24"/>
  <c r="D210" i="24"/>
  <c r="C211" i="24"/>
  <c r="D211" i="24"/>
  <c r="C212" i="24"/>
  <c r="D212" i="24"/>
  <c r="C213" i="24"/>
  <c r="D213" i="24"/>
  <c r="C214" i="24"/>
  <c r="D214" i="24"/>
  <c r="C215" i="24"/>
  <c r="D215" i="24"/>
  <c r="C216" i="24"/>
  <c r="D216" i="24"/>
  <c r="C217" i="24"/>
  <c r="D217" i="24"/>
  <c r="C218" i="24"/>
  <c r="D218" i="24"/>
  <c r="C219" i="24"/>
  <c r="D219" i="24"/>
  <c r="C220" i="24"/>
  <c r="D220" i="24"/>
  <c r="C221" i="24"/>
  <c r="D221" i="24"/>
  <c r="C222" i="24"/>
  <c r="D222" i="24"/>
  <c r="C223" i="24"/>
  <c r="D223" i="24"/>
  <c r="C224" i="24"/>
  <c r="D224" i="24"/>
  <c r="C225" i="24"/>
  <c r="D225" i="24"/>
  <c r="C226" i="24"/>
  <c r="D226" i="24"/>
  <c r="C227" i="24"/>
  <c r="D227" i="24"/>
  <c r="C228" i="24"/>
  <c r="D228" i="24"/>
  <c r="C229" i="24"/>
  <c r="D229" i="24"/>
  <c r="C230" i="24"/>
  <c r="D230" i="24"/>
  <c r="C231" i="24"/>
  <c r="D231" i="24"/>
  <c r="C232" i="24"/>
  <c r="D232" i="24"/>
  <c r="C233" i="24"/>
  <c r="D233" i="24"/>
  <c r="C234" i="24"/>
  <c r="D234" i="24"/>
  <c r="C235" i="24"/>
  <c r="D235" i="24"/>
  <c r="C236" i="24"/>
  <c r="D236" i="24"/>
  <c r="C237" i="24"/>
  <c r="D237" i="24"/>
  <c r="C238" i="24"/>
  <c r="D238" i="24"/>
  <c r="C239" i="24"/>
  <c r="D239" i="24"/>
  <c r="C240" i="24"/>
  <c r="D240" i="24"/>
  <c r="C241" i="24"/>
  <c r="D241" i="24"/>
  <c r="C242" i="24"/>
  <c r="D242" i="24"/>
  <c r="C243" i="24"/>
  <c r="D243" i="24"/>
  <c r="C244" i="24"/>
  <c r="D244" i="24"/>
  <c r="C245" i="24"/>
  <c r="D245" i="24"/>
  <c r="C246" i="24"/>
  <c r="D246" i="24"/>
  <c r="C247" i="24"/>
  <c r="D247" i="24"/>
  <c r="C248" i="24"/>
  <c r="D248" i="24"/>
  <c r="C249" i="24"/>
  <c r="D249" i="24"/>
  <c r="C250" i="24"/>
  <c r="D250" i="24"/>
  <c r="C251" i="24"/>
  <c r="D251" i="24"/>
  <c r="C252" i="24"/>
  <c r="D252" i="24"/>
  <c r="C253" i="24"/>
  <c r="D253" i="24"/>
  <c r="C254" i="24"/>
  <c r="D254" i="24"/>
  <c r="C255" i="24"/>
  <c r="D255" i="24"/>
  <c r="C256" i="24"/>
  <c r="D256" i="24"/>
  <c r="C257" i="24"/>
  <c r="D257" i="24"/>
  <c r="E35" i="11" l="1" a="1"/>
  <c r="E35" i="11" s="1"/>
  <c r="B29" i="1"/>
  <c r="E4" i="11" l="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D11" i="11"/>
  <c r="D12" i="11"/>
  <c r="C14" i="11"/>
  <c r="V84" i="22"/>
  <c r="D4" i="11" s="1"/>
  <c r="V85" i="22"/>
  <c r="D5" i="11" s="1"/>
  <c r="V86" i="22"/>
  <c r="D6" i="11" s="1"/>
  <c r="V87" i="22"/>
  <c r="D7" i="11" s="1"/>
  <c r="V88" i="22"/>
  <c r="D8" i="11" s="1"/>
  <c r="V89" i="22"/>
  <c r="D9" i="11" s="1"/>
  <c r="V90" i="22"/>
  <c r="D10" i="11" s="1"/>
  <c r="V91" i="22"/>
  <c r="V92" i="22"/>
  <c r="V93" i="22"/>
  <c r="D13" i="11" s="1"/>
  <c r="V94" i="22"/>
  <c r="D14" i="11" s="1"/>
  <c r="V95" i="22"/>
  <c r="D15" i="11" s="1"/>
  <c r="V96" i="22"/>
  <c r="D16" i="11" s="1"/>
  <c r="V97" i="22"/>
  <c r="D17" i="11" s="1"/>
  <c r="V98" i="22"/>
  <c r="D18" i="11" s="1"/>
  <c r="V99" i="22"/>
  <c r="D19" i="11" s="1"/>
  <c r="V100" i="22"/>
  <c r="D20" i="11" s="1"/>
  <c r="V101" i="22"/>
  <c r="D21" i="11" s="1"/>
  <c r="V102" i="22"/>
  <c r="D22" i="11" s="1"/>
  <c r="V103" i="22"/>
  <c r="D23" i="11" s="1"/>
  <c r="G23" i="11" s="1"/>
  <c r="V83" i="22"/>
  <c r="D3" i="11" s="1"/>
  <c r="U84" i="22"/>
  <c r="C4" i="11" s="1"/>
  <c r="U85" i="22"/>
  <c r="C5" i="11" s="1"/>
  <c r="U86" i="22"/>
  <c r="C6" i="11" s="1"/>
  <c r="U87" i="22"/>
  <c r="C7" i="11" s="1"/>
  <c r="U88" i="22"/>
  <c r="C8" i="11" s="1"/>
  <c r="U89" i="22"/>
  <c r="C9" i="11" s="1"/>
  <c r="U90" i="22"/>
  <c r="C10" i="11" s="1"/>
  <c r="U91" i="22"/>
  <c r="C11" i="11" s="1"/>
  <c r="U92" i="22"/>
  <c r="C12" i="11" s="1"/>
  <c r="U93" i="22"/>
  <c r="C13" i="11" s="1"/>
  <c r="U94" i="22"/>
  <c r="U95" i="22"/>
  <c r="C15" i="11" s="1"/>
  <c r="U96" i="22"/>
  <c r="C16" i="11" s="1"/>
  <c r="U97" i="22"/>
  <c r="C17" i="11" s="1"/>
  <c r="U98" i="22"/>
  <c r="C18" i="11" s="1"/>
  <c r="U99" i="22"/>
  <c r="C19" i="11" s="1"/>
  <c r="U100" i="22"/>
  <c r="C20" i="11" s="1"/>
  <c r="U101" i="22"/>
  <c r="C21" i="11" s="1"/>
  <c r="U102" i="22"/>
  <c r="C22" i="11" s="1"/>
  <c r="C91" i="11" s="1"/>
  <c r="U103" i="22"/>
  <c r="C23" i="11" s="1"/>
  <c r="F23" i="11" s="1"/>
  <c r="U83" i="22"/>
  <c r="C3" i="11" s="1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43" i="22"/>
  <c r="S44" i="22"/>
  <c r="S45" i="22"/>
  <c r="S46" i="22"/>
  <c r="S47" i="22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70" i="22"/>
  <c r="S71" i="22"/>
  <c r="S72" i="22"/>
  <c r="S73" i="22"/>
  <c r="S74" i="22"/>
  <c r="S75" i="22"/>
  <c r="S76" i="22"/>
  <c r="S77" i="22"/>
  <c r="S78" i="22"/>
  <c r="S79" i="22"/>
  <c r="S80" i="22"/>
  <c r="S81" i="22"/>
  <c r="S82" i="22"/>
  <c r="S83" i="22"/>
  <c r="S84" i="22"/>
  <c r="S85" i="22"/>
  <c r="S86" i="22"/>
  <c r="S87" i="22"/>
  <c r="S88" i="22"/>
  <c r="S89" i="22"/>
  <c r="S90" i="22"/>
  <c r="S91" i="22"/>
  <c r="S92" i="22"/>
  <c r="S93" i="22"/>
  <c r="S94" i="22"/>
  <c r="S95" i="22"/>
  <c r="S96" i="22"/>
  <c r="S97" i="22"/>
  <c r="S98" i="22"/>
  <c r="S99" i="22"/>
  <c r="S100" i="22"/>
  <c r="S101" i="22"/>
  <c r="S102" i="22"/>
  <c r="S103" i="22"/>
  <c r="C92" i="11" l="1"/>
  <c r="D92" i="11" s="1"/>
  <c r="E32" i="23"/>
  <c r="F32" i="23"/>
  <c r="B32" i="23"/>
  <c r="D32" i="23"/>
  <c r="C32" i="23" l="1"/>
  <c r="E27" i="11" s="1" a="1"/>
  <c r="E27" i="11" l="1"/>
  <c r="E31" i="11"/>
  <c r="E32" i="11" s="1"/>
  <c r="E33" i="11" s="1"/>
  <c r="E34" i="11" s="1"/>
  <c r="D60" i="11" l="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59" i="11"/>
  <c r="G9" i="11" l="1"/>
  <c r="F7" i="11"/>
  <c r="F15" i="11"/>
  <c r="F88" i="11"/>
  <c r="E59" i="11"/>
  <c r="F59" i="11"/>
  <c r="E60" i="11"/>
  <c r="F60" i="11"/>
  <c r="E61" i="11"/>
  <c r="F61" i="11"/>
  <c r="E62" i="11"/>
  <c r="F62" i="11"/>
  <c r="E63" i="11"/>
  <c r="F63" i="11"/>
  <c r="E64" i="11"/>
  <c r="F64" i="11"/>
  <c r="E65" i="11"/>
  <c r="F65" i="11"/>
  <c r="E66" i="11"/>
  <c r="F66" i="11"/>
  <c r="E67" i="11"/>
  <c r="F67" i="11"/>
  <c r="E68" i="11"/>
  <c r="F68" i="11"/>
  <c r="E69" i="11"/>
  <c r="F69" i="11"/>
  <c r="E70" i="11"/>
  <c r="F70" i="11"/>
  <c r="E71" i="11"/>
  <c r="F71" i="11"/>
  <c r="E72" i="11"/>
  <c r="F72" i="11"/>
  <c r="E73" i="11"/>
  <c r="F73" i="11"/>
  <c r="E74" i="11"/>
  <c r="F74" i="11"/>
  <c r="E75" i="11"/>
  <c r="F75" i="11"/>
  <c r="E76" i="11"/>
  <c r="F76" i="11"/>
  <c r="E77" i="11"/>
  <c r="F77" i="11"/>
  <c r="E78" i="11"/>
  <c r="F78" i="11"/>
  <c r="E79" i="11"/>
  <c r="F79" i="11"/>
  <c r="E80" i="11"/>
  <c r="F80" i="11"/>
  <c r="E81" i="11"/>
  <c r="F81" i="11"/>
  <c r="E82" i="11"/>
  <c r="F82" i="11"/>
  <c r="E83" i="11"/>
  <c r="F83" i="11"/>
  <c r="E84" i="11"/>
  <c r="F84" i="11"/>
  <c r="E85" i="11"/>
  <c r="F85" i="11"/>
  <c r="E86" i="11"/>
  <c r="F86" i="11"/>
  <c r="E87" i="11"/>
  <c r="F87" i="11"/>
  <c r="E88" i="11"/>
  <c r="D58" i="11"/>
  <c r="C58" i="11"/>
  <c r="E23" i="8" a="1"/>
  <c r="E24" i="8" s="1"/>
  <c r="E23" i="8"/>
  <c r="E27" i="8"/>
  <c r="E30" i="8"/>
  <c r="E31" i="8"/>
  <c r="E35" i="8"/>
  <c r="E38" i="8"/>
  <c r="E39" i="8"/>
  <c r="E43" i="8"/>
  <c r="E46" i="8"/>
  <c r="E47" i="8"/>
  <c r="E51" i="8"/>
  <c r="E54" i="8"/>
  <c r="D23" i="8" a="1"/>
  <c r="D24" i="8" s="1"/>
  <c r="D23" i="8"/>
  <c r="D27" i="8"/>
  <c r="D30" i="8"/>
  <c r="D31" i="8"/>
  <c r="D35" i="8"/>
  <c r="D38" i="8"/>
  <c r="D39" i="8"/>
  <c r="D43" i="8"/>
  <c r="D46" i="8"/>
  <c r="D47" i="8"/>
  <c r="D51" i="8"/>
  <c r="D54" i="8"/>
  <c r="C23" i="8" a="1"/>
  <c r="C24" i="8" s="1"/>
  <c r="C23" i="8"/>
  <c r="C27" i="8"/>
  <c r="C30" i="8"/>
  <c r="C31" i="8"/>
  <c r="C35" i="8"/>
  <c r="C38" i="8"/>
  <c r="C39" i="8"/>
  <c r="C43" i="8"/>
  <c r="C46" i="8"/>
  <c r="C47" i="8"/>
  <c r="C51" i="8"/>
  <c r="C54" i="8"/>
  <c r="B23" i="8" a="1"/>
  <c r="B23" i="8" s="1"/>
  <c r="E3" i="11"/>
  <c r="E24" i="11" s="1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B1" i="2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K3" i="7"/>
  <c r="E58" i="11" l="1"/>
  <c r="F58" i="11"/>
  <c r="D91" i="11" s="1"/>
  <c r="F18" i="11"/>
  <c r="F10" i="11"/>
  <c r="G13" i="11"/>
  <c r="G5" i="11"/>
  <c r="F9" i="11"/>
  <c r="G18" i="11"/>
  <c r="G20" i="11"/>
  <c r="G12" i="11"/>
  <c r="G4" i="11"/>
  <c r="G10" i="11"/>
  <c r="F16" i="11"/>
  <c r="F8" i="11"/>
  <c r="F17" i="11"/>
  <c r="F3" i="11"/>
  <c r="E53" i="8"/>
  <c r="E45" i="8"/>
  <c r="E37" i="8"/>
  <c r="E29" i="8"/>
  <c r="E52" i="8"/>
  <c r="E44" i="8"/>
  <c r="E36" i="8"/>
  <c r="E28" i="8"/>
  <c r="E50" i="8"/>
  <c r="E42" i="8"/>
  <c r="E34" i="8"/>
  <c r="E26" i="8"/>
  <c r="E49" i="8"/>
  <c r="E41" i="8"/>
  <c r="E33" i="8"/>
  <c r="E25" i="8"/>
  <c r="E48" i="8"/>
  <c r="E40" i="8"/>
  <c r="E32" i="8"/>
  <c r="D53" i="8"/>
  <c r="D45" i="8"/>
  <c r="D37" i="8"/>
  <c r="D29" i="8"/>
  <c r="D52" i="8"/>
  <c r="D44" i="8"/>
  <c r="D36" i="8"/>
  <c r="D28" i="8"/>
  <c r="D50" i="8"/>
  <c r="D42" i="8"/>
  <c r="D34" i="8"/>
  <c r="D26" i="8"/>
  <c r="D49" i="8"/>
  <c r="D41" i="8"/>
  <c r="D33" i="8"/>
  <c r="D25" i="8"/>
  <c r="D48" i="8"/>
  <c r="D40" i="8"/>
  <c r="D32" i="8"/>
  <c r="C53" i="8"/>
  <c r="C45" i="8"/>
  <c r="C37" i="8"/>
  <c r="C29" i="8"/>
  <c r="C52" i="8"/>
  <c r="C44" i="8"/>
  <c r="C36" i="8"/>
  <c r="C28" i="8"/>
  <c r="C50" i="8"/>
  <c r="C42" i="8"/>
  <c r="C34" i="8"/>
  <c r="C26" i="8"/>
  <c r="C49" i="8"/>
  <c r="C41" i="8"/>
  <c r="C33" i="8"/>
  <c r="C25" i="8"/>
  <c r="C48" i="8"/>
  <c r="C40" i="8"/>
  <c r="C32" i="8"/>
  <c r="G3" i="11"/>
  <c r="G7" i="11"/>
  <c r="G15" i="11"/>
  <c r="G8" i="11"/>
  <c r="G16" i="11"/>
  <c r="G17" i="11"/>
  <c r="G21" i="11"/>
  <c r="G11" i="11"/>
  <c r="G19" i="11"/>
  <c r="F4" i="11"/>
  <c r="F12" i="11"/>
  <c r="F20" i="11"/>
  <c r="F21" i="11"/>
  <c r="F13" i="11"/>
  <c r="F5" i="11"/>
  <c r="F6" i="11"/>
  <c r="F14" i="11"/>
  <c r="F22" i="11"/>
  <c r="G6" i="11"/>
  <c r="G14" i="11"/>
  <c r="G22" i="11"/>
  <c r="F11" i="11"/>
  <c r="F19" i="11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AL3" i="7"/>
  <c r="AL4" i="7"/>
  <c r="AL5" i="7"/>
  <c r="AL6" i="7"/>
  <c r="AL7" i="7"/>
  <c r="AK4" i="7"/>
  <c r="AK5" i="7"/>
  <c r="AK6" i="7"/>
  <c r="AK7" i="7"/>
  <c r="F24" i="11" l="1"/>
  <c r="G24" i="11"/>
  <c r="G21" i="2"/>
  <c r="B21" i="2"/>
  <c r="AD21" i="2"/>
  <c r="V21" i="2"/>
  <c r="N21" i="2"/>
  <c r="F21" i="2"/>
  <c r="AC21" i="2"/>
  <c r="U21" i="2"/>
  <c r="M21" i="2"/>
  <c r="E21" i="2"/>
  <c r="AB21" i="2"/>
  <c r="T21" i="2"/>
  <c r="L21" i="2"/>
  <c r="D21" i="2"/>
  <c r="AA21" i="2"/>
  <c r="S21" i="2"/>
  <c r="K21" i="2"/>
  <c r="C21" i="2"/>
  <c r="Z21" i="2"/>
  <c r="R21" i="2"/>
  <c r="J21" i="2"/>
  <c r="Y21" i="2"/>
  <c r="Q21" i="2"/>
  <c r="I21" i="2"/>
  <c r="AF21" i="2"/>
  <c r="X21" i="2"/>
  <c r="P21" i="2"/>
  <c r="H21" i="2"/>
  <c r="AE21" i="2"/>
  <c r="W21" i="2"/>
  <c r="O21" i="2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B144" i="3"/>
  <c r="B145" i="3"/>
  <c r="B146" i="3"/>
  <c r="B147" i="3"/>
  <c r="B148" i="3"/>
  <c r="B149" i="3"/>
  <c r="B150" i="3"/>
  <c r="B14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B124" i="3"/>
  <c r="B125" i="3"/>
  <c r="B126" i="3"/>
  <c r="B127" i="3"/>
  <c r="B128" i="3"/>
  <c r="B129" i="3"/>
  <c r="B130" i="3"/>
  <c r="B123" i="3"/>
  <c r="C113" i="3"/>
  <c r="C19" i="2" s="1"/>
  <c r="D113" i="3"/>
  <c r="D19" i="2" s="1"/>
  <c r="E113" i="3"/>
  <c r="E19" i="2" s="1"/>
  <c r="F113" i="3"/>
  <c r="F19" i="2" s="1"/>
  <c r="G113" i="3"/>
  <c r="G19" i="2" s="1"/>
  <c r="H113" i="3"/>
  <c r="H19" i="2" s="1"/>
  <c r="I113" i="3"/>
  <c r="I19" i="2" s="1"/>
  <c r="J113" i="3"/>
  <c r="J19" i="2" s="1"/>
  <c r="K113" i="3"/>
  <c r="K19" i="2" s="1"/>
  <c r="L113" i="3"/>
  <c r="L19" i="2" s="1"/>
  <c r="M113" i="3"/>
  <c r="M19" i="2" s="1"/>
  <c r="N113" i="3"/>
  <c r="N19" i="2" s="1"/>
  <c r="O113" i="3"/>
  <c r="O19" i="2" s="1"/>
  <c r="P113" i="3"/>
  <c r="P19" i="2" s="1"/>
  <c r="Q113" i="3"/>
  <c r="Q19" i="2" s="1"/>
  <c r="R113" i="3"/>
  <c r="R19" i="2" s="1"/>
  <c r="S113" i="3"/>
  <c r="S19" i="2" s="1"/>
  <c r="T113" i="3"/>
  <c r="T19" i="2" s="1"/>
  <c r="U113" i="3"/>
  <c r="U19" i="2" s="1"/>
  <c r="V113" i="3"/>
  <c r="V19" i="2" s="1"/>
  <c r="W113" i="3"/>
  <c r="W19" i="2" s="1"/>
  <c r="X113" i="3"/>
  <c r="X19" i="2" s="1"/>
  <c r="Y113" i="3"/>
  <c r="Y19" i="2" s="1"/>
  <c r="Z113" i="3"/>
  <c r="Z19" i="2" s="1"/>
  <c r="AA113" i="3"/>
  <c r="AA19" i="2" s="1"/>
  <c r="AB113" i="3"/>
  <c r="AB19" i="2" s="1"/>
  <c r="AC113" i="3"/>
  <c r="AC19" i="2" s="1"/>
  <c r="AD113" i="3"/>
  <c r="AD19" i="2" s="1"/>
  <c r="AE113" i="3"/>
  <c r="AE19" i="2" s="1"/>
  <c r="AF113" i="3"/>
  <c r="AF19" i="2" s="1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B114" i="3"/>
  <c r="B115" i="3"/>
  <c r="B116" i="3"/>
  <c r="B117" i="3"/>
  <c r="B118" i="3"/>
  <c r="B119" i="3"/>
  <c r="B120" i="3"/>
  <c r="B113" i="3"/>
  <c r="B19" i="2" s="1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B104" i="3"/>
  <c r="B105" i="3"/>
  <c r="B106" i="3"/>
  <c r="B107" i="3"/>
  <c r="B108" i="3"/>
  <c r="B109" i="3"/>
  <c r="B110" i="3"/>
  <c r="B10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B94" i="3"/>
  <c r="B95" i="3"/>
  <c r="B96" i="3"/>
  <c r="B97" i="3"/>
  <c r="B98" i="3"/>
  <c r="B99" i="3"/>
  <c r="B100" i="3"/>
  <c r="B9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B84" i="3"/>
  <c r="B85" i="3"/>
  <c r="B86" i="3"/>
  <c r="B87" i="3"/>
  <c r="B88" i="3"/>
  <c r="B89" i="3"/>
  <c r="B90" i="3"/>
  <c r="B8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B74" i="3"/>
  <c r="B75" i="3"/>
  <c r="B76" i="3"/>
  <c r="B77" i="3"/>
  <c r="B78" i="3"/>
  <c r="B79" i="3"/>
  <c r="B80" i="3"/>
  <c r="B7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B64" i="3"/>
  <c r="B65" i="3"/>
  <c r="B66" i="3"/>
  <c r="B67" i="3"/>
  <c r="B68" i="3"/>
  <c r="B69" i="3"/>
  <c r="B70" i="3"/>
  <c r="B6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B54" i="3"/>
  <c r="B55" i="3"/>
  <c r="B56" i="3"/>
  <c r="B57" i="3"/>
  <c r="B58" i="3"/>
  <c r="B59" i="3"/>
  <c r="B60" i="3"/>
  <c r="B5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B44" i="3"/>
  <c r="B45" i="3"/>
  <c r="B46" i="3"/>
  <c r="B47" i="3"/>
  <c r="B48" i="3"/>
  <c r="B49" i="3"/>
  <c r="B50" i="3"/>
  <c r="B4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B34" i="3"/>
  <c r="B35" i="3"/>
  <c r="B36" i="3"/>
  <c r="B37" i="3"/>
  <c r="B38" i="3"/>
  <c r="B39" i="3"/>
  <c r="B40" i="3"/>
  <c r="B33" i="3"/>
  <c r="D51" i="11" l="1"/>
  <c r="D52" i="11"/>
  <c r="D47" i="11"/>
  <c r="D41" i="11"/>
  <c r="D35" i="11"/>
  <c r="D54" i="11"/>
  <c r="D37" i="11"/>
  <c r="D44" i="11"/>
  <c r="D31" i="11"/>
  <c r="D42" i="11"/>
  <c r="D33" i="11"/>
  <c r="D36" i="11"/>
  <c r="D50" i="11"/>
  <c r="D34" i="11"/>
  <c r="C40" i="11"/>
  <c r="C43" i="11"/>
  <c r="C35" i="11"/>
  <c r="C31" i="11"/>
  <c r="C97" i="11" s="1"/>
  <c r="D97" i="11" s="1"/>
  <c r="C29" i="11"/>
  <c r="C52" i="11"/>
  <c r="C38" i="11"/>
  <c r="C55" i="11"/>
  <c r="C28" i="11"/>
  <c r="C47" i="11"/>
  <c r="C113" i="11" s="1"/>
  <c r="D113" i="11" s="1"/>
  <c r="C51" i="11"/>
  <c r="C117" i="11" s="1"/>
  <c r="D117" i="11" s="1"/>
  <c r="C50" i="11"/>
  <c r="C48" i="11"/>
  <c r="C32" i="11"/>
  <c r="C45" i="11"/>
  <c r="C49" i="11"/>
  <c r="C53" i="11"/>
  <c r="C46" i="11"/>
  <c r="C30" i="11"/>
  <c r="D43" i="11"/>
  <c r="D49" i="11"/>
  <c r="D29" i="11"/>
  <c r="D53" i="11"/>
  <c r="D28" i="11"/>
  <c r="C44" i="11"/>
  <c r="C36" i="11"/>
  <c r="C102" i="11" s="1"/>
  <c r="D102" i="11" s="1"/>
  <c r="C39" i="11"/>
  <c r="C27" i="11"/>
  <c r="C42" i="11"/>
  <c r="C34" i="11"/>
  <c r="D39" i="11"/>
  <c r="D27" i="11"/>
  <c r="C41" i="11"/>
  <c r="C107" i="11" s="1"/>
  <c r="D107" i="11" s="1"/>
  <c r="D48" i="11"/>
  <c r="D40" i="11"/>
  <c r="D32" i="11"/>
  <c r="D45" i="11"/>
  <c r="D55" i="11"/>
  <c r="C37" i="11"/>
  <c r="C33" i="11"/>
  <c r="C99" i="11" s="1"/>
  <c r="D99" i="11" s="1"/>
  <c r="C54" i="11"/>
  <c r="D46" i="11"/>
  <c r="D38" i="11"/>
  <c r="D30" i="11"/>
  <c r="V12" i="2"/>
  <c r="G10" i="2"/>
  <c r="F14" i="2"/>
  <c r="AD22" i="2"/>
  <c r="L9" i="2"/>
  <c r="D10" i="2"/>
  <c r="AC11" i="2"/>
  <c r="M11" i="2"/>
  <c r="T12" i="2"/>
  <c r="E12" i="2"/>
  <c r="AA13" i="2"/>
  <c r="AB13" i="2"/>
  <c r="D13" i="2"/>
  <c r="U13" i="2"/>
  <c r="M13" i="2"/>
  <c r="T14" i="2"/>
  <c r="AC14" i="2"/>
  <c r="E14" i="2"/>
  <c r="D9" i="2"/>
  <c r="L10" i="2"/>
  <c r="L11" i="2"/>
  <c r="T20" i="2"/>
  <c r="T22" i="2"/>
  <c r="L22" i="2"/>
  <c r="K9" i="2"/>
  <c r="X10" i="2"/>
  <c r="H12" i="2"/>
  <c r="H14" i="2"/>
  <c r="AF20" i="2"/>
  <c r="P20" i="2"/>
  <c r="X22" i="2"/>
  <c r="I20" i="2"/>
  <c r="N9" i="2"/>
  <c r="F10" i="2"/>
  <c r="F13" i="2"/>
  <c r="L20" i="2"/>
  <c r="U20" i="2"/>
  <c r="N20" i="2"/>
  <c r="V22" i="2"/>
  <c r="T9" i="2"/>
  <c r="AB10" i="2"/>
  <c r="T10" i="2"/>
  <c r="AB11" i="2"/>
  <c r="D11" i="2"/>
  <c r="L12" i="2"/>
  <c r="D12" i="2"/>
  <c r="T13" i="2"/>
  <c r="L14" i="2"/>
  <c r="AB20" i="2"/>
  <c r="D20" i="2"/>
  <c r="AB22" i="2"/>
  <c r="D22" i="2"/>
  <c r="AA9" i="2"/>
  <c r="S9" i="2"/>
  <c r="C9" i="2"/>
  <c r="AA10" i="2"/>
  <c r="S10" i="2"/>
  <c r="K10" i="2"/>
  <c r="C10" i="2"/>
  <c r="AA11" i="2"/>
  <c r="S11" i="2"/>
  <c r="K11" i="2"/>
  <c r="C11" i="2"/>
  <c r="AA12" i="2"/>
  <c r="S12" i="2"/>
  <c r="K12" i="2"/>
  <c r="C12" i="2"/>
  <c r="S13" i="2"/>
  <c r="K13" i="2"/>
  <c r="C13" i="2"/>
  <c r="AA14" i="2"/>
  <c r="S14" i="2"/>
  <c r="K14" i="2"/>
  <c r="C14" i="2"/>
  <c r="AA17" i="2"/>
  <c r="S17" i="2"/>
  <c r="K17" i="2"/>
  <c r="C17" i="2"/>
  <c r="AA18" i="2"/>
  <c r="S18" i="2"/>
  <c r="K18" i="2"/>
  <c r="C18" i="2"/>
  <c r="AA20" i="2"/>
  <c r="S20" i="2"/>
  <c r="K20" i="2"/>
  <c r="C20" i="2"/>
  <c r="AA22" i="2"/>
  <c r="S22" i="2"/>
  <c r="K22" i="2"/>
  <c r="C22" i="2"/>
  <c r="O9" i="2"/>
  <c r="Q9" i="2"/>
  <c r="AD10" i="2"/>
  <c r="I10" i="2"/>
  <c r="I11" i="2"/>
  <c r="J11" i="2"/>
  <c r="B13" i="2"/>
  <c r="Q13" i="2"/>
  <c r="J13" i="2"/>
  <c r="G14" i="2"/>
  <c r="R14" i="2"/>
  <c r="R17" i="2"/>
  <c r="R18" i="2"/>
  <c r="B20" i="2"/>
  <c r="V20" i="2"/>
  <c r="Y20" i="2"/>
  <c r="Z20" i="2"/>
  <c r="R20" i="2"/>
  <c r="J20" i="2"/>
  <c r="B22" i="2"/>
  <c r="G22" i="2"/>
  <c r="Y22" i="2"/>
  <c r="Q22" i="2"/>
  <c r="I22" i="2"/>
  <c r="Z22" i="2"/>
  <c r="R22" i="2"/>
  <c r="J22" i="2"/>
  <c r="AE9" i="2"/>
  <c r="J9" i="2"/>
  <c r="J10" i="2"/>
  <c r="F11" i="2"/>
  <c r="Q11" i="2"/>
  <c r="Z11" i="2"/>
  <c r="B12" i="2"/>
  <c r="G12" i="2"/>
  <c r="Q12" i="2"/>
  <c r="Z12" i="2"/>
  <c r="R12" i="2"/>
  <c r="R13" i="2"/>
  <c r="Z14" i="2"/>
  <c r="J14" i="2"/>
  <c r="Z17" i="2"/>
  <c r="B18" i="2"/>
  <c r="Z18" i="2"/>
  <c r="B9" i="2"/>
  <c r="Y9" i="2"/>
  <c r="B11" i="2"/>
  <c r="AD11" i="2"/>
  <c r="R11" i="2"/>
  <c r="I12" i="2"/>
  <c r="J12" i="2"/>
  <c r="Z13" i="2"/>
  <c r="B14" i="2"/>
  <c r="B17" i="2"/>
  <c r="J17" i="2"/>
  <c r="J18" i="2"/>
  <c r="AF9" i="2"/>
  <c r="H9" i="2"/>
  <c r="W11" i="2"/>
  <c r="O11" i="2"/>
  <c r="H11" i="2"/>
  <c r="AE12" i="2"/>
  <c r="AE13" i="2"/>
  <c r="G13" i="2"/>
  <c r="H13" i="2"/>
  <c r="AE14" i="2"/>
  <c r="R10" i="2"/>
  <c r="Z9" i="2"/>
  <c r="Z10" i="2"/>
  <c r="Y10" i="2"/>
  <c r="Y11" i="2"/>
  <c r="Y12" i="2"/>
  <c r="Y13" i="2"/>
  <c r="I13" i="2"/>
  <c r="Y14" i="2"/>
  <c r="Q14" i="2"/>
  <c r="I14" i="2"/>
  <c r="Q20" i="2"/>
  <c r="X9" i="2"/>
  <c r="P9" i="2"/>
  <c r="W10" i="2"/>
  <c r="AF10" i="2"/>
  <c r="P10" i="2"/>
  <c r="H10" i="2"/>
  <c r="AF11" i="2"/>
  <c r="X11" i="2"/>
  <c r="P11" i="2"/>
  <c r="O12" i="2"/>
  <c r="AF12" i="2"/>
  <c r="X12" i="2"/>
  <c r="P12" i="2"/>
  <c r="O13" i="2"/>
  <c r="AF13" i="2"/>
  <c r="X13" i="2"/>
  <c r="P13" i="2"/>
  <c r="O14" i="2"/>
  <c r="AF14" i="2"/>
  <c r="X14" i="2"/>
  <c r="P14" i="2"/>
  <c r="AF17" i="2"/>
  <c r="X17" i="2"/>
  <c r="P17" i="2"/>
  <c r="H17" i="2"/>
  <c r="AF18" i="2"/>
  <c r="X18" i="2"/>
  <c r="P18" i="2"/>
  <c r="H18" i="2"/>
  <c r="X20" i="2"/>
  <c r="H20" i="2"/>
  <c r="W22" i="2"/>
  <c r="AF22" i="2"/>
  <c r="P22" i="2"/>
  <c r="H22" i="2"/>
  <c r="R9" i="2"/>
  <c r="W9" i="2"/>
  <c r="AE10" i="2"/>
  <c r="AE11" i="2"/>
  <c r="W12" i="2"/>
  <c r="W13" i="2"/>
  <c r="AE20" i="2"/>
  <c r="O20" i="2"/>
  <c r="AE22" i="2"/>
  <c r="F9" i="2"/>
  <c r="V10" i="2"/>
  <c r="N10" i="2"/>
  <c r="V11" i="2"/>
  <c r="N11" i="2"/>
  <c r="AD12" i="2"/>
  <c r="N12" i="2"/>
  <c r="F12" i="2"/>
  <c r="AD13" i="2"/>
  <c r="V13" i="2"/>
  <c r="N13" i="2"/>
  <c r="AD14" i="2"/>
  <c r="V14" i="2"/>
  <c r="N14" i="2"/>
  <c r="AD17" i="2"/>
  <c r="V17" i="2"/>
  <c r="N17" i="2"/>
  <c r="F17" i="2"/>
  <c r="AD18" i="2"/>
  <c r="V18" i="2"/>
  <c r="N18" i="2"/>
  <c r="F18" i="2"/>
  <c r="E20" i="2"/>
  <c r="AD20" i="2"/>
  <c r="F20" i="2"/>
  <c r="N22" i="2"/>
  <c r="F22" i="2"/>
  <c r="B10" i="2"/>
  <c r="Q10" i="2"/>
  <c r="I9" i="2"/>
  <c r="G9" i="2"/>
  <c r="O10" i="2"/>
  <c r="G11" i="2"/>
  <c r="W14" i="2"/>
  <c r="W20" i="2"/>
  <c r="G20" i="2"/>
  <c r="O22" i="2"/>
  <c r="AD9" i="2"/>
  <c r="V9" i="2"/>
  <c r="AB9" i="2"/>
  <c r="AC9" i="2"/>
  <c r="U9" i="2"/>
  <c r="M9" i="2"/>
  <c r="E9" i="2"/>
  <c r="AC10" i="2"/>
  <c r="U10" i="2"/>
  <c r="M10" i="2"/>
  <c r="E10" i="2"/>
  <c r="T11" i="2"/>
  <c r="U11" i="2"/>
  <c r="E11" i="2"/>
  <c r="AB12" i="2"/>
  <c r="AC12" i="2"/>
  <c r="U12" i="2"/>
  <c r="M12" i="2"/>
  <c r="L13" i="2"/>
  <c r="AC13" i="2"/>
  <c r="E13" i="2"/>
  <c r="AB14" i="2"/>
  <c r="D14" i="2"/>
  <c r="U14" i="2"/>
  <c r="M14" i="2"/>
  <c r="AC20" i="2"/>
  <c r="M20" i="2"/>
  <c r="AC22" i="2"/>
  <c r="U22" i="2"/>
  <c r="M22" i="2"/>
  <c r="E22" i="2"/>
  <c r="Y17" i="2"/>
  <c r="Q17" i="2"/>
  <c r="I17" i="2"/>
  <c r="Y18" i="2"/>
  <c r="Q18" i="2"/>
  <c r="I18" i="2"/>
  <c r="AE17" i="2"/>
  <c r="W17" i="2"/>
  <c r="O17" i="2"/>
  <c r="G17" i="2"/>
  <c r="AE18" i="2"/>
  <c r="W18" i="2"/>
  <c r="O18" i="2"/>
  <c r="G18" i="2"/>
  <c r="U17" i="2"/>
  <c r="E17" i="2"/>
  <c r="U18" i="2"/>
  <c r="E18" i="2"/>
  <c r="AC17" i="2"/>
  <c r="M17" i="2"/>
  <c r="AC18" i="2"/>
  <c r="M18" i="2"/>
  <c r="AB17" i="2"/>
  <c r="T17" i="2"/>
  <c r="L17" i="2"/>
  <c r="D17" i="2"/>
  <c r="AB18" i="2"/>
  <c r="T18" i="2"/>
  <c r="L18" i="2"/>
  <c r="D18" i="2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B24" i="3"/>
  <c r="B25" i="3"/>
  <c r="B26" i="3"/>
  <c r="B27" i="3"/>
  <c r="B28" i="3"/>
  <c r="B29" i="3"/>
  <c r="B30" i="3"/>
  <c r="B2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B14" i="3"/>
  <c r="B15" i="3"/>
  <c r="B16" i="3"/>
  <c r="B17" i="3"/>
  <c r="B18" i="3"/>
  <c r="B19" i="3"/>
  <c r="B20" i="3"/>
  <c r="B1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B4" i="3"/>
  <c r="B5" i="3"/>
  <c r="B6" i="3"/>
  <c r="B7" i="3"/>
  <c r="B8" i="3"/>
  <c r="B9" i="3"/>
  <c r="B10" i="3"/>
  <c r="B3" i="3"/>
  <c r="C108" i="11" l="1"/>
  <c r="D108" i="11" s="1"/>
  <c r="C120" i="11"/>
  <c r="D120" i="11" s="1"/>
  <c r="C116" i="11"/>
  <c r="D116" i="11" s="1"/>
  <c r="C119" i="11"/>
  <c r="D119" i="11" s="1"/>
  <c r="C115" i="11"/>
  <c r="D115" i="11" s="1"/>
  <c r="C94" i="11"/>
  <c r="D94" i="11" s="1"/>
  <c r="C105" i="11"/>
  <c r="D105" i="11" s="1"/>
  <c r="C121" i="11"/>
  <c r="D121" i="11" s="1"/>
  <c r="C112" i="11"/>
  <c r="D112" i="11" s="1"/>
  <c r="C109" i="11"/>
  <c r="D109" i="11" s="1"/>
  <c r="C106" i="11"/>
  <c r="D106" i="11" s="1"/>
  <c r="C118" i="11"/>
  <c r="D118" i="11" s="1"/>
  <c r="C103" i="11"/>
  <c r="D103" i="11" s="1"/>
  <c r="C111" i="11"/>
  <c r="D111" i="11" s="1"/>
  <c r="C104" i="11"/>
  <c r="D104" i="11" s="1"/>
  <c r="C100" i="11"/>
  <c r="D100" i="11" s="1"/>
  <c r="C98" i="11"/>
  <c r="D98" i="11" s="1"/>
  <c r="C114" i="11"/>
  <c r="D114" i="11" s="1"/>
  <c r="C95" i="11"/>
  <c r="D95" i="11" s="1"/>
  <c r="C110" i="11"/>
  <c r="D110" i="11" s="1"/>
  <c r="C93" i="11"/>
  <c r="D93" i="11" s="1"/>
  <c r="C96" i="11"/>
  <c r="D96" i="11" s="1"/>
  <c r="C101" i="11"/>
  <c r="D101" i="11" s="1"/>
  <c r="B5" i="2"/>
  <c r="Z5" i="2"/>
  <c r="R5" i="2"/>
  <c r="J5" i="2"/>
  <c r="Z3" i="2"/>
  <c r="J3" i="2"/>
  <c r="B3" i="2"/>
  <c r="R3" i="2"/>
  <c r="I5" i="2"/>
  <c r="X3" i="2"/>
  <c r="H5" i="2"/>
  <c r="Y3" i="2"/>
  <c r="Q5" i="2"/>
  <c r="AF3" i="2"/>
  <c r="AE3" i="2"/>
  <c r="W3" i="2"/>
  <c r="O3" i="2"/>
  <c r="G3" i="2"/>
  <c r="AE5" i="2"/>
  <c r="W5" i="2"/>
  <c r="O5" i="2"/>
  <c r="G5" i="2"/>
  <c r="Y5" i="2"/>
  <c r="H3" i="2"/>
  <c r="P5" i="2"/>
  <c r="AD3" i="2"/>
  <c r="V3" i="2"/>
  <c r="N3" i="2"/>
  <c r="F3" i="2"/>
  <c r="AD5" i="2"/>
  <c r="V5" i="2"/>
  <c r="N5" i="2"/>
  <c r="F5" i="2"/>
  <c r="X5" i="2"/>
  <c r="AC3" i="2"/>
  <c r="U3" i="2"/>
  <c r="M3" i="2"/>
  <c r="E3" i="2"/>
  <c r="AC5" i="2"/>
  <c r="U5" i="2"/>
  <c r="M5" i="2"/>
  <c r="E5" i="2"/>
  <c r="I3" i="2"/>
  <c r="AB3" i="2"/>
  <c r="T3" i="2"/>
  <c r="L3" i="2"/>
  <c r="D3" i="2"/>
  <c r="AB5" i="2"/>
  <c r="T5" i="2"/>
  <c r="L5" i="2"/>
  <c r="D5" i="2"/>
  <c r="Q3" i="2"/>
  <c r="P3" i="2"/>
  <c r="AF5" i="2"/>
  <c r="AA3" i="2"/>
  <c r="S3" i="2"/>
  <c r="K3" i="2"/>
  <c r="C3" i="2"/>
  <c r="AA5" i="2"/>
  <c r="S5" i="2"/>
  <c r="K5" i="2"/>
  <c r="C5" i="2"/>
  <c r="B4" i="2" l="1" a="1"/>
  <c r="B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<sst xmlns="http://schemas.openxmlformats.org/spreadsheetml/2006/main" count="2389" uniqueCount="1728">
  <si>
    <t>Source:</t>
  </si>
  <si>
    <t>Notes</t>
  </si>
  <si>
    <t>hard coal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</si>
  <si>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</si>
  <si>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</si>
  <si>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</si>
  <si>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</si>
  <si>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</si>
  <si>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</si>
  <si>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</si>
  <si>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</si>
  <si>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</si>
  <si>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hydro (is not a fuel)</t>
  </si>
  <si>
    <t>wind (is not a fuel)</t>
  </si>
  <si>
    <t>solar (is not a fuel)</t>
  </si>
  <si>
    <t>geothermal (is not a fuel)</t>
  </si>
  <si>
    <t>The prices in this variable should include export taxes, if any.  In other words, they should be</t>
  </si>
  <si>
    <t>the prices paid on the global market.  For more details on export taxes, see variable fuels/ETRbF.</t>
  </si>
  <si>
    <t>Nuclear here refers to nuclear fuel, i.e. uranium oxide, not electricity from nuclear plants.</t>
  </si>
  <si>
    <t>Electricity exports are handled separately (in the power sector), not in this variable.</t>
  </si>
  <si>
    <t>heat (energy carrier)</t>
  </si>
  <si>
    <t>electricity (energy carrier)</t>
  </si>
  <si>
    <t>Hard Coal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</si>
  <si>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</si>
  <si>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</si>
  <si>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</si>
  <si>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</si>
  <si>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</si>
  <si>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</si>
  <si>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</si>
  <si>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Year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</si>
  <si>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</si>
  <si>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</si>
  <si>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</si>
  <si>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</si>
  <si>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</si>
  <si>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</si>
  <si>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</si>
  <si>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</si>
  <si>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</si>
  <si>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IMFPbFT International Market Fuel Price by Fuel Type</t>
  </si>
  <si>
    <t>crude oil</t>
  </si>
  <si>
    <t>heavy fuel oil</t>
  </si>
  <si>
    <t>LPG propane or butane</t>
  </si>
  <si>
    <t>municipal solid waste</t>
  </si>
  <si>
    <t>hydrogen</t>
  </si>
  <si>
    <t>Crude Oil</t>
  </si>
  <si>
    <t>Heavy Fuel Oil</t>
  </si>
  <si>
    <t>LPG Propane or Butane</t>
  </si>
  <si>
    <t>Municipal Solid Waste</t>
  </si>
  <si>
    <t>Hydrogen</t>
  </si>
  <si>
    <t>International Market 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</si>
  <si>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</si>
  <si>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</si>
  <si>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</si>
  <si>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</si>
  <si>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</si>
  <si>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</si>
  <si>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</si>
  <si>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</si>
  <si>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Electricity Fuel Use</t>
  </si>
  <si>
    <t>Building Components Energy Use</t>
  </si>
  <si>
    <t>residential</t>
  </si>
  <si>
    <t>commercial</t>
  </si>
  <si>
    <t>Industrial Fuel Use</t>
  </si>
  <si>
    <t>Transportation</t>
  </si>
  <si>
    <t>For fuels that vary by sector, we take a weighted average based on the first year consumption in the model.</t>
  </si>
  <si>
    <t>Fuel Use by Sector (EPS output)</t>
  </si>
  <si>
    <t>We estimate this value based on the prices seen within the United States.</t>
  </si>
  <si>
    <t>see fuels/BFPaT and EPS outputs referenced in BAU Fuel Use by Sector tab</t>
  </si>
  <si>
    <t>Time</t>
  </si>
  <si>
    <t>Electricity Fuel Use[hard coal es,preexisting retiring]</t>
  </si>
  <si>
    <t>Electricity Fuel Use[hard coal es,preexisting nonretiring]</t>
  </si>
  <si>
    <t>Electricity Fuel Use[hard coal es,newly built]</t>
  </si>
  <si>
    <t>Electricity Fuel Use[natural gas nonpeaker es,preexisting retiring]</t>
  </si>
  <si>
    <t>Electricity Fuel Use[natural gas nonpeaker es,preexisting nonretiring]</t>
  </si>
  <si>
    <t>Electricity Fuel Use[natural gas nonpeaker es,newly built]</t>
  </si>
  <si>
    <t>Electricity Fuel Use[nuclear es,preexisting retiring]</t>
  </si>
  <si>
    <t>Electricity Fuel Use[nuclear es,preexisting nonretiring]</t>
  </si>
  <si>
    <t>Electricity Fuel Use[nuclear es,newly built]</t>
  </si>
  <si>
    <t>Electricity Fuel Use[hydro es,preexisting retiring]</t>
  </si>
  <si>
    <t>Electricity Fuel Use[hydro es,preexisting nonretiring]</t>
  </si>
  <si>
    <t>Electricity Fuel Use[hydro es,newly built]</t>
  </si>
  <si>
    <t>Electricity Fuel Use[onshore wind es,preexisting retiring]</t>
  </si>
  <si>
    <t>Electricity Fuel Use[onshore wind es,preexisting nonretiring]</t>
  </si>
  <si>
    <t>Electricity Fuel Use[onshore wind es,newly built]</t>
  </si>
  <si>
    <t>Electricity Fuel Use[solar PV es,preexisting retiring]</t>
  </si>
  <si>
    <t>Electricity Fuel Use[solar PV es,preexisting nonretiring]</t>
  </si>
  <si>
    <t>Electricity Fuel Use[solar PV es,newly built]</t>
  </si>
  <si>
    <t>Electricity Fuel Use[solar thermal es,preexisting retiring]</t>
  </si>
  <si>
    <t>Electricity Fuel Use[solar thermal es,preexisting nonretiring]</t>
  </si>
  <si>
    <t>Electricity Fuel Use[solar thermal es,newly built]</t>
  </si>
  <si>
    <t>Electricity Fuel Use[biomass es,preexisting retiring]</t>
  </si>
  <si>
    <t>Electricity Fuel Use[biomass es,preexisting nonretiring]</t>
  </si>
  <si>
    <t>Electricity Fuel Use[biomass es,newly built]</t>
  </si>
  <si>
    <t>Electricity Fuel Use[geothermal es,preexisting retiring]</t>
  </si>
  <si>
    <t>Electricity Fuel Use[geothermal es,preexisting nonretiring]</t>
  </si>
  <si>
    <t>Electricity Fuel Use[geothermal es,newly built]</t>
  </si>
  <si>
    <t>Electricity Fuel Use[petroleum es,preexisting retiring]</t>
  </si>
  <si>
    <t>Electricity Fuel Use[petroleum es,preexisting nonretiring]</t>
  </si>
  <si>
    <t>Electricity Fuel Use[petroleum es,newly built]</t>
  </si>
  <si>
    <t>Electricity Fuel Use[natural gas peaker es,preexisting retiring]</t>
  </si>
  <si>
    <t>Electricity Fuel Use[natural gas peaker es,preexisting nonretiring]</t>
  </si>
  <si>
    <t>Electricity Fuel Use[natural gas peaker es,newly built]</t>
  </si>
  <si>
    <t>Electricity Fuel Use[lignite es,preexisting retiring]</t>
  </si>
  <si>
    <t>Electricity Fuel Use[lignite es,preexisting nonretiring]</t>
  </si>
  <si>
    <t>Electricity Fuel Use[lignite es,newly built]</t>
  </si>
  <si>
    <t>Electricity Fuel Use[offshore wind es,preexisting retiring]</t>
  </si>
  <si>
    <t>Electricity Fuel Use[offshore wind es,preexisting nonretiring]</t>
  </si>
  <si>
    <t>Electricity Fuel Use[offshore wind es,newly built]</t>
  </si>
  <si>
    <t>Electricity Fuel Use[crude oil es,preexisting retiring]</t>
  </si>
  <si>
    <t>Electricity Fuel Use[crude oil es,preexisting nonretiring]</t>
  </si>
  <si>
    <t>Electricity Fuel Use[crude oil es,newly built]</t>
  </si>
  <si>
    <t>Electricity Fuel Use[heavy or residual fuel oil es,preexisting retiring]</t>
  </si>
  <si>
    <t>Electricity Fuel Use[heavy or residual fuel oil es,preexisting nonretiring]</t>
  </si>
  <si>
    <t>Electricity Fuel Use[heavy or residual fuel oil es,newly built]</t>
  </si>
  <si>
    <t>Electricity Fuel Use[municipal solid waste es,preexisting retiring]</t>
  </si>
  <si>
    <t>Electricity Fuel Use[municipal solid waste es,preexisting nonretiring]</t>
  </si>
  <si>
    <t>Electricity Fuel Use[municipal solid waste es,newly built]</t>
  </si>
  <si>
    <t>Industrial Fuel Use[electricity if,agriculture and forestry 01T03]</t>
  </si>
  <si>
    <t>Industrial Fuel Use[electricity if,coal mining 05]</t>
  </si>
  <si>
    <t>Industrial Fuel Use[electricity if,oil and gas extraction 06]</t>
  </si>
  <si>
    <t>Industrial Fuel Use[electricity if,other mining and quarrying 07T08]</t>
  </si>
  <si>
    <t>Industrial Fuel Use[electricity if,food beverage and tobacco 10T12]</t>
  </si>
  <si>
    <t>Industrial Fuel Use[electricity if,textiles apparel and leather 13T15]</t>
  </si>
  <si>
    <t>Industrial Fuel Use[electricity if,wood products 16]</t>
  </si>
  <si>
    <t>Industrial Fuel Use[electricity if,pulp paper and printing 17T18]</t>
  </si>
  <si>
    <t>Industrial Fuel Use[electricity if,refined petroleum and coke 19]</t>
  </si>
  <si>
    <t>Industrial Fuel Use[electricity if,chemicals 20]</t>
  </si>
  <si>
    <t>Industrial Fuel Use[electricity if,rubber and plastic products 22]</t>
  </si>
  <si>
    <t>Industrial Fuel Use[electricity if,glass and glass products 231]</t>
  </si>
  <si>
    <t>Industrial Fuel Use[electricity if,cement and other nonmetallic minerals 239]</t>
  </si>
  <si>
    <t>Industrial Fuel Use[electricity if,iron and steel 241]</t>
  </si>
  <si>
    <t>Industrial Fuel Use[electricity if,other metals 242]</t>
  </si>
  <si>
    <t>Industrial Fuel Use[electricity if,metal products except machinery and vehicles 25]</t>
  </si>
  <si>
    <t>Industrial Fuel Use[electricity if,computers and electronics 26]</t>
  </si>
  <si>
    <t>Industrial Fuel Use[electricity if,appliances and electrical equipment 27]</t>
  </si>
  <si>
    <t>Industrial Fuel Use[electricity if,other machinery 28]</t>
  </si>
  <si>
    <t>Industrial Fuel Use[electricity if,road vehicles 29]</t>
  </si>
  <si>
    <t>Industrial Fuel Use[electricity if,nonroad vehicles 30]</t>
  </si>
  <si>
    <t>Industrial Fuel Use[electricity if,other manufacturing 31T33]</t>
  </si>
  <si>
    <t>Industrial Fuel Use[electricity if,energy pipelines and gas processing 352T353]</t>
  </si>
  <si>
    <t>Industrial Fuel Use[electricity if,water and waste 36T39]</t>
  </si>
  <si>
    <t>Industrial Fuel Use[electricity if,construction 41T43]</t>
  </si>
  <si>
    <t>Industrial Fuel Use[hard coal if,agriculture and forestry 01T03]</t>
  </si>
  <si>
    <t>Industrial Fuel Use[hard coal if,coal mining 05]</t>
  </si>
  <si>
    <t>Industrial Fuel Use[hard coal if,oil and gas extraction 06]</t>
  </si>
  <si>
    <t>Industrial Fuel Use[hard coal if,other mining and quarrying 07T08]</t>
  </si>
  <si>
    <t>Industrial Fuel Use[hard coal if,food beverage and tobacco 10T12]</t>
  </si>
  <si>
    <t>Industrial Fuel Use[hard coal if,textiles apparel and leather 13T15]</t>
  </si>
  <si>
    <t>Industrial Fuel Use[hard coal if,wood products 16]</t>
  </si>
  <si>
    <t>Industrial Fuel Use[hard coal if,pulp paper and printing 17T18]</t>
  </si>
  <si>
    <t>Industrial Fuel Use[hard coal if,refined petroleum and coke 19]</t>
  </si>
  <si>
    <t>Industrial Fuel Use[hard coal if,chemicals 20]</t>
  </si>
  <si>
    <t>Industrial Fuel Use[hard coal if,rubber and plastic products 22]</t>
  </si>
  <si>
    <t>Industrial Fuel Use[hard coal if,glass and glass products 231]</t>
  </si>
  <si>
    <t>Industrial Fuel Use[hard coal if,cement and other nonmetallic minerals 239]</t>
  </si>
  <si>
    <t>Industrial Fuel Use[hard coal if,iron and steel 241]</t>
  </si>
  <si>
    <t>Industrial Fuel Use[hard coal if,other metals 242]</t>
  </si>
  <si>
    <t>Industrial Fuel Use[hard coal if,metal products except machinery and vehicles 25]</t>
  </si>
  <si>
    <t>Industrial Fuel Use[hard coal if,computers and electronics 26]</t>
  </si>
  <si>
    <t>Industrial Fuel Use[hard coal if,appliances and electrical equipment 27]</t>
  </si>
  <si>
    <t>Industrial Fuel Use[hard coal if,other machinery 28]</t>
  </si>
  <si>
    <t>Industrial Fuel Use[hard coal if,road vehicles 29]</t>
  </si>
  <si>
    <t>Industrial Fuel Use[hard coal if,nonroad vehicles 30]</t>
  </si>
  <si>
    <t>Industrial Fuel Use[hard coal if,other manufacturing 31T33]</t>
  </si>
  <si>
    <t>Industrial Fuel Use[hard coal if,energy pipelines and gas processing 352T353]</t>
  </si>
  <si>
    <t>Industrial Fuel Use[hard coal if,water and waste 36T39]</t>
  </si>
  <si>
    <t>Industrial Fuel Use[hard coal if,construction 41T43]</t>
  </si>
  <si>
    <t>Industrial Fuel Use[natural gas if,agriculture and forestry 01T03]</t>
  </si>
  <si>
    <t>Industrial Fuel Use[natural gas if,coal mining 05]</t>
  </si>
  <si>
    <t>Industrial Fuel Use[natural gas if,oil and gas extraction 06]</t>
  </si>
  <si>
    <t>Industrial Fuel Use[natural gas if,other mining and quarrying 07T08]</t>
  </si>
  <si>
    <t>Industrial Fuel Use[natural gas if,food beverage and tobacco 10T12]</t>
  </si>
  <si>
    <t>Industrial Fuel Use[natural gas if,textiles apparel and leather 13T15]</t>
  </si>
  <si>
    <t>Industrial Fuel Use[natural gas if,wood products 16]</t>
  </si>
  <si>
    <t>Industrial Fuel Use[natural gas if,pulp paper and printing 17T18]</t>
  </si>
  <si>
    <t>Industrial Fuel Use[natural gas if,refined petroleum and coke 19]</t>
  </si>
  <si>
    <t>Industrial Fuel Use[natural gas if,chemicals 20]</t>
  </si>
  <si>
    <t>Industrial Fuel Use[natural gas if,rubber and plastic products 22]</t>
  </si>
  <si>
    <t>Industrial Fuel Use[natural gas if,glass and glass products 231]</t>
  </si>
  <si>
    <t>Industrial Fuel Use[natural gas if,cement and other nonmetallic minerals 239]</t>
  </si>
  <si>
    <t>Industrial Fuel Use[natural gas if,iron and steel 241]</t>
  </si>
  <si>
    <t>Industrial Fuel Use[natural gas if,other metals 242]</t>
  </si>
  <si>
    <t>Industrial Fuel Use[natural gas if,metal products except machinery and vehicles 25]</t>
  </si>
  <si>
    <t>Industrial Fuel Use[natural gas if,computers and electronics 26]</t>
  </si>
  <si>
    <t>Industrial Fuel Use[natural gas if,appliances and electrical equipment 27]</t>
  </si>
  <si>
    <t>Industrial Fuel Use[natural gas if,other machinery 28]</t>
  </si>
  <si>
    <t>Industrial Fuel Use[natural gas if,road vehicles 29]</t>
  </si>
  <si>
    <t>Industrial Fuel Use[natural gas if,nonroad vehicles 30]</t>
  </si>
  <si>
    <t>Industrial Fuel Use[natural gas if,other manufacturing 31T33]</t>
  </si>
  <si>
    <t>Industrial Fuel Use[natural gas if,energy pipelines and gas processing 352T353]</t>
  </si>
  <si>
    <t>Industrial Fuel Use[natural gas if,water and waste 36T39]</t>
  </si>
  <si>
    <t>Industrial Fuel Use[natural gas if,construction 41T43]</t>
  </si>
  <si>
    <t>Industrial Fuel Use[biomass if,agriculture and forestry 01T03]</t>
  </si>
  <si>
    <t>Industrial Fuel Use[biomass if,coal mining 05]</t>
  </si>
  <si>
    <t>Industrial Fuel Use[biomass if,oil and gas extraction 06]</t>
  </si>
  <si>
    <t>Industrial Fuel Use[biomass if,other mining and quarrying 07T08]</t>
  </si>
  <si>
    <t>Industrial Fuel Use[biomass if,food beverage and tobacco 10T12]</t>
  </si>
  <si>
    <t>Industrial Fuel Use[biomass if,textiles apparel and leather 13T15]</t>
  </si>
  <si>
    <t>Industrial Fuel Use[biomass if,wood products 16]</t>
  </si>
  <si>
    <t>Industrial Fuel Use[biomass if,pulp paper and printing 17T18]</t>
  </si>
  <si>
    <t>Industrial Fuel Use[biomass if,refined petroleum and coke 19]</t>
  </si>
  <si>
    <t>Industrial Fuel Use[biomass if,chemicals 20]</t>
  </si>
  <si>
    <t>Industrial Fuel Use[biomass if,rubber and plastic products 22]</t>
  </si>
  <si>
    <t>Industrial Fuel Use[biomass if,glass and glass products 231]</t>
  </si>
  <si>
    <t>Industrial Fuel Use[biomass if,cement and other nonmetallic minerals 239]</t>
  </si>
  <si>
    <t>Industrial Fuel Use[biomass if,iron and steel 241]</t>
  </si>
  <si>
    <t>Industrial Fuel Use[biomass if,other metals 242]</t>
  </si>
  <si>
    <t>Industrial Fuel Use[biomass if,metal products except machinery and vehicles 25]</t>
  </si>
  <si>
    <t>Industrial Fuel Use[biomass if,computers and electronics 26]</t>
  </si>
  <si>
    <t>Industrial Fuel Use[biomass if,appliances and electrical equipment 27]</t>
  </si>
  <si>
    <t>Industrial Fuel Use[biomass if,other machinery 28]</t>
  </si>
  <si>
    <t>Industrial Fuel Use[biomass if,road vehicles 29]</t>
  </si>
  <si>
    <t>Industrial Fuel Use[biomass if,nonroad vehicles 30]</t>
  </si>
  <si>
    <t>Industrial Fuel Use[biomass if,other manufacturing 31T33]</t>
  </si>
  <si>
    <t>Industrial Fuel Use[biomass if,energy pipelines and gas processing 352T353]</t>
  </si>
  <si>
    <t>Industrial Fuel Use[biomass if,water and waste 36T39]</t>
  </si>
  <si>
    <t>Industrial Fuel Use[biomass if,construction 41T43]</t>
  </si>
  <si>
    <t>Industrial Fuel Use[petroleum diesel if,agriculture and forestry 01T03]</t>
  </si>
  <si>
    <t>Industrial Fuel Use[petroleum diesel if,coal mining 05]</t>
  </si>
  <si>
    <t>Industrial Fuel Use[petroleum diesel if,oil and gas extraction 06]</t>
  </si>
  <si>
    <t>Industrial Fuel Use[petroleum diesel if,other mining and quarrying 07T08]</t>
  </si>
  <si>
    <t>Industrial Fuel Use[petroleum diesel if,food beverage and tobacco 10T12]</t>
  </si>
  <si>
    <t>Industrial Fuel Use[petroleum diesel if,textiles apparel and leather 13T15]</t>
  </si>
  <si>
    <t>Industrial Fuel Use[petroleum diesel if,wood products 16]</t>
  </si>
  <si>
    <t>Industrial Fuel Use[petroleum diesel if,pulp paper and printing 17T18]</t>
  </si>
  <si>
    <t>Industrial Fuel Use[petroleum diesel if,refined petroleum and coke 19]</t>
  </si>
  <si>
    <t>Industrial Fuel Use[petroleum diesel if,chemicals 20]</t>
  </si>
  <si>
    <t>Industrial Fuel Use[petroleum diesel if,rubber and plastic products 22]</t>
  </si>
  <si>
    <t>Industrial Fuel Use[petroleum diesel if,glass and glass products 231]</t>
  </si>
  <si>
    <t>Industrial Fuel Use[petroleum diesel if,cement and other nonmetallic minerals 239]</t>
  </si>
  <si>
    <t>Industrial Fuel Use[petroleum diesel if,iron and steel 241]</t>
  </si>
  <si>
    <t>Industrial Fuel Use[petroleum diesel if,other metals 242]</t>
  </si>
  <si>
    <t>Industrial Fuel Use[petroleum diesel if,metal products except machinery and vehicles 25]</t>
  </si>
  <si>
    <t>Industrial Fuel Use[petroleum diesel if,computers and electronics 26]</t>
  </si>
  <si>
    <t>Industrial Fuel Use[petroleum diesel if,appliances and electrical equipment 27]</t>
  </si>
  <si>
    <t>Industrial Fuel Use[petroleum diesel if,other machinery 28]</t>
  </si>
  <si>
    <t>Industrial Fuel Use[petroleum diesel if,road vehicles 29]</t>
  </si>
  <si>
    <t>Industrial Fuel Use[petroleum diesel if,nonroad vehicles 30]</t>
  </si>
  <si>
    <t>Industrial Fuel Use[petroleum diesel if,other manufacturing 31T33]</t>
  </si>
  <si>
    <t>Industrial Fuel Use[petroleum diesel if,energy pipelines and gas processing 352T353]</t>
  </si>
  <si>
    <t>Industrial Fuel Use[petroleum diesel if,water and waste 36T39]</t>
  </si>
  <si>
    <t>Industrial Fuel Use[petroleum diesel if,construction 41T43]</t>
  </si>
  <si>
    <t>Industrial Fuel Use[heat if,agriculture and forestry 01T03]</t>
  </si>
  <si>
    <t>Industrial Fuel Use[heat if,coal mining 05]</t>
  </si>
  <si>
    <t>Industrial Fuel Use[heat if,oil and gas extraction 06]</t>
  </si>
  <si>
    <t>Industrial Fuel Use[heat if,other mining and quarrying 07T08]</t>
  </si>
  <si>
    <t>Industrial Fuel Use[heat if,food beverage and tobacco 10T12]</t>
  </si>
  <si>
    <t>Industrial Fuel Use[heat if,textiles apparel and leather 13T15]</t>
  </si>
  <si>
    <t>Industrial Fuel Use[heat if,wood products 16]</t>
  </si>
  <si>
    <t>Industrial Fuel Use[heat if,pulp paper and printing 17T18]</t>
  </si>
  <si>
    <t>Industrial Fuel Use[heat if,refined petroleum and coke 19]</t>
  </si>
  <si>
    <t>Industrial Fuel Use[heat if,chemicals 20]</t>
  </si>
  <si>
    <t>Industrial Fuel Use[heat if,rubber and plastic products 22]</t>
  </si>
  <si>
    <t>Industrial Fuel Use[heat if,glass and glass products 231]</t>
  </si>
  <si>
    <t>Industrial Fuel Use[heat if,cement and other nonmetallic minerals 239]</t>
  </si>
  <si>
    <t>Industrial Fuel Use[heat if,iron and steel 241]</t>
  </si>
  <si>
    <t>Industrial Fuel Use[heat if,other metals 242]</t>
  </si>
  <si>
    <t>Industrial Fuel Use[heat if,metal products except machinery and vehicles 25]</t>
  </si>
  <si>
    <t>Industrial Fuel Use[heat if,computers and electronics 26]</t>
  </si>
  <si>
    <t>Industrial Fuel Use[heat if,appliances and electrical equipment 27]</t>
  </si>
  <si>
    <t>Industrial Fuel Use[heat if,other machinery 28]</t>
  </si>
  <si>
    <t>Industrial Fuel Use[heat if,road vehicles 29]</t>
  </si>
  <si>
    <t>Industrial Fuel Use[heat if,nonroad vehicles 30]</t>
  </si>
  <si>
    <t>Industrial Fuel Use[heat if,other manufacturing 31T33]</t>
  </si>
  <si>
    <t>Industrial Fuel Use[heat if,energy pipelines and gas processing 352T353]</t>
  </si>
  <si>
    <t>Industrial Fuel Use[heat if,water and waste 36T39]</t>
  </si>
  <si>
    <t>Industrial Fuel Use[heat if,construction 41T43]</t>
  </si>
  <si>
    <t>Industrial Fuel Use[crude oil if,agriculture and forestry 01T03]</t>
  </si>
  <si>
    <t>Industrial Fuel Use[crude oil if,coal mining 05]</t>
  </si>
  <si>
    <t>Industrial Fuel Use[crude oil if,oil and gas extraction 06]</t>
  </si>
  <si>
    <t>Industrial Fuel Use[crude oil if,other mining and quarrying 07T08]</t>
  </si>
  <si>
    <t>Industrial Fuel Use[crude oil if,food beverage and tobacco 10T12]</t>
  </si>
  <si>
    <t>Industrial Fuel Use[crude oil if,textiles apparel and leather 13T15]</t>
  </si>
  <si>
    <t>Industrial Fuel Use[crude oil if,wood products 16]</t>
  </si>
  <si>
    <t>Industrial Fuel Use[crude oil if,pulp paper and printing 17T18]</t>
  </si>
  <si>
    <t>Industrial Fuel Use[crude oil if,refined petroleum and coke 19]</t>
  </si>
  <si>
    <t>Industrial Fuel Use[crude oil if,chemicals 20]</t>
  </si>
  <si>
    <t>Industrial Fuel Use[crude oil if,rubber and plastic products 22]</t>
  </si>
  <si>
    <t>Industrial Fuel Use[crude oil if,glass and glass products 231]</t>
  </si>
  <si>
    <t>Industrial Fuel Use[crude oil if,cement and other nonmetallic minerals 239]</t>
  </si>
  <si>
    <t>Industrial Fuel Use[crude oil if,iron and steel 241]</t>
  </si>
  <si>
    <t>Industrial Fuel Use[crude oil if,other metals 242]</t>
  </si>
  <si>
    <t>Industrial Fuel Use[crude oil if,metal products except machinery and vehicles 25]</t>
  </si>
  <si>
    <t>Industrial Fuel Use[crude oil if,computers and electronics 26]</t>
  </si>
  <si>
    <t>Industrial Fuel Use[crude oil if,appliances and electrical equipment 27]</t>
  </si>
  <si>
    <t>Industrial Fuel Use[crude oil if,other machinery 28]</t>
  </si>
  <si>
    <t>Industrial Fuel Use[crude oil if,road vehicles 29]</t>
  </si>
  <si>
    <t>Industrial Fuel Use[crude oil if,nonroad vehicles 30]</t>
  </si>
  <si>
    <t>Industrial Fuel Use[crude oil if,other manufacturing 31T33]</t>
  </si>
  <si>
    <t>Industrial Fuel Use[crude oil if,energy pipelines and gas processing 352T353]</t>
  </si>
  <si>
    <t>Industrial Fuel Use[crude oil if,water and waste 36T39]</t>
  </si>
  <si>
    <t>Industrial Fuel Use[crude oil if,construction 41T43]</t>
  </si>
  <si>
    <t>Industrial Fuel Use[heavy or residual fuel oil if,agriculture and forestry 01T03]</t>
  </si>
  <si>
    <t>Industrial Fuel Use[heavy or residual fuel oil if,coal mining 05]</t>
  </si>
  <si>
    <t>Industrial Fuel Use[heavy or residual fuel oil if,oil and gas extraction 06]</t>
  </si>
  <si>
    <t>Industrial Fuel Use[heavy or residual fuel oil if,other mining and quarrying 07T08]</t>
  </si>
  <si>
    <t>Industrial Fuel Use[heavy or residual fuel oil if,food beverage and tobacco 10T12]</t>
  </si>
  <si>
    <t>Industrial Fuel Use[heavy or residual fuel oil if,textiles apparel and leather 13T15]</t>
  </si>
  <si>
    <t>Industrial Fuel Use[heavy or residual fuel oil if,wood products 16]</t>
  </si>
  <si>
    <t>Industrial Fuel Use[heavy or residual fuel oil if,pulp paper and printing 17T18]</t>
  </si>
  <si>
    <t>Industrial Fuel Use[heavy or residual fuel oil if,refined petroleum and coke 19]</t>
  </si>
  <si>
    <t>Industrial Fuel Use[heavy or residual fuel oil if,chemicals 20]</t>
  </si>
  <si>
    <t>Industrial Fuel Use[heavy or residual fuel oil if,rubber and plastic products 22]</t>
  </si>
  <si>
    <t>Industrial Fuel Use[heavy or residual fuel oil if,glass and glass products 231]</t>
  </si>
  <si>
    <t>Industrial Fuel Use[heavy or residual fuel oil if,cement and other nonmetallic minerals 239]</t>
  </si>
  <si>
    <t>Industrial Fuel Use[heavy or residual fuel oil if,iron and steel 241]</t>
  </si>
  <si>
    <t>Industrial Fuel Use[heavy or residual fuel oil if,other metals 242]</t>
  </si>
  <si>
    <t>Industrial Fuel Use[heavy or residual fuel oil if,metal products except machinery and vehicles 25]</t>
  </si>
  <si>
    <t>Industrial Fuel Use[heavy or residual fuel oil if,computers and electronics 26]</t>
  </si>
  <si>
    <t>Industrial Fuel Use[heavy or residual fuel oil if,appliances and electrical equipment 27]</t>
  </si>
  <si>
    <t>Industrial Fuel Use[heavy or residual fuel oil if,other machinery 28]</t>
  </si>
  <si>
    <t>Industrial Fuel Use[heavy or residual fuel oil if,road vehicles 29]</t>
  </si>
  <si>
    <t>Industrial Fuel Use[heavy or residual fuel oil if,nonroad vehicles 30]</t>
  </si>
  <si>
    <t>Industrial Fuel Use[heavy or residual fuel oil if,other manufacturing 31T33]</t>
  </si>
  <si>
    <t>Industrial Fuel Use[heavy or residual fuel oil if,energy pipelines and gas processing 352T353]</t>
  </si>
  <si>
    <t>Industrial Fuel Use[heavy or residual fuel oil if,water and waste 36T39]</t>
  </si>
  <si>
    <t>Industrial Fuel Use[heavy or residual fuel oil if,construction 41T43]</t>
  </si>
  <si>
    <t>Industrial Fuel Use[LPG propane or butane if,agriculture and forestry 01T03]</t>
  </si>
  <si>
    <t>Industrial Fuel Use[LPG propane or butane if,coal mining 05]</t>
  </si>
  <si>
    <t>Industrial Fuel Use[LPG propane or butane if,oil and gas extraction 06]</t>
  </si>
  <si>
    <t>Industrial Fuel Use[LPG propane or butane if,other mining and quarrying 07T08]</t>
  </si>
  <si>
    <t>Industrial Fuel Use[LPG propane or butane if,food beverage and tobacco 10T12]</t>
  </si>
  <si>
    <t>Industrial Fuel Use[LPG propane or butane if,textiles apparel and leather 13T15]</t>
  </si>
  <si>
    <t>Industrial Fuel Use[LPG propane or butane if,wood products 16]</t>
  </si>
  <si>
    <t>Industrial Fuel Use[LPG propane or butane if,pulp paper and printing 17T18]</t>
  </si>
  <si>
    <t>Industrial Fuel Use[LPG propane or butane if,refined petroleum and coke 19]</t>
  </si>
  <si>
    <t>Industrial Fuel Use[LPG propane or butane if,chemicals 20]</t>
  </si>
  <si>
    <t>Industrial Fuel Use[LPG propane or butane if,rubber and plastic products 22]</t>
  </si>
  <si>
    <t>Industrial Fuel Use[LPG propane or butane if,glass and glass products 231]</t>
  </si>
  <si>
    <t>Industrial Fuel Use[LPG propane or butane if,cement and other nonmetallic minerals 239]</t>
  </si>
  <si>
    <t>Industrial Fuel Use[LPG propane or butane if,iron and steel 241]</t>
  </si>
  <si>
    <t>Industrial Fuel Use[LPG propane or butane if,other metals 242]</t>
  </si>
  <si>
    <t>Industrial Fuel Use[LPG propane or butane if,metal products except machinery and vehicles 25]</t>
  </si>
  <si>
    <t>Industrial Fuel Use[LPG propane or butane if,computers and electronics 26]</t>
  </si>
  <si>
    <t>Industrial Fuel Use[LPG propane or butane if,appliances and electrical equipment 27]</t>
  </si>
  <si>
    <t>Industrial Fuel Use[LPG propane or butane if,other machinery 28]</t>
  </si>
  <si>
    <t>Industrial Fuel Use[LPG propane or butane if,road vehicles 29]</t>
  </si>
  <si>
    <t>Industrial Fuel Use[LPG propane or butane if,nonroad vehicles 30]</t>
  </si>
  <si>
    <t>Industrial Fuel Use[LPG propane or butane if,other manufacturing 31T33]</t>
  </si>
  <si>
    <t>Industrial Fuel Use[LPG propane or butane if,energy pipelines and gas processing 352T353]</t>
  </si>
  <si>
    <t>Industrial Fuel Use[LPG propane or butane if,water and waste 36T39]</t>
  </si>
  <si>
    <t>Industrial Fuel Use[LPG propane or butane if,construction 41T43]</t>
  </si>
  <si>
    <t>Industrial Fuel Use[hydrogen if,agriculture and forestry 01T03]</t>
  </si>
  <si>
    <t>Industrial Fuel Use[hydrogen if,coal mining 05]</t>
  </si>
  <si>
    <t>Industrial Fuel Use[hydrogen if,oil and gas extraction 06]</t>
  </si>
  <si>
    <t>Industrial Fuel Use[hydrogen if,other mining and quarrying 07T08]</t>
  </si>
  <si>
    <t>Industrial Fuel Use[hydrogen if,food beverage and tobacco 10T12]</t>
  </si>
  <si>
    <t>Industrial Fuel Use[hydrogen if,textiles apparel and leather 13T15]</t>
  </si>
  <si>
    <t>Industrial Fuel Use[hydrogen if,wood products 16]</t>
  </si>
  <si>
    <t>Industrial Fuel Use[hydrogen if,pulp paper and printing 17T18]</t>
  </si>
  <si>
    <t>Industrial Fuel Use[hydrogen if,refined petroleum and coke 19]</t>
  </si>
  <si>
    <t>Industrial Fuel Use[hydrogen if,chemicals 20]</t>
  </si>
  <si>
    <t>Industrial Fuel Use[hydrogen if,rubber and plastic products 22]</t>
  </si>
  <si>
    <t>Industrial Fuel Use[hydrogen if,glass and glass products 231]</t>
  </si>
  <si>
    <t>Industrial Fuel Use[hydrogen if,cement and other nonmetallic minerals 239]</t>
  </si>
  <si>
    <t>Industrial Fuel Use[hydrogen if,iron and steel 241]</t>
  </si>
  <si>
    <t>Industrial Fuel Use[hydrogen if,other metals 242]</t>
  </si>
  <si>
    <t>Industrial Fuel Use[hydrogen if,metal products except machinery and vehicles 25]</t>
  </si>
  <si>
    <t>Industrial Fuel Use[hydrogen if,computers and electronics 26]</t>
  </si>
  <si>
    <t>Industrial Fuel Use[hydrogen if,appliances and electrical equipment 27]</t>
  </si>
  <si>
    <t>Industrial Fuel Use[hydrogen if,other machinery 28]</t>
  </si>
  <si>
    <t>Industrial Fuel Use[hydrogen if,road vehicles 29]</t>
  </si>
  <si>
    <t>Industrial Fuel Use[hydrogen if,nonroad vehicles 30]</t>
  </si>
  <si>
    <t>Industrial Fuel Use[hydrogen if,other manufacturing 31T33]</t>
  </si>
  <si>
    <t>Industrial Fuel Use[hydrogen if,energy pipelines and gas processing 352T353]</t>
  </si>
  <si>
    <t>Industrial Fuel Use[hydrogen if,water and waste 36T39]</t>
  </si>
  <si>
    <t>Industrial Fuel Use[hydrogen if,construction 41T43]</t>
  </si>
  <si>
    <t>Transportation Sector Fuel Used[LDVs,passenger,battery electric vehicle,electricity tf]</t>
  </si>
  <si>
    <t>Transportation Sector Fuel Used[LDVs,passenger,battery electric vehicle,natural gas tf]</t>
  </si>
  <si>
    <t>Transportation Sector Fuel Used[LDVs,passenger,battery electric vehicle,petroleum gasoline tf]</t>
  </si>
  <si>
    <t>Transportation Sector Fuel Used[LDVs,passenger,battery electric vehicle,petroleum diesel tf]</t>
  </si>
  <si>
    <t>Transportation Sector Fuel Used[LDVs,passenger,battery electric vehicle,biofuel gasoline tf]</t>
  </si>
  <si>
    <t>Transportation Sector Fuel Used[LDVs,passenger,battery electric vehicle,biofuel diesel tf]</t>
  </si>
  <si>
    <t>Transportation Sector Fuel Used[LDVs,passenger,battery electric vehicle,jet fuel tf]</t>
  </si>
  <si>
    <t>Transportation Sector Fuel Used[LDVs,passenger,battery electric vehicle,heavy or residual fuel oil tf]</t>
  </si>
  <si>
    <t>Transportation Sector Fuel Used[LDVs,passenger,battery electric vehicle,LPG propane or butane tf]</t>
  </si>
  <si>
    <t>Transportation Sector Fuel Used[LDVs,passenger,battery electric vehicle,hydrogen tf]</t>
  </si>
  <si>
    <t>Transportation Sector Fuel Used[LDVs,passenger,natural gas vehicle,electricity tf]</t>
  </si>
  <si>
    <t>Transportation Sector Fuel Used[LDVs,passenger,natural gas vehicle,natural gas tf]</t>
  </si>
  <si>
    <t>Transportation Sector Fuel Used[LDVs,passenger,natural gas vehicle,petroleum gasoline tf]</t>
  </si>
  <si>
    <t>Transportation Sector Fuel Used[LDVs,passenger,natural gas vehicle,petroleum diesel tf]</t>
  </si>
  <si>
    <t>Transportation Sector Fuel Used[LDVs,passenger,natural gas vehicle,biofuel gasoline tf]</t>
  </si>
  <si>
    <t>Transportation Sector Fuel Used[LDVs,passenger,natural gas vehicle,biofuel diesel tf]</t>
  </si>
  <si>
    <t>Transportation Sector Fuel Used[LDVs,passenger,natural gas vehicle,jet fuel tf]</t>
  </si>
  <si>
    <t>Transportation Sector Fuel Used[LDVs,passenger,natural gas vehicle,heavy or residual fuel oil tf]</t>
  </si>
  <si>
    <t>Transportation Sector Fuel Used[LDVs,passenger,natural gas vehicle,LPG propane or butane tf]</t>
  </si>
  <si>
    <t>Transportation Sector Fuel Used[LDVs,passenger,natural gas vehicle,hydrogen tf]</t>
  </si>
  <si>
    <t>Transportation Sector Fuel Used[LDVs,passenger,gasoline vehicle,electricity tf]</t>
  </si>
  <si>
    <t>Transportation Sector Fuel Used[LDVs,passenger,gasoline vehicle,natural gas tf]</t>
  </si>
  <si>
    <t>Transportation Sector Fuel Used[LDVs,passenger,gasoline vehicle,petroleum gasoline tf]</t>
  </si>
  <si>
    <t>Transportation Sector Fuel Used[LDVs,passenger,gasoline vehicle,petroleum diesel tf]</t>
  </si>
  <si>
    <t>Transportation Sector Fuel Used[LDVs,passenger,gasoline vehicle,biofuel gasoline tf]</t>
  </si>
  <si>
    <t>Transportation Sector Fuel Used[LDVs,passenger,gasoline vehicle,biofuel diesel tf]</t>
  </si>
  <si>
    <t>Transportation Sector Fuel Used[LDVs,passenger,gasoline vehicle,jet fuel tf]</t>
  </si>
  <si>
    <t>Transportation Sector Fuel Used[LDVs,passenger,gasoline vehicle,heavy or residual fuel oil tf]</t>
  </si>
  <si>
    <t>Transportation Sector Fuel Used[LDVs,passenger,gasoline vehicle,LPG propane or butane tf]</t>
  </si>
  <si>
    <t>Transportation Sector Fuel Used[LDVs,passenger,gasoline vehicle,hydrogen tf]</t>
  </si>
  <si>
    <t>Transportation Sector Fuel Used[LDVs,passenger,diesel vehicle,electricity tf]</t>
  </si>
  <si>
    <t>Transportation Sector Fuel Used[LDVs,passenger,diesel vehicle,natural gas tf]</t>
  </si>
  <si>
    <t>Transportation Sector Fuel Used[LDVs,passenger,diesel vehicle,petroleum gasoline tf]</t>
  </si>
  <si>
    <t>Transportation Sector Fuel Used[LDVs,passenger,diesel vehicle,petroleum diesel tf]</t>
  </si>
  <si>
    <t>Transportation Sector Fuel Used[LDVs,passenger,diesel vehicle,biofuel gasoline tf]</t>
  </si>
  <si>
    <t>Transportation Sector Fuel Used[LDVs,passenger,diesel vehicle,biofuel diesel tf]</t>
  </si>
  <si>
    <t>Transportation Sector Fuel Used[LDVs,passenger,diesel vehicle,jet fuel tf]</t>
  </si>
  <si>
    <t>Transportation Sector Fuel Used[LDVs,passenger,diesel vehicle,heavy or residual fuel oil tf]</t>
  </si>
  <si>
    <t>Transportation Sector Fuel Used[LDVs,passenger,diesel vehicle,LPG propane or butane tf]</t>
  </si>
  <si>
    <t>Transportation Sector Fuel Used[LDVs,passenger,diesel vehicle,hydrogen tf]</t>
  </si>
  <si>
    <t>Transportation Sector Fuel Used[LDVs,passenger,plugin hybrid vehicle,electricity tf]</t>
  </si>
  <si>
    <t>Transportation Sector Fuel Used[LDVs,passenger,plugin hybrid vehicle,natural gas tf]</t>
  </si>
  <si>
    <t>Transportation Sector Fuel Used[LDVs,passenger,plugin hybrid vehicle,petroleum gasoline tf]</t>
  </si>
  <si>
    <t>Transportation Sector Fuel Used[LDVs,passenger,plugin hybrid vehicle,petroleum diesel tf]</t>
  </si>
  <si>
    <t>Transportation Sector Fuel Used[LDVs,passenger,plugin hybrid vehicle,biofuel gasoline tf]</t>
  </si>
  <si>
    <t>Transportation Sector Fuel Used[LDVs,passenger,plugin hybrid vehicle,biofuel diesel tf]</t>
  </si>
  <si>
    <t>Transportation Sector Fuel Used[LDVs,passenger,plugin hybrid vehicle,jet fuel tf]</t>
  </si>
  <si>
    <t>Transportation Sector Fuel Used[LDVs,passenger,plugin hybrid vehicle,heavy or residual fuel oil tf]</t>
  </si>
  <si>
    <t>Transportation Sector Fuel Used[LDVs,passenger,plugin hybrid vehicle,LPG propane or butane tf]</t>
  </si>
  <si>
    <t>Transportation Sector Fuel Used[LDVs,passenger,plugin hybrid vehicle,hydrogen tf]</t>
  </si>
  <si>
    <t>Transportation Sector Fuel Used[LDVs,passenger,LPG vehicle,electricity tf]</t>
  </si>
  <si>
    <t>Transportation Sector Fuel Used[LDVs,passenger,LPG vehicle,natural gas tf]</t>
  </si>
  <si>
    <t>Transportation Sector Fuel Used[LDVs,passenger,LPG vehicle,petroleum gasoline tf]</t>
  </si>
  <si>
    <t>Transportation Sector Fuel Used[LDVs,passenger,LPG vehicle,petroleum diesel tf]</t>
  </si>
  <si>
    <t>Transportation Sector Fuel Used[LDVs,passenger,LPG vehicle,biofuel gasoline tf]</t>
  </si>
  <si>
    <t>Transportation Sector Fuel Used[LDVs,passenger,LPG vehicle,biofuel diesel tf]</t>
  </si>
  <si>
    <t>Transportation Sector Fuel Used[LDVs,passenger,LPG vehicle,jet fuel tf]</t>
  </si>
  <si>
    <t>Transportation Sector Fuel Used[LDVs,passenger,LPG vehicle,heavy or residual fuel oil tf]</t>
  </si>
  <si>
    <t>Transportation Sector Fuel Used[LDVs,passenger,LPG vehicle,LPG propane or butane tf]</t>
  </si>
  <si>
    <t>Transportation Sector Fuel Used[LDVs,passenger,LPG vehicle,hydrogen tf]</t>
  </si>
  <si>
    <t>Transportation Sector Fuel Used[LDVs,passenger,hydrogen vehicle,electricity tf]</t>
  </si>
  <si>
    <t>Transportation Sector Fuel Used[LDVs,passenger,hydrogen vehicle,natural gas tf]</t>
  </si>
  <si>
    <t>Transportation Sector Fuel Used[LDVs,passenger,hydrogen vehicle,petroleum gasoline tf]</t>
  </si>
  <si>
    <t>Transportation Sector Fuel Used[LDVs,passenger,hydrogen vehicle,petroleum diesel tf]</t>
  </si>
  <si>
    <t>Transportation Sector Fuel Used[LDVs,passenger,hydrogen vehicle,biofuel gasoline tf]</t>
  </si>
  <si>
    <t>Transportation Sector Fuel Used[LDVs,passenger,hydrogen vehicle,biofuel diesel tf]</t>
  </si>
  <si>
    <t>Transportation Sector Fuel Used[LDVs,passenger,hydrogen vehicle,jet fuel tf]</t>
  </si>
  <si>
    <t>Transportation Sector Fuel Used[LDVs,passenger,hydrogen vehicle,heavy or residual fuel oil tf]</t>
  </si>
  <si>
    <t>Transportation Sector Fuel Used[LDVs,passenger,hydrogen vehicle,LPG propane or butane tf]</t>
  </si>
  <si>
    <t>Transportation Sector Fuel Used[LDVs,passenger,hydrogen vehicle,hydrogen tf]</t>
  </si>
  <si>
    <t>Transportation Sector Fuel Used[LDVs,freight,battery electric vehicle,electricity tf]</t>
  </si>
  <si>
    <t>Transportation Sector Fuel Used[LDVs,freight,battery electric vehicle,natural gas tf]</t>
  </si>
  <si>
    <t>Transportation Sector Fuel Used[LDVs,freight,battery electric vehicle,petroleum gasoline tf]</t>
  </si>
  <si>
    <t>Transportation Sector Fuel Used[LDVs,freight,battery electric vehicle,petroleum diesel tf]</t>
  </si>
  <si>
    <t>Transportation Sector Fuel Used[LDVs,freight,battery electric vehicle,biofuel gasoline tf]</t>
  </si>
  <si>
    <t>Transportation Sector Fuel Used[LDVs,freight,battery electric vehicle,biofuel diesel tf]</t>
  </si>
  <si>
    <t>Transportation Sector Fuel Used[LDVs,freight,battery electric vehicle,jet fuel tf]</t>
  </si>
  <si>
    <t>Transportation Sector Fuel Used[LDVs,freight,battery electric vehicle,heavy or residual fuel oil tf]</t>
  </si>
  <si>
    <t>Transportation Sector Fuel Used[LDVs,freight,battery electric vehicle,LPG propane or butane tf]</t>
  </si>
  <si>
    <t>Transportation Sector Fuel Used[LDVs,freight,battery electric vehicle,hydrogen tf]</t>
  </si>
  <si>
    <t>Transportation Sector Fuel Used[LDVs,freight,natural gas vehicle,electricity tf]</t>
  </si>
  <si>
    <t>Transportation Sector Fuel Used[LDVs,freight,natural gas vehicle,natural gas tf]</t>
  </si>
  <si>
    <t>Transportation Sector Fuel Used[LDVs,freight,natural gas vehicle,petroleum gasoline tf]</t>
  </si>
  <si>
    <t>Transportation Sector Fuel Used[LDVs,freight,natural gas vehicle,petroleum diesel tf]</t>
  </si>
  <si>
    <t>Transportation Sector Fuel Used[LDVs,freight,natural gas vehicle,biofuel gasoline tf]</t>
  </si>
  <si>
    <t>Transportation Sector Fuel Used[LDVs,freight,natural gas vehicle,biofuel diesel tf]</t>
  </si>
  <si>
    <t>Transportation Sector Fuel Used[LDVs,freight,natural gas vehicle,jet fuel tf]</t>
  </si>
  <si>
    <t>Transportation Sector Fuel Used[LDVs,freight,natural gas vehicle,heavy or residual fuel oil tf]</t>
  </si>
  <si>
    <t>Transportation Sector Fuel Used[LDVs,freight,natural gas vehicle,LPG propane or butane tf]</t>
  </si>
  <si>
    <t>Transportation Sector Fuel Used[LDVs,freight,natural gas vehicle,hydrogen tf]</t>
  </si>
  <si>
    <t>Transportation Sector Fuel Used[LDVs,freight,gasoline vehicle,electricity tf]</t>
  </si>
  <si>
    <t>Transportation Sector Fuel Used[LDVs,freight,gasoline vehicle,natural gas tf]</t>
  </si>
  <si>
    <t>Transportation Sector Fuel Used[LDVs,freight,gasoline vehicle,petroleum gasoline tf]</t>
  </si>
  <si>
    <t>Transportation Sector Fuel Used[LDVs,freight,gasoline vehicle,petroleum diesel tf]</t>
  </si>
  <si>
    <t>Transportation Sector Fuel Used[LDVs,freight,gasoline vehicle,biofuel gasoline tf]</t>
  </si>
  <si>
    <t>Transportation Sector Fuel Used[LDVs,freight,gasoline vehicle,biofuel diesel tf]</t>
  </si>
  <si>
    <t>Transportation Sector Fuel Used[LDVs,freight,gasoline vehicle,jet fuel tf]</t>
  </si>
  <si>
    <t>Transportation Sector Fuel Used[LDVs,freight,gasoline vehicle,heavy or residual fuel oil tf]</t>
  </si>
  <si>
    <t>Transportation Sector Fuel Used[LDVs,freight,gasoline vehicle,LPG propane or butane tf]</t>
  </si>
  <si>
    <t>Transportation Sector Fuel Used[LDVs,freight,gasoline vehicle,hydrogen tf]</t>
  </si>
  <si>
    <t>Transportation Sector Fuel Used[LDVs,freight,diesel vehicle,electricity tf]</t>
  </si>
  <si>
    <t>Transportation Sector Fuel Used[LDVs,freight,diesel vehicle,natural gas tf]</t>
  </si>
  <si>
    <t>Transportation Sector Fuel Used[LDVs,freight,diesel vehicle,petroleum gasoline tf]</t>
  </si>
  <si>
    <t>Transportation Sector Fuel Used[LDVs,freight,diesel vehicle,petroleum diesel tf]</t>
  </si>
  <si>
    <t>Transportation Sector Fuel Used[LDVs,freight,diesel vehicle,biofuel gasoline tf]</t>
  </si>
  <si>
    <t>Transportation Sector Fuel Used[LDVs,freight,diesel vehicle,biofuel diesel tf]</t>
  </si>
  <si>
    <t>Transportation Sector Fuel Used[LDVs,freight,diesel vehicle,jet fuel tf]</t>
  </si>
  <si>
    <t>Transportation Sector Fuel Used[LDVs,freight,diesel vehicle,heavy or residual fuel oil tf]</t>
  </si>
  <si>
    <t>Transportation Sector Fuel Used[LDVs,freight,diesel vehicle,LPG propane or butane tf]</t>
  </si>
  <si>
    <t>Transportation Sector Fuel Used[LDVs,freight,diesel vehicle,hydrogen tf]</t>
  </si>
  <si>
    <t>Transportation Sector Fuel Used[LDVs,freight,plugin hybrid vehicle,electricity tf]</t>
  </si>
  <si>
    <t>Transportation Sector Fuel Used[LDVs,freight,plugin hybrid vehicle,natural gas tf]</t>
  </si>
  <si>
    <t>Transportation Sector Fuel Used[LDVs,freight,plugin hybrid vehicle,petroleum gasoline tf]</t>
  </si>
  <si>
    <t>Transportation Sector Fuel Used[LDVs,freight,plugin hybrid vehicle,petroleum diesel tf]</t>
  </si>
  <si>
    <t>Transportation Sector Fuel Used[LDVs,freight,plugin hybrid vehicle,biofuel gasoline tf]</t>
  </si>
  <si>
    <t>Transportation Sector Fuel Used[LDVs,freight,plugin hybrid vehicle,biofuel diesel tf]</t>
  </si>
  <si>
    <t>Transportation Sector Fuel Used[LDVs,freight,plugin hybrid vehicle,jet fuel tf]</t>
  </si>
  <si>
    <t>Transportation Sector Fuel Used[LDVs,freight,plugin hybrid vehicle,heavy or residual fuel oil tf]</t>
  </si>
  <si>
    <t>Transportation Sector Fuel Used[LDVs,freight,plugin hybrid vehicle,LPG propane or butane tf]</t>
  </si>
  <si>
    <t>Transportation Sector Fuel Used[LDVs,freight,plugin hybrid vehicle,hydrogen tf]</t>
  </si>
  <si>
    <t>Transportation Sector Fuel Used[LDVs,freight,LPG vehicle,electricity tf]</t>
  </si>
  <si>
    <t>Transportation Sector Fuel Used[LDVs,freight,LPG vehicle,natural gas tf]</t>
  </si>
  <si>
    <t>Transportation Sector Fuel Used[LDVs,freight,LPG vehicle,petroleum gasoline tf]</t>
  </si>
  <si>
    <t>Transportation Sector Fuel Used[LDVs,freight,LPG vehicle,petroleum diesel tf]</t>
  </si>
  <si>
    <t>Transportation Sector Fuel Used[LDVs,freight,LPG vehicle,biofuel gasoline tf]</t>
  </si>
  <si>
    <t>Transportation Sector Fuel Used[LDVs,freight,LPG vehicle,biofuel diesel tf]</t>
  </si>
  <si>
    <t>Transportation Sector Fuel Used[LDVs,freight,LPG vehicle,jet fuel tf]</t>
  </si>
  <si>
    <t>Transportation Sector Fuel Used[LDVs,freight,LPG vehicle,heavy or residual fuel oil tf]</t>
  </si>
  <si>
    <t>Transportation Sector Fuel Used[LDVs,freight,LPG vehicle,LPG propane or butane tf]</t>
  </si>
  <si>
    <t>Transportation Sector Fuel Used[LDVs,freight,LPG vehicle,hydrogen tf]</t>
  </si>
  <si>
    <t>Transportation Sector Fuel Used[LDVs,freight,hydrogen vehicle,electricity tf]</t>
  </si>
  <si>
    <t>Transportation Sector Fuel Used[LDVs,freight,hydrogen vehicle,natural gas tf]</t>
  </si>
  <si>
    <t>Transportation Sector Fuel Used[LDVs,freight,hydrogen vehicle,petroleum gasoline tf]</t>
  </si>
  <si>
    <t>Transportation Sector Fuel Used[LDVs,freight,hydrogen vehicle,petroleum diesel tf]</t>
  </si>
  <si>
    <t>Transportation Sector Fuel Used[LDVs,freight,hydrogen vehicle,biofuel gasoline tf]</t>
  </si>
  <si>
    <t>Transportation Sector Fuel Used[LDVs,freight,hydrogen vehicle,biofuel diesel tf]</t>
  </si>
  <si>
    <t>Transportation Sector Fuel Used[LDVs,freight,hydrogen vehicle,jet fuel tf]</t>
  </si>
  <si>
    <t>Transportation Sector Fuel Used[LDVs,freight,hydrogen vehicle,heavy or residual fuel oil tf]</t>
  </si>
  <si>
    <t>Transportation Sector Fuel Used[LDVs,freight,hydrogen vehicle,LPG propane or butane tf]</t>
  </si>
  <si>
    <t>Transportation Sector Fuel Used[LDVs,freight,hydrogen vehicle,hydrogen tf]</t>
  </si>
  <si>
    <t>Transportation Sector Fuel Used[HDVs,passenger,battery electric vehicle,electricity tf]</t>
  </si>
  <si>
    <t>Transportation Sector Fuel Used[HDVs,passenger,battery electric vehicle,natural gas tf]</t>
  </si>
  <si>
    <t>Transportation Sector Fuel Used[HDVs,passenger,battery electric vehicle,petroleum gasoline tf]</t>
  </si>
  <si>
    <t>Transportation Sector Fuel Used[HDVs,passenger,battery electric vehicle,petroleum diesel tf]</t>
  </si>
  <si>
    <t>Transportation Sector Fuel Used[HDVs,passenger,battery electric vehicle,biofuel gasoline tf]</t>
  </si>
  <si>
    <t>Transportation Sector Fuel Used[HDVs,passenger,battery electric vehicle,biofuel diesel tf]</t>
  </si>
  <si>
    <t>Transportation Sector Fuel Used[HDVs,passenger,battery electric vehicle,jet fuel tf]</t>
  </si>
  <si>
    <t>Transportation Sector Fuel Used[HDVs,passenger,battery electric vehicle,heavy or residual fuel oil tf]</t>
  </si>
  <si>
    <t>Transportation Sector Fuel Used[HDVs,passenger,battery electric vehicle,LPG propane or butane tf]</t>
  </si>
  <si>
    <t>Transportation Sector Fuel Used[HDVs,passenger,battery electric vehicle,hydrogen tf]</t>
  </si>
  <si>
    <t>Transportation Sector Fuel Used[HDVs,passenger,natural gas vehicle,electricity tf]</t>
  </si>
  <si>
    <t>Transportation Sector Fuel Used[HDVs,passenger,natural gas vehicle,natural gas tf]</t>
  </si>
  <si>
    <t>Transportation Sector Fuel Used[HDVs,passenger,natural gas vehicle,petroleum gasoline tf]</t>
  </si>
  <si>
    <t>Transportation Sector Fuel Used[HDVs,passenger,natural gas vehicle,petroleum diesel tf]</t>
  </si>
  <si>
    <t>Transportation Sector Fuel Used[HDVs,passenger,natural gas vehicle,biofuel gasoline tf]</t>
  </si>
  <si>
    <t>Transportation Sector Fuel Used[HDVs,passenger,natural gas vehicle,biofuel diesel tf]</t>
  </si>
  <si>
    <t>Transportation Sector Fuel Used[HDVs,passenger,natural gas vehicle,jet fuel tf]</t>
  </si>
  <si>
    <t>Transportation Sector Fuel Used[HDVs,passenger,natural gas vehicle,heavy or residual fuel oil tf]</t>
  </si>
  <si>
    <t>Transportation Sector Fuel Used[HDVs,passenger,natural gas vehicle,LPG propane or butane tf]</t>
  </si>
  <si>
    <t>Transportation Sector Fuel Used[HDVs,passenger,natural gas vehicle,hydrogen tf]</t>
  </si>
  <si>
    <t>Transportation Sector Fuel Used[HDVs,passenger,gasoline vehicle,electricity tf]</t>
  </si>
  <si>
    <t>Transportation Sector Fuel Used[HDVs,passenger,gasoline vehicle,natural gas tf]</t>
  </si>
  <si>
    <t>Transportation Sector Fuel Used[HDVs,passenger,gasoline vehicle,petroleum gasoline tf]</t>
  </si>
  <si>
    <t>Transportation Sector Fuel Used[HDVs,passenger,gasoline vehicle,petroleum diesel tf]</t>
  </si>
  <si>
    <t>Transportation Sector Fuel Used[HDVs,passenger,gasoline vehicle,biofuel gasoline tf]</t>
  </si>
  <si>
    <t>Transportation Sector Fuel Used[HDVs,passenger,gasoline vehicle,biofuel diesel tf]</t>
  </si>
  <si>
    <t>Transportation Sector Fuel Used[HDVs,passenger,gasoline vehicle,jet fuel tf]</t>
  </si>
  <si>
    <t>Transportation Sector Fuel Used[HDVs,passenger,gasoline vehicle,heavy or residual fuel oil tf]</t>
  </si>
  <si>
    <t>Transportation Sector Fuel Used[HDVs,passenger,gasoline vehicle,LPG propane or butane tf]</t>
  </si>
  <si>
    <t>Transportation Sector Fuel Used[HDVs,passenger,gasoline vehicle,hydrogen tf]</t>
  </si>
  <si>
    <t>Transportation Sector Fuel Used[HDVs,passenger,diesel vehicle,electricity tf]</t>
  </si>
  <si>
    <t>Transportation Sector Fuel Used[HDVs,passenger,diesel vehicle,natural gas tf]</t>
  </si>
  <si>
    <t>Transportation Sector Fuel Used[HDVs,passenger,diesel vehicle,petroleum gasoline tf]</t>
  </si>
  <si>
    <t>Transportation Sector Fuel Used[HDVs,passenger,diesel vehicle,petroleum diesel tf]</t>
  </si>
  <si>
    <t>Transportation Sector Fuel Used[HDVs,passenger,diesel vehicle,biofuel gasoline tf]</t>
  </si>
  <si>
    <t>Transportation Sector Fuel Used[HDVs,passenger,diesel vehicle,biofuel diesel tf]</t>
  </si>
  <si>
    <t>Transportation Sector Fuel Used[HDVs,passenger,diesel vehicle,jet fuel tf]</t>
  </si>
  <si>
    <t>Transportation Sector Fuel Used[HDVs,passenger,diesel vehicle,heavy or residual fuel oil tf]</t>
  </si>
  <si>
    <t>Transportation Sector Fuel Used[HDVs,passenger,diesel vehicle,LPG propane or butane tf]</t>
  </si>
  <si>
    <t>Transportation Sector Fuel Used[HDVs,passenger,diesel vehicle,hydrogen tf]</t>
  </si>
  <si>
    <t>Transportation Sector Fuel Used[HDVs,passenger,plugin hybrid vehicle,electricity tf]</t>
  </si>
  <si>
    <t>Transportation Sector Fuel Used[HDVs,passenger,plugin hybrid vehicle,natural gas tf]</t>
  </si>
  <si>
    <t>Transportation Sector Fuel Used[HDVs,passenger,plugin hybrid vehicle,petroleum gasoline tf]</t>
  </si>
  <si>
    <t>Transportation Sector Fuel Used[HDVs,passenger,plugin hybrid vehicle,petroleum diesel tf]</t>
  </si>
  <si>
    <t>Transportation Sector Fuel Used[HDVs,passenger,plugin hybrid vehicle,biofuel gasoline tf]</t>
  </si>
  <si>
    <t>Transportation Sector Fuel Used[HDVs,passenger,plugin hybrid vehicle,biofuel diesel tf]</t>
  </si>
  <si>
    <t>Transportation Sector Fuel Used[HDVs,passenger,plugin hybrid vehicle,jet fuel tf]</t>
  </si>
  <si>
    <t>Transportation Sector Fuel Used[HDVs,passenger,plugin hybrid vehicle,heavy or residual fuel oil tf]</t>
  </si>
  <si>
    <t>Transportation Sector Fuel Used[HDVs,passenger,plugin hybrid vehicle,LPG propane or butane tf]</t>
  </si>
  <si>
    <t>Transportation Sector Fuel Used[HDVs,passenger,plugin hybrid vehicle,hydrogen tf]</t>
  </si>
  <si>
    <t>Transportation Sector Fuel Used[HDVs,passenger,LPG vehicle,electricity tf]</t>
  </si>
  <si>
    <t>Transportation Sector Fuel Used[HDVs,passenger,LPG vehicle,natural gas tf]</t>
  </si>
  <si>
    <t>Transportation Sector Fuel Used[HDVs,passenger,LPG vehicle,petroleum gasoline tf]</t>
  </si>
  <si>
    <t>Transportation Sector Fuel Used[HDVs,passenger,LPG vehicle,petroleum diesel tf]</t>
  </si>
  <si>
    <t>Transportation Sector Fuel Used[HDVs,passenger,LPG vehicle,biofuel gasoline tf]</t>
  </si>
  <si>
    <t>Transportation Sector Fuel Used[HDVs,passenger,LPG vehicle,biofuel diesel tf]</t>
  </si>
  <si>
    <t>Transportation Sector Fuel Used[HDVs,passenger,LPG vehicle,jet fuel tf]</t>
  </si>
  <si>
    <t>Transportation Sector Fuel Used[HDVs,passenger,LPG vehicle,heavy or residual fuel oil tf]</t>
  </si>
  <si>
    <t>Transportation Sector Fuel Used[HDVs,passenger,LPG vehicle,LPG propane or butane tf]</t>
  </si>
  <si>
    <t>Transportation Sector Fuel Used[HDVs,passenger,LPG vehicle,hydrogen tf]</t>
  </si>
  <si>
    <t>Transportation Sector Fuel Used[HDVs,passenger,hydrogen vehicle,electricity tf]</t>
  </si>
  <si>
    <t>Transportation Sector Fuel Used[HDVs,passenger,hydrogen vehicle,natural gas tf]</t>
  </si>
  <si>
    <t>Transportation Sector Fuel Used[HDVs,passenger,hydrogen vehicle,petroleum gasoline tf]</t>
  </si>
  <si>
    <t>Transportation Sector Fuel Used[HDVs,passenger,hydrogen vehicle,petroleum diesel tf]</t>
  </si>
  <si>
    <t>Transportation Sector Fuel Used[HDVs,passenger,hydrogen vehicle,biofuel gasoline tf]</t>
  </si>
  <si>
    <t>Transportation Sector Fuel Used[HDVs,passenger,hydrogen vehicle,biofuel diesel tf]</t>
  </si>
  <si>
    <t>Transportation Sector Fuel Used[HDVs,passenger,hydrogen vehicle,jet fuel tf]</t>
  </si>
  <si>
    <t>Transportation Sector Fuel Used[HDVs,passenger,hydrogen vehicle,heavy or residual fuel oil tf]</t>
  </si>
  <si>
    <t>Transportation Sector Fuel Used[HDVs,passenger,hydrogen vehicle,LPG propane or butane tf]</t>
  </si>
  <si>
    <t>Transportation Sector Fuel Used[HDVs,passenger,hydrogen vehicle,hydrogen tf]</t>
  </si>
  <si>
    <t>Transportation Sector Fuel Used[HDVs,freight,battery electric vehicle,electricity tf]</t>
  </si>
  <si>
    <t>Transportation Sector Fuel Used[HDVs,freight,battery electric vehicle,natural gas tf]</t>
  </si>
  <si>
    <t>Transportation Sector Fuel Used[HDVs,freight,battery electric vehicle,petroleum gasoline tf]</t>
  </si>
  <si>
    <t>Transportation Sector Fuel Used[HDVs,freight,battery electric vehicle,petroleum diesel tf]</t>
  </si>
  <si>
    <t>Transportation Sector Fuel Used[HDVs,freight,battery electric vehicle,biofuel gasoline tf]</t>
  </si>
  <si>
    <t>Transportation Sector Fuel Used[HDVs,freight,battery electric vehicle,biofuel diesel tf]</t>
  </si>
  <si>
    <t>Transportation Sector Fuel Used[HDVs,freight,battery electric vehicle,jet fuel tf]</t>
  </si>
  <si>
    <t>Transportation Sector Fuel Used[HDVs,freight,battery electric vehicle,heavy or residual fuel oil tf]</t>
  </si>
  <si>
    <t>Transportation Sector Fuel Used[HDVs,freight,battery electric vehicle,LPG propane or butane tf]</t>
  </si>
  <si>
    <t>Transportation Sector Fuel Used[HDVs,freight,battery electric vehicle,hydrogen tf]</t>
  </si>
  <si>
    <t>Transportation Sector Fuel Used[HDVs,freight,natural gas vehicle,electricity tf]</t>
  </si>
  <si>
    <t>Transportation Sector Fuel Used[HDVs,freight,natural gas vehicle,natural gas tf]</t>
  </si>
  <si>
    <t>Transportation Sector Fuel Used[HDVs,freight,natural gas vehicle,petroleum gasoline tf]</t>
  </si>
  <si>
    <t>Transportation Sector Fuel Used[HDVs,freight,natural gas vehicle,petroleum diesel tf]</t>
  </si>
  <si>
    <t>Transportation Sector Fuel Used[HDVs,freight,natural gas vehicle,biofuel gasoline tf]</t>
  </si>
  <si>
    <t>Transportation Sector Fuel Used[HDVs,freight,natural gas vehicle,biofuel diesel tf]</t>
  </si>
  <si>
    <t>Transportation Sector Fuel Used[HDVs,freight,natural gas vehicle,jet fuel tf]</t>
  </si>
  <si>
    <t>Transportation Sector Fuel Used[HDVs,freight,natural gas vehicle,heavy or residual fuel oil tf]</t>
  </si>
  <si>
    <t>Transportation Sector Fuel Used[HDVs,freight,natural gas vehicle,LPG propane or butane tf]</t>
  </si>
  <si>
    <t>Transportation Sector Fuel Used[HDVs,freight,natural gas vehicle,hydrogen tf]</t>
  </si>
  <si>
    <t>Transportation Sector Fuel Used[HDVs,freight,gasoline vehicle,electricity tf]</t>
  </si>
  <si>
    <t>Transportation Sector Fuel Used[HDVs,freight,gasoline vehicle,natural gas tf]</t>
  </si>
  <si>
    <t>Transportation Sector Fuel Used[HDVs,freight,gasoline vehicle,petroleum gasoline tf]</t>
  </si>
  <si>
    <t>Transportation Sector Fuel Used[HDVs,freight,gasoline vehicle,petroleum diesel tf]</t>
  </si>
  <si>
    <t>Transportation Sector Fuel Used[HDVs,freight,gasoline vehicle,biofuel gasoline tf]</t>
  </si>
  <si>
    <t>Transportation Sector Fuel Used[HDVs,freight,gasoline vehicle,biofuel diesel tf]</t>
  </si>
  <si>
    <t>Transportation Sector Fuel Used[HDVs,freight,gasoline vehicle,jet fuel tf]</t>
  </si>
  <si>
    <t>Transportation Sector Fuel Used[HDVs,freight,gasoline vehicle,heavy or residual fuel oil tf]</t>
  </si>
  <si>
    <t>Transportation Sector Fuel Used[HDVs,freight,gasoline vehicle,LPG propane or butane tf]</t>
  </si>
  <si>
    <t>Transportation Sector Fuel Used[HDVs,freight,gasoline vehicle,hydrogen tf]</t>
  </si>
  <si>
    <t>Transportation Sector Fuel Used[HDVs,freight,diesel vehicle,electricity tf]</t>
  </si>
  <si>
    <t>Transportation Sector Fuel Used[HDVs,freight,diesel vehicle,natural gas tf]</t>
  </si>
  <si>
    <t>Transportation Sector Fuel Used[HDVs,freight,diesel vehicle,petroleum gasoline tf]</t>
  </si>
  <si>
    <t>Transportation Sector Fuel Used[HDVs,freight,diesel vehicle,petroleum diesel tf]</t>
  </si>
  <si>
    <t>Transportation Sector Fuel Used[HDVs,freight,diesel vehicle,biofuel gasoline tf]</t>
  </si>
  <si>
    <t>Transportation Sector Fuel Used[HDVs,freight,diesel vehicle,biofuel diesel tf]</t>
  </si>
  <si>
    <t>Transportation Sector Fuel Used[HDVs,freight,diesel vehicle,jet fuel tf]</t>
  </si>
  <si>
    <t>Transportation Sector Fuel Used[HDVs,freight,diesel vehicle,heavy or residual fuel oil tf]</t>
  </si>
  <si>
    <t>Transportation Sector Fuel Used[HDVs,freight,diesel vehicle,LPG propane or butane tf]</t>
  </si>
  <si>
    <t>Transportation Sector Fuel Used[HDVs,freight,diesel vehicle,hydrogen tf]</t>
  </si>
  <si>
    <t>Transportation Sector Fuel Used[HDVs,freight,plugin hybrid vehicle,electricity tf]</t>
  </si>
  <si>
    <t>Transportation Sector Fuel Used[HDVs,freight,plugin hybrid vehicle,natural gas tf]</t>
  </si>
  <si>
    <t>Transportation Sector Fuel Used[HDVs,freight,plugin hybrid vehicle,petroleum gasoline tf]</t>
  </si>
  <si>
    <t>Transportation Sector Fuel Used[HDVs,freight,plugin hybrid vehicle,petroleum diesel tf]</t>
  </si>
  <si>
    <t>Transportation Sector Fuel Used[HDVs,freight,plugin hybrid vehicle,biofuel gasoline tf]</t>
  </si>
  <si>
    <t>Transportation Sector Fuel Used[HDVs,freight,plugin hybrid vehicle,biofuel diesel tf]</t>
  </si>
  <si>
    <t>Transportation Sector Fuel Used[HDVs,freight,plugin hybrid vehicle,jet fuel tf]</t>
  </si>
  <si>
    <t>Transportation Sector Fuel Used[HDVs,freight,plugin hybrid vehicle,heavy or residual fuel oil tf]</t>
  </si>
  <si>
    <t>Transportation Sector Fuel Used[HDVs,freight,plugin hybrid vehicle,LPG propane or butane tf]</t>
  </si>
  <si>
    <t>Transportation Sector Fuel Used[HDVs,freight,plugin hybrid vehicle,hydrogen tf]</t>
  </si>
  <si>
    <t>Transportation Sector Fuel Used[HDVs,freight,LPG vehicle,electricity tf]</t>
  </si>
  <si>
    <t>Transportation Sector Fuel Used[HDVs,freight,LPG vehicle,natural gas tf]</t>
  </si>
  <si>
    <t>Transportation Sector Fuel Used[HDVs,freight,LPG vehicle,petroleum gasoline tf]</t>
  </si>
  <si>
    <t>Transportation Sector Fuel Used[HDVs,freight,LPG vehicle,petroleum diesel tf]</t>
  </si>
  <si>
    <t>Transportation Sector Fuel Used[HDVs,freight,LPG vehicle,biofuel gasoline tf]</t>
  </si>
  <si>
    <t>Transportation Sector Fuel Used[HDVs,freight,LPG vehicle,biofuel diesel tf]</t>
  </si>
  <si>
    <t>Transportation Sector Fuel Used[HDVs,freight,LPG vehicle,jet fuel tf]</t>
  </si>
  <si>
    <t>Transportation Sector Fuel Used[HDVs,freight,LPG vehicle,heavy or residual fuel oil tf]</t>
  </si>
  <si>
    <t>Transportation Sector Fuel Used[HDVs,freight,LPG vehicle,LPG propane or butane tf]</t>
  </si>
  <si>
    <t>Transportation Sector Fuel Used[HDVs,freight,LPG vehicle,hydrogen tf]</t>
  </si>
  <si>
    <t>Transportation Sector Fuel Used[HDVs,freight,hydrogen vehicle,electricity tf]</t>
  </si>
  <si>
    <t>Transportation Sector Fuel Used[HDVs,freight,hydrogen vehicle,natural gas tf]</t>
  </si>
  <si>
    <t>Transportation Sector Fuel Used[HDVs,freight,hydrogen vehicle,petroleum gasoline tf]</t>
  </si>
  <si>
    <t>Transportation Sector Fuel Used[HDVs,freight,hydrogen vehicle,petroleum diesel tf]</t>
  </si>
  <si>
    <t>Transportation Sector Fuel Used[HDVs,freight,hydrogen vehicle,biofuel gasoline tf]</t>
  </si>
  <si>
    <t>Transportation Sector Fuel Used[HDVs,freight,hydrogen vehicle,biofuel diesel tf]</t>
  </si>
  <si>
    <t>Transportation Sector Fuel Used[HDVs,freight,hydrogen vehicle,jet fuel tf]</t>
  </si>
  <si>
    <t>Transportation Sector Fuel Used[HDVs,freight,hydrogen vehicle,heavy or residual fuel oil tf]</t>
  </si>
  <si>
    <t>Transportation Sector Fuel Used[HDVs,freight,hydrogen vehicle,LPG propane or butane tf]</t>
  </si>
  <si>
    <t>Transportation Sector Fuel Used[HDVs,freight,hydrogen vehicle,hydrogen tf]</t>
  </si>
  <si>
    <t>Transportation Sector Fuel Used[aircraft,passenger,battery electric vehicle,electricity tf]</t>
  </si>
  <si>
    <t>Transportation Sector Fuel Used[aircraft,passenger,battery electric vehicle,natural gas tf]</t>
  </si>
  <si>
    <t>Transportation Sector Fuel Used[aircraft,passenger,battery electric vehicle,petroleum gasoline tf]</t>
  </si>
  <si>
    <t>Transportation Sector Fuel Used[aircraft,passenger,battery electric vehicle,petroleum diesel tf]</t>
  </si>
  <si>
    <t>Transportation Sector Fuel Used[aircraft,passenger,battery electric vehicle,biofuel gasoline tf]</t>
  </si>
  <si>
    <t>Transportation Sector Fuel Used[aircraft,passenger,battery electric vehicle,biofuel diesel tf]</t>
  </si>
  <si>
    <t>Transportation Sector Fuel Used[aircraft,passenger,battery electric vehicle,jet fuel tf]</t>
  </si>
  <si>
    <t>Transportation Sector Fuel Used[aircraft,passenger,battery electric vehicle,heavy or residual fuel oil tf]</t>
  </si>
  <si>
    <t>Transportation Sector Fuel Used[aircraft,passenger,battery electric vehicle,LPG propane or butane tf]</t>
  </si>
  <si>
    <t>Transportation Sector Fuel Used[aircraft,passenger,battery electric vehicle,hydrogen tf]</t>
  </si>
  <si>
    <t>Transportation Sector Fuel Used[aircraft,passenger,natural gas vehicle,electricity tf]</t>
  </si>
  <si>
    <t>Transportation Sector Fuel Used[aircraft,passenger,natural gas vehicle,natural gas tf]</t>
  </si>
  <si>
    <t>Transportation Sector Fuel Used[aircraft,passenger,natural gas vehicle,petroleum gasoline tf]</t>
  </si>
  <si>
    <t>Transportation Sector Fuel Used[aircraft,passenger,natural gas vehicle,petroleum diesel tf]</t>
  </si>
  <si>
    <t>Transportation Sector Fuel Used[aircraft,passenger,natural gas vehicle,biofuel gasoline tf]</t>
  </si>
  <si>
    <t>Transportation Sector Fuel Used[aircraft,passenger,natural gas vehicle,biofuel diesel tf]</t>
  </si>
  <si>
    <t>Transportation Sector Fuel Used[aircraft,passenger,natural gas vehicle,jet fuel tf]</t>
  </si>
  <si>
    <t>Transportation Sector Fuel Used[aircraft,passenger,natural gas vehicle,heavy or residual fuel oil tf]</t>
  </si>
  <si>
    <t>Transportation Sector Fuel Used[aircraft,passenger,natural gas vehicle,LPG propane or butane tf]</t>
  </si>
  <si>
    <t>Transportation Sector Fuel Used[aircraft,passenger,natural gas vehicle,hydrogen tf]</t>
  </si>
  <si>
    <t>Transportation Sector Fuel Used[aircraft,passenger,gasoline vehicle,electricity tf]</t>
  </si>
  <si>
    <t>Transportation Sector Fuel Used[aircraft,passenger,gasoline vehicle,natural gas tf]</t>
  </si>
  <si>
    <t>Transportation Sector Fuel Used[aircraft,passenger,gasoline vehicle,petroleum gasoline tf]</t>
  </si>
  <si>
    <t>Transportation Sector Fuel Used[aircraft,passenger,gasoline vehicle,petroleum diesel tf]</t>
  </si>
  <si>
    <t>Transportation Sector Fuel Used[aircraft,passenger,gasoline vehicle,biofuel gasoline tf]</t>
  </si>
  <si>
    <t>Transportation Sector Fuel Used[aircraft,passenger,gasoline vehicle,biofuel diesel tf]</t>
  </si>
  <si>
    <t>Transportation Sector Fuel Used[aircraft,passenger,gasoline vehicle,jet fuel tf]</t>
  </si>
  <si>
    <t>Transportation Sector Fuel Used[aircraft,passenger,gasoline vehicle,heavy or residual fuel oil tf]</t>
  </si>
  <si>
    <t>Transportation Sector Fuel Used[aircraft,passenger,gasoline vehicle,LPG propane or butane tf]</t>
  </si>
  <si>
    <t>Transportation Sector Fuel Used[aircraft,passenger,gasoline vehicle,hydrogen tf]</t>
  </si>
  <si>
    <t>Transportation Sector Fuel Used[aircraft,passenger,diesel vehicle,electricity tf]</t>
  </si>
  <si>
    <t>Transportation Sector Fuel Used[aircraft,passenger,diesel vehicle,natural gas tf]</t>
  </si>
  <si>
    <t>Transportation Sector Fuel Used[aircraft,passenger,diesel vehicle,petroleum gasoline tf]</t>
  </si>
  <si>
    <t>Transportation Sector Fuel Used[aircraft,passenger,diesel vehicle,petroleum diesel tf]</t>
  </si>
  <si>
    <t>Transportation Sector Fuel Used[aircraft,passenger,diesel vehicle,biofuel gasoline tf]</t>
  </si>
  <si>
    <t>Transportation Sector Fuel Used[aircraft,passenger,diesel vehicle,biofuel diesel tf]</t>
  </si>
  <si>
    <t>Transportation Sector Fuel Used[aircraft,passenger,diesel vehicle,jet fuel tf]</t>
  </si>
  <si>
    <t>Transportation Sector Fuel Used[aircraft,passenger,diesel vehicle,heavy or residual fuel oil tf]</t>
  </si>
  <si>
    <t>Transportation Sector Fuel Used[aircraft,passenger,diesel vehicle,LPG propane or butane tf]</t>
  </si>
  <si>
    <t>Transportation Sector Fuel Used[aircraft,passenger,diesel vehicle,hydrogen tf]</t>
  </si>
  <si>
    <t>Transportation Sector Fuel Used[aircraft,passenger,plugin hybrid vehicle,electricity tf]</t>
  </si>
  <si>
    <t>Transportation Sector Fuel Used[aircraft,passenger,plugin hybrid vehicle,natural gas tf]</t>
  </si>
  <si>
    <t>Transportation Sector Fuel Used[aircraft,passenger,plugin hybrid vehicle,petroleum gasoline tf]</t>
  </si>
  <si>
    <t>Transportation Sector Fuel Used[aircraft,passenger,plugin hybrid vehicle,petroleum diesel tf]</t>
  </si>
  <si>
    <t>Transportation Sector Fuel Used[aircraft,passenger,plugin hybrid vehicle,biofuel gasoline tf]</t>
  </si>
  <si>
    <t>Transportation Sector Fuel Used[aircraft,passenger,plugin hybrid vehicle,biofuel diesel tf]</t>
  </si>
  <si>
    <t>Transportation Sector Fuel Used[aircraft,passenger,plugin hybrid vehicle,jet fuel tf]</t>
  </si>
  <si>
    <t>Transportation Sector Fuel Used[aircraft,passenger,plugin hybrid vehicle,heavy or residual fuel oil tf]</t>
  </si>
  <si>
    <t>Transportation Sector Fuel Used[aircraft,passenger,plugin hybrid vehicle,LPG propane or butane tf]</t>
  </si>
  <si>
    <t>Transportation Sector Fuel Used[aircraft,passenger,plugin hybrid vehicle,hydrogen tf]</t>
  </si>
  <si>
    <t>Transportation Sector Fuel Used[aircraft,passenger,LPG vehicle,electricity tf]</t>
  </si>
  <si>
    <t>Transportation Sector Fuel Used[aircraft,passenger,LPG vehicle,natural gas tf]</t>
  </si>
  <si>
    <t>Transportation Sector Fuel Used[aircraft,passenger,LPG vehicle,petroleum gasoline tf]</t>
  </si>
  <si>
    <t>Transportation Sector Fuel Used[aircraft,passenger,LPG vehicle,petroleum diesel tf]</t>
  </si>
  <si>
    <t>Transportation Sector Fuel Used[aircraft,passenger,LPG vehicle,biofuel gasoline tf]</t>
  </si>
  <si>
    <t>Transportation Sector Fuel Used[aircraft,passenger,LPG vehicle,biofuel diesel tf]</t>
  </si>
  <si>
    <t>Transportation Sector Fuel Used[aircraft,passenger,LPG vehicle,jet fuel tf]</t>
  </si>
  <si>
    <t>Transportation Sector Fuel Used[aircraft,passenger,LPG vehicle,heavy or residual fuel oil tf]</t>
  </si>
  <si>
    <t>Transportation Sector Fuel Used[aircraft,passenger,LPG vehicle,LPG propane or butane tf]</t>
  </si>
  <si>
    <t>Transportation Sector Fuel Used[aircraft,passenger,LPG vehicle,hydrogen tf]</t>
  </si>
  <si>
    <t>Transportation Sector Fuel Used[aircraft,passenger,hydrogen vehicle,electricity tf]</t>
  </si>
  <si>
    <t>Transportation Sector Fuel Used[aircraft,passenger,hydrogen vehicle,natural gas tf]</t>
  </si>
  <si>
    <t>Transportation Sector Fuel Used[aircraft,passenger,hydrogen vehicle,petroleum gasoline tf]</t>
  </si>
  <si>
    <t>Transportation Sector Fuel Used[aircraft,passenger,hydrogen vehicle,petroleum diesel tf]</t>
  </si>
  <si>
    <t>Transportation Sector Fuel Used[aircraft,passenger,hydrogen vehicle,biofuel gasoline tf]</t>
  </si>
  <si>
    <t>Transportation Sector Fuel Used[aircraft,passenger,hydrogen vehicle,biofuel diesel tf]</t>
  </si>
  <si>
    <t>Transportation Sector Fuel Used[aircraft,passenger,hydrogen vehicle,jet fuel tf]</t>
  </si>
  <si>
    <t>Transportation Sector Fuel Used[aircraft,passenger,hydrogen vehicle,heavy or residual fuel oil tf]</t>
  </si>
  <si>
    <t>Transportation Sector Fuel Used[aircraft,passenger,hydrogen vehicle,LPG propane or butane tf]</t>
  </si>
  <si>
    <t>Transportation Sector Fuel Used[aircraft,passenger,hydrogen vehicle,hydrogen tf]</t>
  </si>
  <si>
    <t>Transportation Sector Fuel Used[aircraft,freight,battery electric vehicle,electricity tf]</t>
  </si>
  <si>
    <t>Transportation Sector Fuel Used[aircraft,freight,battery electric vehicle,natural gas tf]</t>
  </si>
  <si>
    <t>Transportation Sector Fuel Used[aircraft,freight,battery electric vehicle,petroleum gasoline tf]</t>
  </si>
  <si>
    <t>Transportation Sector Fuel Used[aircraft,freight,battery electric vehicle,petroleum diesel tf]</t>
  </si>
  <si>
    <t>Transportation Sector Fuel Used[aircraft,freight,battery electric vehicle,biofuel gasoline tf]</t>
  </si>
  <si>
    <t>Transportation Sector Fuel Used[aircraft,freight,battery electric vehicle,biofuel diesel tf]</t>
  </si>
  <si>
    <t>Transportation Sector Fuel Used[aircraft,freight,battery electric vehicle,jet fuel tf]</t>
  </si>
  <si>
    <t>Transportation Sector Fuel Used[aircraft,freight,battery electric vehicle,heavy or residual fuel oil tf]</t>
  </si>
  <si>
    <t>Transportation Sector Fuel Used[aircraft,freight,battery electric vehicle,LPG propane or butane tf]</t>
  </si>
  <si>
    <t>Transportation Sector Fuel Used[aircraft,freight,battery electric vehicle,hydrogen tf]</t>
  </si>
  <si>
    <t>Transportation Sector Fuel Used[aircraft,freight,natural gas vehicle,electricity tf]</t>
  </si>
  <si>
    <t>Transportation Sector Fuel Used[aircraft,freight,natural gas vehicle,natural gas tf]</t>
  </si>
  <si>
    <t>Transportation Sector Fuel Used[aircraft,freight,natural gas vehicle,petroleum gasoline tf]</t>
  </si>
  <si>
    <t>Transportation Sector Fuel Used[aircraft,freight,natural gas vehicle,petroleum diesel tf]</t>
  </si>
  <si>
    <t>Transportation Sector Fuel Used[aircraft,freight,natural gas vehicle,biofuel gasoline tf]</t>
  </si>
  <si>
    <t>Transportation Sector Fuel Used[aircraft,freight,natural gas vehicle,biofuel diesel tf]</t>
  </si>
  <si>
    <t>Transportation Sector Fuel Used[aircraft,freight,natural gas vehicle,jet fuel tf]</t>
  </si>
  <si>
    <t>Transportation Sector Fuel Used[aircraft,freight,natural gas vehicle,heavy or residual fuel oil tf]</t>
  </si>
  <si>
    <t>Transportation Sector Fuel Used[aircraft,freight,natural gas vehicle,LPG propane or butane tf]</t>
  </si>
  <si>
    <t>Transportation Sector Fuel Used[aircraft,freight,natural gas vehicle,hydrogen tf]</t>
  </si>
  <si>
    <t>Transportation Sector Fuel Used[aircraft,freight,gasoline vehicle,electricity tf]</t>
  </si>
  <si>
    <t>Transportation Sector Fuel Used[aircraft,freight,gasoline vehicle,natural gas tf]</t>
  </si>
  <si>
    <t>Transportation Sector Fuel Used[aircraft,freight,gasoline vehicle,petroleum gasoline tf]</t>
  </si>
  <si>
    <t>Transportation Sector Fuel Used[aircraft,freight,gasoline vehicle,petroleum diesel tf]</t>
  </si>
  <si>
    <t>Transportation Sector Fuel Used[aircraft,freight,gasoline vehicle,biofuel gasoline tf]</t>
  </si>
  <si>
    <t>Transportation Sector Fuel Used[aircraft,freight,gasoline vehicle,biofuel diesel tf]</t>
  </si>
  <si>
    <t>Transportation Sector Fuel Used[aircraft,freight,gasoline vehicle,jet fuel tf]</t>
  </si>
  <si>
    <t>Transportation Sector Fuel Used[aircraft,freight,gasoline vehicle,heavy or residual fuel oil tf]</t>
  </si>
  <si>
    <t>Transportation Sector Fuel Used[aircraft,freight,gasoline vehicle,LPG propane or butane tf]</t>
  </si>
  <si>
    <t>Transportation Sector Fuel Used[aircraft,freight,gasoline vehicle,hydrogen tf]</t>
  </si>
  <si>
    <t>Transportation Sector Fuel Used[aircraft,freight,diesel vehicle,electricity tf]</t>
  </si>
  <si>
    <t>Transportation Sector Fuel Used[aircraft,freight,diesel vehicle,natural gas tf]</t>
  </si>
  <si>
    <t>Transportation Sector Fuel Used[aircraft,freight,diesel vehicle,petroleum gasoline tf]</t>
  </si>
  <si>
    <t>Transportation Sector Fuel Used[aircraft,freight,diesel vehicle,petroleum diesel tf]</t>
  </si>
  <si>
    <t>Transportation Sector Fuel Used[aircraft,freight,diesel vehicle,biofuel gasoline tf]</t>
  </si>
  <si>
    <t>Transportation Sector Fuel Used[aircraft,freight,diesel vehicle,biofuel diesel tf]</t>
  </si>
  <si>
    <t>Transportation Sector Fuel Used[aircraft,freight,diesel vehicle,jet fuel tf]</t>
  </si>
  <si>
    <t>Transportation Sector Fuel Used[aircraft,freight,diesel vehicle,heavy or residual fuel oil tf]</t>
  </si>
  <si>
    <t>Transportation Sector Fuel Used[aircraft,freight,diesel vehicle,LPG propane or butane tf]</t>
  </si>
  <si>
    <t>Transportation Sector Fuel Used[aircraft,freight,diesel vehicle,hydrogen tf]</t>
  </si>
  <si>
    <t>Transportation Sector Fuel Used[aircraft,freight,plugin hybrid vehicle,electricity tf]</t>
  </si>
  <si>
    <t>Transportation Sector Fuel Used[aircraft,freight,plugin hybrid vehicle,natural gas tf]</t>
  </si>
  <si>
    <t>Transportation Sector Fuel Used[aircraft,freight,plugin hybrid vehicle,petroleum gasoline tf]</t>
  </si>
  <si>
    <t>Transportation Sector Fuel Used[aircraft,freight,plugin hybrid vehicle,petroleum diesel tf]</t>
  </si>
  <si>
    <t>Transportation Sector Fuel Used[aircraft,freight,plugin hybrid vehicle,biofuel gasoline tf]</t>
  </si>
  <si>
    <t>Transportation Sector Fuel Used[aircraft,freight,plugin hybrid vehicle,biofuel diesel tf]</t>
  </si>
  <si>
    <t>Transportation Sector Fuel Used[aircraft,freight,plugin hybrid vehicle,jet fuel tf]</t>
  </si>
  <si>
    <t>Transportation Sector Fuel Used[aircraft,freight,plugin hybrid vehicle,heavy or residual fuel oil tf]</t>
  </si>
  <si>
    <t>Transportation Sector Fuel Used[aircraft,freight,plugin hybrid vehicle,LPG propane or butane tf]</t>
  </si>
  <si>
    <t>Transportation Sector Fuel Used[aircraft,freight,plugin hybrid vehicle,hydrogen tf]</t>
  </si>
  <si>
    <t>Transportation Sector Fuel Used[aircraft,freight,LPG vehicle,electricity tf]</t>
  </si>
  <si>
    <t>Transportation Sector Fuel Used[aircraft,freight,LPG vehicle,natural gas tf]</t>
  </si>
  <si>
    <t>Transportation Sector Fuel Used[aircraft,freight,LPG vehicle,petroleum gasoline tf]</t>
  </si>
  <si>
    <t>Transportation Sector Fuel Used[aircraft,freight,LPG vehicle,petroleum diesel tf]</t>
  </si>
  <si>
    <t>Transportation Sector Fuel Used[aircraft,freight,LPG vehicle,biofuel gasoline tf]</t>
  </si>
  <si>
    <t>Transportation Sector Fuel Used[aircraft,freight,LPG vehicle,biofuel diesel tf]</t>
  </si>
  <si>
    <t>Transportation Sector Fuel Used[aircraft,freight,LPG vehicle,jet fuel tf]</t>
  </si>
  <si>
    <t>Transportation Sector Fuel Used[aircraft,freight,LPG vehicle,heavy or residual fuel oil tf]</t>
  </si>
  <si>
    <t>Transportation Sector Fuel Used[aircraft,freight,LPG vehicle,LPG propane or butane tf]</t>
  </si>
  <si>
    <t>Transportation Sector Fuel Used[aircraft,freight,LPG vehicle,hydrogen tf]</t>
  </si>
  <si>
    <t>Transportation Sector Fuel Used[aircraft,freight,hydrogen vehicle,electricity tf]</t>
  </si>
  <si>
    <t>Transportation Sector Fuel Used[aircraft,freight,hydrogen vehicle,natural gas tf]</t>
  </si>
  <si>
    <t>Transportation Sector Fuel Used[aircraft,freight,hydrogen vehicle,petroleum gasoline tf]</t>
  </si>
  <si>
    <t>Transportation Sector Fuel Used[aircraft,freight,hydrogen vehicle,petroleum diesel tf]</t>
  </si>
  <si>
    <t>Transportation Sector Fuel Used[aircraft,freight,hydrogen vehicle,biofuel gasoline tf]</t>
  </si>
  <si>
    <t>Transportation Sector Fuel Used[aircraft,freight,hydrogen vehicle,biofuel diesel tf]</t>
  </si>
  <si>
    <t>Transportation Sector Fuel Used[aircraft,freight,hydrogen vehicle,jet fuel tf]</t>
  </si>
  <si>
    <t>Transportation Sector Fuel Used[aircraft,freight,hydrogen vehicle,heavy or residual fuel oil tf]</t>
  </si>
  <si>
    <t>Transportation Sector Fuel Used[aircraft,freight,hydrogen vehicle,LPG propane or butane tf]</t>
  </si>
  <si>
    <t>Transportation Sector Fuel Used[aircraft,freight,hydrogen vehicle,hydrogen tf]</t>
  </si>
  <si>
    <t>Transportation Sector Fuel Used[rail,passenger,battery electric vehicle,electricity tf]</t>
  </si>
  <si>
    <t>Transportation Sector Fuel Used[rail,passenger,battery electric vehicle,natural gas tf]</t>
  </si>
  <si>
    <t>Transportation Sector Fuel Used[rail,passenger,battery electric vehicle,petroleum gasoline tf]</t>
  </si>
  <si>
    <t>Transportation Sector Fuel Used[rail,passenger,battery electric vehicle,petroleum diesel tf]</t>
  </si>
  <si>
    <t>Transportation Sector Fuel Used[rail,passenger,battery electric vehicle,biofuel gasoline tf]</t>
  </si>
  <si>
    <t>Transportation Sector Fuel Used[rail,passenger,battery electric vehicle,biofuel diesel tf]</t>
  </si>
  <si>
    <t>Transportation Sector Fuel Used[rail,passenger,battery electric vehicle,jet fuel tf]</t>
  </si>
  <si>
    <t>Transportation Sector Fuel Used[rail,passenger,battery electric vehicle,heavy or residual fuel oil tf]</t>
  </si>
  <si>
    <t>Transportation Sector Fuel Used[rail,passenger,battery electric vehicle,LPG propane or butane tf]</t>
  </si>
  <si>
    <t>Transportation Sector Fuel Used[rail,passenger,battery electric vehicle,hydrogen tf]</t>
  </si>
  <si>
    <t>Transportation Sector Fuel Used[rail,passenger,natural gas vehicle,electricity tf]</t>
  </si>
  <si>
    <t>Transportation Sector Fuel Used[rail,passenger,natural gas vehicle,natural gas tf]</t>
  </si>
  <si>
    <t>Transportation Sector Fuel Used[rail,passenger,natural gas vehicle,petroleum gasoline tf]</t>
  </si>
  <si>
    <t>Transportation Sector Fuel Used[rail,passenger,natural gas vehicle,petroleum diesel tf]</t>
  </si>
  <si>
    <t>Transportation Sector Fuel Used[rail,passenger,natural gas vehicle,biofuel gasoline tf]</t>
  </si>
  <si>
    <t>Transportation Sector Fuel Used[rail,passenger,natural gas vehicle,biofuel diesel tf]</t>
  </si>
  <si>
    <t>Transportation Sector Fuel Used[rail,passenger,natural gas vehicle,jet fuel tf]</t>
  </si>
  <si>
    <t>Transportation Sector Fuel Used[rail,passenger,natural gas vehicle,heavy or residual fuel oil tf]</t>
  </si>
  <si>
    <t>Transportation Sector Fuel Used[rail,passenger,natural gas vehicle,LPG propane or butane tf]</t>
  </si>
  <si>
    <t>Transportation Sector Fuel Used[rail,passenger,natural gas vehicle,hydrogen tf]</t>
  </si>
  <si>
    <t>Transportation Sector Fuel Used[rail,passenger,gasoline vehicle,electricity tf]</t>
  </si>
  <si>
    <t>Transportation Sector Fuel Used[rail,passenger,gasoline vehicle,natural gas tf]</t>
  </si>
  <si>
    <t>Transportation Sector Fuel Used[rail,passenger,gasoline vehicle,petroleum gasoline tf]</t>
  </si>
  <si>
    <t>Transportation Sector Fuel Used[rail,passenger,gasoline vehicle,petroleum diesel tf]</t>
  </si>
  <si>
    <t>Transportation Sector Fuel Used[rail,passenger,gasoline vehicle,biofuel gasoline tf]</t>
  </si>
  <si>
    <t>Transportation Sector Fuel Used[rail,passenger,gasoline vehicle,biofuel diesel tf]</t>
  </si>
  <si>
    <t>Transportation Sector Fuel Used[rail,passenger,gasoline vehicle,jet fuel tf]</t>
  </si>
  <si>
    <t>Transportation Sector Fuel Used[rail,passenger,gasoline vehicle,heavy or residual fuel oil tf]</t>
  </si>
  <si>
    <t>Transportation Sector Fuel Used[rail,passenger,gasoline vehicle,LPG propane or butane tf]</t>
  </si>
  <si>
    <t>Transportation Sector Fuel Used[rail,passenger,gasoline vehicle,hydrogen tf]</t>
  </si>
  <si>
    <t>Transportation Sector Fuel Used[rail,passenger,diesel vehicle,electricity tf]</t>
  </si>
  <si>
    <t>Transportation Sector Fuel Used[rail,passenger,diesel vehicle,natural gas tf]</t>
  </si>
  <si>
    <t>Transportation Sector Fuel Used[rail,passenger,diesel vehicle,petroleum gasoline tf]</t>
  </si>
  <si>
    <t>Transportation Sector Fuel Used[rail,passenger,diesel vehicle,petroleum diesel tf]</t>
  </si>
  <si>
    <t>Transportation Sector Fuel Used[rail,passenger,diesel vehicle,biofuel gasoline tf]</t>
  </si>
  <si>
    <t>Transportation Sector Fuel Used[rail,passenger,diesel vehicle,biofuel diesel tf]</t>
  </si>
  <si>
    <t>Transportation Sector Fuel Used[rail,passenger,diesel vehicle,jet fuel tf]</t>
  </si>
  <si>
    <t>Transportation Sector Fuel Used[rail,passenger,diesel vehicle,heavy or residual fuel oil tf]</t>
  </si>
  <si>
    <t>Transportation Sector Fuel Used[rail,passenger,diesel vehicle,LPG propane or butane tf]</t>
  </si>
  <si>
    <t>Transportation Sector Fuel Used[rail,passenger,diesel vehicle,hydrogen tf]</t>
  </si>
  <si>
    <t>Transportation Sector Fuel Used[rail,passenger,plugin hybrid vehicle,electricity tf]</t>
  </si>
  <si>
    <t>Transportation Sector Fuel Used[rail,passenger,plugin hybrid vehicle,natural gas tf]</t>
  </si>
  <si>
    <t>Transportation Sector Fuel Used[rail,passenger,plugin hybrid vehicle,petroleum gasoline tf]</t>
  </si>
  <si>
    <t>Transportation Sector Fuel Used[rail,passenger,plugin hybrid vehicle,petroleum diesel tf]</t>
  </si>
  <si>
    <t>Transportation Sector Fuel Used[rail,passenger,plugin hybrid vehicle,biofuel gasoline tf]</t>
  </si>
  <si>
    <t>Transportation Sector Fuel Used[rail,passenger,plugin hybrid vehicle,biofuel diesel tf]</t>
  </si>
  <si>
    <t>Transportation Sector Fuel Used[rail,passenger,plugin hybrid vehicle,jet fuel tf]</t>
  </si>
  <si>
    <t>Transportation Sector Fuel Used[rail,passenger,plugin hybrid vehicle,heavy or residual fuel oil tf]</t>
  </si>
  <si>
    <t>Transportation Sector Fuel Used[rail,passenger,plugin hybrid vehicle,LPG propane or butane tf]</t>
  </si>
  <si>
    <t>Transportation Sector Fuel Used[rail,passenger,plugin hybrid vehicle,hydrogen tf]</t>
  </si>
  <si>
    <t>Transportation Sector Fuel Used[rail,passenger,LPG vehicle,electricity tf]</t>
  </si>
  <si>
    <t>Transportation Sector Fuel Used[rail,passenger,LPG vehicle,natural gas tf]</t>
  </si>
  <si>
    <t>Transportation Sector Fuel Used[rail,passenger,LPG vehicle,petroleum gasoline tf]</t>
  </si>
  <si>
    <t>Transportation Sector Fuel Used[rail,passenger,LPG vehicle,petroleum diesel tf]</t>
  </si>
  <si>
    <t>Transportation Sector Fuel Used[rail,passenger,LPG vehicle,biofuel gasoline tf]</t>
  </si>
  <si>
    <t>Transportation Sector Fuel Used[rail,passenger,LPG vehicle,biofuel diesel tf]</t>
  </si>
  <si>
    <t>Transportation Sector Fuel Used[rail,passenger,LPG vehicle,jet fuel tf]</t>
  </si>
  <si>
    <t>Transportation Sector Fuel Used[rail,passenger,LPG vehicle,heavy or residual fuel oil tf]</t>
  </si>
  <si>
    <t>Transportation Sector Fuel Used[rail,passenger,LPG vehicle,LPG propane or butane tf]</t>
  </si>
  <si>
    <t>Transportation Sector Fuel Used[rail,passenger,LPG vehicle,hydrogen tf]</t>
  </si>
  <si>
    <t>Transportation Sector Fuel Used[rail,passenger,hydrogen vehicle,electricity tf]</t>
  </si>
  <si>
    <t>Transportation Sector Fuel Used[rail,passenger,hydrogen vehicle,natural gas tf]</t>
  </si>
  <si>
    <t>Transportation Sector Fuel Used[rail,passenger,hydrogen vehicle,petroleum gasoline tf]</t>
  </si>
  <si>
    <t>Transportation Sector Fuel Used[rail,passenger,hydrogen vehicle,petroleum diesel tf]</t>
  </si>
  <si>
    <t>Transportation Sector Fuel Used[rail,passenger,hydrogen vehicle,biofuel gasoline tf]</t>
  </si>
  <si>
    <t>Transportation Sector Fuel Used[rail,passenger,hydrogen vehicle,biofuel diesel tf]</t>
  </si>
  <si>
    <t>Transportation Sector Fuel Used[rail,passenger,hydrogen vehicle,jet fuel tf]</t>
  </si>
  <si>
    <t>Transportation Sector Fuel Used[rail,passenger,hydrogen vehicle,heavy or residual fuel oil tf]</t>
  </si>
  <si>
    <t>Transportation Sector Fuel Used[rail,passenger,hydrogen vehicle,LPG propane or butane tf]</t>
  </si>
  <si>
    <t>Transportation Sector Fuel Used[rail,passenger,hydrogen vehicle,hydrogen tf]</t>
  </si>
  <si>
    <t>Transportation Sector Fuel Used[rail,freight,battery electric vehicle,electricity tf]</t>
  </si>
  <si>
    <t>Transportation Sector Fuel Used[rail,freight,battery electric vehicle,natural gas tf]</t>
  </si>
  <si>
    <t>Transportation Sector Fuel Used[rail,freight,battery electric vehicle,petroleum gasoline tf]</t>
  </si>
  <si>
    <t>Transportation Sector Fuel Used[rail,freight,battery electric vehicle,petroleum diesel tf]</t>
  </si>
  <si>
    <t>Transportation Sector Fuel Used[rail,freight,battery electric vehicle,biofuel gasoline tf]</t>
  </si>
  <si>
    <t>Transportation Sector Fuel Used[rail,freight,battery electric vehicle,biofuel diesel tf]</t>
  </si>
  <si>
    <t>Transportation Sector Fuel Used[rail,freight,battery electric vehicle,jet fuel tf]</t>
  </si>
  <si>
    <t>Transportation Sector Fuel Used[rail,freight,battery electric vehicle,heavy or residual fuel oil tf]</t>
  </si>
  <si>
    <t>Transportation Sector Fuel Used[rail,freight,battery electric vehicle,LPG propane or butane tf]</t>
  </si>
  <si>
    <t>Transportation Sector Fuel Used[rail,freight,battery electric vehicle,hydrogen tf]</t>
  </si>
  <si>
    <t>Transportation Sector Fuel Used[rail,freight,natural gas vehicle,electricity tf]</t>
  </si>
  <si>
    <t>Transportation Sector Fuel Used[rail,freight,natural gas vehicle,natural gas tf]</t>
  </si>
  <si>
    <t>Transportation Sector Fuel Used[rail,freight,natural gas vehicle,petroleum gasoline tf]</t>
  </si>
  <si>
    <t>Transportation Sector Fuel Used[rail,freight,natural gas vehicle,petroleum diesel tf]</t>
  </si>
  <si>
    <t>Transportation Sector Fuel Used[rail,freight,natural gas vehicle,biofuel gasoline tf]</t>
  </si>
  <si>
    <t>Transportation Sector Fuel Used[rail,freight,natural gas vehicle,biofuel diesel tf]</t>
  </si>
  <si>
    <t>Transportation Sector Fuel Used[rail,freight,natural gas vehicle,jet fuel tf]</t>
  </si>
  <si>
    <t>Transportation Sector Fuel Used[rail,freight,natural gas vehicle,heavy or residual fuel oil tf]</t>
  </si>
  <si>
    <t>Transportation Sector Fuel Used[rail,freight,natural gas vehicle,LPG propane or butane tf]</t>
  </si>
  <si>
    <t>Transportation Sector Fuel Used[rail,freight,natural gas vehicle,hydrogen tf]</t>
  </si>
  <si>
    <t>Transportation Sector Fuel Used[rail,freight,gasoline vehicle,electricity tf]</t>
  </si>
  <si>
    <t>Transportation Sector Fuel Used[rail,freight,gasoline vehicle,natural gas tf]</t>
  </si>
  <si>
    <t>Transportation Sector Fuel Used[rail,freight,gasoline vehicle,petroleum gasoline tf]</t>
  </si>
  <si>
    <t>Transportation Sector Fuel Used[rail,freight,gasoline vehicle,petroleum diesel tf]</t>
  </si>
  <si>
    <t>Transportation Sector Fuel Used[rail,freight,gasoline vehicle,biofuel gasoline tf]</t>
  </si>
  <si>
    <t>Transportation Sector Fuel Used[rail,freight,gasoline vehicle,biofuel diesel tf]</t>
  </si>
  <si>
    <t>Transportation Sector Fuel Used[rail,freight,gasoline vehicle,jet fuel tf]</t>
  </si>
  <si>
    <t>Transportation Sector Fuel Used[rail,freight,gasoline vehicle,heavy or residual fuel oil tf]</t>
  </si>
  <si>
    <t>Transportation Sector Fuel Used[rail,freight,gasoline vehicle,LPG propane or butane tf]</t>
  </si>
  <si>
    <t>Transportation Sector Fuel Used[rail,freight,gasoline vehicle,hydrogen tf]</t>
  </si>
  <si>
    <t>Transportation Sector Fuel Used[rail,freight,diesel vehicle,electricity tf]</t>
  </si>
  <si>
    <t>Transportation Sector Fuel Used[rail,freight,diesel vehicle,natural gas tf]</t>
  </si>
  <si>
    <t>Transportation Sector Fuel Used[rail,freight,diesel vehicle,petroleum gasoline tf]</t>
  </si>
  <si>
    <t>Transportation Sector Fuel Used[rail,freight,diesel vehicle,petroleum diesel tf]</t>
  </si>
  <si>
    <t>Transportation Sector Fuel Used[rail,freight,diesel vehicle,biofuel gasoline tf]</t>
  </si>
  <si>
    <t>Transportation Sector Fuel Used[rail,freight,diesel vehicle,biofuel diesel tf]</t>
  </si>
  <si>
    <t>Transportation Sector Fuel Used[rail,freight,diesel vehicle,jet fuel tf]</t>
  </si>
  <si>
    <t>Transportation Sector Fuel Used[rail,freight,diesel vehicle,heavy or residual fuel oil tf]</t>
  </si>
  <si>
    <t>Transportation Sector Fuel Used[rail,freight,diesel vehicle,LPG propane or butane tf]</t>
  </si>
  <si>
    <t>Transportation Sector Fuel Used[rail,freight,diesel vehicle,hydrogen tf]</t>
  </si>
  <si>
    <t>Transportation Sector Fuel Used[rail,freight,plugin hybrid vehicle,electricity tf]</t>
  </si>
  <si>
    <t>Transportation Sector Fuel Used[rail,freight,plugin hybrid vehicle,natural gas tf]</t>
  </si>
  <si>
    <t>Transportation Sector Fuel Used[rail,freight,plugin hybrid vehicle,petroleum gasoline tf]</t>
  </si>
  <si>
    <t>Transportation Sector Fuel Used[rail,freight,plugin hybrid vehicle,petroleum diesel tf]</t>
  </si>
  <si>
    <t>Transportation Sector Fuel Used[rail,freight,plugin hybrid vehicle,biofuel gasoline tf]</t>
  </si>
  <si>
    <t>Transportation Sector Fuel Used[rail,freight,plugin hybrid vehicle,biofuel diesel tf]</t>
  </si>
  <si>
    <t>Transportation Sector Fuel Used[rail,freight,plugin hybrid vehicle,jet fuel tf]</t>
  </si>
  <si>
    <t>Transportation Sector Fuel Used[rail,freight,plugin hybrid vehicle,heavy or residual fuel oil tf]</t>
  </si>
  <si>
    <t>Transportation Sector Fuel Used[rail,freight,plugin hybrid vehicle,LPG propane or butane tf]</t>
  </si>
  <si>
    <t>Transportation Sector Fuel Used[rail,freight,plugin hybrid vehicle,hydrogen tf]</t>
  </si>
  <si>
    <t>Transportation Sector Fuel Used[rail,freight,LPG vehicle,electricity tf]</t>
  </si>
  <si>
    <t>Transportation Sector Fuel Used[rail,freight,LPG vehicle,natural gas tf]</t>
  </si>
  <si>
    <t>Transportation Sector Fuel Used[rail,freight,LPG vehicle,petroleum gasoline tf]</t>
  </si>
  <si>
    <t>Transportation Sector Fuel Used[rail,freight,LPG vehicle,petroleum diesel tf]</t>
  </si>
  <si>
    <t>Transportation Sector Fuel Used[rail,freight,LPG vehicle,biofuel gasoline tf]</t>
  </si>
  <si>
    <t>Transportation Sector Fuel Used[rail,freight,LPG vehicle,biofuel diesel tf]</t>
  </si>
  <si>
    <t>Transportation Sector Fuel Used[rail,freight,LPG vehicle,jet fuel tf]</t>
  </si>
  <si>
    <t>Transportation Sector Fuel Used[rail,freight,LPG vehicle,heavy or residual fuel oil tf]</t>
  </si>
  <si>
    <t>Transportation Sector Fuel Used[rail,freight,LPG vehicle,LPG propane or butane tf]</t>
  </si>
  <si>
    <t>Transportation Sector Fuel Used[rail,freight,LPG vehicle,hydrogen tf]</t>
  </si>
  <si>
    <t>Transportation Sector Fuel Used[rail,freight,hydrogen vehicle,electricity tf]</t>
  </si>
  <si>
    <t>Transportation Sector Fuel Used[rail,freight,hydrogen vehicle,natural gas tf]</t>
  </si>
  <si>
    <t>Transportation Sector Fuel Used[rail,freight,hydrogen vehicle,petroleum gasoline tf]</t>
  </si>
  <si>
    <t>Transportation Sector Fuel Used[rail,freight,hydrogen vehicle,petroleum diesel tf]</t>
  </si>
  <si>
    <t>Transportation Sector Fuel Used[rail,freight,hydrogen vehicle,biofuel gasoline tf]</t>
  </si>
  <si>
    <t>Transportation Sector Fuel Used[rail,freight,hydrogen vehicle,biofuel diesel tf]</t>
  </si>
  <si>
    <t>Transportation Sector Fuel Used[rail,freight,hydrogen vehicle,jet fuel tf]</t>
  </si>
  <si>
    <t>Transportation Sector Fuel Used[rail,freight,hydrogen vehicle,heavy or residual fuel oil tf]</t>
  </si>
  <si>
    <t>Transportation Sector Fuel Used[rail,freight,hydrogen vehicle,LPG propane or butane tf]</t>
  </si>
  <si>
    <t>Transportation Sector Fuel Used[rail,freight,hydrogen vehicle,hydrogen tf]</t>
  </si>
  <si>
    <t>Transportation Sector Fuel Used[ships,passenger,battery electric vehicle,electricity tf]</t>
  </si>
  <si>
    <t>Transportation Sector Fuel Used[ships,passenger,battery electric vehicle,natural gas tf]</t>
  </si>
  <si>
    <t>Transportation Sector Fuel Used[ships,passenger,battery electric vehicle,petroleum gasoline tf]</t>
  </si>
  <si>
    <t>Transportation Sector Fuel Used[ships,passenger,battery electric vehicle,petroleum diesel tf]</t>
  </si>
  <si>
    <t>Transportation Sector Fuel Used[ships,passenger,battery electric vehicle,biofuel gasoline tf]</t>
  </si>
  <si>
    <t>Transportation Sector Fuel Used[ships,passenger,battery electric vehicle,biofuel diesel tf]</t>
  </si>
  <si>
    <t>Transportation Sector Fuel Used[ships,passenger,battery electric vehicle,jet fuel tf]</t>
  </si>
  <si>
    <t>Transportation Sector Fuel Used[ships,passenger,battery electric vehicle,heavy or residual fuel oil tf]</t>
  </si>
  <si>
    <t>Transportation Sector Fuel Used[ships,passenger,battery electric vehicle,LPG propane or butane tf]</t>
  </si>
  <si>
    <t>Transportation Sector Fuel Used[ships,passenger,battery electric vehicle,hydrogen tf]</t>
  </si>
  <si>
    <t>Transportation Sector Fuel Used[ships,passenger,natural gas vehicle,electricity tf]</t>
  </si>
  <si>
    <t>Transportation Sector Fuel Used[ships,passenger,natural gas vehicle,natural gas tf]</t>
  </si>
  <si>
    <t>Transportation Sector Fuel Used[ships,passenger,natural gas vehicle,petroleum gasoline tf]</t>
  </si>
  <si>
    <t>Transportation Sector Fuel Used[ships,passenger,natural gas vehicle,petroleum diesel tf]</t>
  </si>
  <si>
    <t>Transportation Sector Fuel Used[ships,passenger,natural gas vehicle,biofuel gasoline tf]</t>
  </si>
  <si>
    <t>Transportation Sector Fuel Used[ships,passenger,natural gas vehicle,biofuel diesel tf]</t>
  </si>
  <si>
    <t>Transportation Sector Fuel Used[ships,passenger,natural gas vehicle,jet fuel tf]</t>
  </si>
  <si>
    <t>Transportation Sector Fuel Used[ships,passenger,natural gas vehicle,heavy or residual fuel oil tf]</t>
  </si>
  <si>
    <t>Transportation Sector Fuel Used[ships,passenger,natural gas vehicle,LPG propane or butane tf]</t>
  </si>
  <si>
    <t>Transportation Sector Fuel Used[ships,passenger,natural gas vehicle,hydrogen tf]</t>
  </si>
  <si>
    <t>Transportation Sector Fuel Used[ships,passenger,gasoline vehicle,electricity tf]</t>
  </si>
  <si>
    <t>Transportation Sector Fuel Used[ships,passenger,gasoline vehicle,natural gas tf]</t>
  </si>
  <si>
    <t>Transportation Sector Fuel Used[ships,passenger,gasoline vehicle,petroleum gasoline tf]</t>
  </si>
  <si>
    <t>Transportation Sector Fuel Used[ships,passenger,gasoline vehicle,petroleum diesel tf]</t>
  </si>
  <si>
    <t>Transportation Sector Fuel Used[ships,passenger,gasoline vehicle,biofuel gasoline tf]</t>
  </si>
  <si>
    <t>Transportation Sector Fuel Used[ships,passenger,gasoline vehicle,biofuel diesel tf]</t>
  </si>
  <si>
    <t>Transportation Sector Fuel Used[ships,passenger,gasoline vehicle,jet fuel tf]</t>
  </si>
  <si>
    <t>Transportation Sector Fuel Used[ships,passenger,gasoline vehicle,heavy or residual fuel oil tf]</t>
  </si>
  <si>
    <t>Transportation Sector Fuel Used[ships,passenger,gasoline vehicle,LPG propane or butane tf]</t>
  </si>
  <si>
    <t>Transportation Sector Fuel Used[ships,passenger,gasoline vehicle,hydrogen tf]</t>
  </si>
  <si>
    <t>Transportation Sector Fuel Used[ships,passenger,diesel vehicle,electricity tf]</t>
  </si>
  <si>
    <t>Transportation Sector Fuel Used[ships,passenger,diesel vehicle,natural gas tf]</t>
  </si>
  <si>
    <t>Transportation Sector Fuel Used[ships,passenger,diesel vehicle,petroleum gasoline tf]</t>
  </si>
  <si>
    <t>Transportation Sector Fuel Used[ships,passenger,diesel vehicle,petroleum diesel tf]</t>
  </si>
  <si>
    <t>Transportation Sector Fuel Used[ships,passenger,diesel vehicle,biofuel gasoline tf]</t>
  </si>
  <si>
    <t>Transportation Sector Fuel Used[ships,passenger,diesel vehicle,biofuel diesel tf]</t>
  </si>
  <si>
    <t>Transportation Sector Fuel Used[ships,passenger,diesel vehicle,jet fuel tf]</t>
  </si>
  <si>
    <t>Transportation Sector Fuel Used[ships,passenger,diesel vehicle,heavy or residual fuel oil tf]</t>
  </si>
  <si>
    <t>Transportation Sector Fuel Used[ships,passenger,diesel vehicle,LPG propane or butane tf]</t>
  </si>
  <si>
    <t>Transportation Sector Fuel Used[ships,passenger,diesel vehicle,hydrogen tf]</t>
  </si>
  <si>
    <t>Transportation Sector Fuel Used[ships,passenger,plugin hybrid vehicle,electricity tf]</t>
  </si>
  <si>
    <t>Transportation Sector Fuel Used[ships,passenger,plugin hybrid vehicle,natural gas tf]</t>
  </si>
  <si>
    <t>Transportation Sector Fuel Used[ships,passenger,plugin hybrid vehicle,petroleum gasoline tf]</t>
  </si>
  <si>
    <t>Transportation Sector Fuel Used[ships,passenger,plugin hybrid vehicle,petroleum diesel tf]</t>
  </si>
  <si>
    <t>Transportation Sector Fuel Used[ships,passenger,plugin hybrid vehicle,biofuel gasoline tf]</t>
  </si>
  <si>
    <t>Transportation Sector Fuel Used[ships,passenger,plugin hybrid vehicle,biofuel diesel tf]</t>
  </si>
  <si>
    <t>Transportation Sector Fuel Used[ships,passenger,plugin hybrid vehicle,jet fuel tf]</t>
  </si>
  <si>
    <t>Transportation Sector Fuel Used[ships,passenger,plugin hybrid vehicle,heavy or residual fuel oil tf]</t>
  </si>
  <si>
    <t>Transportation Sector Fuel Used[ships,passenger,plugin hybrid vehicle,LPG propane or butane tf]</t>
  </si>
  <si>
    <t>Transportation Sector Fuel Used[ships,passenger,plugin hybrid vehicle,hydrogen tf]</t>
  </si>
  <si>
    <t>Transportation Sector Fuel Used[ships,passenger,LPG vehicle,electricity tf]</t>
  </si>
  <si>
    <t>Transportation Sector Fuel Used[ships,passenger,LPG vehicle,natural gas tf]</t>
  </si>
  <si>
    <t>Transportation Sector Fuel Used[ships,passenger,LPG vehicle,petroleum gasoline tf]</t>
  </si>
  <si>
    <t>Transportation Sector Fuel Used[ships,passenger,LPG vehicle,petroleum diesel tf]</t>
  </si>
  <si>
    <t>Transportation Sector Fuel Used[ships,passenger,LPG vehicle,biofuel gasoline tf]</t>
  </si>
  <si>
    <t>Transportation Sector Fuel Used[ships,passenger,LPG vehicle,biofuel diesel tf]</t>
  </si>
  <si>
    <t>Transportation Sector Fuel Used[ships,passenger,LPG vehicle,jet fuel tf]</t>
  </si>
  <si>
    <t>Transportation Sector Fuel Used[ships,passenger,LPG vehicle,heavy or residual fuel oil tf]</t>
  </si>
  <si>
    <t>Transportation Sector Fuel Used[ships,passenger,LPG vehicle,LPG propane or butane tf]</t>
  </si>
  <si>
    <t>Transportation Sector Fuel Used[ships,passenger,LPG vehicle,hydrogen tf]</t>
  </si>
  <si>
    <t>Transportation Sector Fuel Used[ships,passenger,hydrogen vehicle,electricity tf]</t>
  </si>
  <si>
    <t>Transportation Sector Fuel Used[ships,passenger,hydrogen vehicle,natural gas tf]</t>
  </si>
  <si>
    <t>Transportation Sector Fuel Used[ships,passenger,hydrogen vehicle,petroleum gasoline tf]</t>
  </si>
  <si>
    <t>Transportation Sector Fuel Used[ships,passenger,hydrogen vehicle,petroleum diesel tf]</t>
  </si>
  <si>
    <t>Transportation Sector Fuel Used[ships,passenger,hydrogen vehicle,biofuel gasoline tf]</t>
  </si>
  <si>
    <t>Transportation Sector Fuel Used[ships,passenger,hydrogen vehicle,biofuel diesel tf]</t>
  </si>
  <si>
    <t>Transportation Sector Fuel Used[ships,passenger,hydrogen vehicle,jet fuel tf]</t>
  </si>
  <si>
    <t>Transportation Sector Fuel Used[ships,passenger,hydrogen vehicle,heavy or residual fuel oil tf]</t>
  </si>
  <si>
    <t>Transportation Sector Fuel Used[ships,passenger,hydrogen vehicle,LPG propane or butane tf]</t>
  </si>
  <si>
    <t>Transportation Sector Fuel Used[ships,passenger,hydrogen vehicle,hydrogen tf]</t>
  </si>
  <si>
    <t>Transportation Sector Fuel Used[ships,freight,battery electric vehicle,electricity tf]</t>
  </si>
  <si>
    <t>Transportation Sector Fuel Used[ships,freight,battery electric vehicle,natural gas tf]</t>
  </si>
  <si>
    <t>Transportation Sector Fuel Used[ships,freight,battery electric vehicle,petroleum gasoline tf]</t>
  </si>
  <si>
    <t>Transportation Sector Fuel Used[ships,freight,battery electric vehicle,petroleum diesel tf]</t>
  </si>
  <si>
    <t>Transportation Sector Fuel Used[ships,freight,battery electric vehicle,biofuel gasoline tf]</t>
  </si>
  <si>
    <t>Transportation Sector Fuel Used[ships,freight,battery electric vehicle,biofuel diesel tf]</t>
  </si>
  <si>
    <t>Transportation Sector Fuel Used[ships,freight,battery electric vehicle,jet fuel tf]</t>
  </si>
  <si>
    <t>Transportation Sector Fuel Used[ships,freight,battery electric vehicle,heavy or residual fuel oil tf]</t>
  </si>
  <si>
    <t>Transportation Sector Fuel Used[ships,freight,battery electric vehicle,LPG propane or butane tf]</t>
  </si>
  <si>
    <t>Transportation Sector Fuel Used[ships,freight,battery electric vehicle,hydrogen tf]</t>
  </si>
  <si>
    <t>Transportation Sector Fuel Used[ships,freight,natural gas vehicle,electricity tf]</t>
  </si>
  <si>
    <t>Transportation Sector Fuel Used[ships,freight,natural gas vehicle,natural gas tf]</t>
  </si>
  <si>
    <t>Transportation Sector Fuel Used[ships,freight,natural gas vehicle,petroleum gasoline tf]</t>
  </si>
  <si>
    <t>Transportation Sector Fuel Used[ships,freight,natural gas vehicle,petroleum diesel tf]</t>
  </si>
  <si>
    <t>Transportation Sector Fuel Used[ships,freight,natural gas vehicle,biofuel gasoline tf]</t>
  </si>
  <si>
    <t>Transportation Sector Fuel Used[ships,freight,natural gas vehicle,biofuel diesel tf]</t>
  </si>
  <si>
    <t>Transportation Sector Fuel Used[ships,freight,natural gas vehicle,jet fuel tf]</t>
  </si>
  <si>
    <t>Transportation Sector Fuel Used[ships,freight,natural gas vehicle,heavy or residual fuel oil tf]</t>
  </si>
  <si>
    <t>Transportation Sector Fuel Used[ships,freight,natural gas vehicle,LPG propane or butane tf]</t>
  </si>
  <si>
    <t>Transportation Sector Fuel Used[ships,freight,natural gas vehicle,hydrogen tf]</t>
  </si>
  <si>
    <t>Transportation Sector Fuel Used[ships,freight,gasoline vehicle,electricity tf]</t>
  </si>
  <si>
    <t>Transportation Sector Fuel Used[ships,freight,gasoline vehicle,natural gas tf]</t>
  </si>
  <si>
    <t>Transportation Sector Fuel Used[ships,freight,gasoline vehicle,petroleum gasoline tf]</t>
  </si>
  <si>
    <t>Transportation Sector Fuel Used[ships,freight,gasoline vehicle,petroleum diesel tf]</t>
  </si>
  <si>
    <t>Transportation Sector Fuel Used[ships,freight,gasoline vehicle,biofuel gasoline tf]</t>
  </si>
  <si>
    <t>Transportation Sector Fuel Used[ships,freight,gasoline vehicle,biofuel diesel tf]</t>
  </si>
  <si>
    <t>Transportation Sector Fuel Used[ships,freight,gasoline vehicle,jet fuel tf]</t>
  </si>
  <si>
    <t>Transportation Sector Fuel Used[ships,freight,gasoline vehicle,heavy or residual fuel oil tf]</t>
  </si>
  <si>
    <t>Transportation Sector Fuel Used[ships,freight,gasoline vehicle,LPG propane or butane tf]</t>
  </si>
  <si>
    <t>Transportation Sector Fuel Used[ships,freight,gasoline vehicle,hydrogen tf]</t>
  </si>
  <si>
    <t>Transportation Sector Fuel Used[ships,freight,diesel vehicle,electricity tf]</t>
  </si>
  <si>
    <t>Transportation Sector Fuel Used[ships,freight,diesel vehicle,natural gas tf]</t>
  </si>
  <si>
    <t>Transportation Sector Fuel Used[ships,freight,diesel vehicle,petroleum gasoline tf]</t>
  </si>
  <si>
    <t>Transportation Sector Fuel Used[ships,freight,diesel vehicle,petroleum diesel tf]</t>
  </si>
  <si>
    <t>Transportation Sector Fuel Used[ships,freight,diesel vehicle,biofuel gasoline tf]</t>
  </si>
  <si>
    <t>Transportation Sector Fuel Used[ships,freight,diesel vehicle,biofuel diesel tf]</t>
  </si>
  <si>
    <t>Transportation Sector Fuel Used[ships,freight,diesel vehicle,jet fuel tf]</t>
  </si>
  <si>
    <t>Transportation Sector Fuel Used[ships,freight,diesel vehicle,heavy or residual fuel oil tf]</t>
  </si>
  <si>
    <t>Transportation Sector Fuel Used[ships,freight,diesel vehicle,LPG propane or butane tf]</t>
  </si>
  <si>
    <t>Transportation Sector Fuel Used[ships,freight,diesel vehicle,hydrogen tf]</t>
  </si>
  <si>
    <t>Transportation Sector Fuel Used[ships,freight,plugin hybrid vehicle,electricity tf]</t>
  </si>
  <si>
    <t>Transportation Sector Fuel Used[ships,freight,plugin hybrid vehicle,natural gas tf]</t>
  </si>
  <si>
    <t>Transportation Sector Fuel Used[ships,freight,plugin hybrid vehicle,petroleum gasoline tf]</t>
  </si>
  <si>
    <t>Transportation Sector Fuel Used[ships,freight,plugin hybrid vehicle,petroleum diesel tf]</t>
  </si>
  <si>
    <t>Transportation Sector Fuel Used[ships,freight,plugin hybrid vehicle,biofuel gasoline tf]</t>
  </si>
  <si>
    <t>Transportation Sector Fuel Used[ships,freight,plugin hybrid vehicle,biofuel diesel tf]</t>
  </si>
  <si>
    <t>Transportation Sector Fuel Used[ships,freight,plugin hybrid vehicle,jet fuel tf]</t>
  </si>
  <si>
    <t>Transportation Sector Fuel Used[ships,freight,plugin hybrid vehicle,heavy or residual fuel oil tf]</t>
  </si>
  <si>
    <t>Transportation Sector Fuel Used[ships,freight,plugin hybrid vehicle,LPG propane or butane tf]</t>
  </si>
  <si>
    <t>Transportation Sector Fuel Used[ships,freight,plugin hybrid vehicle,hydrogen tf]</t>
  </si>
  <si>
    <t>Transportation Sector Fuel Used[ships,freight,LPG vehicle,electricity tf]</t>
  </si>
  <si>
    <t>Transportation Sector Fuel Used[ships,freight,LPG vehicle,natural gas tf]</t>
  </si>
  <si>
    <t>Transportation Sector Fuel Used[ships,freight,LPG vehicle,petroleum gasoline tf]</t>
  </si>
  <si>
    <t>Transportation Sector Fuel Used[ships,freight,LPG vehicle,petroleum diesel tf]</t>
  </si>
  <si>
    <t>Transportation Sector Fuel Used[ships,freight,LPG vehicle,biofuel gasoline tf]</t>
  </si>
  <si>
    <t>Transportation Sector Fuel Used[ships,freight,LPG vehicle,biofuel diesel tf]</t>
  </si>
  <si>
    <t>Transportation Sector Fuel Used[ships,freight,LPG vehicle,jet fuel tf]</t>
  </si>
  <si>
    <t>Transportation Sector Fuel Used[ships,freight,LPG vehicle,heavy or residual fuel oil tf]</t>
  </si>
  <si>
    <t>Transportation Sector Fuel Used[ships,freight,LPG vehicle,LPG propane or butane tf]</t>
  </si>
  <si>
    <t>Transportation Sector Fuel Used[ships,freight,LPG vehicle,hydrogen tf]</t>
  </si>
  <si>
    <t>Transportation Sector Fuel Used[ships,freight,hydrogen vehicle,electricity tf]</t>
  </si>
  <si>
    <t>Transportation Sector Fuel Used[ships,freight,hydrogen vehicle,natural gas tf]</t>
  </si>
  <si>
    <t>Transportation Sector Fuel Used[ships,freight,hydrogen vehicle,petroleum gasoline tf]</t>
  </si>
  <si>
    <t>Transportation Sector Fuel Used[ships,freight,hydrogen vehicle,petroleum diesel tf]</t>
  </si>
  <si>
    <t>Transportation Sector Fuel Used[ships,freight,hydrogen vehicle,biofuel gasoline tf]</t>
  </si>
  <si>
    <t>Transportation Sector Fuel Used[ships,freight,hydrogen vehicle,biofuel diesel tf]</t>
  </si>
  <si>
    <t>Transportation Sector Fuel Used[ships,freight,hydrogen vehicle,jet fuel tf]</t>
  </si>
  <si>
    <t>Transportation Sector Fuel Used[ships,freight,hydrogen vehicle,heavy or residual fuel oil tf]</t>
  </si>
  <si>
    <t>Transportation Sector Fuel Used[ships,freight,hydrogen vehicle,LPG propane or butane tf]</t>
  </si>
  <si>
    <t>Transportation Sector Fuel Used[ships,freight,hydrogen vehicle,hydrogen tf]</t>
  </si>
  <si>
    <t>Transportation Sector Fuel Used[motorbikes,passenger,battery electric vehicle,electricity tf]</t>
  </si>
  <si>
    <t>Transportation Sector Fuel Used[motorbikes,passenger,battery electric vehicle,natural gas tf]</t>
  </si>
  <si>
    <t>Transportation Sector Fuel Used[motorbikes,passenger,battery electric vehicle,petroleum gasoline tf]</t>
  </si>
  <si>
    <t>Transportation Sector Fuel Used[motorbikes,passenger,battery electric vehicle,petroleum diesel tf]</t>
  </si>
  <si>
    <t>Transportation Sector Fuel Used[motorbikes,passenger,battery electric vehicle,biofuel gasoline tf]</t>
  </si>
  <si>
    <t>Transportation Sector Fuel Used[motorbikes,passenger,battery electric vehicle,biofuel diesel tf]</t>
  </si>
  <si>
    <t>Transportation Sector Fuel Used[motorbikes,passenger,battery electric vehicle,jet fuel tf]</t>
  </si>
  <si>
    <t>Transportation Sector Fuel Used[motorbikes,passenger,battery electric vehicle,heavy or residual fuel oil tf]</t>
  </si>
  <si>
    <t>Transportation Sector Fuel Used[motorbikes,passenger,battery electric vehicle,LPG propane or butane tf]</t>
  </si>
  <si>
    <t>Transportation Sector Fuel Used[motorbikes,passenger,battery electric vehicle,hydrogen tf]</t>
  </si>
  <si>
    <t>Transportation Sector Fuel Used[motorbikes,passenger,natural gas vehicle,electricity tf]</t>
  </si>
  <si>
    <t>Transportation Sector Fuel Used[motorbikes,passenger,natural gas vehicle,natural gas tf]</t>
  </si>
  <si>
    <t>Transportation Sector Fuel Used[motorbikes,passenger,natural gas vehicle,petroleum gasoline tf]</t>
  </si>
  <si>
    <t>Transportation Sector Fuel Used[motorbikes,passenger,natural gas vehicle,petroleum diesel tf]</t>
  </si>
  <si>
    <t>Transportation Sector Fuel Used[motorbikes,passenger,natural gas vehicle,biofuel gasoline tf]</t>
  </si>
  <si>
    <t>Transportation Sector Fuel Used[motorbikes,passenger,natural gas vehicle,biofuel diesel tf]</t>
  </si>
  <si>
    <t>Transportation Sector Fuel Used[motorbikes,passenger,natural gas vehicle,jet fuel tf]</t>
  </si>
  <si>
    <t>Transportation Sector Fuel Used[motorbikes,passenger,natural gas vehicle,heavy or residual fuel oil tf]</t>
  </si>
  <si>
    <t>Transportation Sector Fuel Used[motorbikes,passenger,natural gas vehicle,LPG propane or butane tf]</t>
  </si>
  <si>
    <t>Transportation Sector Fuel Used[motorbikes,passenger,natural gas vehicle,hydrogen tf]</t>
  </si>
  <si>
    <t>Transportation Sector Fuel Used[motorbikes,passenger,gasoline vehicle,electricity tf]</t>
  </si>
  <si>
    <t>Transportation Sector Fuel Used[motorbikes,passenger,gasoline vehicle,natural gas tf]</t>
  </si>
  <si>
    <t>Transportation Sector Fuel Used[motorbikes,passenger,gasoline vehicle,petroleum gasoline tf]</t>
  </si>
  <si>
    <t>Transportation Sector Fuel Used[motorbikes,passenger,gasoline vehicle,petroleum diesel tf]</t>
  </si>
  <si>
    <t>Transportation Sector Fuel Used[motorbikes,passenger,gasoline vehicle,biofuel gasoline tf]</t>
  </si>
  <si>
    <t>Transportation Sector Fuel Used[motorbikes,passenger,gasoline vehicle,biofuel diesel tf]</t>
  </si>
  <si>
    <t>Transportation Sector Fuel Used[motorbikes,passenger,gasoline vehicle,jet fuel tf]</t>
  </si>
  <si>
    <t>Transportation Sector Fuel Used[motorbikes,passenger,gasoline vehicle,heavy or residual fuel oil tf]</t>
  </si>
  <si>
    <t>Transportation Sector Fuel Used[motorbikes,passenger,gasoline vehicle,LPG propane or butane tf]</t>
  </si>
  <si>
    <t>Transportation Sector Fuel Used[motorbikes,passenger,gasoline vehicle,hydrogen tf]</t>
  </si>
  <si>
    <t>Transportation Sector Fuel Used[motorbikes,passenger,diesel vehicle,electricity tf]</t>
  </si>
  <si>
    <t>Transportation Sector Fuel Used[motorbikes,passenger,diesel vehicle,natural gas tf]</t>
  </si>
  <si>
    <t>Transportation Sector Fuel Used[motorbikes,passenger,diesel vehicle,petroleum gasoline tf]</t>
  </si>
  <si>
    <t>Transportation Sector Fuel Used[motorbikes,passenger,diesel vehicle,petroleum diesel tf]</t>
  </si>
  <si>
    <t>Transportation Sector Fuel Used[motorbikes,passenger,diesel vehicle,biofuel gasoline tf]</t>
  </si>
  <si>
    <t>Transportation Sector Fuel Used[motorbikes,passenger,diesel vehicle,biofuel diesel tf]</t>
  </si>
  <si>
    <t>Transportation Sector Fuel Used[motorbikes,passenger,diesel vehicle,jet fuel tf]</t>
  </si>
  <si>
    <t>Transportation Sector Fuel Used[motorbikes,passenger,diesel vehicle,heavy or residual fuel oil tf]</t>
  </si>
  <si>
    <t>Transportation Sector Fuel Used[motorbikes,passenger,diesel vehicle,LPG propane or butane tf]</t>
  </si>
  <si>
    <t>Transportation Sector Fuel Used[motorbikes,passenger,diesel vehicle,hydrogen tf]</t>
  </si>
  <si>
    <t>Transportation Sector Fuel Used[motorbikes,passenger,plugin hybrid vehicle,electricity tf]</t>
  </si>
  <si>
    <t>Transportation Sector Fuel Used[motorbikes,passenger,plugin hybrid vehicle,natural gas tf]</t>
  </si>
  <si>
    <t>Transportation Sector Fuel Used[motorbikes,passenger,plugin hybrid vehicle,petroleum gasoline tf]</t>
  </si>
  <si>
    <t>Transportation Sector Fuel Used[motorbikes,passenger,plugin hybrid vehicle,petroleum diesel tf]</t>
  </si>
  <si>
    <t>Transportation Sector Fuel Used[motorbikes,passenger,plugin hybrid vehicle,biofuel gasoline tf]</t>
  </si>
  <si>
    <t>Transportation Sector Fuel Used[motorbikes,passenger,plugin hybrid vehicle,biofuel diesel tf]</t>
  </si>
  <si>
    <t>Transportation Sector Fuel Used[motorbikes,passenger,plugin hybrid vehicle,jet fuel tf]</t>
  </si>
  <si>
    <t>Transportation Sector Fuel Used[motorbikes,passenger,plugin hybrid vehicle,heavy or residual fuel oil tf]</t>
  </si>
  <si>
    <t>Transportation Sector Fuel Used[motorbikes,passenger,plugin hybrid vehicle,LPG propane or butane tf]</t>
  </si>
  <si>
    <t>Transportation Sector Fuel Used[motorbikes,passenger,plugin hybrid vehicle,hydrogen tf]</t>
  </si>
  <si>
    <t>Transportation Sector Fuel Used[motorbikes,passenger,LPG vehicle,electricity tf]</t>
  </si>
  <si>
    <t>Transportation Sector Fuel Used[motorbikes,passenger,LPG vehicle,natural gas tf]</t>
  </si>
  <si>
    <t>Transportation Sector Fuel Used[motorbikes,passenger,LPG vehicle,petroleum gasoline tf]</t>
  </si>
  <si>
    <t>Transportation Sector Fuel Used[motorbikes,passenger,LPG vehicle,petroleum diesel tf]</t>
  </si>
  <si>
    <t>Transportation Sector Fuel Used[motorbikes,passenger,LPG vehicle,biofuel gasoline tf]</t>
  </si>
  <si>
    <t>Transportation Sector Fuel Used[motorbikes,passenger,LPG vehicle,biofuel diesel tf]</t>
  </si>
  <si>
    <t>Transportation Sector Fuel Used[motorbikes,passenger,LPG vehicle,jet fuel tf]</t>
  </si>
  <si>
    <t>Transportation Sector Fuel Used[motorbikes,passenger,LPG vehicle,heavy or residual fuel oil tf]</t>
  </si>
  <si>
    <t>Transportation Sector Fuel Used[motorbikes,passenger,LPG vehicle,LPG propane or butane tf]</t>
  </si>
  <si>
    <t>Transportation Sector Fuel Used[motorbikes,passenger,LPG vehicle,hydrogen tf]</t>
  </si>
  <si>
    <t>Transportation Sector Fuel Used[motorbikes,passenger,hydrogen vehicle,electricity tf]</t>
  </si>
  <si>
    <t>Transportation Sector Fuel Used[motorbikes,passenger,hydrogen vehicle,natural gas tf]</t>
  </si>
  <si>
    <t>Transportation Sector Fuel Used[motorbikes,passenger,hydrogen vehicle,petroleum gasoline tf]</t>
  </si>
  <si>
    <t>Transportation Sector Fuel Used[motorbikes,passenger,hydrogen vehicle,petroleum diesel tf]</t>
  </si>
  <si>
    <t>Transportation Sector Fuel Used[motorbikes,passenger,hydrogen vehicle,biofuel gasoline tf]</t>
  </si>
  <si>
    <t>Transportation Sector Fuel Used[motorbikes,passenger,hydrogen vehicle,biofuel diesel tf]</t>
  </si>
  <si>
    <t>Transportation Sector Fuel Used[motorbikes,passenger,hydrogen vehicle,jet fuel tf]</t>
  </si>
  <si>
    <t>Transportation Sector Fuel Used[motorbikes,passenger,hydrogen vehicle,heavy or residual fuel oil tf]</t>
  </si>
  <si>
    <t>Transportation Sector Fuel Used[motorbikes,passenger,hydrogen vehicle,LPG propane or butane tf]</t>
  </si>
  <si>
    <t>Transportation Sector Fuel Used[motorbikes,passenger,hydrogen vehicle,hydrogen tf]</t>
  </si>
  <si>
    <t>Transportation Sector Fuel Used[motorbikes,freight,battery electric vehicle,electricity tf]</t>
  </si>
  <si>
    <t>Transportation Sector Fuel Used[motorbikes,freight,battery electric vehicle,natural gas tf]</t>
  </si>
  <si>
    <t>Transportation Sector Fuel Used[motorbikes,freight,battery electric vehicle,petroleum gasoline tf]</t>
  </si>
  <si>
    <t>Transportation Sector Fuel Used[motorbikes,freight,battery electric vehicle,petroleum diesel tf]</t>
  </si>
  <si>
    <t>Transportation Sector Fuel Used[motorbikes,freight,battery electric vehicle,biofuel gasoline tf]</t>
  </si>
  <si>
    <t>Transportation Sector Fuel Used[motorbikes,freight,battery electric vehicle,biofuel diesel tf]</t>
  </si>
  <si>
    <t>Transportation Sector Fuel Used[motorbikes,freight,battery electric vehicle,jet fuel tf]</t>
  </si>
  <si>
    <t>Transportation Sector Fuel Used[motorbikes,freight,battery electric vehicle,heavy or residual fuel oil tf]</t>
  </si>
  <si>
    <t>Transportation Sector Fuel Used[motorbikes,freight,battery electric vehicle,LPG propane or butane tf]</t>
  </si>
  <si>
    <t>Transportation Sector Fuel Used[motorbikes,freight,battery electric vehicle,hydrogen tf]</t>
  </si>
  <si>
    <t>Transportation Sector Fuel Used[motorbikes,freight,natural gas vehicle,electricity tf]</t>
  </si>
  <si>
    <t>Transportation Sector Fuel Used[motorbikes,freight,natural gas vehicle,natural gas tf]</t>
  </si>
  <si>
    <t>Transportation Sector Fuel Used[motorbikes,freight,natural gas vehicle,petroleum gasoline tf]</t>
  </si>
  <si>
    <t>Transportation Sector Fuel Used[motorbikes,freight,natural gas vehicle,petroleum diesel tf]</t>
  </si>
  <si>
    <t>Transportation Sector Fuel Used[motorbikes,freight,natural gas vehicle,biofuel gasoline tf]</t>
  </si>
  <si>
    <t>Transportation Sector Fuel Used[motorbikes,freight,natural gas vehicle,biofuel diesel tf]</t>
  </si>
  <si>
    <t>Transportation Sector Fuel Used[motorbikes,freight,natural gas vehicle,jet fuel tf]</t>
  </si>
  <si>
    <t>Transportation Sector Fuel Used[motorbikes,freight,natural gas vehicle,heavy or residual fuel oil tf]</t>
  </si>
  <si>
    <t>Transportation Sector Fuel Used[motorbikes,freight,natural gas vehicle,LPG propane or butane tf]</t>
  </si>
  <si>
    <t>Transportation Sector Fuel Used[motorbikes,freight,natural gas vehicle,hydrogen tf]</t>
  </si>
  <si>
    <t>Transportation Sector Fuel Used[motorbikes,freight,gasoline vehicle,electricity tf]</t>
  </si>
  <si>
    <t>Transportation Sector Fuel Used[motorbikes,freight,gasoline vehicle,natural gas tf]</t>
  </si>
  <si>
    <t>Transportation Sector Fuel Used[motorbikes,freight,gasoline vehicle,petroleum gasoline tf]</t>
  </si>
  <si>
    <t>Transportation Sector Fuel Used[motorbikes,freight,gasoline vehicle,petroleum diesel tf]</t>
  </si>
  <si>
    <t>Transportation Sector Fuel Used[motorbikes,freight,gasoline vehicle,biofuel gasoline tf]</t>
  </si>
  <si>
    <t>Transportation Sector Fuel Used[motorbikes,freight,gasoline vehicle,biofuel diesel tf]</t>
  </si>
  <si>
    <t>Transportation Sector Fuel Used[motorbikes,freight,gasoline vehicle,jet fuel tf]</t>
  </si>
  <si>
    <t>Transportation Sector Fuel Used[motorbikes,freight,gasoline vehicle,heavy or residual fuel oil tf]</t>
  </si>
  <si>
    <t>Transportation Sector Fuel Used[motorbikes,freight,gasoline vehicle,LPG propane or butane tf]</t>
  </si>
  <si>
    <t>Transportation Sector Fuel Used[motorbikes,freight,gasoline vehicle,hydrogen tf]</t>
  </si>
  <si>
    <t>Transportation Sector Fuel Used[motorbikes,freight,diesel vehicle,electricity tf]</t>
  </si>
  <si>
    <t>Transportation Sector Fuel Used[motorbikes,freight,diesel vehicle,natural gas tf]</t>
  </si>
  <si>
    <t>Transportation Sector Fuel Used[motorbikes,freight,diesel vehicle,petroleum gasoline tf]</t>
  </si>
  <si>
    <t>Transportation Sector Fuel Used[motorbikes,freight,diesel vehicle,petroleum diesel tf]</t>
  </si>
  <si>
    <t>Transportation Sector Fuel Used[motorbikes,freight,diesel vehicle,biofuel gasoline tf]</t>
  </si>
  <si>
    <t>Transportation Sector Fuel Used[motorbikes,freight,diesel vehicle,biofuel diesel tf]</t>
  </si>
  <si>
    <t>Transportation Sector Fuel Used[motorbikes,freight,diesel vehicle,jet fuel tf]</t>
  </si>
  <si>
    <t>Transportation Sector Fuel Used[motorbikes,freight,diesel vehicle,heavy or residual fuel oil tf]</t>
  </si>
  <si>
    <t>Transportation Sector Fuel Used[motorbikes,freight,diesel vehicle,LPG propane or butane tf]</t>
  </si>
  <si>
    <t>Transportation Sector Fuel Used[motorbikes,freight,diesel vehicle,hydrogen tf]</t>
  </si>
  <si>
    <t>Transportation Sector Fuel Used[motorbikes,freight,plugin hybrid vehicle,electricity tf]</t>
  </si>
  <si>
    <t>Transportation Sector Fuel Used[motorbikes,freight,plugin hybrid vehicle,natural gas tf]</t>
  </si>
  <si>
    <t>Transportation Sector Fuel Used[motorbikes,freight,plugin hybrid vehicle,petroleum gasoline tf]</t>
  </si>
  <si>
    <t>Transportation Sector Fuel Used[motorbikes,freight,plugin hybrid vehicle,petroleum diesel tf]</t>
  </si>
  <si>
    <t>Transportation Sector Fuel Used[motorbikes,freight,plugin hybrid vehicle,biofuel gasoline tf]</t>
  </si>
  <si>
    <t>Transportation Sector Fuel Used[motorbikes,freight,plugin hybrid vehicle,biofuel diesel tf]</t>
  </si>
  <si>
    <t>Transportation Sector Fuel Used[motorbikes,freight,plugin hybrid vehicle,jet fuel tf]</t>
  </si>
  <si>
    <t>Transportation Sector Fuel Used[motorbikes,freight,plugin hybrid vehicle,heavy or residual fuel oil tf]</t>
  </si>
  <si>
    <t>Transportation Sector Fuel Used[motorbikes,freight,plugin hybrid vehicle,LPG propane or butane tf]</t>
  </si>
  <si>
    <t>Transportation Sector Fuel Used[motorbikes,freight,plugin hybrid vehicle,hydrogen tf]</t>
  </si>
  <si>
    <t>Transportation Sector Fuel Used[motorbikes,freight,LPG vehicle,electricity tf]</t>
  </si>
  <si>
    <t>Transportation Sector Fuel Used[motorbikes,freight,LPG vehicle,natural gas tf]</t>
  </si>
  <si>
    <t>Transportation Sector Fuel Used[motorbikes,freight,LPG vehicle,petroleum gasoline tf]</t>
  </si>
  <si>
    <t>Transportation Sector Fuel Used[motorbikes,freight,LPG vehicle,petroleum diesel tf]</t>
  </si>
  <si>
    <t>Transportation Sector Fuel Used[motorbikes,freight,LPG vehicle,biofuel gasoline tf]</t>
  </si>
  <si>
    <t>Transportation Sector Fuel Used[motorbikes,freight,LPG vehicle,biofuel diesel tf]</t>
  </si>
  <si>
    <t>Transportation Sector Fuel Used[motorbikes,freight,LPG vehicle,jet fuel tf]</t>
  </si>
  <si>
    <t>Transportation Sector Fuel Used[motorbikes,freight,LPG vehicle,heavy or residual fuel oil tf]</t>
  </si>
  <si>
    <t>Transportation Sector Fuel Used[motorbikes,freight,LPG vehicle,LPG propane or butane tf]</t>
  </si>
  <si>
    <t>Transportation Sector Fuel Used[motorbikes,freight,LPG vehicle,hydrogen tf]</t>
  </si>
  <si>
    <t>Transportation Sector Fuel Used[motorbikes,freight,hydrogen vehicle,electricity tf]</t>
  </si>
  <si>
    <t>Transportation Sector Fuel Used[motorbikes,freight,hydrogen vehicle,natural gas tf]</t>
  </si>
  <si>
    <t>Transportation Sector Fuel Used[motorbikes,freight,hydrogen vehicle,petroleum gasoline tf]</t>
  </si>
  <si>
    <t>Transportation Sector Fuel Used[motorbikes,freight,hydrogen vehicle,petroleum diesel tf]</t>
  </si>
  <si>
    <t>Transportation Sector Fuel Used[motorbikes,freight,hydrogen vehicle,biofuel gasoline tf]</t>
  </si>
  <si>
    <t>Transportation Sector Fuel Used[motorbikes,freight,hydrogen vehicle,biofuel diesel tf]</t>
  </si>
  <si>
    <t>Transportation Sector Fuel Used[motorbikes,freight,hydrogen vehicle,jet fuel tf]</t>
  </si>
  <si>
    <t>Transportation Sector Fuel Used[motorbikes,freight,hydrogen vehicle,heavy or residual fuel oil tf]</t>
  </si>
  <si>
    <t>Transportation Sector Fuel Used[motorbikes,freight,hydrogen vehicle,LPG propane or butane tf]</t>
  </si>
  <si>
    <t>Transportation Sector Fuel Used[motorbikes,freight,hydrogen vehicle,hydrogen tf]</t>
  </si>
  <si>
    <t>Building Components Energy Use[urban residential,electricity bf,heating]</t>
  </si>
  <si>
    <t>Building Components Energy Use[urban residential,electricity bf,cooling and ventilation]</t>
  </si>
  <si>
    <t>Building Components Energy Use[urban residential,electricity bf,envelope]</t>
  </si>
  <si>
    <t>Building Components Energy Use[urban residential,electricity bf,lighting]</t>
  </si>
  <si>
    <t>Building Components Energy Use[urban residential,electricity bf,appliances]</t>
  </si>
  <si>
    <t>Building Components Energy Use[urban residential,electricity bf,other component]</t>
  </si>
  <si>
    <t>Building Components Energy Use[urban residential,hard coal bf,heating]</t>
  </si>
  <si>
    <t>Building Components Energy Use[urban residential,hard coal bf,cooling and ventilation]</t>
  </si>
  <si>
    <t>Building Components Energy Use[urban residential,hard coal bf,envelope]</t>
  </si>
  <si>
    <t>Building Components Energy Use[urban residential,hard coal bf,lighting]</t>
  </si>
  <si>
    <t>Building Components Energy Use[urban residential,hard coal bf,appliances]</t>
  </si>
  <si>
    <t>Building Components Energy Use[urban residential,hard coal bf,other component]</t>
  </si>
  <si>
    <t>Building Components Energy Use[urban residential,natural gas bf,heating]</t>
  </si>
  <si>
    <t>Building Components Energy Use[urban residential,natural gas bf,cooling and ventilation]</t>
  </si>
  <si>
    <t>Building Components Energy Use[urban residential,natural gas bf,envelope]</t>
  </si>
  <si>
    <t>Building Components Energy Use[urban residential,natural gas bf,lighting]</t>
  </si>
  <si>
    <t>Building Components Energy Use[urban residential,natural gas bf,appliances]</t>
  </si>
  <si>
    <t>Building Components Energy Use[urban residential,natural gas bf,other component]</t>
  </si>
  <si>
    <t>Building Components Energy Use[urban residential,petroleum diesel bf,heating]</t>
  </si>
  <si>
    <t>Building Components Energy Use[urban residential,petroleum diesel bf,cooling and ventilation]</t>
  </si>
  <si>
    <t>Building Components Energy Use[urban residential,petroleum diesel bf,envelope]</t>
  </si>
  <si>
    <t>Building Components Energy Use[urban residential,petroleum diesel bf,lighting]</t>
  </si>
  <si>
    <t>Building Components Energy Use[urban residential,petroleum diesel bf,appliances]</t>
  </si>
  <si>
    <t>Building Components Energy Use[urban residential,petroleum diesel bf,other component]</t>
  </si>
  <si>
    <t>Building Components Energy Use[urban residential,heat bf,heating]</t>
  </si>
  <si>
    <t>Building Components Energy Use[urban residential,heat bf,cooling and ventilation]</t>
  </si>
  <si>
    <t>Building Components Energy Use[urban residential,heat bf,envelope]</t>
  </si>
  <si>
    <t>Building Components Energy Use[urban residential,heat bf,lighting]</t>
  </si>
  <si>
    <t>Building Components Energy Use[urban residential,heat bf,appliances]</t>
  </si>
  <si>
    <t>Building Components Energy Use[urban residential,heat bf,other component]</t>
  </si>
  <si>
    <t>Building Components Energy Use[urban residential,biomass bf,heating]</t>
  </si>
  <si>
    <t>Building Components Energy Use[urban residential,biomass bf,cooling and ventilation]</t>
  </si>
  <si>
    <t>Building Components Energy Use[urban residential,biomass bf,envelope]</t>
  </si>
  <si>
    <t>Building Components Energy Use[urban residential,biomass bf,lighting]</t>
  </si>
  <si>
    <t>Building Components Energy Use[urban residential,biomass bf,appliances]</t>
  </si>
  <si>
    <t>Building Components Energy Use[urban residential,biomass bf,other component]</t>
  </si>
  <si>
    <t>Building Components Energy Use[urban residential,kerosene bf,heating]</t>
  </si>
  <si>
    <t>Building Components Energy Use[urban residential,kerosene bf,cooling and ventilation]</t>
  </si>
  <si>
    <t>Building Components Energy Use[urban residential,kerosene bf,envelope]</t>
  </si>
  <si>
    <t>Building Components Energy Use[urban residential,kerosene bf,lighting]</t>
  </si>
  <si>
    <t>Building Components Energy Use[urban residential,kerosene bf,appliances]</t>
  </si>
  <si>
    <t>Building Components Energy Use[urban residential,kerosene bf,other component]</t>
  </si>
  <si>
    <t>Building Components Energy Use[urban residential,heavy or residual fuel oil bf,heating]</t>
  </si>
  <si>
    <t>Building Components Energy Use[urban residential,heavy or residual fuel oil bf,cooling and ventilation]</t>
  </si>
  <si>
    <t>Building Components Energy Use[urban residential,heavy or residual fuel oil bf,envelope]</t>
  </si>
  <si>
    <t>Building Components Energy Use[urban residential,heavy or residual fuel oil bf,lighting]</t>
  </si>
  <si>
    <t>Building Components Energy Use[urban residential,heavy or residual fuel oil bf,appliances]</t>
  </si>
  <si>
    <t>Building Components Energy Use[urban residential,heavy or residual fuel oil bf,other component]</t>
  </si>
  <si>
    <t>Building Components Energy Use[urban residential,LPG propane or butane bf,heating]</t>
  </si>
  <si>
    <t>Building Components Energy Use[urban residential,LPG propane or butane bf,cooling and ventilation]</t>
  </si>
  <si>
    <t>Building Components Energy Use[urban residential,LPG propane or butane bf,envelope]</t>
  </si>
  <si>
    <t>Building Components Energy Use[urban residential,LPG propane or butane bf,lighting]</t>
  </si>
  <si>
    <t>Building Components Energy Use[urban residential,LPG propane or butane bf,appliances]</t>
  </si>
  <si>
    <t>Building Components Energy Use[urban residential,LPG propane or butane bf,other component]</t>
  </si>
  <si>
    <t>Building Components Energy Use[urban residential,hydrogen bf,heating]</t>
  </si>
  <si>
    <t>Building Components Energy Use[urban residential,hydrogen bf,cooling and ventilation]</t>
  </si>
  <si>
    <t>Building Components Energy Use[urban residential,hydrogen bf,envelope]</t>
  </si>
  <si>
    <t>Building Components Energy Use[urban residential,hydrogen bf,lighting]</t>
  </si>
  <si>
    <t>Building Components Energy Use[urban residential,hydrogen bf,appliances]</t>
  </si>
  <si>
    <t>Building Components Energy Use[urban residential,hydrogen bf,other component]</t>
  </si>
  <si>
    <t>Building Components Energy Use[rural residential,electricity bf,heating]</t>
  </si>
  <si>
    <t>Building Components Energy Use[rural residential,electricity bf,cooling and ventilation]</t>
  </si>
  <si>
    <t>Building Components Energy Use[rural residential,electricity bf,envelope]</t>
  </si>
  <si>
    <t>Building Components Energy Use[rural residential,electricity bf,lighting]</t>
  </si>
  <si>
    <t>Building Components Energy Use[rural residential,electricity bf,appliances]</t>
  </si>
  <si>
    <t>Building Components Energy Use[rural residential,electricity bf,other component]</t>
  </si>
  <si>
    <t>Building Components Energy Use[rural residential,hard coal bf,heating]</t>
  </si>
  <si>
    <t>Building Components Energy Use[rural residential,hard coal bf,cooling and ventilation]</t>
  </si>
  <si>
    <t>Building Components Energy Use[rural residential,hard coal bf,envelope]</t>
  </si>
  <si>
    <t>Building Components Energy Use[rural residential,hard coal bf,lighting]</t>
  </si>
  <si>
    <t>Building Components Energy Use[rural residential,hard coal bf,appliances]</t>
  </si>
  <si>
    <t>Building Components Energy Use[rural residential,hard coal bf,other component]</t>
  </si>
  <si>
    <t>Building Components Energy Use[rural residential,natural gas bf,heating]</t>
  </si>
  <si>
    <t>Building Components Energy Use[rural residential,natural gas bf,cooling and ventilation]</t>
  </si>
  <si>
    <t>Building Components Energy Use[rural residential,natural gas bf,envelope]</t>
  </si>
  <si>
    <t>Building Components Energy Use[rural residential,natural gas bf,lighting]</t>
  </si>
  <si>
    <t>Building Components Energy Use[rural residential,natural gas bf,appliances]</t>
  </si>
  <si>
    <t>Building Components Energy Use[rural residential,natural gas bf,other component]</t>
  </si>
  <si>
    <t>Building Components Energy Use[rural residential,petroleum diesel bf,heating]</t>
  </si>
  <si>
    <t>Building Components Energy Use[rural residential,petroleum diesel bf,cooling and ventilation]</t>
  </si>
  <si>
    <t>Building Components Energy Use[rural residential,petroleum diesel bf,envelope]</t>
  </si>
  <si>
    <t>Building Components Energy Use[rural residential,petroleum diesel bf,lighting]</t>
  </si>
  <si>
    <t>Building Components Energy Use[rural residential,petroleum diesel bf,appliances]</t>
  </si>
  <si>
    <t>Building Components Energy Use[rural residential,petroleum diesel bf,other component]</t>
  </si>
  <si>
    <t>Building Components Energy Use[rural residential,heat bf,heating]</t>
  </si>
  <si>
    <t>Building Components Energy Use[rural residential,heat bf,cooling and ventilation]</t>
  </si>
  <si>
    <t>Building Components Energy Use[rural residential,heat bf,envelope]</t>
  </si>
  <si>
    <t>Building Components Energy Use[rural residential,heat bf,lighting]</t>
  </si>
  <si>
    <t>Building Components Energy Use[rural residential,heat bf,appliances]</t>
  </si>
  <si>
    <t>Building Components Energy Use[rural residential,heat bf,other component]</t>
  </si>
  <si>
    <t>Building Components Energy Use[rural residential,biomass bf,heating]</t>
  </si>
  <si>
    <t>Building Components Energy Use[rural residential,biomass bf,cooling and ventilation]</t>
  </si>
  <si>
    <t>Building Components Energy Use[rural residential,biomass bf,envelope]</t>
  </si>
  <si>
    <t>Building Components Energy Use[rural residential,biomass bf,lighting]</t>
  </si>
  <si>
    <t>Building Components Energy Use[rural residential,biomass bf,appliances]</t>
  </si>
  <si>
    <t>Building Components Energy Use[rural residential,biomass bf,other component]</t>
  </si>
  <si>
    <t>Building Components Energy Use[rural residential,kerosene bf,heating]</t>
  </si>
  <si>
    <t>Building Components Energy Use[rural residential,kerosene bf,cooling and ventilation]</t>
  </si>
  <si>
    <t>Building Components Energy Use[rural residential,kerosene bf,envelope]</t>
  </si>
  <si>
    <t>Building Components Energy Use[rural residential,kerosene bf,lighting]</t>
  </si>
  <si>
    <t>Building Components Energy Use[rural residential,kerosene bf,appliances]</t>
  </si>
  <si>
    <t>Building Components Energy Use[rural residential,kerosene bf,other component]</t>
  </si>
  <si>
    <t>Building Components Energy Use[rural residential,heavy or residual fuel oil bf,heating]</t>
  </si>
  <si>
    <t>Building Components Energy Use[rural residential,heavy or residual fuel oil bf,cooling and ventilation]</t>
  </si>
  <si>
    <t>Building Components Energy Use[rural residential,heavy or residual fuel oil bf,envelope]</t>
  </si>
  <si>
    <t>Building Components Energy Use[rural residential,heavy or residual fuel oil bf,lighting]</t>
  </si>
  <si>
    <t>Building Components Energy Use[rural residential,heavy or residual fuel oil bf,appliances]</t>
  </si>
  <si>
    <t>Building Components Energy Use[rural residential,heavy or residual fuel oil bf,other component]</t>
  </si>
  <si>
    <t>Building Components Energy Use[rural residential,LPG propane or butane bf,heating]</t>
  </si>
  <si>
    <t>Building Components Energy Use[rural residential,LPG propane or butane bf,cooling and ventilation]</t>
  </si>
  <si>
    <t>Building Components Energy Use[rural residential,LPG propane or butane bf,envelope]</t>
  </si>
  <si>
    <t>Building Components Energy Use[rural residential,LPG propane or butane bf,lighting]</t>
  </si>
  <si>
    <t>Building Components Energy Use[rural residential,LPG propane or butane bf,appliances]</t>
  </si>
  <si>
    <t>Building Components Energy Use[rural residential,LPG propane or butane bf,other component]</t>
  </si>
  <si>
    <t>Building Components Energy Use[rural residential,hydrogen bf,heating]</t>
  </si>
  <si>
    <t>Building Components Energy Use[rural residential,hydrogen bf,cooling and ventilation]</t>
  </si>
  <si>
    <t>Building Components Energy Use[rural residential,hydrogen bf,envelope]</t>
  </si>
  <si>
    <t>Building Components Energy Use[rural residential,hydrogen bf,lighting]</t>
  </si>
  <si>
    <t>Building Components Energy Use[rural residential,hydrogen bf,appliances]</t>
  </si>
  <si>
    <t>Building Components Energy Use[rural residential,hydrogen bf,other component]</t>
  </si>
  <si>
    <t>Building Components Energy Use[commercial,electricity bf,heating]</t>
  </si>
  <si>
    <t>Building Components Energy Use[commercial,electricity bf,cooling and ventilation]</t>
  </si>
  <si>
    <t>Building Components Energy Use[commercial,electricity bf,envelope]</t>
  </si>
  <si>
    <t>Building Components Energy Use[commercial,electricity bf,lighting]</t>
  </si>
  <si>
    <t>Building Components Energy Use[commercial,electricity bf,appliances]</t>
  </si>
  <si>
    <t>Building Components Energy Use[commercial,electricity bf,other component]</t>
  </si>
  <si>
    <t>Building Components Energy Use[commercial,hard coal bf,heating]</t>
  </si>
  <si>
    <t>Building Components Energy Use[commercial,hard coal bf,cooling and ventilation]</t>
  </si>
  <si>
    <t>Building Components Energy Use[commercial,hard coal bf,envelope]</t>
  </si>
  <si>
    <t>Building Components Energy Use[commercial,hard coal bf,lighting]</t>
  </si>
  <si>
    <t>Building Components Energy Use[commercial,hard coal bf,appliances]</t>
  </si>
  <si>
    <t>Building Components Energy Use[commercial,hard coal bf,other component]</t>
  </si>
  <si>
    <t>Building Components Energy Use[commercial,natural gas bf,heating]</t>
  </si>
  <si>
    <t>Building Components Energy Use[commercial,natural gas bf,cooling and ventilation]</t>
  </si>
  <si>
    <t>Building Components Energy Use[commercial,natural gas bf,envelope]</t>
  </si>
  <si>
    <t>Building Components Energy Use[commercial,natural gas bf,lighting]</t>
  </si>
  <si>
    <t>Building Components Energy Use[commercial,natural gas bf,appliances]</t>
  </si>
  <si>
    <t>Building Components Energy Use[commercial,natural gas bf,other component]</t>
  </si>
  <si>
    <t>Building Components Energy Use[commercial,petroleum diesel bf,heating]</t>
  </si>
  <si>
    <t>Building Components Energy Use[commercial,petroleum diesel bf,cooling and ventilation]</t>
  </si>
  <si>
    <t>Building Components Energy Use[commercial,petroleum diesel bf,envelope]</t>
  </si>
  <si>
    <t>Building Components Energy Use[commercial,petroleum diesel bf,lighting]</t>
  </si>
  <si>
    <t>Building Components Energy Use[commercial,petroleum diesel bf,appliances]</t>
  </si>
  <si>
    <t>Building Components Energy Use[commercial,petroleum diesel bf,other component]</t>
  </si>
  <si>
    <t>Building Components Energy Use[commercial,heat bf,heating]</t>
  </si>
  <si>
    <t>Building Components Energy Use[commercial,heat bf,cooling and ventilation]</t>
  </si>
  <si>
    <t>Building Components Energy Use[commercial,heat bf,envelope]</t>
  </si>
  <si>
    <t>Building Components Energy Use[commercial,heat bf,lighting]</t>
  </si>
  <si>
    <t>Building Components Energy Use[commercial,heat bf,appliances]</t>
  </si>
  <si>
    <t>Building Components Energy Use[commercial,heat bf,other component]</t>
  </si>
  <si>
    <t>Building Components Energy Use[commercial,biomass bf,heating]</t>
  </si>
  <si>
    <t>Building Components Energy Use[commercial,biomass bf,cooling and ventilation]</t>
  </si>
  <si>
    <t>Building Components Energy Use[commercial,biomass bf,envelope]</t>
  </si>
  <si>
    <t>Building Components Energy Use[commercial,biomass bf,lighting]</t>
  </si>
  <si>
    <t>Building Components Energy Use[commercial,biomass bf,appliances]</t>
  </si>
  <si>
    <t>Building Components Energy Use[commercial,biomass bf,other component]</t>
  </si>
  <si>
    <t>Building Components Energy Use[commercial,kerosene bf,heating]</t>
  </si>
  <si>
    <t>Building Components Energy Use[commercial,kerosene bf,cooling and ventilation]</t>
  </si>
  <si>
    <t>Building Components Energy Use[commercial,kerosene bf,envelope]</t>
  </si>
  <si>
    <t>Building Components Energy Use[commercial,kerosene bf,lighting]</t>
  </si>
  <si>
    <t>Building Components Energy Use[commercial,kerosene bf,appliances]</t>
  </si>
  <si>
    <t>Building Components Energy Use[commercial,kerosene bf,other component]</t>
  </si>
  <si>
    <t>Building Components Energy Use[commercial,heavy or residual fuel oil bf,heating]</t>
  </si>
  <si>
    <t>Building Components Energy Use[commercial,heavy or residual fuel oil bf,cooling and ventilation]</t>
  </si>
  <si>
    <t>Building Components Energy Use[commercial,heavy or residual fuel oil bf,envelope]</t>
  </si>
  <si>
    <t>Building Components Energy Use[commercial,heavy or residual fuel oil bf,lighting]</t>
  </si>
  <si>
    <t>Building Components Energy Use[commercial,heavy or residual fuel oil bf,appliances]</t>
  </si>
  <si>
    <t>Building Components Energy Use[commercial,heavy or residual fuel oil bf,other component]</t>
  </si>
  <si>
    <t>Building Components Energy Use[commercial,LPG propane or butane bf,heating]</t>
  </si>
  <si>
    <t>Building Components Energy Use[commercial,LPG propane or butane bf,cooling and ventilation]</t>
  </si>
  <si>
    <t>Building Components Energy Use[commercial,LPG propane or butane bf,envelope]</t>
  </si>
  <si>
    <t>Building Components Energy Use[commercial,LPG propane or butane bf,lighting]</t>
  </si>
  <si>
    <t>Building Components Energy Use[commercial,LPG propane or butane bf,appliances]</t>
  </si>
  <si>
    <t>Building Components Energy Use[commercial,LPG propane or butane bf,other component]</t>
  </si>
  <si>
    <t>Building Components Energy Use[commercial,hydrogen bf,heating]</t>
  </si>
  <si>
    <t>Building Components Energy Use[commercial,hydrogen bf,cooling and ventilation]</t>
  </si>
  <si>
    <t>Building Components Energy Use[commercial,hydrogen bf,envelope]</t>
  </si>
  <si>
    <t>Building Components Energy Use[commercial,hydrogen bf,lighting]</t>
  </si>
  <si>
    <t>Building Components Energy Use[commercial,hydrogen bf,appliances]</t>
  </si>
  <si>
    <t>Building Components Energy Use[commercial,hydrogen bf,other component]</t>
  </si>
  <si>
    <t>Table 60.  Natural Gas Imports and Exports</t>
  </si>
  <si>
    <t>https://www.eia.gov/outlooks/aeo/data/browser/#/?id=76-AEO2021&amp;region=0-0&amp;cases=highogs&amp;start=2019&amp;end=2050&amp;f=A&amp;sourcekey=0</t>
  </si>
  <si>
    <t>Fri Mar 19 2021 13:31:12 GMT-0700 (Pacific Daylight Time)</t>
  </si>
  <si>
    <t>Source: U.S. Energy Information Administration</t>
  </si>
  <si>
    <t>full name</t>
  </si>
  <si>
    <t>api key</t>
  </si>
  <si>
    <t>units</t>
  </si>
  <si>
    <t>Growth (2020-2050)</t>
  </si>
  <si>
    <t>Volumes (trillion cubic feet)</t>
  </si>
  <si>
    <t>76-AEO2021.2.</t>
  </si>
  <si>
    <t>Imports</t>
  </si>
  <si>
    <t>Natural Gas: Volumes: Imports: High oil and gas supply</t>
  </si>
  <si>
    <t>76-AEO2021.3.highogs-d120120a</t>
  </si>
  <si>
    <t>Tcf</t>
  </si>
  <si>
    <t>Pipeline Imports from Canada</t>
  </si>
  <si>
    <t>Natural Gas: Volumes: Imports: Pipeline Imports from Canada: High oil and gas supply</t>
  </si>
  <si>
    <t>76-AEO2021.4.highogs-d120120a</t>
  </si>
  <si>
    <t>Pipeline Imports from Mexico</t>
  </si>
  <si>
    <t>Natural Gas: Volumes: Imports: Pipeline Imports from Mexico: High oil and gas supply</t>
  </si>
  <si>
    <t>76-AEO2021.5.highogs-d120120a</t>
  </si>
  <si>
    <t>- -</t>
  </si>
  <si>
    <t>Liquefied Natural Gas Imports</t>
  </si>
  <si>
    <t>Natural Gas: Volumes: Imports: Liquefied Natural Gas Imports: High oil and gas supply</t>
  </si>
  <si>
    <t>76-AEO2021.6.highogs-d120120a</t>
  </si>
  <si>
    <t>Exports</t>
  </si>
  <si>
    <t>Natural Gas: Volumes: Exports: High oil and gas supply</t>
  </si>
  <si>
    <t>76-AEO2021.7.highogs-d120120a</t>
  </si>
  <si>
    <t>Pipeline Exports to Canada</t>
  </si>
  <si>
    <t>Natural Gas: Volumes: Exports: Pipeline Exports to Canada: High oil and gas supply</t>
  </si>
  <si>
    <t>76-AEO2021.8.highogs-d120120a</t>
  </si>
  <si>
    <t>Pipeline Exports to Mexico</t>
  </si>
  <si>
    <t>Natural Gas: Volumes: Exports: Pipeline Exports to Mexico: High oil and gas supply</t>
  </si>
  <si>
    <t>76-AEO2021.9.highogs-d120120a</t>
  </si>
  <si>
    <t>Liquefied Natural Gas Exports</t>
  </si>
  <si>
    <t>Natural Gas: Volumes: Exports: Liquefied Natural Gas Exports: High oil and gas supply</t>
  </si>
  <si>
    <t>76-AEO2021.10.highogs-d120120a</t>
  </si>
  <si>
    <t>Net Imports</t>
  </si>
  <si>
    <t>Natural Gas: Volumes: Net Imports: High oil and gas supply</t>
  </si>
  <si>
    <t>76-AEO2021.11.highogs-d120120a</t>
  </si>
  <si>
    <t>Canada</t>
  </si>
  <si>
    <t>Natural Gas: Volumes: Net Imports: Canada: High oil and gas supply</t>
  </si>
  <si>
    <t>76-AEO2021.12.highogs-d120120a</t>
  </si>
  <si>
    <t>Mexico</t>
  </si>
  <si>
    <t>Natural Gas: Volumes: Net Imports: Mexico: High oil and gas supply</t>
  </si>
  <si>
    <t>76-AEO2021.13.highogs-d120120a</t>
  </si>
  <si>
    <t>Liquefied Natural Gas</t>
  </si>
  <si>
    <t>Natural Gas: Volumes: Net Imports: Liquefied Natural Gas: High oil and gas supply</t>
  </si>
  <si>
    <t>76-AEO2021.14.highogs-d120120a</t>
  </si>
  <si>
    <t>Back to Contents</t>
  </si>
  <si>
    <t>Data 1: U.S. Natural Gas Prices</t>
  </si>
  <si>
    <t>Sourcekey</t>
  </si>
  <si>
    <t>N9190US3</t>
  </si>
  <si>
    <t>N9100US3</t>
  </si>
  <si>
    <t>N9102US3</t>
  </si>
  <si>
    <t>N9103US3</t>
  </si>
  <si>
    <t>N9130US3</t>
  </si>
  <si>
    <t>N9132US3</t>
  </si>
  <si>
    <t>N9133US3</t>
  </si>
  <si>
    <t>N3050US3</t>
  </si>
  <si>
    <t>N3010US3</t>
  </si>
  <si>
    <t>NA1504_NUS_4</t>
  </si>
  <si>
    <t>N3020US3</t>
  </si>
  <si>
    <t>N3020US4</t>
  </si>
  <si>
    <t>N3035US3</t>
  </si>
  <si>
    <t>N3035US4</t>
  </si>
  <si>
    <t>N3045US3</t>
  </si>
  <si>
    <t>Date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</si>
  <si>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</si>
  <si>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</si>
  <si>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</si>
  <si>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</si>
  <si>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</si>
  <si>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</si>
  <si>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</si>
  <si>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</si>
  <si>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</si>
  <si>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</si>
  <si>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</si>
  <si>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</si>
  <si>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</si>
  <si>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</si>
  <si>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Electric Power Price (Dollars per Thousand Cubic Feet)</t>
  </si>
  <si>
    <t>nom $/Mcf</t>
  </si>
  <si>
    <t>13-AEO2021.73.ref2021-d113020a</t>
  </si>
  <si>
    <t>Natural Gas: Delivered Prices: Average: Reference case</t>
  </si>
  <si>
    <t>Average</t>
  </si>
  <si>
    <t>13-AEO2021.72.ref2021-d113020a</t>
  </si>
  <si>
    <t>Natural Gas: Delivered Prices: Electric Power: Reference case</t>
  </si>
  <si>
    <t>Electric Power</t>
  </si>
  <si>
    <t>13-AEO2021.71.ref2021-d113020a</t>
  </si>
  <si>
    <t>Natural Gas: Delivered Prices: Transportation: Reference case</t>
  </si>
  <si>
    <t>13-AEO2021.70.ref2021-d113020a</t>
  </si>
  <si>
    <t>Natural Gas: Delivered Prices: Industrial: Reference case</t>
  </si>
  <si>
    <t>Industrial</t>
  </si>
  <si>
    <t>13-AEO2021.69.ref2021-d113020a</t>
  </si>
  <si>
    <t>Natural Gas: Delivered Prices: Commercial: Reference case</t>
  </si>
  <si>
    <t>Commercial</t>
  </si>
  <si>
    <t>13-AEO2021.68.ref2021-d113020a</t>
  </si>
  <si>
    <t>Natural Gas: Delivered Prices: Residential: Reference case</t>
  </si>
  <si>
    <t>Residential</t>
  </si>
  <si>
    <t>13-AEO2021.67.</t>
  </si>
  <si>
    <t>(nominal dollars per thousand cubic feet)</t>
  </si>
  <si>
    <t>13-AEO2021.66.</t>
  </si>
  <si>
    <t>Delivered Prices</t>
  </si>
  <si>
    <t>nom $/MMBtu</t>
  </si>
  <si>
    <t>13-AEO2021.60.ref2021-d113020a</t>
  </si>
  <si>
    <t>Natural Gas: Henry Hub Spot Price: Reference case</t>
  </si>
  <si>
    <t>(nominal dollars per million Btu)</t>
  </si>
  <si>
    <t>13-AEO2021.59.</t>
  </si>
  <si>
    <t>Natural Gas Spot Price at Henry Hub</t>
  </si>
  <si>
    <t>2020 $/Mcf</t>
  </si>
  <si>
    <t>13-AEO2021.40.ref2021-d113020a</t>
  </si>
  <si>
    <t>13-AEO2021.39.ref2021-d113020a</t>
  </si>
  <si>
    <t>13-AEO2021.38.ref2021-d113020a</t>
  </si>
  <si>
    <t>13-AEO2021.37.ref2021-d113020a</t>
  </si>
  <si>
    <t>13-AEO2021.36.ref2021-d113020a</t>
  </si>
  <si>
    <t>13-AEO2021.35.ref2021-d113020a</t>
  </si>
  <si>
    <t>13-AEO2021.34.</t>
  </si>
  <si>
    <t>(2020 dollars per thousand cubic feet)</t>
  </si>
  <si>
    <t>13-AEO2021.33.</t>
  </si>
  <si>
    <t>2020 $/MMBtu</t>
  </si>
  <si>
    <t>13-AEO2021.31.ref2021-d113020a</t>
  </si>
  <si>
    <t>(2020 dollars per million Btu)</t>
  </si>
  <si>
    <t>13-AEO2021.30.</t>
  </si>
  <si>
    <t>13-AEO2021.28.</t>
  </si>
  <si>
    <t>Natural Gas Prices</t>
  </si>
  <si>
    <t>13-AEO2021.26.ref2021-d113020a</t>
  </si>
  <si>
    <t>Natural Gas: Discrepancy: Reference case</t>
  </si>
  <si>
    <t>Discrepancy</t>
  </si>
  <si>
    <t>13-AEO2021.24.ref2021-d113020a</t>
  </si>
  <si>
    <t>Natural Gas: Use by Sector: Electric Power: Reference case</t>
  </si>
  <si>
    <t>13-AEO2021.23.ref2021-d113020a</t>
  </si>
  <si>
    <t>Natural Gas: Use by Sector: Transportation: Pipeline Fuel: Reference case</t>
  </si>
  <si>
    <t>Pipeline and Distribution Fuel</t>
  </si>
  <si>
    <t>13-AEO2021.22.ref2021-d113020a</t>
  </si>
  <si>
    <t>Natural Gas: Use by Sector: Transportation: Vehicles: Reference case</t>
  </si>
  <si>
    <t xml:space="preserve"> and Ships</t>
  </si>
  <si>
    <t xml:space="preserve"> Trains</t>
  </si>
  <si>
    <t>Motor Vehicles</t>
  </si>
  <si>
    <t>13-AEO2021.21.ref2021-d113020a</t>
  </si>
  <si>
    <t>Natural Gas: Use by Sector: Transportation: Reference case</t>
  </si>
  <si>
    <t>13-AEO2021.20.ref2021-d113020a</t>
  </si>
  <si>
    <t>Natural Gas: Use by Sector: Industrial: GTL Liquids: Reference case</t>
  </si>
  <si>
    <t>Natural Gas to Liquids Production</t>
  </si>
  <si>
    <t>13-AEO2021.19.ref2021-d113020a</t>
  </si>
  <si>
    <t>Natural Gas: Use by Sector: Industrial: GTL Heat and Power: Reference case</t>
  </si>
  <si>
    <t>Natural Gas-to-Liquids Heat and Power</t>
  </si>
  <si>
    <t>13-AEO2021.18.ref2021-d113020a</t>
  </si>
  <si>
    <t>Natural Gas: Use by Sector: Industrial: Liquefaction for Export: Reference case</t>
  </si>
  <si>
    <t>Fuel Used to Liquefy Gas for Export</t>
  </si>
  <si>
    <t>13-AEO2021.17.ref2021-d113020a</t>
  </si>
  <si>
    <t>Natural Gas: Use by Sector: Industrial: Lease and Plant Fuel: Reference case</t>
  </si>
  <si>
    <t>Lease and Plant Fuel</t>
  </si>
  <si>
    <t>13-AEO2021.16.ref2021-d113020a</t>
  </si>
  <si>
    <t>Natural Gas: Use by Sector: Industrial: Other: Reference case</t>
  </si>
  <si>
    <t>Other Industrial</t>
  </si>
  <si>
    <t>13-AEO2021.15.ref2021-d113020a</t>
  </si>
  <si>
    <t>Natural Gas: Use by Sector: Industrial: Reference case</t>
  </si>
  <si>
    <t>13-AEO2021.14.ref2021-d113020a</t>
  </si>
  <si>
    <t>Natural Gas: Use by Sector: Commercial: Reference case</t>
  </si>
  <si>
    <t>13-AEO2021.13.ref2021-d113020a</t>
  </si>
  <si>
    <t>Natural Gas: Use by Sector: Residential: Reference case</t>
  </si>
  <si>
    <t>13-AEO2021.12.ref2021-d113020a</t>
  </si>
  <si>
    <t>Natural Gas: Use by Sector: Total: Reference case</t>
  </si>
  <si>
    <t>Consumption by Sector</t>
  </si>
  <si>
    <t>13-AEO2021.10.ref2021-d113020a</t>
  </si>
  <si>
    <t>Natural Gas: Total Supply: Reference case</t>
  </si>
  <si>
    <t>Total Supply</t>
  </si>
  <si>
    <t>13-AEO2021.8.ref2021-d113020a</t>
  </si>
  <si>
    <t>Natural Gas: Net Imports: Liquefied Natural Gas: Reference case</t>
  </si>
  <si>
    <t>13-AEO2021.7.ref2021-d113020a</t>
  </si>
  <si>
    <t>Natural Gas: Net Imports: Pipeline: Reference case</t>
  </si>
  <si>
    <t>Pipeline</t>
  </si>
  <si>
    <t>13-AEO2021.6.ref2021-d113020a</t>
  </si>
  <si>
    <t>Natural Gas: Net Imports: Reference case</t>
  </si>
  <si>
    <t>13-AEO2021.4.ref2021-d113020a</t>
  </si>
  <si>
    <t>Natural Gas: Production: Supplemental Natural Gas: Reference case</t>
  </si>
  <si>
    <t>Supplemental Natural Gas</t>
  </si>
  <si>
    <t>13-AEO2021.3.ref2021-d113020a</t>
  </si>
  <si>
    <t>Natural Gas: Production: Dry Gas Production: Reference case</t>
  </si>
  <si>
    <t>Dry Gas Production</t>
  </si>
  <si>
    <t>13-AEO2021.2.</t>
  </si>
  <si>
    <t>Production</t>
  </si>
  <si>
    <t>Fri Mar 19 2021 13:32:00 GMT-0700 (Pacific Daylight Time)</t>
  </si>
  <si>
    <t>https://www.eia.gov/outlooks/aeo/data/browser/#/?id=13-AEO2021&amp;cases=ref2021&amp;sourcekey=0</t>
  </si>
  <si>
    <t>Table 13.  Natural Gas Supply, Disposition, and Prices</t>
  </si>
  <si>
    <t>Natural Gas Price Source:</t>
  </si>
  <si>
    <t>AEO Table 60</t>
  </si>
  <si>
    <t>AEO Table 13</t>
  </si>
  <si>
    <t>https://www.eia.gov/dnav/ng/ng_pri_sum_dcu_nus_m.htm</t>
  </si>
  <si>
    <t>EIA Natural Gas Prices</t>
  </si>
  <si>
    <t>Historical</t>
  </si>
  <si>
    <t>LNG</t>
  </si>
  <si>
    <t>Henry Hub Prices</t>
  </si>
  <si>
    <t>Henry Hub Natural Gas Spot Price (Dollars per Million Btu)</t>
  </si>
  <si>
    <t>RNGWHHD</t>
  </si>
  <si>
    <t>Data 1: Henry Hub Natural Gas Spot Price (Dollars per Million Btu)</t>
  </si>
  <si>
    <t>https://www.eia.gov/dnav/ng/hist/rngwhhdA.htm</t>
  </si>
  <si>
    <t>Pipeline multiplier</t>
  </si>
  <si>
    <t>LNG multiplier</t>
  </si>
  <si>
    <t>Historical Data</t>
  </si>
  <si>
    <t>Forecast ($)</t>
  </si>
  <si>
    <t>Transposed</t>
  </si>
  <si>
    <t>Forecasted Volume (Tcf)</t>
  </si>
  <si>
    <t>% pipeline</t>
  </si>
  <si>
    <t>% lng</t>
  </si>
  <si>
    <t>Prices (</t>
  </si>
  <si>
    <t>Henry Hub Prices ($/mmbtu)</t>
  </si>
  <si>
    <t>mmbtu per thousand cubic feet</t>
  </si>
  <si>
    <t>dollars per million btu</t>
  </si>
  <si>
    <t>lng</t>
  </si>
  <si>
    <t>Converted to mmbtu</t>
  </si>
  <si>
    <t>U.S. Natural Gas Vehicle Fuel Price (Dollars per Thousand Cubic Feet)</t>
  </si>
  <si>
    <t>U.S. Natural Gas Pipeline and Distribution Use Price (Dollars per Thousand Cubic Feet)</t>
  </si>
  <si>
    <t>NA1570_NUS_3</t>
  </si>
  <si>
    <t>NA1480_NUS_3</t>
  </si>
  <si>
    <t>2020 to 2012 $</t>
  </si>
  <si>
    <t>$2012/btu</t>
  </si>
  <si>
    <t>Natural gas prices</t>
  </si>
  <si>
    <t xml:space="preserve">Estimated by creating an average multiplier for pipeline and lng gas compared to henry hub prices. </t>
  </si>
  <si>
    <t>Created weighted total natural gas export price based on forecasted export volumes of pipeline and lng (AEO 60).</t>
  </si>
  <si>
    <t>13-AEO2022.67.</t>
  </si>
  <si>
    <t>13-AEO2022.66.</t>
  </si>
  <si>
    <t>13-AEO2022.59.</t>
  </si>
  <si>
    <t>2021 $/Mcf</t>
  </si>
  <si>
    <t>13-AEO2022.34.</t>
  </si>
  <si>
    <t>(2021 dollars per thousand cubic feet)</t>
  </si>
  <si>
    <t>13-AEO2022.33.</t>
  </si>
  <si>
    <t>2021 $/MMBtu</t>
  </si>
  <si>
    <t>(2021 dollars per million Btu)</t>
  </si>
  <si>
    <t>13-AEO2022.30.</t>
  </si>
  <si>
    <t>13-AEO2022.28.</t>
  </si>
  <si>
    <t>13-AEO2022.2.</t>
  </si>
  <si>
    <t>Growth (2021-2050)</t>
  </si>
  <si>
    <t>Fri Jun 03 2022 14:36:16 GMT-0700 (Pacific Daylight Time)</t>
  </si>
  <si>
    <t>https://www.eia.gov/outlooks/aeo/data/browser/#/?id=13-AEO2022&amp;region=0-0&amp;cases=ref2022&amp;start=2020&amp;end=2050&amp;f=A&amp;sourcekey=0</t>
  </si>
  <si>
    <t>76-AEO2022.2.</t>
  </si>
  <si>
    <t>Fri Jun 03 2022 14:37:41 GMT-0700 (Pacific Daylight Time)</t>
  </si>
  <si>
    <t>https://www.eia.gov/outlooks/aeo/data/browser/#/?id=76-AEO2022&amp;region=0-0&amp;cases=ref2022&amp;start=2020&amp;end=2050&amp;f=A&amp;linechart=&amp;ctype=linechart&amp;sourcekey=0</t>
  </si>
  <si>
    <t>Annual Average</t>
  </si>
  <si>
    <t>Future Prices</t>
  </si>
  <si>
    <t>Historical Monthly Consumption Average</t>
  </si>
  <si>
    <t>Total Gas Prices ($2020/mmbtu for 2020, then $2021/mmbtu)</t>
  </si>
  <si>
    <t>2021 to 2012 $</t>
  </si>
  <si>
    <t>futures prices</t>
  </si>
  <si>
    <t>transition back to AEO22 ref</t>
  </si>
  <si>
    <t>AEO22 ref</t>
  </si>
  <si>
    <t>Natural Gas Delivered to Consumers in the U.S. (MMcf)</t>
  </si>
  <si>
    <t>N3060US2</t>
  </si>
  <si>
    <t>Data 1: Natural Gas Delivered to Consumers in the U.S. (MMcf)</t>
  </si>
  <si>
    <t>from variable fuels/BFPaT:</t>
  </si>
  <si>
    <t>Use futures prices forecast of henry hub prices multiplied by pipeline and lng multiplier to get forecasted natural gas export prices for 2022-2025.</t>
  </si>
  <si>
    <t>Linearly interpolated between 2025 and 2030.</t>
  </si>
  <si>
    <t>Use AEO forecast of henry hub prices multiplied by pipeline and lng multiplier to get forecasted natural gas export prices for 2030-2050.</t>
  </si>
  <si>
    <t>13-AEO2022.10.lowmacro-d011222a</t>
  </si>
  <si>
    <t>Natural Gas: Production: Dry Gas Production: Low economic growth</t>
  </si>
  <si>
    <t>13-AEO2022.3.lowmacro-d011222a</t>
  </si>
  <si>
    <t>Natural Gas: Production: Supplemental Natural Gas: Low economic growth</t>
  </si>
  <si>
    <t>13-AEO2022.4.lowmacro-d011222a</t>
  </si>
  <si>
    <t>Natural Gas: Net Imports: Low economic growth</t>
  </si>
  <si>
    <t>13-AEO2022.6.lowmacro-d011222a</t>
  </si>
  <si>
    <t>Natural Gas: Net Imports: Pipeline: Low economic growth</t>
  </si>
  <si>
    <t>13-AEO2022.7.lowmacro-d011222a</t>
  </si>
  <si>
    <t>Natural Gas: Net Imports: Liquefied Natural Gas: Low economic growth</t>
  </si>
  <si>
    <t>13-AEO2022.8.lowmacro-d011222a</t>
  </si>
  <si>
    <t>Natural Gas: Total Supply: Low economic growth</t>
  </si>
  <si>
    <t>Natural Gas: Use by Sector: Total: Low economic growth</t>
  </si>
  <si>
    <t>13-AEO2022.12.lowmacro-d011222a</t>
  </si>
  <si>
    <t>Natural Gas: Use by Sector: Residential: Low economic growth</t>
  </si>
  <si>
    <t>13-AEO2022.13.lowmacro-d011222a</t>
  </si>
  <si>
    <t>Natural Gas: Use by Sector: Commercial: Low economic growth</t>
  </si>
  <si>
    <t>13-AEO2022.14.lowmacro-d011222a</t>
  </si>
  <si>
    <t>Natural Gas: Use by Sector: Industrial: Low economic growth</t>
  </si>
  <si>
    <t>13-AEO2022.15.lowmacro-d011222a</t>
  </si>
  <si>
    <t>Natural Gas: Use by Sector: Industrial: Other: Low economic growth</t>
  </si>
  <si>
    <t>13-AEO2022.16.lowmacro-d011222a</t>
  </si>
  <si>
    <t>Natural Gas: Use by Sector: Industrial: Lease and Plant Fuel: Low economic growth</t>
  </si>
  <si>
    <t>13-AEO2022.17.lowmacro-d011222a</t>
  </si>
  <si>
    <t>Natural Gas: Use by Sector: Industrial: Liquefaction for Export: Low economic growth</t>
  </si>
  <si>
    <t>13-AEO2022.18.lowmacro-d011222a</t>
  </si>
  <si>
    <t>Natural Gas: Use by Sector: Industrial: GTL Heat and Power: Low economic growth</t>
  </si>
  <si>
    <t>13-AEO2022.19.lowmacro-d011222a</t>
  </si>
  <si>
    <t>Natural Gas: Use by Sector: Industrial: GTL Liquids: Low economic growth</t>
  </si>
  <si>
    <t>13-AEO2022.20.lowmacro-d011222a</t>
  </si>
  <si>
    <t>Natural Gas: Use by Sector: Transportation: Low economic growth</t>
  </si>
  <si>
    <t>13-AEO2022.21.lowmacro-d011222a</t>
  </si>
  <si>
    <t>Natural Gas: Use by Sector: Transportation: Vehicles: Low economic growth</t>
  </si>
  <si>
    <t>13-AEO2022.22.lowmacro-d011222a</t>
  </si>
  <si>
    <t>Natural Gas: Use by Sector: Transportation: Pipeline Fuel: Low economic growth</t>
  </si>
  <si>
    <t>13-AEO2022.23.lowmacro-d011222a</t>
  </si>
  <si>
    <t>Natural Gas: Use by Sector: Electric Power: Low economic growth</t>
  </si>
  <si>
    <t>13-AEO2022.24.lowmacro-d011222a</t>
  </si>
  <si>
    <t>Natural Gas: Discrepancy: Low economic growth</t>
  </si>
  <si>
    <t>13-AEO2022.26.lowmacro-d011222a</t>
  </si>
  <si>
    <t>Natural Gas: Henry Hub Spot Price: Low economic growth</t>
  </si>
  <si>
    <t>13-AEO2022.31.lowmacro-d011222a</t>
  </si>
  <si>
    <t>Natural Gas: Delivered Prices: Residential: Low economic growth</t>
  </si>
  <si>
    <t>13-AEO2022.35.lowmacro-d011222a</t>
  </si>
  <si>
    <t>Natural Gas: Delivered Prices: Commercial: Low economic growth</t>
  </si>
  <si>
    <t>13-AEO2022.36.lowmacro-d011222a</t>
  </si>
  <si>
    <t>Natural Gas: Delivered Prices: Industrial: Low economic growth</t>
  </si>
  <si>
    <t>13-AEO2022.37.lowmacro-d011222a</t>
  </si>
  <si>
    <t>Natural Gas: Delivered Prices: Transportation: Low economic growth</t>
  </si>
  <si>
    <t>13-AEO2022.38.lowmacro-d011222a</t>
  </si>
  <si>
    <t>Natural Gas: Delivered Prices: Electric Power: Low economic growth</t>
  </si>
  <si>
    <t>13-AEO2022.39.lowmacro-d011222a</t>
  </si>
  <si>
    <t>Natural Gas: Delivered Prices: Average: Low economic growth</t>
  </si>
  <si>
    <t>13-AEO2022.40.lowmacro-d011222a</t>
  </si>
  <si>
    <t>13-AEO2022.60.lowmacro-d011222a</t>
  </si>
  <si>
    <t>13-AEO2022.68.lowmacro-d011222a</t>
  </si>
  <si>
    <t>13-AEO2022.69.lowmacro-d011222a</t>
  </si>
  <si>
    <t>13-AEO2022.70.lowmacro-d011222a</t>
  </si>
  <si>
    <t>13-AEO2022.71.lowmacro-d011222a</t>
  </si>
  <si>
    <t>13-AEO2022.72.lowmacro-d011222a</t>
  </si>
  <si>
    <t>13-AEO2022.73.lowmacro-d011222a</t>
  </si>
  <si>
    <t>Natural Gas: Volumes: Imports: Low economic growth</t>
  </si>
  <si>
    <t>76-AEO2022.3.lowmacro-d011222a</t>
  </si>
  <si>
    <t>Natural Gas: Volumes: Imports: Pipeline Imports from Canada: Low economic growth</t>
  </si>
  <si>
    <t>76-AEO2022.4.lowmacro-d011222a</t>
  </si>
  <si>
    <t>Natural Gas: Volumes: Imports: Pipeline Imports from Mexico: Low economic growth</t>
  </si>
  <si>
    <t>76-AEO2022.5.lowmacro-d011222a</t>
  </si>
  <si>
    <t>Natural Gas: Volumes: Imports: Liquefied Natural Gas Imports: Low economic growth</t>
  </si>
  <si>
    <t>76-AEO2022.6.lowmacro-d011222a</t>
  </si>
  <si>
    <t>Natural Gas: Volumes: Exports: Low economic growth</t>
  </si>
  <si>
    <t>76-AEO2022.7.lowmacro-d011222a</t>
  </si>
  <si>
    <t>Natural Gas: Volumes: Exports: Pipeline Exports to Canada: Low economic growth</t>
  </si>
  <si>
    <t>76-AEO2022.8.lowmacro-d011222a</t>
  </si>
  <si>
    <t>Natural Gas: Volumes: Exports: Pipeline Exports to Mexico: Low economic growth</t>
  </si>
  <si>
    <t>76-AEO2022.9.lowmacro-d011222a</t>
  </si>
  <si>
    <t>Natural Gas: Volumes: Exports: Liquefied Natural Gas Exports: Low economic growth</t>
  </si>
  <si>
    <t>76-AEO2022.10.lowmacro-d011222a</t>
  </si>
  <si>
    <t>Natural Gas: Volumes: Net Imports: Low economic growth</t>
  </si>
  <si>
    <t>76-AEO2022.11.lowmacro-d011222a</t>
  </si>
  <si>
    <t>Natural Gas: Volumes: Net Imports: Canada: Low economic growth</t>
  </si>
  <si>
    <t>76-AEO2022.12.lowmacro-d011222a</t>
  </si>
  <si>
    <t>Natural Gas: Volumes: Net Imports: Mexico: Low economic growth</t>
  </si>
  <si>
    <t>76-AEO2022.13.lowmacro-d011222a</t>
  </si>
  <si>
    <t>Natural Gas: Volumes: Net Imports: Liquefied Natural Gas: Low economic growth</t>
  </si>
  <si>
    <t>76-AEO2022.14.lowmacro-d011222a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</si>
</sst>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"/>
    <numFmt numFmtId="165" formatCode="mmm\-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u/>
      <sz val="10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0" fillId="2" borderId="0" xfId="0" applyFill="1"/>
    <xf numFmtId="11" fontId="0" fillId="0" borderId="0" xfId="0" applyNumberFormat="1"/>
    <xf numFmtId="0" fontId="1" fillId="2" borderId="0" xfId="0" applyFont="1" applyFill="1"/>
    <xf numFmtId="0" fontId="0" fillId="0" borderId="0" xfId="0" applyFont="1" applyFill="1"/>
    <xf numFmtId="0" fontId="0" fillId="0" borderId="0" xfId="0" applyFont="1" applyAlignment="1">
      <alignment horizontal="right"/>
    </xf>
    <xf numFmtId="0" fontId="2" fillId="0" borderId="0" xfId="0" applyFont="1"/>
    <xf numFmtId="0" fontId="0" fillId="0" borderId="0" xfId="0" applyNumberFormat="1"/>
    <xf numFmtId="0" fontId="1" fillId="0" borderId="0" xfId="0" applyFont="1" applyAlignment="1">
      <alignment wrapText="1"/>
    </xf>
    <xf numFmtId="11" fontId="0" fillId="0" borderId="0" xfId="0" applyNumberFormat="1" applyFill="1"/>
    <xf numFmtId="10" fontId="0" fillId="0" borderId="0" xfId="0" applyNumberFormat="1"/>
    <xf numFmtId="0" fontId="0" fillId="4" borderId="0" xfId="0" applyFill="1"/>
    <xf numFmtId="10" fontId="0" fillId="4" borderId="0" xfId="0" applyNumberFormat="1" applyFill="1"/>
    <xf numFmtId="0" fontId="8" fillId="0" borderId="0" xfId="6"/>
    <xf numFmtId="164" fontId="8" fillId="0" borderId="0" xfId="6" applyNumberFormat="1"/>
    <xf numFmtId="0" fontId="7" fillId="0" borderId="0" xfId="6" applyFont="1" applyAlignment="1">
      <alignment horizontal="center" wrapText="1"/>
    </xf>
    <xf numFmtId="0" fontId="9" fillId="0" borderId="0" xfId="6" applyFont="1" applyAlignment="1">
      <alignment horizontal="center" wrapText="1"/>
    </xf>
    <xf numFmtId="0" fontId="10" fillId="0" borderId="0" xfId="6" applyFont="1"/>
    <xf numFmtId="0" fontId="11" fillId="0" borderId="0" xfId="7" quotePrefix="1" applyAlignment="1" applyProtection="1">
      <alignment horizontal="left"/>
    </xf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Fill="1"/>
    <xf numFmtId="2" fontId="0" fillId="0" borderId="0" xfId="0" applyNumberFormat="1"/>
    <xf numFmtId="2" fontId="0" fillId="4" borderId="0" xfId="0" applyNumberFormat="1" applyFill="1"/>
    <xf numFmtId="9" fontId="0" fillId="0" borderId="0" xfId="2" applyFont="1" applyFill="1"/>
    <xf numFmtId="0" fontId="4" fillId="3" borderId="1" xfId="3" applyAlignment="1">
      <alignment wrapText="1"/>
    </xf>
    <xf numFmtId="0" fontId="8" fillId="5" borderId="0" xfId="6" applyFill="1"/>
    <xf numFmtId="43" fontId="0" fillId="0" borderId="0" xfId="1" applyFont="1"/>
    <xf numFmtId="11" fontId="0" fillId="7" borderId="0" xfId="0" applyNumberFormat="1" applyFill="1"/>
    <xf numFmtId="0" fontId="0" fillId="8" borderId="0" xfId="0" applyFill="1"/>
    <xf numFmtId="0" fontId="0" fillId="0" borderId="0" xfId="0" applyNumberFormat="1" applyFill="1"/>
    <xf numFmtId="0" fontId="0" fillId="9" borderId="0" xfId="0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3" fillId="0" borderId="0" xfId="8" quotePrefix="1" applyAlignment="1" applyProtection="1">
      <alignment horizontal="left"/>
    </xf>
    <xf numFmtId="0" fontId="12" fillId="5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2" fontId="0" fillId="7" borderId="0" xfId="0" applyNumberFormat="1" applyFill="1"/>
    <xf numFmtId="0" fontId="0" fillId="7" borderId="0" xfId="0" applyFill="1"/>
    <xf numFmtId="2" fontId="0" fillId="9" borderId="0" xfId="0" applyNumberFormat="1" applyFill="1"/>
    <xf numFmtId="165" fontId="8" fillId="0" borderId="0" xfId="6" applyNumberFormat="1"/>
  </cellXfs>
  <cellStyles count="9">
    <cellStyle name="Calculation" xfId="3" builtinId="22"/>
    <cellStyle name="Comma" xfId="1" builtinId="3"/>
    <cellStyle name="Hyperlink 2" xfId="4" xr:uid="{DE96E8A5-2855-44D9-A7E4-E9446A5F6F47}"/>
    <cellStyle name="Hyperlink 3" xfId="7" xr:uid="{60ADD6C5-5A79-4347-ACAE-2C02229580DD}"/>
    <cellStyle name="Hyperlink 4" xfId="8" xr:uid="{E1373530-24CE-4E07-BA5F-0B23D6EC5F5D}"/>
    <cellStyle name="Normal" xfId="0" builtinId="0"/>
    <cellStyle name="Normal 2" xfId="5" xr:uid="{B28DCEEB-DBE1-4D06-80A7-654670BAFA36}"/>
    <cellStyle name="Normal 3" xfId="6" xr:uid="{C35D72EE-2AC5-4787-8587-9F78517AA3B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'Natural Gas Prices'!$C$2</c:f>
              <c:strCache>
                <c:ptCount val="1"/>
                <c:pt idx="0">
                  <c:v>Pipeline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Prices'!$B$27:$B$55)</c:f>
              <c:numCache>
                <c:formatCode>General</c:formatCode>
                <c:ptCount val="4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('Natural Gas Prices'!$C$3:$C$22,'Natural Gas Prices'!$C$27:$C$55)</c:f>
              <c:numCache>
                <c:formatCode>General</c:formatCode>
                <c:ptCount val="49"/>
                <c:pt idx="0">
                  <c:v>4.2931799999999996</c:v>
                </c:pt>
                <c:pt idx="1">
                  <c:v>3.4428399999999995</c:v>
                </c:pt>
                <c:pt idx="2">
                  <c:v>5.8694199999999999</c:v>
                </c:pt>
                <c:pt idx="3">
                  <c:v>6.4086599999999994</c:v>
                </c:pt>
                <c:pt idx="4">
                  <c:v>8.0574899999999996</c:v>
                </c:pt>
                <c:pt idx="5">
                  <c:v>7.1552999999999995</c:v>
                </c:pt>
                <c:pt idx="6">
                  <c:v>7.2175199999999995</c:v>
                </c:pt>
                <c:pt idx="7">
                  <c:v>8.9389399999999988</c:v>
                </c:pt>
                <c:pt idx="8">
                  <c:v>4.5005799999999994</c:v>
                </c:pt>
                <c:pt idx="9">
                  <c:v>4.9257499999999999</c:v>
                </c:pt>
                <c:pt idx="10">
                  <c:v>4.5109499999999993</c:v>
                </c:pt>
                <c:pt idx="11">
                  <c:v>3.1939599999999997</c:v>
                </c:pt>
                <c:pt idx="12">
                  <c:v>4.2102199999999996</c:v>
                </c:pt>
                <c:pt idx="13">
                  <c:v>5.5998000000000001</c:v>
                </c:pt>
                <c:pt idx="14">
                  <c:v>3.0591499999999998</c:v>
                </c:pt>
                <c:pt idx="15">
                  <c:v>2.7273099999999997</c:v>
                </c:pt>
                <c:pt idx="16">
                  <c:v>3.3184</c:v>
                </c:pt>
                <c:pt idx="17">
                  <c:v>3.4635799999999994</c:v>
                </c:pt>
                <c:pt idx="18">
                  <c:v>2.7376800000000001</c:v>
                </c:pt>
                <c:pt idx="19">
                  <c:v>2.1776999999999997</c:v>
                </c:pt>
                <c:pt idx="20" formatCode="0.00">
                  <c:v>7.9294874251945107</c:v>
                </c:pt>
                <c:pt idx="21" formatCode="0.00">
                  <c:v>6.8283675287139509</c:v>
                </c:pt>
                <c:pt idx="22" formatCode="0.00">
                  <c:v>5.1587271515172555</c:v>
                </c:pt>
                <c:pt idx="23" formatCode="0.00">
                  <c:v>4.7967205895809988</c:v>
                </c:pt>
                <c:pt idx="24" formatCode="0.00">
                  <c:v>4.5857183463161908</c:v>
                </c:pt>
                <c:pt idx="25" formatCode="0.00">
                  <c:v>4.3747161030513828</c:v>
                </c:pt>
                <c:pt idx="26" formatCode="0.00">
                  <c:v>4.1637138597865739</c:v>
                </c:pt>
                <c:pt idx="27" formatCode="0.00">
                  <c:v>3.9527116165217664</c:v>
                </c:pt>
                <c:pt idx="28" formatCode="0.00">
                  <c:v>3.7417093732569575</c:v>
                </c:pt>
                <c:pt idx="29" formatCode="0.00">
                  <c:v>3.8140014951525849</c:v>
                </c:pt>
                <c:pt idx="30" formatCode="0.00">
                  <c:v>3.8553052854929399</c:v>
                </c:pt>
                <c:pt idx="31" formatCode="0.00">
                  <c:v>3.9672947552016504</c:v>
                </c:pt>
                <c:pt idx="32" formatCode="0.00">
                  <c:v>3.9682475798759014</c:v>
                </c:pt>
                <c:pt idx="33" formatCode="0.00">
                  <c:v>3.8911946468616532</c:v>
                </c:pt>
                <c:pt idx="34" formatCode="0.00">
                  <c:v>3.8480702216570575</c:v>
                </c:pt>
                <c:pt idx="35" formatCode="0.00">
                  <c:v>3.8498643585002301</c:v>
                </c:pt>
                <c:pt idx="36" formatCode="0.00">
                  <c:v>3.8844663576787037</c:v>
                </c:pt>
                <c:pt idx="37" formatCode="0.00">
                  <c:v>3.9146553322650801</c:v>
                </c:pt>
                <c:pt idx="38" formatCode="0.00">
                  <c:v>3.9500357108124384</c:v>
                </c:pt>
                <c:pt idx="39" formatCode="0.00">
                  <c:v>4.0129596781761787</c:v>
                </c:pt>
                <c:pt idx="40" formatCode="0.00">
                  <c:v>4.0321475576823271</c:v>
                </c:pt>
                <c:pt idx="41" formatCode="0.00">
                  <c:v>3.9631787292623604</c:v>
                </c:pt>
                <c:pt idx="42" formatCode="0.00">
                  <c:v>3.9317829906331614</c:v>
                </c:pt>
                <c:pt idx="43" formatCode="0.00">
                  <c:v>3.8308144895204794</c:v>
                </c:pt>
                <c:pt idx="44" formatCode="0.00">
                  <c:v>3.7818925181229615</c:v>
                </c:pt>
                <c:pt idx="45" formatCode="0.00">
                  <c:v>3.7542341045486172</c:v>
                </c:pt>
                <c:pt idx="46" formatCode="0.00">
                  <c:v>3.7455306087118618</c:v>
                </c:pt>
                <c:pt idx="47" formatCode="0.00">
                  <c:v>3.7578256904875951</c:v>
                </c:pt>
                <c:pt idx="48" formatCode="0.00">
                  <c:v>3.7643883670388667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2-4B8A-A05A-AD4BC5B2EDF6}"/>
            </c:ext>
          </c:extLst>
        </c:ser>
        <c:ser>
          <c:idx val="1"/>
          <c:order val="1"/>
          <c:tx>
            <c:strRef>
              <c:f>'Natural Gas Prices'!$D$2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Prices'!$B$27:$B$55)</c:f>
              <c:numCache>
                <c:formatCode>General</c:formatCode>
                <c:ptCount val="4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('Natural Gas Prices'!$D$3:$D$22,'Natural Gas Prices'!$D$27:$D$55)</c:f>
              <c:numCache>
                <c:formatCode>General</c:formatCode>
                <c:ptCount val="49"/>
                <c:pt idx="0">
                  <c:v>4.5628000000000002</c:v>
                </c:pt>
                <c:pt idx="1">
                  <c:v>4.2309599999999996</c:v>
                </c:pt>
                <c:pt idx="2">
                  <c:v>4.6353899999999992</c:v>
                </c:pt>
                <c:pt idx="3">
                  <c:v>5.1435199999999996</c:v>
                </c:pt>
                <c:pt idx="4">
                  <c:v>6.0042299999999997</c:v>
                </c:pt>
                <c:pt idx="5">
                  <c:v>6.2427399999999995</c:v>
                </c:pt>
                <c:pt idx="6">
                  <c:v>6.4605100000000002</c:v>
                </c:pt>
                <c:pt idx="7">
                  <c:v>7.9745299999999997</c:v>
                </c:pt>
                <c:pt idx="8">
                  <c:v>8.710799999999999</c:v>
                </c:pt>
                <c:pt idx="9">
                  <c:v>9.8826099999999979</c:v>
                </c:pt>
                <c:pt idx="10">
                  <c:v>10.929979999999999</c:v>
                </c:pt>
                <c:pt idx="11">
                  <c:v>13.29434</c:v>
                </c:pt>
                <c:pt idx="12">
                  <c:v>13.854319999999998</c:v>
                </c:pt>
                <c:pt idx="13">
                  <c:v>16.239419999999999</c:v>
                </c:pt>
                <c:pt idx="14">
                  <c:v>11.324039999999998</c:v>
                </c:pt>
                <c:pt idx="15">
                  <c:v>4.8842699999999999</c:v>
                </c:pt>
                <c:pt idx="16">
                  <c:v>4.8635299999999999</c:v>
                </c:pt>
                <c:pt idx="17">
                  <c:v>5.3923999999999994</c:v>
                </c:pt>
                <c:pt idx="18">
                  <c:v>5.4027699999999994</c:v>
                </c:pt>
                <c:pt idx="19">
                  <c:v>5.848679999999999</c:v>
                </c:pt>
                <c:pt idx="20" formatCode="0.00">
                  <c:v>14.932133624361477</c:v>
                </c:pt>
                <c:pt idx="21" formatCode="0.00">
                  <c:v>12.858598659358682</c:v>
                </c:pt>
                <c:pt idx="22" formatCode="0.00">
                  <c:v>9.7144744707363913</c:v>
                </c:pt>
                <c:pt idx="23" formatCode="0.00">
                  <c:v>9.0327746248481464</c:v>
                </c:pt>
                <c:pt idx="24" formatCode="0.00">
                  <c:v>8.6354332177025448</c:v>
                </c:pt>
                <c:pt idx="25" formatCode="0.00">
                  <c:v>8.2380918105569432</c:v>
                </c:pt>
                <c:pt idx="26" formatCode="0.00">
                  <c:v>7.8407504034113407</c:v>
                </c:pt>
                <c:pt idx="27" formatCode="0.00">
                  <c:v>7.443408996265739</c:v>
                </c:pt>
                <c:pt idx="28" formatCode="0.00">
                  <c:v>7.0460675891201365</c:v>
                </c:pt>
                <c:pt idx="29" formatCode="0.00">
                  <c:v>7.182201940087678</c:v>
                </c:pt>
                <c:pt idx="30" formatCode="0.00">
                  <c:v>7.2599817111476792</c:v>
                </c:pt>
                <c:pt idx="31" formatCode="0.00">
                  <c:v>7.470870717781148</c:v>
                </c:pt>
                <c:pt idx="32" formatCode="0.00">
                  <c:v>7.4726649958464986</c:v>
                </c:pt>
                <c:pt idx="33" formatCode="0.00">
                  <c:v>7.3275654919035302</c:v>
                </c:pt>
                <c:pt idx="34" formatCode="0.00">
                  <c:v>7.2463572567302448</c:v>
                </c:pt>
                <c:pt idx="35" formatCode="0.00">
                  <c:v>7.2497358220329051</c:v>
                </c:pt>
                <c:pt idx="36" formatCode="0.00">
                  <c:v>7.3148953522392786</c:v>
                </c:pt>
                <c:pt idx="37" formatCode="0.00">
                  <c:v>7.3717446513596645</c:v>
                </c:pt>
                <c:pt idx="38" formatCode="0.00">
                  <c:v>7.4383699591281154</c:v>
                </c:pt>
                <c:pt idx="39" formatCode="0.00">
                  <c:v>7.5568630014229994</c:v>
                </c:pt>
                <c:pt idx="40" formatCode="0.00">
                  <c:v>7.5929959776660301</c:v>
                </c:pt>
                <c:pt idx="41" formatCode="0.00">
                  <c:v>7.4631197691975686</c:v>
                </c:pt>
                <c:pt idx="42" formatCode="0.00">
                  <c:v>7.4039979950766863</c:v>
                </c:pt>
                <c:pt idx="43" formatCode="0.00">
                  <c:v>7.213862735428541</c:v>
                </c:pt>
                <c:pt idx="44" formatCode="0.00">
                  <c:v>7.121737056314168</c:v>
                </c:pt>
                <c:pt idx="45" formatCode="0.00">
                  <c:v>7.0696530936083652</c:v>
                </c:pt>
                <c:pt idx="46" formatCode="0.00">
                  <c:v>7.0532634134355243</c:v>
                </c:pt>
                <c:pt idx="47" formatCode="0.00">
                  <c:v>7.0764164615650129</c:v>
                </c:pt>
                <c:pt idx="48" formatCode="0.00">
                  <c:v>7.0887747336628646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2-4B8A-A05A-AD4BC5B2EDF6}"/>
            </c:ext>
          </c:extLst>
        </c:ser>
        <c:ser>
          <c:idx val="2"/>
          <c:order val="2"/>
          <c:tx>
            <c:strRef>
              <c:f>'Natural Gas Prices'!$E$2</c:f>
              <c:strCache>
                <c:ptCount val="1"/>
                <c:pt idx="0">
                  <c:v>Henry Hub Prices ($/mmbtu)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Prices'!$B$27:$B$55)</c:f>
              <c:numCache>
                <c:formatCode>General</c:formatCode>
                <c:ptCount val="4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('Natural Gas Prices'!$E$3:$E$22,'Natural Gas Prices'!$E$27:$E$55)</c:f>
              <c:numCache>
                <c:formatCode>General</c:formatCode>
                <c:ptCount val="49"/>
                <c:pt idx="0">
                  <c:v>3.96</c:v>
                </c:pt>
                <c:pt idx="1">
                  <c:v>3.38</c:v>
                </c:pt>
                <c:pt idx="2">
                  <c:v>5.47</c:v>
                </c:pt>
                <c:pt idx="3">
                  <c:v>5.89</c:v>
                </c:pt>
                <c:pt idx="4">
                  <c:v>8.69</c:v>
                </c:pt>
                <c:pt idx="5">
                  <c:v>6.73</c:v>
                </c:pt>
                <c:pt idx="6">
                  <c:v>6.97</c:v>
                </c:pt>
                <c:pt idx="7">
                  <c:v>8.86</c:v>
                </c:pt>
                <c:pt idx="8">
                  <c:v>3.94</c:v>
                </c:pt>
                <c:pt idx="9">
                  <c:v>4.37</c:v>
                </c:pt>
                <c:pt idx="10">
                  <c:v>4</c:v>
                </c:pt>
                <c:pt idx="11">
                  <c:v>2.75</c:v>
                </c:pt>
                <c:pt idx="12">
                  <c:v>3.73</c:v>
                </c:pt>
                <c:pt idx="13">
                  <c:v>4.37</c:v>
                </c:pt>
                <c:pt idx="14">
                  <c:v>2.62</c:v>
                </c:pt>
                <c:pt idx="15">
                  <c:v>2.52</c:v>
                </c:pt>
                <c:pt idx="16">
                  <c:v>2.99</c:v>
                </c:pt>
                <c:pt idx="17">
                  <c:v>3.15</c:v>
                </c:pt>
                <c:pt idx="18">
                  <c:v>2.56</c:v>
                </c:pt>
                <c:pt idx="19">
                  <c:v>2.0299999999999998</c:v>
                </c:pt>
                <c:pt idx="20" formatCode="0.00">
                  <c:v>7.1819588984960454</c:v>
                </c:pt>
                <c:pt idx="21" formatCode="0.00">
                  <c:v>6.1846437613646419</c:v>
                </c:pt>
                <c:pt idx="22" formatCode="0.00">
                  <c:v>4.672403698255903</c:v>
                </c:pt>
                <c:pt idx="23" formatCode="0.00">
                  <c:v>4.3445242138202138</c:v>
                </c:pt>
                <c:pt idx="24" formatCode="0.00">
                  <c:v>4.1534135710561708</c:v>
                </c:pt>
                <c:pt idx="25" formatCode="0.00">
                  <c:v>3.9623029282921283</c:v>
                </c:pt>
                <c:pt idx="26" formatCode="0.00">
                  <c:v>3.7711922855280857</c:v>
                </c:pt>
                <c:pt idx="27" formatCode="0.00">
                  <c:v>3.5800816427640432</c:v>
                </c:pt>
                <c:pt idx="28" formatCode="0.00">
                  <c:v>3.3889710000000002</c:v>
                </c:pt>
                <c:pt idx="29" formatCode="0.00">
                  <c:v>3.4544480000000002</c:v>
                </c:pt>
                <c:pt idx="30" formatCode="0.00">
                  <c:v>3.4918580000000001</c:v>
                </c:pt>
                <c:pt idx="31" formatCode="0.00">
                  <c:v>3.5932900000000001</c:v>
                </c:pt>
                <c:pt idx="32" formatCode="0.00">
                  <c:v>3.5941529999999999</c:v>
                </c:pt>
                <c:pt idx="33" formatCode="0.00">
                  <c:v>3.5243639999999998</c:v>
                </c:pt>
                <c:pt idx="34" formatCode="0.00">
                  <c:v>3.4853049999999999</c:v>
                </c:pt>
                <c:pt idx="35" formatCode="0.00">
                  <c:v>3.4869300000000001</c:v>
                </c:pt>
                <c:pt idx="36" formatCode="0.00">
                  <c:v>3.5182699999999998</c:v>
                </c:pt>
                <c:pt idx="37" formatCode="0.00">
                  <c:v>3.5456129999999999</c:v>
                </c:pt>
                <c:pt idx="38" formatCode="0.00">
                  <c:v>3.577658</c:v>
                </c:pt>
                <c:pt idx="39" formatCode="0.00">
                  <c:v>3.6346500000000002</c:v>
                </c:pt>
                <c:pt idx="40" formatCode="0.00">
                  <c:v>3.6520290000000002</c:v>
                </c:pt>
                <c:pt idx="41" formatCode="0.00">
                  <c:v>3.5895619999999999</c:v>
                </c:pt>
                <c:pt idx="42" formatCode="0.00">
                  <c:v>3.5611259999999998</c:v>
                </c:pt>
                <c:pt idx="43" formatCode="0.00">
                  <c:v>3.4696760000000002</c:v>
                </c:pt>
                <c:pt idx="44" formatCode="0.00">
                  <c:v>3.4253659999999999</c:v>
                </c:pt>
                <c:pt idx="45" formatCode="0.00">
                  <c:v>3.400315</c:v>
                </c:pt>
                <c:pt idx="46" formatCode="0.00">
                  <c:v>3.3924319999999999</c:v>
                </c:pt>
                <c:pt idx="47" formatCode="0.00">
                  <c:v>3.4035679999999999</c:v>
                </c:pt>
                <c:pt idx="48" formatCode="0.00">
                  <c:v>3.4095119999999999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2-4B8A-A05A-AD4BC5B2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465024"/>
        <c:axId val="573472928"/>
      </c:lineChart>
      <c:catAx>
        <c:axId val="5734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72928"/>
        <c:crosses val="autoZero"/>
        <c:auto val="1"/>
        <c:lblAlgn val="ctr"/>
        <c:lblOffset val="100"/>
        <c:noMultiLvlLbl val="0"/>
      </c:catAx>
      <c:valAx>
        <c:axId val="5734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23</xdr:row>
      <xdr:rowOff>33336</xdr:rowOff>
    </xdr:from>
    <xdr:to>
      <xdr:col>21</xdr:col>
      <xdr:colOff>419100</xdr:colOff>
      <xdr:row>45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FA67F-37E3-41D4-B8BF-CC0611857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lley/Dropbox%20(Energy%20Innovation)/PC%20(2)/Documents/GitHub_Repositories/eps-us/InputData/fuels/BFPaT/BAU%20Fuel%20Prices%20and%20Tax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texas/InputData/fuels/BFPaT/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2022 2"/>
      <sheetName val="AEO 2021 2"/>
      <sheetName val="Gas Futures"/>
      <sheetName val="Henry Hub Historicals"/>
      <sheetName val="NG Sector Price Historicals"/>
      <sheetName val="Historical Monthly Gas Cons"/>
      <sheetName val="NG Calcs"/>
      <sheetName val="AEO 2022 3"/>
      <sheetName val="AEO 2021 3"/>
      <sheetName val="AEO 2022 12"/>
      <sheetName val="AEO 2021 12"/>
      <sheetName val="AEO 2022 57"/>
      <sheetName val="AEO 2021 57"/>
      <sheetName val="AEO Table 57"/>
      <sheetName val="STEO"/>
      <sheetName val="Hard Coal and Lig Multipliers"/>
      <sheetName val="Hydrogen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>
        <row r="103">
          <cell r="A103">
            <v>0.84730412960844359</v>
          </cell>
        </row>
        <row r="104">
          <cell r="A104">
            <v>0.88711067149387013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N15">
            <v>0.92062879123815489</v>
          </cell>
        </row>
        <row r="16">
          <cell r="N16">
            <v>1.0036394752510358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Residential Sector"/>
      <sheetName val="Commercial Sector"/>
      <sheetName val="Industrial Sector"/>
      <sheetName val="Transportation Sector"/>
      <sheetName val="Electric Power Sector"/>
      <sheetName val="AEO Table 2"/>
      <sheetName val="AEO Table 3"/>
      <sheetName val="TX Natural Gas Prices"/>
      <sheetName val="TX Propane Prices"/>
      <sheetName val="TX Electricity Prices"/>
      <sheetName val="TX Petroleum Gasoline Prices"/>
      <sheetName val="TX Petroleum Diesel Prices"/>
      <sheetName val="TX Coal Prices"/>
      <sheetName val="TX_Multipliers"/>
      <sheetName val="AEO Table 12"/>
      <sheetName val="Coal Adjustment"/>
      <sheetName val="Hard Coal and Lig Multipliers"/>
      <sheetName val="Hydrogen"/>
      <sheetName val="Other Fuels"/>
      <sheetName val="AEO Table 58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lignite"/>
      <sheetName val="BFPaT-pretax-geothermal"/>
      <sheetName val="BFPaT-pretax-crude"/>
      <sheetName val="BFPaT-pretax-heavyfueloil"/>
      <sheetName val="BFPaT-pretax-lpgpropbut"/>
      <sheetName val="BFPaT-pretax-msw"/>
      <sheetName val="BFPaT-pretax-hydrogen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lignite"/>
      <sheetName val="BFPaT-fueltax-geothermal"/>
      <sheetName val="BFPaT-fueltax-crude"/>
      <sheetName val="BFPaT-fueltax-heavyfueloil"/>
      <sheetName val="BFPaT-fueltax-lpgpropbut"/>
      <sheetName val="BFPaT-fueltax-msw"/>
      <sheetName val="BFPaT-fueltax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5">
          <cell r="N15">
            <v>1.5381124263436692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F16" sqref="F16"/>
    </sheetView>
  </sheetViews>
  <sheetFormatPr defaultRowHeight="15" x14ac:dyDescent="0.25"/>
  <cols>
    <col min="1" max="1" width="47.140625" customWidth="1"/>
    <col min="2" max="2" width="34.85546875" customWidth="1"/>
  </cols>
  <sheetData>
    <row r="1" spans="1:3" x14ac:dyDescent="0.25">
      <c r="A1" s="1" t="s">
        <v>40</v>
      </c>
    </row>
    <row r="3" spans="1:3" x14ac:dyDescent="0.25">
      <c r="A3" s="1" t="s">
        <v>0</v>
      </c>
      <c r="B3" s="9" t="s">
        <v>69</v>
      </c>
    </row>
    <row r="4" spans="1:3" x14ac:dyDescent="0.25">
      <c r="A4" s="1" t="s">
        <v>1575</v>
      </c>
      <c r="B4" s="9"/>
    </row>
    <row r="5" spans="1:3" x14ac:dyDescent="0.25">
      <c r="A5" s="1"/>
      <c r="B5" s="9" t="s">
        <v>1576</v>
      </c>
      <c r="C5" t="s">
        <v>1390</v>
      </c>
    </row>
    <row r="6" spans="1:3" x14ac:dyDescent="0.25">
      <c r="A6" s="1"/>
      <c r="B6" s="9" t="s">
        <v>1577</v>
      </c>
      <c r="C6" t="s">
        <v>1573</v>
      </c>
    </row>
    <row r="7" spans="1:3" x14ac:dyDescent="0.25">
      <c r="A7" s="1"/>
      <c r="B7" s="9" t="s">
        <v>1579</v>
      </c>
      <c r="C7" t="s">
        <v>1578</v>
      </c>
    </row>
    <row r="8" spans="1:3" x14ac:dyDescent="0.25">
      <c r="B8" s="2" t="s">
        <v>1582</v>
      </c>
      <c r="C8" t="s">
        <v>1586</v>
      </c>
    </row>
    <row r="9" spans="1:3" x14ac:dyDescent="0.25">
      <c r="A9" s="1" t="s">
        <v>1</v>
      </c>
    </row>
    <row r="10" spans="1:3" x14ac:dyDescent="0.25">
      <c r="A10" t="s">
        <v>16</v>
      </c>
    </row>
    <row r="11" spans="1:3" x14ac:dyDescent="0.25">
      <c r="A11" t="s">
        <v>17</v>
      </c>
    </row>
    <row r="13" spans="1:3" x14ac:dyDescent="0.25">
      <c r="A13" t="s">
        <v>19</v>
      </c>
    </row>
    <row r="15" spans="1:3" x14ac:dyDescent="0.25">
      <c r="A15" t="s">
        <v>18</v>
      </c>
    </row>
    <row r="17" spans="1:2" x14ac:dyDescent="0.25">
      <c r="A17" s="1" t="s">
        <v>68</v>
      </c>
    </row>
    <row r="18" spans="1:2" x14ac:dyDescent="0.25">
      <c r="A18" t="s">
        <v>66</v>
      </c>
    </row>
    <row r="20" spans="1:2" x14ac:dyDescent="0.25">
      <c r="A20" s="1" t="s">
        <v>1607</v>
      </c>
    </row>
    <row r="21" spans="1:2" x14ac:dyDescent="0.25">
      <c r="A21" t="s">
        <v>1608</v>
      </c>
    </row>
    <row r="22" spans="1:2" x14ac:dyDescent="0.25">
      <c r="A22" t="s">
        <v>1640</v>
      </c>
    </row>
    <row r="23" spans="1:2" x14ac:dyDescent="0.25">
      <c r="A23" t="s">
        <v>1641</v>
      </c>
    </row>
    <row r="24" spans="1:2" x14ac:dyDescent="0.25">
      <c r="A24" t="s">
        <v>1642</v>
      </c>
    </row>
    <row r="25" spans="1:2" x14ac:dyDescent="0.25">
      <c r="A25" t="s">
        <v>1609</v>
      </c>
    </row>
    <row r="27" spans="1:2" x14ac:dyDescent="0.25">
      <c r="A27" t="s">
        <v>1597</v>
      </c>
      <c r="B27">
        <v>1.0369999999999999</v>
      </c>
    </row>
    <row r="28" spans="1:2" x14ac:dyDescent="0.25">
      <c r="A28" t="s">
        <v>1605</v>
      </c>
      <c r="B28">
        <v>0.88700000000000001</v>
      </c>
    </row>
    <row r="29" spans="1:2" x14ac:dyDescent="0.25">
      <c r="A29" t="s">
        <v>1632</v>
      </c>
      <c r="B29">
        <f>0.847</f>
        <v>0.84699999999999998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411F-5BA3-4058-8D29-17C8A1D9A34E}">
  <dimension ref="A1:AM47"/>
  <sheetViews>
    <sheetView workbookViewId="0">
      <selection activeCell="A10" sqref="A10"/>
    </sheetView>
  </sheetViews>
  <sheetFormatPr defaultRowHeight="15" x14ac:dyDescent="0.25"/>
  <cols>
    <col min="1" max="1" width="44.28515625" customWidth="1"/>
  </cols>
  <sheetData>
    <row r="1" spans="1:37" x14ac:dyDescent="0.25">
      <c r="A1" t="s">
        <v>1574</v>
      </c>
    </row>
    <row r="2" spans="1:37" x14ac:dyDescent="0.25">
      <c r="A2" t="s">
        <v>1573</v>
      </c>
    </row>
    <row r="3" spans="1:37" x14ac:dyDescent="0.25">
      <c r="A3" t="s">
        <v>1572</v>
      </c>
    </row>
    <row r="4" spans="1:37" x14ac:dyDescent="0.25">
      <c r="A4" t="s">
        <v>1392</v>
      </c>
    </row>
    <row r="5" spans="1:37" x14ac:dyDescent="0.25">
      <c r="B5" t="s">
        <v>1393</v>
      </c>
      <c r="C5" t="s">
        <v>1394</v>
      </c>
      <c r="D5" t="s">
        <v>1395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1396</v>
      </c>
    </row>
    <row r="6" spans="1:37" x14ac:dyDescent="0.25">
      <c r="A6" t="s">
        <v>1571</v>
      </c>
      <c r="C6" t="s">
        <v>1570</v>
      </c>
    </row>
    <row r="7" spans="1:37" x14ac:dyDescent="0.25">
      <c r="A7" t="s">
        <v>1569</v>
      </c>
      <c r="B7" t="s">
        <v>1568</v>
      </c>
      <c r="C7" t="s">
        <v>1567</v>
      </c>
      <c r="D7" t="s">
        <v>1402</v>
      </c>
      <c r="F7">
        <v>33.890735999999997</v>
      </c>
      <c r="G7">
        <v>32.309691999999998</v>
      </c>
      <c r="H7">
        <v>32.780650999999999</v>
      </c>
      <c r="I7">
        <v>34.022060000000003</v>
      </c>
      <c r="J7">
        <v>34.964745000000001</v>
      </c>
      <c r="K7">
        <v>36.261744999999998</v>
      </c>
      <c r="L7">
        <v>36.885249999999999</v>
      </c>
      <c r="M7">
        <v>37.021377999999999</v>
      </c>
      <c r="N7">
        <v>37.196350000000002</v>
      </c>
      <c r="O7">
        <v>37.544429999999998</v>
      </c>
      <c r="P7">
        <v>37.881168000000002</v>
      </c>
      <c r="Q7">
        <v>38.134372999999997</v>
      </c>
      <c r="R7">
        <v>38.298533999999997</v>
      </c>
      <c r="S7">
        <v>38.468994000000002</v>
      </c>
      <c r="T7">
        <v>38.611877</v>
      </c>
      <c r="U7">
        <v>38.613323000000001</v>
      </c>
      <c r="V7">
        <v>38.774208000000002</v>
      </c>
      <c r="W7">
        <v>38.983142999999998</v>
      </c>
      <c r="X7">
        <v>39.289341</v>
      </c>
      <c r="Y7">
        <v>39.585915</v>
      </c>
      <c r="Z7">
        <v>39.916763000000003</v>
      </c>
      <c r="AA7">
        <v>40.111533999999999</v>
      </c>
      <c r="AB7">
        <v>40.487704999999998</v>
      </c>
      <c r="AC7">
        <v>40.920616000000003</v>
      </c>
      <c r="AD7">
        <v>41.286839000000001</v>
      </c>
      <c r="AE7">
        <v>41.538970999999997</v>
      </c>
      <c r="AF7">
        <v>41.804253000000003</v>
      </c>
      <c r="AG7">
        <v>42.065693000000003</v>
      </c>
      <c r="AH7">
        <v>42.392257999999998</v>
      </c>
      <c r="AI7">
        <v>42.658816999999999</v>
      </c>
      <c r="AJ7">
        <v>42.992820999999999</v>
      </c>
      <c r="AK7" s="13">
        <v>8.0000000000000002E-3</v>
      </c>
    </row>
    <row r="8" spans="1:37" x14ac:dyDescent="0.25">
      <c r="A8" t="s">
        <v>1566</v>
      </c>
      <c r="B8" t="s">
        <v>1565</v>
      </c>
      <c r="C8" t="s">
        <v>1564</v>
      </c>
      <c r="D8" t="s">
        <v>1402</v>
      </c>
      <c r="F8">
        <v>6.5350000000000005E-2</v>
      </c>
      <c r="G8">
        <v>6.0940000000000001E-2</v>
      </c>
      <c r="H8">
        <v>6.1171999999999997E-2</v>
      </c>
      <c r="I8">
        <v>6.1404E-2</v>
      </c>
      <c r="J8">
        <v>6.1636000000000003E-2</v>
      </c>
      <c r="K8">
        <v>6.1866999999999998E-2</v>
      </c>
      <c r="L8">
        <v>6.2099000000000001E-2</v>
      </c>
      <c r="M8">
        <v>6.2099000000000001E-2</v>
      </c>
      <c r="N8">
        <v>6.2099000000000001E-2</v>
      </c>
      <c r="O8">
        <v>6.2099000000000001E-2</v>
      </c>
      <c r="P8">
        <v>6.2099000000000001E-2</v>
      </c>
      <c r="Q8">
        <v>6.2099000000000001E-2</v>
      </c>
      <c r="R8">
        <v>6.2099000000000001E-2</v>
      </c>
      <c r="S8">
        <v>6.2099000000000001E-2</v>
      </c>
      <c r="T8">
        <v>6.2099000000000001E-2</v>
      </c>
      <c r="U8">
        <v>6.2099000000000001E-2</v>
      </c>
      <c r="V8">
        <v>6.2099000000000001E-2</v>
      </c>
      <c r="W8">
        <v>6.2099000000000001E-2</v>
      </c>
      <c r="X8">
        <v>6.2099000000000001E-2</v>
      </c>
      <c r="Y8">
        <v>6.2099000000000001E-2</v>
      </c>
      <c r="Z8">
        <v>6.2099000000000001E-2</v>
      </c>
      <c r="AA8">
        <v>6.2099000000000001E-2</v>
      </c>
      <c r="AB8">
        <v>6.2099000000000001E-2</v>
      </c>
      <c r="AC8">
        <v>6.2099000000000001E-2</v>
      </c>
      <c r="AD8">
        <v>6.2099000000000001E-2</v>
      </c>
      <c r="AE8">
        <v>6.2099000000000001E-2</v>
      </c>
      <c r="AF8">
        <v>6.2099000000000001E-2</v>
      </c>
      <c r="AG8">
        <v>6.2099000000000001E-2</v>
      </c>
      <c r="AH8">
        <v>6.2099000000000001E-2</v>
      </c>
      <c r="AI8">
        <v>6.2099000000000001E-2</v>
      </c>
      <c r="AJ8">
        <v>6.2099000000000001E-2</v>
      </c>
      <c r="AK8" s="13">
        <v>-2E-3</v>
      </c>
    </row>
    <row r="9" spans="1:37" x14ac:dyDescent="0.25">
      <c r="A9" t="s">
        <v>1425</v>
      </c>
      <c r="B9" t="s">
        <v>1563</v>
      </c>
      <c r="C9" t="s">
        <v>1562</v>
      </c>
      <c r="D9" t="s">
        <v>1402</v>
      </c>
      <c r="F9">
        <v>-2.6705510000000001</v>
      </c>
      <c r="G9">
        <v>-3.6498659999999998</v>
      </c>
      <c r="H9">
        <v>-3.8404180000000001</v>
      </c>
      <c r="I9">
        <v>-4.2436400000000001</v>
      </c>
      <c r="J9">
        <v>-4.8462230000000002</v>
      </c>
      <c r="K9">
        <v>-5.3206860000000002</v>
      </c>
      <c r="L9">
        <v>-5.5509170000000001</v>
      </c>
      <c r="M9">
        <v>-5.669797</v>
      </c>
      <c r="N9">
        <v>-5.930669</v>
      </c>
      <c r="O9">
        <v>-6.238175</v>
      </c>
      <c r="P9">
        <v>-6.6881560000000002</v>
      </c>
      <c r="Q9">
        <v>-6.812176</v>
      </c>
      <c r="R9">
        <v>-6.8923959999999997</v>
      </c>
      <c r="S9">
        <v>-7.0067969999999997</v>
      </c>
      <c r="T9">
        <v>-7.0293109999999999</v>
      </c>
      <c r="U9">
        <v>-7.0278879999999999</v>
      </c>
      <c r="V9">
        <v>-7.0642670000000001</v>
      </c>
      <c r="W9">
        <v>-7.0534689999999998</v>
      </c>
      <c r="X9">
        <v>-7.0463360000000002</v>
      </c>
      <c r="Y9">
        <v>-7.0602029999999996</v>
      </c>
      <c r="Z9">
        <v>-7.0926559999999998</v>
      </c>
      <c r="AA9">
        <v>-7.0837260000000004</v>
      </c>
      <c r="AB9">
        <v>-7.1271880000000003</v>
      </c>
      <c r="AC9">
        <v>-7.1652610000000001</v>
      </c>
      <c r="AD9">
        <v>-7.2373159999999999</v>
      </c>
      <c r="AE9">
        <v>-7.2476380000000002</v>
      </c>
      <c r="AF9">
        <v>-7.2954629999999998</v>
      </c>
      <c r="AG9">
        <v>-7.3286949999999997</v>
      </c>
      <c r="AH9">
        <v>-7.3930709999999999</v>
      </c>
      <c r="AI9">
        <v>-7.3881079999999999</v>
      </c>
      <c r="AJ9">
        <v>-7.4032249999999999</v>
      </c>
      <c r="AK9" s="13">
        <v>3.5000000000000003E-2</v>
      </c>
    </row>
    <row r="10" spans="1:37" x14ac:dyDescent="0.25">
      <c r="A10" t="s">
        <v>1561</v>
      </c>
      <c r="B10" t="s">
        <v>1560</v>
      </c>
      <c r="C10" t="s">
        <v>1559</v>
      </c>
      <c r="D10" t="s">
        <v>1402</v>
      </c>
      <c r="F10">
        <v>-0.42102899999999999</v>
      </c>
      <c r="G10">
        <v>-0.54625699999999999</v>
      </c>
      <c r="H10">
        <v>-0.79140699999999997</v>
      </c>
      <c r="I10">
        <v>-1.1554990000000001</v>
      </c>
      <c r="J10">
        <v>-1.383807</v>
      </c>
      <c r="K10">
        <v>-1.301577</v>
      </c>
      <c r="L10">
        <v>-1.202922</v>
      </c>
      <c r="M10">
        <v>-1.321801</v>
      </c>
      <c r="N10">
        <v>-1.4705509999999999</v>
      </c>
      <c r="O10">
        <v>-1.590179</v>
      </c>
      <c r="P10">
        <v>-1.84016</v>
      </c>
      <c r="Q10">
        <v>-1.8641810000000001</v>
      </c>
      <c r="R10">
        <v>-1.932277</v>
      </c>
      <c r="S10">
        <v>-2.0588009999999999</v>
      </c>
      <c r="T10">
        <v>-2.081315</v>
      </c>
      <c r="U10">
        <v>-2.0798930000000002</v>
      </c>
      <c r="V10">
        <v>-2.1041479999999999</v>
      </c>
      <c r="W10">
        <v>-2.1054740000000001</v>
      </c>
      <c r="X10">
        <v>-2.0983399999999999</v>
      </c>
      <c r="Y10">
        <v>-2.1122070000000002</v>
      </c>
      <c r="Z10">
        <v>-2.132536</v>
      </c>
      <c r="AA10">
        <v>-2.1357300000000001</v>
      </c>
      <c r="AB10">
        <v>-2.179192</v>
      </c>
      <c r="AC10">
        <v>-2.2172649999999998</v>
      </c>
      <c r="AD10">
        <v>-2.2771970000000001</v>
      </c>
      <c r="AE10">
        <v>-2.299642</v>
      </c>
      <c r="AF10">
        <v>-2.347467</v>
      </c>
      <c r="AG10">
        <v>-2.3806989999999999</v>
      </c>
      <c r="AH10">
        <v>-2.4329519999999998</v>
      </c>
      <c r="AI10">
        <v>-2.4401120000000001</v>
      </c>
      <c r="AJ10">
        <v>-2.4552290000000001</v>
      </c>
      <c r="AK10" s="13">
        <v>6.0999999999999999E-2</v>
      </c>
    </row>
    <row r="11" spans="1:37" x14ac:dyDescent="0.25">
      <c r="A11" t="s">
        <v>1434</v>
      </c>
      <c r="B11" t="s">
        <v>1558</v>
      </c>
      <c r="C11" t="s">
        <v>1557</v>
      </c>
      <c r="D11" t="s">
        <v>1402</v>
      </c>
      <c r="F11">
        <v>-2.2495210000000001</v>
      </c>
      <c r="G11">
        <v>-3.1036100000000002</v>
      </c>
      <c r="H11">
        <v>-3.0490119999999998</v>
      </c>
      <c r="I11">
        <v>-3.0881400000000001</v>
      </c>
      <c r="J11">
        <v>-3.4624169999999999</v>
      </c>
      <c r="K11">
        <v>-4.0191090000000003</v>
      </c>
      <c r="L11">
        <v>-4.3479960000000002</v>
      </c>
      <c r="M11">
        <v>-4.3479960000000002</v>
      </c>
      <c r="N11">
        <v>-4.4601189999999997</v>
      </c>
      <c r="O11">
        <v>-4.647996</v>
      </c>
      <c r="P11">
        <v>-4.8479960000000002</v>
      </c>
      <c r="Q11">
        <v>-4.9479959999999998</v>
      </c>
      <c r="R11">
        <v>-4.9601189999999997</v>
      </c>
      <c r="S11">
        <v>-4.9479959999999998</v>
      </c>
      <c r="T11">
        <v>-4.9479959999999998</v>
      </c>
      <c r="U11">
        <v>-4.9479959999999998</v>
      </c>
      <c r="V11">
        <v>-4.9601189999999997</v>
      </c>
      <c r="W11">
        <v>-4.9479959999999998</v>
      </c>
      <c r="X11">
        <v>-4.9479959999999998</v>
      </c>
      <c r="Y11">
        <v>-4.9479959999999998</v>
      </c>
      <c r="Z11">
        <v>-4.9601189999999997</v>
      </c>
      <c r="AA11">
        <v>-4.9479959999999998</v>
      </c>
      <c r="AB11">
        <v>-4.9479959999999998</v>
      </c>
      <c r="AC11">
        <v>-4.9479959999999998</v>
      </c>
      <c r="AD11">
        <v>-4.9601189999999997</v>
      </c>
      <c r="AE11">
        <v>-4.9479959999999998</v>
      </c>
      <c r="AF11">
        <v>-4.9479959999999998</v>
      </c>
      <c r="AG11">
        <v>-4.9479959999999998</v>
      </c>
      <c r="AH11">
        <v>-4.9601189999999997</v>
      </c>
      <c r="AI11">
        <v>-4.9479959999999998</v>
      </c>
      <c r="AJ11">
        <v>-4.9479959999999998</v>
      </c>
      <c r="AK11" s="13">
        <v>2.7E-2</v>
      </c>
    </row>
    <row r="12" spans="1:37" x14ac:dyDescent="0.25">
      <c r="A12" t="s">
        <v>1556</v>
      </c>
      <c r="B12" t="s">
        <v>1555</v>
      </c>
      <c r="C12" t="s">
        <v>1554</v>
      </c>
      <c r="D12" t="s">
        <v>1402</v>
      </c>
      <c r="F12">
        <v>31.285533999999998</v>
      </c>
      <c r="G12">
        <v>28.720766000000001</v>
      </c>
      <c r="H12">
        <v>29.001405999999999</v>
      </c>
      <c r="I12">
        <v>29.839825000000001</v>
      </c>
      <c r="J12">
        <v>30.180154999999999</v>
      </c>
      <c r="K12">
        <v>31.002925999999999</v>
      </c>
      <c r="L12">
        <v>31.396432999999998</v>
      </c>
      <c r="M12">
        <v>31.413681</v>
      </c>
      <c r="N12">
        <v>31.327780000000001</v>
      </c>
      <c r="O12">
        <v>31.368355000000001</v>
      </c>
      <c r="P12">
        <v>31.255112</v>
      </c>
      <c r="Q12">
        <v>31.384295999999999</v>
      </c>
      <c r="R12">
        <v>31.468239000000001</v>
      </c>
      <c r="S12">
        <v>31.524296</v>
      </c>
      <c r="T12">
        <v>31.644665</v>
      </c>
      <c r="U12">
        <v>31.647532999999999</v>
      </c>
      <c r="V12">
        <v>31.772041000000002</v>
      </c>
      <c r="W12">
        <v>31.991773999999999</v>
      </c>
      <c r="X12">
        <v>32.305103000000003</v>
      </c>
      <c r="Y12">
        <v>32.587811000000002</v>
      </c>
      <c r="Z12">
        <v>32.886208000000003</v>
      </c>
      <c r="AA12">
        <v>33.089908999999999</v>
      </c>
      <c r="AB12">
        <v>33.422615</v>
      </c>
      <c r="AC12">
        <v>33.817455000000002</v>
      </c>
      <c r="AD12">
        <v>34.111621999999997</v>
      </c>
      <c r="AE12">
        <v>34.353431999999998</v>
      </c>
      <c r="AF12">
        <v>34.570889000000001</v>
      </c>
      <c r="AG12">
        <v>34.799098999999998</v>
      </c>
      <c r="AH12">
        <v>35.061287</v>
      </c>
      <c r="AI12">
        <v>35.332808999999997</v>
      </c>
      <c r="AJ12">
        <v>35.651694999999997</v>
      </c>
      <c r="AK12" s="13">
        <v>4.0000000000000001E-3</v>
      </c>
    </row>
    <row r="13" spans="1:37" x14ac:dyDescent="0.25">
      <c r="A13" t="s">
        <v>1553</v>
      </c>
      <c r="B13" t="s">
        <v>1552</v>
      </c>
      <c r="C13" t="s">
        <v>1551</v>
      </c>
      <c r="D13" t="s">
        <v>1402</v>
      </c>
      <c r="F13">
        <v>30.759627999999999</v>
      </c>
      <c r="G13">
        <v>28.969814</v>
      </c>
      <c r="H13">
        <v>29.133206999999999</v>
      </c>
      <c r="I13">
        <v>29.864118999999999</v>
      </c>
      <c r="J13">
        <v>30.095409</v>
      </c>
      <c r="K13">
        <v>30.814250999999999</v>
      </c>
      <c r="L13">
        <v>31.112348999999998</v>
      </c>
      <c r="M13">
        <v>31.129002</v>
      </c>
      <c r="N13">
        <v>31.027622000000001</v>
      </c>
      <c r="O13">
        <v>31.079346000000001</v>
      </c>
      <c r="P13">
        <v>30.969501000000001</v>
      </c>
      <c r="Q13">
        <v>31.118366000000002</v>
      </c>
      <c r="R13">
        <v>31.182736999999999</v>
      </c>
      <c r="S13">
        <v>31.255699</v>
      </c>
      <c r="T13">
        <v>31.386862000000001</v>
      </c>
      <c r="U13">
        <v>31.384893000000002</v>
      </c>
      <c r="V13">
        <v>31.516622999999999</v>
      </c>
      <c r="W13">
        <v>31.740518999999999</v>
      </c>
      <c r="X13">
        <v>32.048031000000002</v>
      </c>
      <c r="Y13">
        <v>32.346977000000003</v>
      </c>
      <c r="Z13">
        <v>32.653407999999999</v>
      </c>
      <c r="AA13">
        <v>32.848422999999997</v>
      </c>
      <c r="AB13">
        <v>33.185111999999997</v>
      </c>
      <c r="AC13">
        <v>33.583419999999997</v>
      </c>
      <c r="AD13">
        <v>33.875362000000003</v>
      </c>
      <c r="AE13">
        <v>34.116329</v>
      </c>
      <c r="AF13">
        <v>34.339633999999997</v>
      </c>
      <c r="AG13">
        <v>34.553958999999999</v>
      </c>
      <c r="AH13">
        <v>34.812854999999999</v>
      </c>
      <c r="AI13">
        <v>35.075023999999999</v>
      </c>
      <c r="AJ13">
        <v>35.391342000000002</v>
      </c>
      <c r="AK13" s="13">
        <v>5.0000000000000001E-3</v>
      </c>
    </row>
    <row r="14" spans="1:37" x14ac:dyDescent="0.25">
      <c r="A14" t="s">
        <v>1488</v>
      </c>
      <c r="B14" t="s">
        <v>1550</v>
      </c>
      <c r="C14" t="s">
        <v>1549</v>
      </c>
      <c r="D14" t="s">
        <v>1402</v>
      </c>
      <c r="F14">
        <v>4.7828200000000001</v>
      </c>
      <c r="G14">
        <v>4.6596570000000002</v>
      </c>
      <c r="H14">
        <v>4.7915460000000003</v>
      </c>
      <c r="I14">
        <v>4.7841259999999997</v>
      </c>
      <c r="J14">
        <v>4.785736</v>
      </c>
      <c r="K14">
        <v>4.781549</v>
      </c>
      <c r="L14">
        <v>4.7701289999999998</v>
      </c>
      <c r="M14">
        <v>4.757244</v>
      </c>
      <c r="N14">
        <v>4.7461719999999996</v>
      </c>
      <c r="O14">
        <v>4.7354560000000001</v>
      </c>
      <c r="P14">
        <v>4.7196879999999997</v>
      </c>
      <c r="Q14">
        <v>4.7082889999999997</v>
      </c>
      <c r="R14">
        <v>4.6997609999999996</v>
      </c>
      <c r="S14">
        <v>4.6915529999999999</v>
      </c>
      <c r="T14">
        <v>4.683408</v>
      </c>
      <c r="U14">
        <v>4.6777740000000003</v>
      </c>
      <c r="V14">
        <v>4.6733390000000004</v>
      </c>
      <c r="W14">
        <v>4.6689809999999996</v>
      </c>
      <c r="X14">
        <v>4.6649589999999996</v>
      </c>
      <c r="Y14">
        <v>4.6612280000000004</v>
      </c>
      <c r="Z14">
        <v>4.6592630000000002</v>
      </c>
      <c r="AA14">
        <v>4.6572339999999999</v>
      </c>
      <c r="AB14">
        <v>4.6556470000000001</v>
      </c>
      <c r="AC14">
        <v>4.6542440000000003</v>
      </c>
      <c r="AD14">
        <v>4.6538490000000001</v>
      </c>
      <c r="AE14">
        <v>4.6528790000000004</v>
      </c>
      <c r="AF14">
        <v>4.6522269999999999</v>
      </c>
      <c r="AG14">
        <v>4.6506920000000003</v>
      </c>
      <c r="AH14">
        <v>4.64872</v>
      </c>
      <c r="AI14">
        <v>4.6455820000000001</v>
      </c>
      <c r="AJ14">
        <v>4.6423579999999998</v>
      </c>
      <c r="AK14" s="13">
        <v>-1E-3</v>
      </c>
    </row>
    <row r="15" spans="1:37" x14ac:dyDescent="0.25">
      <c r="A15" t="s">
        <v>1485</v>
      </c>
      <c r="B15" t="s">
        <v>1548</v>
      </c>
      <c r="C15" t="s">
        <v>1547</v>
      </c>
      <c r="D15" t="s">
        <v>1402</v>
      </c>
      <c r="F15">
        <v>3.1886800000000002</v>
      </c>
      <c r="G15">
        <v>3.2936350000000001</v>
      </c>
      <c r="H15">
        <v>3.2661410000000002</v>
      </c>
      <c r="I15">
        <v>3.3721369999999999</v>
      </c>
      <c r="J15">
        <v>3.4352849999999999</v>
      </c>
      <c r="K15">
        <v>3.4919349999999998</v>
      </c>
      <c r="L15">
        <v>3.4982850000000001</v>
      </c>
      <c r="M15">
        <v>3.5002629999999999</v>
      </c>
      <c r="N15">
        <v>3.5014189999999998</v>
      </c>
      <c r="O15">
        <v>3.50007</v>
      </c>
      <c r="P15">
        <v>3.491981</v>
      </c>
      <c r="Q15">
        <v>3.4930289999999999</v>
      </c>
      <c r="R15">
        <v>3.4980329999999999</v>
      </c>
      <c r="S15">
        <v>3.502732</v>
      </c>
      <c r="T15">
        <v>3.5068510000000002</v>
      </c>
      <c r="U15">
        <v>3.513099</v>
      </c>
      <c r="V15">
        <v>3.520664</v>
      </c>
      <c r="W15">
        <v>3.5274679999999998</v>
      </c>
      <c r="X15">
        <v>3.5332309999999998</v>
      </c>
      <c r="Y15">
        <v>3.5384099999999998</v>
      </c>
      <c r="Z15">
        <v>3.5444360000000001</v>
      </c>
      <c r="AA15">
        <v>3.5514359999999998</v>
      </c>
      <c r="AB15">
        <v>3.5586980000000001</v>
      </c>
      <c r="AC15">
        <v>3.56541</v>
      </c>
      <c r="AD15">
        <v>3.5726580000000001</v>
      </c>
      <c r="AE15">
        <v>3.5780470000000002</v>
      </c>
      <c r="AF15">
        <v>3.5831460000000002</v>
      </c>
      <c r="AG15">
        <v>3.5866889999999998</v>
      </c>
      <c r="AH15">
        <v>3.5889899999999999</v>
      </c>
      <c r="AI15">
        <v>3.5895890000000001</v>
      </c>
      <c r="AJ15">
        <v>3.5891899999999999</v>
      </c>
      <c r="AK15" s="13">
        <v>4.0000000000000001E-3</v>
      </c>
    </row>
    <row r="16" spans="1:37" x14ac:dyDescent="0.25">
      <c r="A16" t="s">
        <v>1482</v>
      </c>
      <c r="B16" t="s">
        <v>1546</v>
      </c>
      <c r="C16" t="s">
        <v>1545</v>
      </c>
      <c r="D16" t="s">
        <v>1402</v>
      </c>
      <c r="F16">
        <v>10.307473999999999</v>
      </c>
      <c r="G16">
        <v>10.324541999999999</v>
      </c>
      <c r="H16">
        <v>10.423318999999999</v>
      </c>
      <c r="I16">
        <v>10.710521</v>
      </c>
      <c r="J16">
        <v>11.029292</v>
      </c>
      <c r="K16">
        <v>11.326619000000001</v>
      </c>
      <c r="L16">
        <v>11.520507</v>
      </c>
      <c r="M16">
        <v>11.549958</v>
      </c>
      <c r="N16">
        <v>11.634205</v>
      </c>
      <c r="O16">
        <v>11.729107000000001</v>
      </c>
      <c r="P16">
        <v>11.808909999999999</v>
      </c>
      <c r="Q16">
        <v>11.905671999999999</v>
      </c>
      <c r="R16">
        <v>11.966723</v>
      </c>
      <c r="S16">
        <v>12.03717</v>
      </c>
      <c r="T16">
        <v>12.138468</v>
      </c>
      <c r="U16">
        <v>12.221152999999999</v>
      </c>
      <c r="V16">
        <v>12.301403000000001</v>
      </c>
      <c r="W16">
        <v>12.389917000000001</v>
      </c>
      <c r="X16">
        <v>12.489611999999999</v>
      </c>
      <c r="Y16">
        <v>12.605134</v>
      </c>
      <c r="Z16">
        <v>12.706348999999999</v>
      </c>
      <c r="AA16">
        <v>12.799595</v>
      </c>
      <c r="AB16">
        <v>12.950118</v>
      </c>
      <c r="AC16">
        <v>13.115741999999999</v>
      </c>
      <c r="AD16">
        <v>13.225972000000001</v>
      </c>
      <c r="AE16">
        <v>13.295372</v>
      </c>
      <c r="AF16">
        <v>13.432309999999999</v>
      </c>
      <c r="AG16">
        <v>13.543573</v>
      </c>
      <c r="AH16">
        <v>13.651255000000001</v>
      </c>
      <c r="AI16">
        <v>13.769857</v>
      </c>
      <c r="AJ16">
        <v>13.904431000000001</v>
      </c>
      <c r="AK16" s="13">
        <v>0.01</v>
      </c>
    </row>
    <row r="17" spans="1:39" x14ac:dyDescent="0.25">
      <c r="A17" t="s">
        <v>1544</v>
      </c>
      <c r="B17" t="s">
        <v>1543</v>
      </c>
      <c r="C17" t="s">
        <v>1542</v>
      </c>
      <c r="D17" t="s">
        <v>1402</v>
      </c>
      <c r="F17">
        <v>8.1618849999999998</v>
      </c>
      <c r="G17">
        <v>8.1039750000000002</v>
      </c>
      <c r="H17">
        <v>8.1403680000000005</v>
      </c>
      <c r="I17">
        <v>8.3639980000000005</v>
      </c>
      <c r="J17">
        <v>8.6115490000000001</v>
      </c>
      <c r="K17">
        <v>8.7746980000000008</v>
      </c>
      <c r="L17">
        <v>8.8861930000000005</v>
      </c>
      <c r="M17">
        <v>8.9008660000000006</v>
      </c>
      <c r="N17">
        <v>8.9501279999999994</v>
      </c>
      <c r="O17">
        <v>8.9996840000000002</v>
      </c>
      <c r="P17">
        <v>9.019031</v>
      </c>
      <c r="Q17">
        <v>9.0754999999999999</v>
      </c>
      <c r="R17">
        <v>9.1153150000000007</v>
      </c>
      <c r="S17">
        <v>9.1527189999999994</v>
      </c>
      <c r="T17">
        <v>9.2304589999999997</v>
      </c>
      <c r="U17">
        <v>9.3119289999999992</v>
      </c>
      <c r="V17">
        <v>9.3895350000000004</v>
      </c>
      <c r="W17">
        <v>9.4713440000000002</v>
      </c>
      <c r="X17">
        <v>9.5639219999999998</v>
      </c>
      <c r="Y17">
        <v>9.6614810000000002</v>
      </c>
      <c r="Z17">
        <v>9.7406179999999996</v>
      </c>
      <c r="AA17">
        <v>9.8215620000000001</v>
      </c>
      <c r="AB17">
        <v>9.945354</v>
      </c>
      <c r="AC17">
        <v>10.071958</v>
      </c>
      <c r="AD17">
        <v>10.160589</v>
      </c>
      <c r="AE17">
        <v>10.231680000000001</v>
      </c>
      <c r="AF17">
        <v>10.348585</v>
      </c>
      <c r="AG17">
        <v>10.451378999999999</v>
      </c>
      <c r="AH17">
        <v>10.545999999999999</v>
      </c>
      <c r="AI17">
        <v>10.665246</v>
      </c>
      <c r="AJ17">
        <v>10.796975</v>
      </c>
      <c r="AK17" s="13">
        <v>8.9999999999999993E-3</v>
      </c>
    </row>
    <row r="18" spans="1:39" x14ac:dyDescent="0.25">
      <c r="A18" t="s">
        <v>1541</v>
      </c>
      <c r="B18" t="s">
        <v>1540</v>
      </c>
      <c r="C18" t="s">
        <v>1539</v>
      </c>
      <c r="D18" t="s">
        <v>1402</v>
      </c>
      <c r="F18">
        <v>1.798462</v>
      </c>
      <c r="G18">
        <v>1.7432259999999999</v>
      </c>
      <c r="H18">
        <v>1.813852</v>
      </c>
      <c r="I18">
        <v>1.871607</v>
      </c>
      <c r="J18">
        <v>1.8867400000000001</v>
      </c>
      <c r="K18">
        <v>1.9374670000000001</v>
      </c>
      <c r="L18">
        <v>1.9705790000000001</v>
      </c>
      <c r="M18">
        <v>1.985358</v>
      </c>
      <c r="N18">
        <v>2.0035249999999998</v>
      </c>
      <c r="O18">
        <v>2.0206879999999998</v>
      </c>
      <c r="P18">
        <v>2.0511460000000001</v>
      </c>
      <c r="Q18">
        <v>2.076438</v>
      </c>
      <c r="R18">
        <v>2.0958549999999998</v>
      </c>
      <c r="S18">
        <v>2.1307170000000002</v>
      </c>
      <c r="T18">
        <v>2.154274</v>
      </c>
      <c r="U18">
        <v>2.1554899999999999</v>
      </c>
      <c r="V18">
        <v>2.1563159999999999</v>
      </c>
      <c r="W18">
        <v>2.1648390000000002</v>
      </c>
      <c r="X18">
        <v>2.1719550000000001</v>
      </c>
      <c r="Y18">
        <v>2.189918</v>
      </c>
      <c r="Z18">
        <v>2.2101799999999998</v>
      </c>
      <c r="AA18">
        <v>2.2242980000000001</v>
      </c>
      <c r="AB18">
        <v>2.2510300000000001</v>
      </c>
      <c r="AC18">
        <v>2.2900489999999998</v>
      </c>
      <c r="AD18">
        <v>2.3098299999999998</v>
      </c>
      <c r="AE18">
        <v>2.309958</v>
      </c>
      <c r="AF18">
        <v>2.3299910000000001</v>
      </c>
      <c r="AG18">
        <v>2.3384589999999998</v>
      </c>
      <c r="AH18">
        <v>2.3497020000000002</v>
      </c>
      <c r="AI18">
        <v>2.3508770000000001</v>
      </c>
      <c r="AJ18">
        <v>2.3537210000000002</v>
      </c>
      <c r="AK18" s="13">
        <v>8.9999999999999993E-3</v>
      </c>
    </row>
    <row r="19" spans="1:39" x14ac:dyDescent="0.25">
      <c r="A19" t="s">
        <v>1538</v>
      </c>
      <c r="B19" t="s">
        <v>1537</v>
      </c>
      <c r="C19" t="s">
        <v>1536</v>
      </c>
      <c r="D19" t="s">
        <v>1402</v>
      </c>
      <c r="F19">
        <v>0.34712700000000002</v>
      </c>
      <c r="G19">
        <v>0.47734100000000002</v>
      </c>
      <c r="H19">
        <v>0.46909800000000001</v>
      </c>
      <c r="I19">
        <v>0.474914</v>
      </c>
      <c r="J19">
        <v>0.531003</v>
      </c>
      <c r="K19">
        <v>0.61445399999999994</v>
      </c>
      <c r="L19">
        <v>0.66373400000000005</v>
      </c>
      <c r="M19">
        <v>0.66373400000000005</v>
      </c>
      <c r="N19">
        <v>0.68055299999999996</v>
      </c>
      <c r="O19">
        <v>0.70873399999999998</v>
      </c>
      <c r="P19">
        <v>0.738734</v>
      </c>
      <c r="Q19">
        <v>0.75373400000000002</v>
      </c>
      <c r="R19">
        <v>0.75555300000000003</v>
      </c>
      <c r="S19">
        <v>0.75373400000000002</v>
      </c>
      <c r="T19">
        <v>0.75373400000000002</v>
      </c>
      <c r="U19">
        <v>0.75373400000000002</v>
      </c>
      <c r="V19">
        <v>0.75555300000000003</v>
      </c>
      <c r="W19">
        <v>0.75373400000000002</v>
      </c>
      <c r="X19">
        <v>0.75373400000000002</v>
      </c>
      <c r="Y19">
        <v>0.75373400000000002</v>
      </c>
      <c r="Z19">
        <v>0.75555300000000003</v>
      </c>
      <c r="AA19">
        <v>0.75373400000000002</v>
      </c>
      <c r="AB19">
        <v>0.75373400000000002</v>
      </c>
      <c r="AC19">
        <v>0.75373400000000002</v>
      </c>
      <c r="AD19">
        <v>0.75555300000000003</v>
      </c>
      <c r="AE19">
        <v>0.75373400000000002</v>
      </c>
      <c r="AF19">
        <v>0.75373400000000002</v>
      </c>
      <c r="AG19">
        <v>0.75373400000000002</v>
      </c>
      <c r="AH19">
        <v>0.75555300000000003</v>
      </c>
      <c r="AI19">
        <v>0.75373400000000002</v>
      </c>
      <c r="AJ19">
        <v>0.75373400000000002</v>
      </c>
      <c r="AK19" s="13">
        <v>2.5999999999999999E-2</v>
      </c>
    </row>
    <row r="20" spans="1:39" x14ac:dyDescent="0.25">
      <c r="A20" t="s">
        <v>1535</v>
      </c>
      <c r="B20" t="s">
        <v>1534</v>
      </c>
      <c r="C20" t="s">
        <v>1533</v>
      </c>
      <c r="D20" t="s">
        <v>1402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1409</v>
      </c>
    </row>
    <row r="21" spans="1:39" x14ac:dyDescent="0.25">
      <c r="A21" t="s">
        <v>1532</v>
      </c>
      <c r="B21" t="s">
        <v>1531</v>
      </c>
      <c r="C21" t="s">
        <v>1530</v>
      </c>
      <c r="D21" t="s">
        <v>1402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1409</v>
      </c>
    </row>
    <row r="22" spans="1:39" x14ac:dyDescent="0.25">
      <c r="A22" t="s">
        <v>65</v>
      </c>
      <c r="B22" t="s">
        <v>1529</v>
      </c>
      <c r="C22" t="s">
        <v>1528</v>
      </c>
      <c r="D22" t="s">
        <v>1402</v>
      </c>
      <c r="F22">
        <v>0.76573500000000005</v>
      </c>
      <c r="G22">
        <v>0.84382599999999996</v>
      </c>
      <c r="H22">
        <v>0.82471700000000003</v>
      </c>
      <c r="I22">
        <v>0.79586000000000001</v>
      </c>
      <c r="J22">
        <v>0.76708799999999999</v>
      </c>
      <c r="K22">
        <v>0.765038</v>
      </c>
      <c r="L22">
        <v>0.73088399999999998</v>
      </c>
      <c r="M22">
        <v>0.73413499999999998</v>
      </c>
      <c r="N22">
        <v>0.74223300000000003</v>
      </c>
      <c r="O22">
        <v>0.75042900000000001</v>
      </c>
      <c r="P22">
        <v>0.747803</v>
      </c>
      <c r="Q22">
        <v>0.763764</v>
      </c>
      <c r="R22">
        <v>0.77973899999999996</v>
      </c>
      <c r="S22">
        <v>0.79238399999999998</v>
      </c>
      <c r="T22">
        <v>0.80547199999999997</v>
      </c>
      <c r="U22">
        <v>0.82133400000000001</v>
      </c>
      <c r="V22">
        <v>0.83460100000000004</v>
      </c>
      <c r="W22">
        <v>0.84880500000000003</v>
      </c>
      <c r="X22">
        <v>0.86659399999999998</v>
      </c>
      <c r="Y22">
        <v>0.88106499999999999</v>
      </c>
      <c r="Z22">
        <v>0.90939300000000001</v>
      </c>
      <c r="AA22">
        <v>0.92513000000000001</v>
      </c>
      <c r="AB22">
        <v>0.94975399999999999</v>
      </c>
      <c r="AC22">
        <v>0.97280999999999995</v>
      </c>
      <c r="AD22">
        <v>0.996973</v>
      </c>
      <c r="AE22">
        <v>1.013085</v>
      </c>
      <c r="AF22">
        <v>1.0396270000000001</v>
      </c>
      <c r="AG22">
        <v>1.060481</v>
      </c>
      <c r="AH22">
        <v>1.0802970000000001</v>
      </c>
      <c r="AI22">
        <v>1.1021570000000001</v>
      </c>
      <c r="AJ22">
        <v>1.126101</v>
      </c>
      <c r="AK22" s="13">
        <v>1.2999999999999999E-2</v>
      </c>
    </row>
    <row r="23" spans="1:39" x14ac:dyDescent="0.25">
      <c r="A23" t="s">
        <v>1527</v>
      </c>
      <c r="B23" t="s">
        <v>1526</v>
      </c>
      <c r="C23" t="s">
        <v>1525</v>
      </c>
      <c r="D23" t="s">
        <v>1524</v>
      </c>
      <c r="E23" t="s">
        <v>1523</v>
      </c>
      <c r="F23" t="s">
        <v>1402</v>
      </c>
      <c r="H23">
        <v>8.4655999999999995E-2</v>
      </c>
      <c r="I23">
        <v>0.10911700000000001</v>
      </c>
      <c r="J23">
        <v>9.5128000000000004E-2</v>
      </c>
      <c r="K23">
        <v>0.103537</v>
      </c>
      <c r="L23">
        <v>0.11100500000000001</v>
      </c>
      <c r="M23">
        <v>0.12385699999999999</v>
      </c>
      <c r="N23">
        <v>0.129723</v>
      </c>
      <c r="O23">
        <v>0.13825100000000001</v>
      </c>
      <c r="P23">
        <v>0.14740500000000001</v>
      </c>
      <c r="Q23">
        <v>0.15612899999999999</v>
      </c>
      <c r="R23">
        <v>0.158139</v>
      </c>
      <c r="S23">
        <v>0.17291799999999999</v>
      </c>
      <c r="T23">
        <v>0.18391399999999999</v>
      </c>
      <c r="U23">
        <v>0.194109</v>
      </c>
      <c r="V23">
        <v>0.20510900000000001</v>
      </c>
      <c r="W23">
        <v>0.216278</v>
      </c>
      <c r="X23">
        <v>0.226467</v>
      </c>
      <c r="Y23">
        <v>0.23658199999999999</v>
      </c>
      <c r="Z23">
        <v>0.24970899999999999</v>
      </c>
      <c r="AA23">
        <v>0.26006699999999999</v>
      </c>
      <c r="AB23">
        <v>0.28187600000000002</v>
      </c>
      <c r="AC23">
        <v>0.29385099999999997</v>
      </c>
      <c r="AD23">
        <v>0.31305300000000003</v>
      </c>
      <c r="AE23">
        <v>0.32849600000000001</v>
      </c>
      <c r="AF23">
        <v>0.34504200000000002</v>
      </c>
      <c r="AG23">
        <v>0.356012</v>
      </c>
      <c r="AH23">
        <v>0.37489600000000001</v>
      </c>
      <c r="AI23">
        <v>0.39149600000000001</v>
      </c>
      <c r="AJ23">
        <v>0.40564299999999998</v>
      </c>
      <c r="AK23">
        <v>0.42072300000000001</v>
      </c>
      <c r="AL23">
        <v>0.43700800000000001</v>
      </c>
      <c r="AM23" s="13">
        <v>5.6000000000000001E-2</v>
      </c>
    </row>
    <row r="24" spans="1:39" x14ac:dyDescent="0.25">
      <c r="A24" t="s">
        <v>1522</v>
      </c>
      <c r="B24" t="s">
        <v>1521</v>
      </c>
      <c r="C24" t="s">
        <v>1520</v>
      </c>
      <c r="D24" t="s">
        <v>1402</v>
      </c>
      <c r="F24">
        <v>0.68107899999999999</v>
      </c>
      <c r="G24">
        <v>0.73470899999999995</v>
      </c>
      <c r="H24">
        <v>0.72958900000000004</v>
      </c>
      <c r="I24">
        <v>0.69232300000000002</v>
      </c>
      <c r="J24">
        <v>0.65608299999999997</v>
      </c>
      <c r="K24">
        <v>0.64117999999999997</v>
      </c>
      <c r="L24">
        <v>0.60116099999999995</v>
      </c>
      <c r="M24">
        <v>0.59588399999999997</v>
      </c>
      <c r="N24">
        <v>0.59482800000000002</v>
      </c>
      <c r="O24">
        <v>0.59430099999999997</v>
      </c>
      <c r="P24">
        <v>0.58966399999999997</v>
      </c>
      <c r="Q24">
        <v>0.59084599999999998</v>
      </c>
      <c r="R24">
        <v>0.59582500000000005</v>
      </c>
      <c r="S24">
        <v>0.59827600000000003</v>
      </c>
      <c r="T24">
        <v>0.60036299999999998</v>
      </c>
      <c r="U24">
        <v>0.60505600000000004</v>
      </c>
      <c r="V24">
        <v>0.60813499999999998</v>
      </c>
      <c r="W24">
        <v>0.61222299999999996</v>
      </c>
      <c r="X24">
        <v>0.61688500000000002</v>
      </c>
      <c r="Y24">
        <v>0.62099800000000005</v>
      </c>
      <c r="Z24">
        <v>0.62751800000000002</v>
      </c>
      <c r="AA24">
        <v>0.63127900000000003</v>
      </c>
      <c r="AB24">
        <v>0.63670099999999996</v>
      </c>
      <c r="AC24">
        <v>0.64431400000000005</v>
      </c>
      <c r="AD24">
        <v>0.65193100000000004</v>
      </c>
      <c r="AE24">
        <v>0.65707400000000005</v>
      </c>
      <c r="AF24">
        <v>0.66473099999999996</v>
      </c>
      <c r="AG24">
        <v>0.66898400000000002</v>
      </c>
      <c r="AH24">
        <v>0.67465399999999998</v>
      </c>
      <c r="AI24">
        <v>0.68143399999999998</v>
      </c>
      <c r="AJ24">
        <v>0.68909299999999996</v>
      </c>
      <c r="AK24" s="13">
        <v>0</v>
      </c>
    </row>
    <row r="25" spans="1:39" x14ac:dyDescent="0.25">
      <c r="A25" t="s">
        <v>1477</v>
      </c>
      <c r="B25" t="s">
        <v>1519</v>
      </c>
      <c r="C25" t="s">
        <v>1518</v>
      </c>
      <c r="D25" t="s">
        <v>1402</v>
      </c>
      <c r="F25">
        <v>11.714919999999999</v>
      </c>
      <c r="G25">
        <v>9.8481550000000002</v>
      </c>
      <c r="H25">
        <v>9.8274830000000009</v>
      </c>
      <c r="I25">
        <v>10.201473999999999</v>
      </c>
      <c r="J25">
        <v>10.078011999999999</v>
      </c>
      <c r="K25">
        <v>10.449108000000001</v>
      </c>
      <c r="L25">
        <v>10.592544</v>
      </c>
      <c r="M25">
        <v>10.587401</v>
      </c>
      <c r="N25">
        <v>10.403589999999999</v>
      </c>
      <c r="O25">
        <v>10.364284</v>
      </c>
      <c r="P25">
        <v>10.201119</v>
      </c>
      <c r="Q25">
        <v>10.247612999999999</v>
      </c>
      <c r="R25">
        <v>10.238481</v>
      </c>
      <c r="S25">
        <v>10.231859</v>
      </c>
      <c r="T25">
        <v>10.252663</v>
      </c>
      <c r="U25">
        <v>10.151533000000001</v>
      </c>
      <c r="V25">
        <v>10.186614000000001</v>
      </c>
      <c r="W25">
        <v>10.305348</v>
      </c>
      <c r="X25">
        <v>10.493639</v>
      </c>
      <c r="Y25">
        <v>10.661141000000001</v>
      </c>
      <c r="Z25">
        <v>10.833966</v>
      </c>
      <c r="AA25">
        <v>10.915029000000001</v>
      </c>
      <c r="AB25">
        <v>11.070893999999999</v>
      </c>
      <c r="AC25">
        <v>11.275214999999999</v>
      </c>
      <c r="AD25">
        <v>11.425905999999999</v>
      </c>
      <c r="AE25">
        <v>11.576945</v>
      </c>
      <c r="AF25">
        <v>11.632323</v>
      </c>
      <c r="AG25">
        <v>11.712527</v>
      </c>
      <c r="AH25">
        <v>11.843591999999999</v>
      </c>
      <c r="AI25">
        <v>11.967836</v>
      </c>
      <c r="AJ25">
        <v>12.12926</v>
      </c>
      <c r="AK25" s="13">
        <v>1E-3</v>
      </c>
    </row>
    <row r="26" spans="1:39" x14ac:dyDescent="0.25">
      <c r="A26" t="s">
        <v>1517</v>
      </c>
      <c r="B26" t="s">
        <v>1516</v>
      </c>
      <c r="C26" t="s">
        <v>1515</v>
      </c>
      <c r="D26" t="s">
        <v>1402</v>
      </c>
      <c r="F26">
        <v>0.52590599999999998</v>
      </c>
      <c r="G26">
        <v>-0.24904799999999999</v>
      </c>
      <c r="H26">
        <v>-0.131802</v>
      </c>
      <c r="I26">
        <v>-2.4294E-2</v>
      </c>
      <c r="J26">
        <v>8.4745000000000001E-2</v>
      </c>
      <c r="K26">
        <v>0.18867500000000001</v>
      </c>
      <c r="L26">
        <v>0.284084</v>
      </c>
      <c r="M26">
        <v>0.28467900000000002</v>
      </c>
      <c r="N26">
        <v>0.30015799999999998</v>
      </c>
      <c r="O26">
        <v>0.28900900000000002</v>
      </c>
      <c r="P26">
        <v>0.28560999999999998</v>
      </c>
      <c r="Q26">
        <v>0.26593</v>
      </c>
      <c r="R26">
        <v>0.285501</v>
      </c>
      <c r="S26">
        <v>0.26859699999999997</v>
      </c>
      <c r="T26">
        <v>0.257803</v>
      </c>
      <c r="U26">
        <v>0.26263999999999998</v>
      </c>
      <c r="V26">
        <v>0.25541900000000001</v>
      </c>
      <c r="W26">
        <v>0.25125500000000001</v>
      </c>
      <c r="X26">
        <v>0.25707200000000002</v>
      </c>
      <c r="Y26">
        <v>0.24083299999999999</v>
      </c>
      <c r="Z26">
        <v>0.23280000000000001</v>
      </c>
      <c r="AA26">
        <v>0.24148600000000001</v>
      </c>
      <c r="AB26">
        <v>0.23750299999999999</v>
      </c>
      <c r="AC26">
        <v>0.23403499999999999</v>
      </c>
      <c r="AD26">
        <v>0.236259</v>
      </c>
      <c r="AE26">
        <v>0.23710300000000001</v>
      </c>
      <c r="AF26">
        <v>0.23125499999999999</v>
      </c>
      <c r="AG26">
        <v>0.24514</v>
      </c>
      <c r="AH26">
        <v>0.24843199999999999</v>
      </c>
      <c r="AI26">
        <v>0.25778600000000002</v>
      </c>
      <c r="AJ26">
        <v>0.260353</v>
      </c>
      <c r="AK26" t="s">
        <v>1409</v>
      </c>
    </row>
    <row r="27" spans="1:39" x14ac:dyDescent="0.25">
      <c r="A27" t="s">
        <v>1514</v>
      </c>
      <c r="C27" t="s">
        <v>1513</v>
      </c>
    </row>
    <row r="28" spans="1:39" s="14" customFormat="1" x14ac:dyDescent="0.25">
      <c r="A28" s="14" t="s">
        <v>1498</v>
      </c>
      <c r="C28" s="14" t="s">
        <v>1512</v>
      </c>
    </row>
    <row r="29" spans="1:39" s="14" customFormat="1" x14ac:dyDescent="0.25">
      <c r="A29" s="14" t="s">
        <v>1511</v>
      </c>
      <c r="B29" s="14" t="s">
        <v>1495</v>
      </c>
      <c r="C29" s="14" t="s">
        <v>1510</v>
      </c>
      <c r="D29" s="14" t="s">
        <v>1509</v>
      </c>
      <c r="F29" s="14">
        <v>2.0664720000000001</v>
      </c>
      <c r="G29" s="14">
        <v>3.10073</v>
      </c>
      <c r="H29" s="14">
        <v>3.2256840000000002</v>
      </c>
      <c r="I29" s="14">
        <v>2.992324</v>
      </c>
      <c r="J29" s="14">
        <v>2.8017919999999998</v>
      </c>
      <c r="K29" s="14">
        <v>2.8803239999999999</v>
      </c>
      <c r="L29" s="14">
        <v>2.9843310000000001</v>
      </c>
      <c r="M29" s="14">
        <v>3.042141</v>
      </c>
      <c r="N29" s="14">
        <v>3.1755100000000001</v>
      </c>
      <c r="O29" s="14">
        <v>3.2906309999999999</v>
      </c>
      <c r="P29" s="14">
        <v>3.3439549999999998</v>
      </c>
      <c r="Q29" s="14">
        <v>3.3584839999999998</v>
      </c>
      <c r="R29" s="14">
        <v>3.4230429999999998</v>
      </c>
      <c r="S29" s="14">
        <v>3.4872100000000001</v>
      </c>
      <c r="T29" s="14">
        <v>3.5170400000000002</v>
      </c>
      <c r="U29" s="14">
        <v>3.5326979999999999</v>
      </c>
      <c r="V29" s="14">
        <v>3.5373169999999998</v>
      </c>
      <c r="W29" s="14">
        <v>3.5283199999999999</v>
      </c>
      <c r="X29" s="14">
        <v>3.5497399999999999</v>
      </c>
      <c r="Y29" s="14">
        <v>3.5503559999999998</v>
      </c>
      <c r="Z29" s="14">
        <v>3.5492530000000002</v>
      </c>
      <c r="AA29" s="14">
        <v>3.549023</v>
      </c>
      <c r="AB29" s="14">
        <v>3.5287259999999998</v>
      </c>
      <c r="AC29" s="14">
        <v>3.5056509999999999</v>
      </c>
      <c r="AD29" s="14">
        <v>3.5018690000000001</v>
      </c>
      <c r="AE29" s="14">
        <v>3.5076990000000001</v>
      </c>
      <c r="AF29" s="14">
        <v>3.521007</v>
      </c>
      <c r="AG29" s="14">
        <v>3.547183</v>
      </c>
      <c r="AH29" s="14">
        <v>3.5962100000000001</v>
      </c>
      <c r="AI29" s="14">
        <v>3.6540050000000002</v>
      </c>
      <c r="AJ29" s="14">
        <v>3.6939389999999999</v>
      </c>
      <c r="AK29" s="15">
        <v>0.02</v>
      </c>
    </row>
    <row r="30" spans="1:39" x14ac:dyDescent="0.25">
      <c r="A30" t="s">
        <v>1492</v>
      </c>
      <c r="C30" t="s">
        <v>1508</v>
      </c>
    </row>
    <row r="31" spans="1:39" x14ac:dyDescent="0.25">
      <c r="A31" t="s">
        <v>1507</v>
      </c>
      <c r="C31" t="s">
        <v>1506</v>
      </c>
    </row>
    <row r="32" spans="1:39" x14ac:dyDescent="0.25">
      <c r="A32" t="s">
        <v>1488</v>
      </c>
      <c r="B32" t="s">
        <v>1487</v>
      </c>
      <c r="C32" t="s">
        <v>1505</v>
      </c>
      <c r="D32" t="s">
        <v>1499</v>
      </c>
      <c r="F32">
        <v>10.537243</v>
      </c>
      <c r="G32">
        <v>10.814795</v>
      </c>
      <c r="H32">
        <v>10.740482</v>
      </c>
      <c r="I32">
        <v>10.613196</v>
      </c>
      <c r="J32">
        <v>10.451302999999999</v>
      </c>
      <c r="K32">
        <v>10.547084</v>
      </c>
      <c r="L32">
        <v>10.694221000000001</v>
      </c>
      <c r="M32">
        <v>10.79739</v>
      </c>
      <c r="N32">
        <v>10.914479</v>
      </c>
      <c r="O32">
        <v>11.055099999999999</v>
      </c>
      <c r="P32">
        <v>11.419860999999999</v>
      </c>
      <c r="Q32">
        <v>11.468187</v>
      </c>
      <c r="R32">
        <v>11.564026</v>
      </c>
      <c r="S32">
        <v>11.677168999999999</v>
      </c>
      <c r="T32">
        <v>11.745335000000001</v>
      </c>
      <c r="U32">
        <v>11.781732</v>
      </c>
      <c r="V32">
        <v>11.798117</v>
      </c>
      <c r="W32">
        <v>11.826159000000001</v>
      </c>
      <c r="X32">
        <v>11.858226</v>
      </c>
      <c r="Y32">
        <v>11.879637000000001</v>
      </c>
      <c r="Z32">
        <v>11.886778</v>
      </c>
      <c r="AA32">
        <v>11.912520000000001</v>
      </c>
      <c r="AB32">
        <v>11.921177999999999</v>
      </c>
      <c r="AC32">
        <v>11.935447</v>
      </c>
      <c r="AD32">
        <v>11.940625000000001</v>
      </c>
      <c r="AE32">
        <v>11.975809</v>
      </c>
      <c r="AF32">
        <v>11.995084</v>
      </c>
      <c r="AG32">
        <v>12.039871</v>
      </c>
      <c r="AH32">
        <v>12.087629</v>
      </c>
      <c r="AI32">
        <v>12.154814999999999</v>
      </c>
      <c r="AJ32">
        <v>12.216571</v>
      </c>
      <c r="AK32" s="13">
        <v>5.0000000000000001E-3</v>
      </c>
    </row>
    <row r="33" spans="1:37" x14ac:dyDescent="0.25">
      <c r="A33" t="s">
        <v>1485</v>
      </c>
      <c r="B33" t="s">
        <v>1484</v>
      </c>
      <c r="C33" t="s">
        <v>1504</v>
      </c>
      <c r="D33" t="s">
        <v>1499</v>
      </c>
      <c r="F33">
        <v>7.5093370000000004</v>
      </c>
      <c r="G33">
        <v>7.9501090000000003</v>
      </c>
      <c r="H33">
        <v>8.1958029999999997</v>
      </c>
      <c r="I33">
        <v>8.0214400000000001</v>
      </c>
      <c r="J33">
        <v>7.8327049999999998</v>
      </c>
      <c r="K33">
        <v>7.89473</v>
      </c>
      <c r="L33">
        <v>8.0045040000000007</v>
      </c>
      <c r="M33">
        <v>8.0688379999999995</v>
      </c>
      <c r="N33">
        <v>8.1513819999999999</v>
      </c>
      <c r="O33">
        <v>8.2593589999999999</v>
      </c>
      <c r="P33">
        <v>8.5158529999999999</v>
      </c>
      <c r="Q33">
        <v>8.5267199999999992</v>
      </c>
      <c r="R33">
        <v>8.5830479999999998</v>
      </c>
      <c r="S33">
        <v>8.6709700000000005</v>
      </c>
      <c r="T33">
        <v>8.7190429999999992</v>
      </c>
      <c r="U33">
        <v>8.7387139999999999</v>
      </c>
      <c r="V33">
        <v>8.7404220000000006</v>
      </c>
      <c r="W33">
        <v>8.7539479999999994</v>
      </c>
      <c r="X33">
        <v>8.7719509999999996</v>
      </c>
      <c r="Y33">
        <v>8.7820269999999994</v>
      </c>
      <c r="Z33">
        <v>8.7799410000000009</v>
      </c>
      <c r="AA33">
        <v>8.7965230000000005</v>
      </c>
      <c r="AB33">
        <v>8.7956339999999997</v>
      </c>
      <c r="AC33">
        <v>8.8028099999999991</v>
      </c>
      <c r="AD33">
        <v>8.7995769999999993</v>
      </c>
      <c r="AE33">
        <v>8.826352</v>
      </c>
      <c r="AF33">
        <v>8.8384549999999997</v>
      </c>
      <c r="AG33">
        <v>8.8748339999999999</v>
      </c>
      <c r="AH33">
        <v>8.914612</v>
      </c>
      <c r="AI33">
        <v>8.9718979999999995</v>
      </c>
      <c r="AJ33">
        <v>9.0240930000000006</v>
      </c>
      <c r="AK33" s="13">
        <v>6.0000000000000001E-3</v>
      </c>
    </row>
    <row r="34" spans="1:37" x14ac:dyDescent="0.25">
      <c r="A34" t="s">
        <v>1482</v>
      </c>
      <c r="B34" t="s">
        <v>1481</v>
      </c>
      <c r="C34" t="s">
        <v>1503</v>
      </c>
      <c r="D34" t="s">
        <v>1499</v>
      </c>
      <c r="F34">
        <v>3.1803910000000002</v>
      </c>
      <c r="G34">
        <v>4.1628379999999998</v>
      </c>
      <c r="H34">
        <v>4.3145819999999997</v>
      </c>
      <c r="I34">
        <v>4.0836309999999996</v>
      </c>
      <c r="J34">
        <v>3.864322</v>
      </c>
      <c r="K34">
        <v>3.9276309999999999</v>
      </c>
      <c r="L34">
        <v>4.0262399999999996</v>
      </c>
      <c r="M34">
        <v>4.0895789999999996</v>
      </c>
      <c r="N34">
        <v>4.2145070000000002</v>
      </c>
      <c r="O34">
        <v>4.3296789999999996</v>
      </c>
      <c r="P34">
        <v>4.3615430000000002</v>
      </c>
      <c r="Q34">
        <v>4.3703729999999998</v>
      </c>
      <c r="R34">
        <v>4.4243309999999996</v>
      </c>
      <c r="S34">
        <v>4.4989980000000003</v>
      </c>
      <c r="T34">
        <v>4.5330599999999999</v>
      </c>
      <c r="U34">
        <v>4.5442790000000004</v>
      </c>
      <c r="V34">
        <v>4.544791</v>
      </c>
      <c r="W34">
        <v>4.5333449999999997</v>
      </c>
      <c r="X34">
        <v>4.5520339999999999</v>
      </c>
      <c r="Y34">
        <v>4.5447170000000003</v>
      </c>
      <c r="Z34">
        <v>4.5351119999999998</v>
      </c>
      <c r="AA34">
        <v>4.5316070000000002</v>
      </c>
      <c r="AB34">
        <v>4.5122200000000001</v>
      </c>
      <c r="AC34">
        <v>4.4946549999999998</v>
      </c>
      <c r="AD34">
        <v>4.4853909999999999</v>
      </c>
      <c r="AE34">
        <v>4.4928759999999999</v>
      </c>
      <c r="AF34">
        <v>4.4959610000000003</v>
      </c>
      <c r="AG34">
        <v>4.5189519999999996</v>
      </c>
      <c r="AH34">
        <v>4.5603069999999999</v>
      </c>
      <c r="AI34">
        <v>4.6158039999999998</v>
      </c>
      <c r="AJ34">
        <v>4.6554440000000001</v>
      </c>
      <c r="AK34" s="13">
        <v>1.2999999999999999E-2</v>
      </c>
    </row>
    <row r="35" spans="1:37" x14ac:dyDescent="0.25">
      <c r="A35" t="s">
        <v>65</v>
      </c>
      <c r="B35" t="s">
        <v>1479</v>
      </c>
      <c r="C35" t="s">
        <v>1502</v>
      </c>
      <c r="D35" t="s">
        <v>1499</v>
      </c>
      <c r="F35">
        <v>13.520962000000001</v>
      </c>
      <c r="G35">
        <v>14.078305</v>
      </c>
      <c r="H35">
        <v>14.653452</v>
      </c>
      <c r="I35">
        <v>14.196401</v>
      </c>
      <c r="J35">
        <v>13.728652</v>
      </c>
      <c r="K35">
        <v>13.486947000000001</v>
      </c>
      <c r="L35">
        <v>13.341523</v>
      </c>
      <c r="M35">
        <v>13.131707</v>
      </c>
      <c r="N35">
        <v>12.934259000000001</v>
      </c>
      <c r="O35">
        <v>12.743641</v>
      </c>
      <c r="P35">
        <v>13.253026</v>
      </c>
      <c r="Q35">
        <v>12.973546000000001</v>
      </c>
      <c r="R35">
        <v>12.892562</v>
      </c>
      <c r="S35">
        <v>12.762269999999999</v>
      </c>
      <c r="T35">
        <v>12.617708</v>
      </c>
      <c r="U35">
        <v>12.479836000000001</v>
      </c>
      <c r="V35">
        <v>12.351564</v>
      </c>
      <c r="W35">
        <v>12.229142</v>
      </c>
      <c r="X35">
        <v>12.174371000000001</v>
      </c>
      <c r="Y35">
        <v>12.077762999999999</v>
      </c>
      <c r="Z35">
        <v>12.032022</v>
      </c>
      <c r="AA35">
        <v>11.955648</v>
      </c>
      <c r="AB35">
        <v>11.891679999999999</v>
      </c>
      <c r="AC35">
        <v>11.826577</v>
      </c>
      <c r="AD35">
        <v>11.777018</v>
      </c>
      <c r="AE35">
        <v>11.745801</v>
      </c>
      <c r="AF35">
        <v>11.726257</v>
      </c>
      <c r="AG35">
        <v>11.724689</v>
      </c>
      <c r="AH35">
        <v>11.734484999999999</v>
      </c>
      <c r="AI35">
        <v>11.769066</v>
      </c>
      <c r="AJ35">
        <v>11.790224</v>
      </c>
      <c r="AK35" s="13">
        <v>-5.0000000000000001E-3</v>
      </c>
    </row>
    <row r="36" spans="1:37" x14ac:dyDescent="0.25">
      <c r="A36" t="s">
        <v>1477</v>
      </c>
      <c r="B36" t="s">
        <v>1476</v>
      </c>
      <c r="C36" t="s">
        <v>1501</v>
      </c>
      <c r="D36" t="s">
        <v>1499</v>
      </c>
      <c r="F36">
        <v>2.530745</v>
      </c>
      <c r="G36">
        <v>3.6192600000000001</v>
      </c>
      <c r="H36">
        <v>3.7269389999999998</v>
      </c>
      <c r="I36">
        <v>3.4879039999999999</v>
      </c>
      <c r="J36">
        <v>3.256875</v>
      </c>
      <c r="K36">
        <v>3.348767</v>
      </c>
      <c r="L36">
        <v>3.4396969999999998</v>
      </c>
      <c r="M36">
        <v>3.485474</v>
      </c>
      <c r="N36">
        <v>3.600854</v>
      </c>
      <c r="O36">
        <v>3.7083179999999998</v>
      </c>
      <c r="P36">
        <v>3.7326009999999998</v>
      </c>
      <c r="Q36">
        <v>3.7307839999999999</v>
      </c>
      <c r="R36">
        <v>3.78701</v>
      </c>
      <c r="S36">
        <v>3.8567580000000001</v>
      </c>
      <c r="T36">
        <v>3.8913760000000002</v>
      </c>
      <c r="U36">
        <v>3.8916210000000002</v>
      </c>
      <c r="V36">
        <v>3.8939499999999998</v>
      </c>
      <c r="W36">
        <v>3.8731439999999999</v>
      </c>
      <c r="X36">
        <v>3.9030930000000001</v>
      </c>
      <c r="Y36">
        <v>3.9013990000000001</v>
      </c>
      <c r="Z36">
        <v>3.900083</v>
      </c>
      <c r="AA36">
        <v>3.8898239999999999</v>
      </c>
      <c r="AB36">
        <v>3.8751120000000001</v>
      </c>
      <c r="AC36">
        <v>3.8588330000000002</v>
      </c>
      <c r="AD36">
        <v>3.8585120000000002</v>
      </c>
      <c r="AE36">
        <v>3.8660420000000002</v>
      </c>
      <c r="AF36">
        <v>3.8704269999999998</v>
      </c>
      <c r="AG36">
        <v>3.890644</v>
      </c>
      <c r="AH36">
        <v>3.9403090000000001</v>
      </c>
      <c r="AI36">
        <v>3.9919549999999999</v>
      </c>
      <c r="AJ36">
        <v>4.0341889999999996</v>
      </c>
      <c r="AK36" s="13">
        <v>1.6E-2</v>
      </c>
    </row>
    <row r="37" spans="1:37" x14ac:dyDescent="0.25">
      <c r="A37" t="s">
        <v>1474</v>
      </c>
      <c r="B37" t="s">
        <v>1473</v>
      </c>
      <c r="C37" t="s">
        <v>1500</v>
      </c>
      <c r="D37" t="s">
        <v>1499</v>
      </c>
      <c r="F37">
        <v>4.6935580000000003</v>
      </c>
      <c r="G37">
        <v>5.6690399999999999</v>
      </c>
      <c r="H37">
        <v>5.7945489999999999</v>
      </c>
      <c r="I37">
        <v>5.5551050000000002</v>
      </c>
      <c r="J37">
        <v>5.3487049999999998</v>
      </c>
      <c r="K37">
        <v>5.3983829999999999</v>
      </c>
      <c r="L37">
        <v>5.4864059999999997</v>
      </c>
      <c r="M37">
        <v>5.548413</v>
      </c>
      <c r="N37">
        <v>5.6728079999999999</v>
      </c>
      <c r="O37">
        <v>5.7872279999999998</v>
      </c>
      <c r="P37">
        <v>5.9123320000000001</v>
      </c>
      <c r="Q37">
        <v>5.9173239999999998</v>
      </c>
      <c r="R37">
        <v>5.9786479999999997</v>
      </c>
      <c r="S37">
        <v>6.057963</v>
      </c>
      <c r="T37">
        <v>6.0937789999999996</v>
      </c>
      <c r="U37">
        <v>6.110519</v>
      </c>
      <c r="V37">
        <v>6.1084420000000001</v>
      </c>
      <c r="W37">
        <v>6.0904819999999997</v>
      </c>
      <c r="X37">
        <v>6.0976999999999997</v>
      </c>
      <c r="Y37">
        <v>6.0824199999999999</v>
      </c>
      <c r="Z37">
        <v>6.0667299999999997</v>
      </c>
      <c r="AA37">
        <v>6.0595220000000003</v>
      </c>
      <c r="AB37">
        <v>6.0344410000000002</v>
      </c>
      <c r="AC37">
        <v>6.0069749999999997</v>
      </c>
      <c r="AD37">
        <v>5.992235</v>
      </c>
      <c r="AE37">
        <v>5.9941170000000001</v>
      </c>
      <c r="AF37">
        <v>5.9952199999999998</v>
      </c>
      <c r="AG37">
        <v>6.0142730000000002</v>
      </c>
      <c r="AH37">
        <v>6.0480970000000003</v>
      </c>
      <c r="AI37">
        <v>6.0919460000000001</v>
      </c>
      <c r="AJ37">
        <v>6.1224230000000004</v>
      </c>
      <c r="AK37" s="13">
        <v>8.9999999999999993E-3</v>
      </c>
    </row>
    <row r="38" spans="1:37" x14ac:dyDescent="0.25">
      <c r="A38" t="s">
        <v>1498</v>
      </c>
      <c r="C38" t="s">
        <v>1497</v>
      </c>
    </row>
    <row r="39" spans="1:37" x14ac:dyDescent="0.25">
      <c r="A39" t="s">
        <v>1496</v>
      </c>
      <c r="B39" t="s">
        <v>1495</v>
      </c>
      <c r="C39" t="s">
        <v>1494</v>
      </c>
      <c r="D39" t="s">
        <v>1493</v>
      </c>
      <c r="F39">
        <v>2.0664720000000001</v>
      </c>
      <c r="G39">
        <v>3.133435</v>
      </c>
      <c r="H39">
        <v>3.297882</v>
      </c>
      <c r="I39">
        <v>3.1008550000000001</v>
      </c>
      <c r="J39">
        <v>2.952188</v>
      </c>
      <c r="K39">
        <v>3.098166</v>
      </c>
      <c r="L39">
        <v>3.2864629999999999</v>
      </c>
      <c r="M39">
        <v>3.4352130000000001</v>
      </c>
      <c r="N39">
        <v>3.6802649999999999</v>
      </c>
      <c r="O39">
        <v>3.9141859999999999</v>
      </c>
      <c r="P39">
        <v>4.0805949999999998</v>
      </c>
      <c r="Q39">
        <v>4.2010319999999997</v>
      </c>
      <c r="R39">
        <v>4.3856289999999998</v>
      </c>
      <c r="S39">
        <v>4.5721340000000001</v>
      </c>
      <c r="T39">
        <v>4.714931</v>
      </c>
      <c r="U39">
        <v>4.8403960000000001</v>
      </c>
      <c r="V39">
        <v>4.9512609999999997</v>
      </c>
      <c r="W39">
        <v>5.042459</v>
      </c>
      <c r="X39">
        <v>5.1795080000000002</v>
      </c>
      <c r="Y39">
        <v>5.2875819999999996</v>
      </c>
      <c r="Z39">
        <v>5.3977729999999999</v>
      </c>
      <c r="AA39">
        <v>5.5133020000000004</v>
      </c>
      <c r="AB39">
        <v>5.6022740000000004</v>
      </c>
      <c r="AC39">
        <v>5.6932799999999997</v>
      </c>
      <c r="AD39">
        <v>5.8228669999999996</v>
      </c>
      <c r="AE39">
        <v>5.9762490000000001</v>
      </c>
      <c r="AF39">
        <v>6.154725</v>
      </c>
      <c r="AG39">
        <v>6.3671150000000001</v>
      </c>
      <c r="AH39">
        <v>6.6333799999999998</v>
      </c>
      <c r="AI39">
        <v>6.9317679999999999</v>
      </c>
      <c r="AJ39">
        <v>7.2131030000000003</v>
      </c>
      <c r="AK39" s="13">
        <v>4.2999999999999997E-2</v>
      </c>
    </row>
    <row r="40" spans="1:37" x14ac:dyDescent="0.25">
      <c r="A40" t="s">
        <v>1492</v>
      </c>
      <c r="C40" t="s">
        <v>1491</v>
      </c>
    </row>
    <row r="41" spans="1:37" x14ac:dyDescent="0.25">
      <c r="A41" t="s">
        <v>1490</v>
      </c>
      <c r="C41" t="s">
        <v>1489</v>
      </c>
    </row>
    <row r="42" spans="1:37" x14ac:dyDescent="0.25">
      <c r="A42" t="s">
        <v>1488</v>
      </c>
      <c r="B42" t="s">
        <v>1487</v>
      </c>
      <c r="C42" t="s">
        <v>1486</v>
      </c>
      <c r="D42" t="s">
        <v>1471</v>
      </c>
      <c r="F42">
        <v>10.537243</v>
      </c>
      <c r="G42">
        <v>10.928864000000001</v>
      </c>
      <c r="H42">
        <v>10.980878000000001</v>
      </c>
      <c r="I42">
        <v>10.998132999999999</v>
      </c>
      <c r="J42">
        <v>11.012316</v>
      </c>
      <c r="K42">
        <v>11.344768999999999</v>
      </c>
      <c r="L42">
        <v>11.776897999999999</v>
      </c>
      <c r="M42">
        <v>12.19251</v>
      </c>
      <c r="N42">
        <v>12.64936</v>
      </c>
      <c r="O42">
        <v>13.149979999999999</v>
      </c>
      <c r="P42">
        <v>13.935544</v>
      </c>
      <c r="Q42">
        <v>14.345226</v>
      </c>
      <c r="R42">
        <v>14.815917000000001</v>
      </c>
      <c r="S42">
        <v>15.310114</v>
      </c>
      <c r="T42">
        <v>15.745749</v>
      </c>
      <c r="U42">
        <v>16.142973000000001</v>
      </c>
      <c r="V42">
        <v>16.514085999999999</v>
      </c>
      <c r="W42">
        <v>16.901222000000001</v>
      </c>
      <c r="X42">
        <v>17.302613999999998</v>
      </c>
      <c r="Y42">
        <v>17.692468999999999</v>
      </c>
      <c r="Z42">
        <v>18.077641</v>
      </c>
      <c r="AA42">
        <v>18.505747</v>
      </c>
      <c r="AB42">
        <v>18.926293999999999</v>
      </c>
      <c r="AC42">
        <v>19.383517999999999</v>
      </c>
      <c r="AD42">
        <v>19.854734000000001</v>
      </c>
      <c r="AE42">
        <v>20.403804999999998</v>
      </c>
      <c r="AF42">
        <v>20.967421000000002</v>
      </c>
      <c r="AG42">
        <v>21.6113</v>
      </c>
      <c r="AH42">
        <v>22.296206000000002</v>
      </c>
      <c r="AI42">
        <v>23.058088000000001</v>
      </c>
      <c r="AJ42">
        <v>23.855129000000002</v>
      </c>
      <c r="AK42" s="13">
        <v>2.8000000000000001E-2</v>
      </c>
    </row>
    <row r="43" spans="1:37" x14ac:dyDescent="0.25">
      <c r="A43" t="s">
        <v>1485</v>
      </c>
      <c r="B43" t="s">
        <v>1484</v>
      </c>
      <c r="C43" t="s">
        <v>1483</v>
      </c>
      <c r="D43" t="s">
        <v>1471</v>
      </c>
      <c r="F43">
        <v>7.5093370000000004</v>
      </c>
      <c r="G43">
        <v>8.033963</v>
      </c>
      <c r="H43">
        <v>8.3792430000000007</v>
      </c>
      <c r="I43">
        <v>8.3123740000000002</v>
      </c>
      <c r="J43">
        <v>8.2531540000000003</v>
      </c>
      <c r="K43">
        <v>8.491816</v>
      </c>
      <c r="L43">
        <v>8.8148759999999999</v>
      </c>
      <c r="M43">
        <v>9.1114040000000003</v>
      </c>
      <c r="N43">
        <v>9.4470620000000007</v>
      </c>
      <c r="O43">
        <v>9.8244609999999994</v>
      </c>
      <c r="P43">
        <v>10.39181</v>
      </c>
      <c r="Q43">
        <v>10.66583</v>
      </c>
      <c r="R43">
        <v>10.996665</v>
      </c>
      <c r="S43">
        <v>11.368639999999999</v>
      </c>
      <c r="T43">
        <v>11.688713</v>
      </c>
      <c r="U43">
        <v>11.973523</v>
      </c>
      <c r="V43">
        <v>12.234162</v>
      </c>
      <c r="W43">
        <v>12.510605999999999</v>
      </c>
      <c r="X43">
        <v>12.799357000000001</v>
      </c>
      <c r="Y43">
        <v>13.079166000000001</v>
      </c>
      <c r="Z43">
        <v>13.352703</v>
      </c>
      <c r="AA43">
        <v>13.665138000000001</v>
      </c>
      <c r="AB43">
        <v>13.964121</v>
      </c>
      <c r="AC43">
        <v>14.296023</v>
      </c>
      <c r="AD43">
        <v>14.631834</v>
      </c>
      <c r="AE43">
        <v>15.037912</v>
      </c>
      <c r="AF43">
        <v>15.449629</v>
      </c>
      <c r="AG43">
        <v>15.930128</v>
      </c>
      <c r="AH43">
        <v>16.443424</v>
      </c>
      <c r="AI43">
        <v>17.019991000000001</v>
      </c>
      <c r="AJ43">
        <v>17.621220000000001</v>
      </c>
      <c r="AK43" s="13">
        <v>2.9000000000000001E-2</v>
      </c>
    </row>
    <row r="44" spans="1:37" x14ac:dyDescent="0.25">
      <c r="A44" t="s">
        <v>1482</v>
      </c>
      <c r="B44" t="s">
        <v>1481</v>
      </c>
      <c r="C44" t="s">
        <v>1480</v>
      </c>
      <c r="D44" t="s">
        <v>1471</v>
      </c>
      <c r="F44">
        <v>3.1803910000000002</v>
      </c>
      <c r="G44">
        <v>4.2067449999999997</v>
      </c>
      <c r="H44">
        <v>4.4111520000000004</v>
      </c>
      <c r="I44">
        <v>4.2317429999999998</v>
      </c>
      <c r="J44">
        <v>4.0717540000000003</v>
      </c>
      <c r="K44">
        <v>4.2246810000000004</v>
      </c>
      <c r="L44">
        <v>4.4338550000000003</v>
      </c>
      <c r="M44">
        <v>4.6179899999999998</v>
      </c>
      <c r="N44">
        <v>4.8844120000000002</v>
      </c>
      <c r="O44">
        <v>5.1501279999999996</v>
      </c>
      <c r="P44">
        <v>5.3223469999999997</v>
      </c>
      <c r="Q44">
        <v>5.466774</v>
      </c>
      <c r="R44">
        <v>5.6684869999999998</v>
      </c>
      <c r="S44">
        <v>5.8987049999999996</v>
      </c>
      <c r="T44">
        <v>6.0770020000000002</v>
      </c>
      <c r="U44">
        <v>6.2264340000000002</v>
      </c>
      <c r="V44">
        <v>6.3614449999999998</v>
      </c>
      <c r="W44">
        <v>6.4787790000000003</v>
      </c>
      <c r="X44">
        <v>6.6419790000000001</v>
      </c>
      <c r="Y44">
        <v>6.7684949999999997</v>
      </c>
      <c r="Z44">
        <v>6.8970859999999998</v>
      </c>
      <c r="AA44">
        <v>7.0397169999999996</v>
      </c>
      <c r="AB44">
        <v>7.1636899999999999</v>
      </c>
      <c r="AC44">
        <v>7.2994529999999997</v>
      </c>
      <c r="AD44">
        <v>7.4582560000000004</v>
      </c>
      <c r="AE44">
        <v>7.6547460000000003</v>
      </c>
      <c r="AF44">
        <v>7.8589440000000002</v>
      </c>
      <c r="AG44">
        <v>8.1114180000000005</v>
      </c>
      <c r="AH44">
        <v>8.4117029999999993</v>
      </c>
      <c r="AI44">
        <v>8.7563340000000007</v>
      </c>
      <c r="AJ44">
        <v>9.0906219999999998</v>
      </c>
      <c r="AK44" s="13">
        <v>3.5999999999999997E-2</v>
      </c>
    </row>
    <row r="45" spans="1:37" x14ac:dyDescent="0.25">
      <c r="A45" t="s">
        <v>65</v>
      </c>
      <c r="B45" t="s">
        <v>1479</v>
      </c>
      <c r="C45" t="s">
        <v>1478</v>
      </c>
      <c r="D45" t="s">
        <v>1471</v>
      </c>
      <c r="F45">
        <v>13.520962000000001</v>
      </c>
      <c r="G45">
        <v>14.226796999999999</v>
      </c>
      <c r="H45">
        <v>14.981429</v>
      </c>
      <c r="I45">
        <v>14.7113</v>
      </c>
      <c r="J45">
        <v>14.465588</v>
      </c>
      <c r="K45">
        <v>14.506976999999999</v>
      </c>
      <c r="L45">
        <v>14.692211</v>
      </c>
      <c r="M45">
        <v>14.828442000000001</v>
      </c>
      <c r="N45">
        <v>14.990189000000001</v>
      </c>
      <c r="O45">
        <v>15.158488</v>
      </c>
      <c r="P45">
        <v>16.172536999999998</v>
      </c>
      <c r="Q45">
        <v>16.228237</v>
      </c>
      <c r="R45">
        <v>16.518045000000001</v>
      </c>
      <c r="S45">
        <v>16.732807000000001</v>
      </c>
      <c r="T45">
        <v>16.915248999999999</v>
      </c>
      <c r="U45">
        <v>17.099495000000001</v>
      </c>
      <c r="V45">
        <v>17.288758999999999</v>
      </c>
      <c r="W45">
        <v>17.477139999999999</v>
      </c>
      <c r="X45">
        <v>17.763908000000001</v>
      </c>
      <c r="Y45">
        <v>17.987539000000002</v>
      </c>
      <c r="Z45">
        <v>18.298531000000001</v>
      </c>
      <c r="AA45">
        <v>18.572744</v>
      </c>
      <c r="AB45">
        <v>18.879465</v>
      </c>
      <c r="AC45">
        <v>19.206713000000001</v>
      </c>
      <c r="AD45">
        <v>19.582688999999998</v>
      </c>
      <c r="AE45">
        <v>20.011928999999999</v>
      </c>
      <c r="AF45">
        <v>20.497513000000001</v>
      </c>
      <c r="AG45">
        <v>21.045555</v>
      </c>
      <c r="AH45">
        <v>21.644814</v>
      </c>
      <c r="AI45">
        <v>22.326311</v>
      </c>
      <c r="AJ45">
        <v>23.022608000000002</v>
      </c>
      <c r="AK45" s="13">
        <v>1.7999999999999999E-2</v>
      </c>
    </row>
    <row r="46" spans="1:37" x14ac:dyDescent="0.25">
      <c r="A46" t="s">
        <v>1477</v>
      </c>
      <c r="B46" t="s">
        <v>1476</v>
      </c>
      <c r="C46" t="s">
        <v>1475</v>
      </c>
      <c r="D46" t="s">
        <v>1471</v>
      </c>
      <c r="F46">
        <v>2.530745</v>
      </c>
      <c r="G46">
        <v>3.6574339999999999</v>
      </c>
      <c r="H46">
        <v>3.8103560000000001</v>
      </c>
      <c r="I46">
        <v>3.6144090000000002</v>
      </c>
      <c r="J46">
        <v>3.4317000000000002</v>
      </c>
      <c r="K46">
        <v>3.6020379999999999</v>
      </c>
      <c r="L46">
        <v>3.7879299999999998</v>
      </c>
      <c r="M46">
        <v>3.935829</v>
      </c>
      <c r="N46">
        <v>4.1732180000000003</v>
      </c>
      <c r="O46">
        <v>4.4110230000000001</v>
      </c>
      <c r="P46">
        <v>4.5548570000000002</v>
      </c>
      <c r="Q46">
        <v>4.6667310000000004</v>
      </c>
      <c r="R46">
        <v>4.8519459999999999</v>
      </c>
      <c r="S46">
        <v>5.056654</v>
      </c>
      <c r="T46">
        <v>5.2167630000000003</v>
      </c>
      <c r="U46">
        <v>5.3321820000000004</v>
      </c>
      <c r="V46">
        <v>5.4504479999999997</v>
      </c>
      <c r="W46">
        <v>5.5352600000000001</v>
      </c>
      <c r="X46">
        <v>5.6950940000000001</v>
      </c>
      <c r="Y46">
        <v>5.8103949999999998</v>
      </c>
      <c r="Z46">
        <v>5.9313209999999996</v>
      </c>
      <c r="AA46">
        <v>6.042726</v>
      </c>
      <c r="AB46">
        <v>6.1522040000000002</v>
      </c>
      <c r="AC46">
        <v>6.2668590000000002</v>
      </c>
      <c r="AD46">
        <v>6.415889</v>
      </c>
      <c r="AE46">
        <v>6.5867760000000004</v>
      </c>
      <c r="AF46">
        <v>6.7655110000000001</v>
      </c>
      <c r="AG46">
        <v>6.9836179999999999</v>
      </c>
      <c r="AH46">
        <v>7.2680870000000004</v>
      </c>
      <c r="AI46">
        <v>7.5728710000000001</v>
      </c>
      <c r="AJ46">
        <v>7.8775050000000002</v>
      </c>
      <c r="AK46" s="13">
        <v>3.9E-2</v>
      </c>
    </row>
    <row r="47" spans="1:37" x14ac:dyDescent="0.25">
      <c r="A47" t="s">
        <v>1474</v>
      </c>
      <c r="B47" t="s">
        <v>1473</v>
      </c>
      <c r="C47" t="s">
        <v>1472</v>
      </c>
      <c r="D47" t="s">
        <v>1471</v>
      </c>
      <c r="F47">
        <v>4.6935580000000003</v>
      </c>
      <c r="G47">
        <v>5.7288350000000001</v>
      </c>
      <c r="H47">
        <v>5.9242439999999998</v>
      </c>
      <c r="I47">
        <v>5.7565869999999997</v>
      </c>
      <c r="J47">
        <v>5.6358160000000002</v>
      </c>
      <c r="K47">
        <v>5.8066680000000002</v>
      </c>
      <c r="L47">
        <v>6.0418469999999997</v>
      </c>
      <c r="M47">
        <v>6.2653169999999996</v>
      </c>
      <c r="N47">
        <v>6.5745129999999996</v>
      </c>
      <c r="O47">
        <v>6.8838739999999996</v>
      </c>
      <c r="P47">
        <v>7.2147589999999999</v>
      </c>
      <c r="Q47">
        <v>7.4018110000000004</v>
      </c>
      <c r="R47">
        <v>7.6598879999999996</v>
      </c>
      <c r="S47">
        <v>7.9426880000000004</v>
      </c>
      <c r="T47">
        <v>8.169295</v>
      </c>
      <c r="U47">
        <v>8.3724480000000003</v>
      </c>
      <c r="V47">
        <v>8.550122</v>
      </c>
      <c r="W47">
        <v>8.7041439999999994</v>
      </c>
      <c r="X47">
        <v>8.8972960000000008</v>
      </c>
      <c r="Y47">
        <v>9.0586120000000001</v>
      </c>
      <c r="Z47">
        <v>9.2263990000000007</v>
      </c>
      <c r="AA47">
        <v>9.4132879999999997</v>
      </c>
      <c r="AB47">
        <v>9.5803960000000004</v>
      </c>
      <c r="AC47">
        <v>9.7555049999999994</v>
      </c>
      <c r="AD47">
        <v>9.9638200000000001</v>
      </c>
      <c r="AE47">
        <v>10.212486999999999</v>
      </c>
      <c r="AF47">
        <v>10.479651</v>
      </c>
      <c r="AG47">
        <v>10.795484999999999</v>
      </c>
      <c r="AH47">
        <v>11.156001</v>
      </c>
      <c r="AI47">
        <v>11.556625</v>
      </c>
      <c r="AJ47">
        <v>11.955171999999999</v>
      </c>
      <c r="AK47" s="13">
        <v>3.2000000000000001E-2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6DE3-6323-435E-9A59-2195085D1F12}">
  <dimension ref="A1:AL47"/>
  <sheetViews>
    <sheetView workbookViewId="0">
      <selection activeCell="A6" sqref="A6:AJ47"/>
    </sheetView>
  </sheetViews>
  <sheetFormatPr defaultRowHeight="15" x14ac:dyDescent="0.25"/>
  <cols>
    <col min="1" max="1" width="44.28515625" customWidth="1"/>
  </cols>
  <sheetData>
    <row r="1" spans="1:36" x14ac:dyDescent="0.25">
      <c r="A1" t="s">
        <v>1574</v>
      </c>
    </row>
    <row r="2" spans="1:36" x14ac:dyDescent="0.25">
      <c r="A2" t="s">
        <v>1624</v>
      </c>
    </row>
    <row r="3" spans="1:36" x14ac:dyDescent="0.25">
      <c r="A3" t="s">
        <v>1623</v>
      </c>
    </row>
    <row r="4" spans="1:36" x14ac:dyDescent="0.25">
      <c r="A4" t="s">
        <v>1392</v>
      </c>
    </row>
    <row r="5" spans="1:36" x14ac:dyDescent="0.25">
      <c r="B5" t="s">
        <v>1393</v>
      </c>
      <c r="C5" t="s">
        <v>1394</v>
      </c>
      <c r="D5" t="s">
        <v>1395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1622</v>
      </c>
    </row>
    <row r="6" spans="1:36" x14ac:dyDescent="0.25">
      <c r="A6" t="s">
        <v>1571</v>
      </c>
      <c r="C6" t="s">
        <v>1621</v>
      </c>
    </row>
    <row r="7" spans="1:36" x14ac:dyDescent="0.25">
      <c r="A7" t="s">
        <v>1569</v>
      </c>
      <c r="B7" t="s">
        <v>1644</v>
      </c>
      <c r="C7" t="s">
        <v>1645</v>
      </c>
      <c r="D7" t="s">
        <v>1402</v>
      </c>
      <c r="F7">
        <v>34.409626000000003</v>
      </c>
      <c r="G7">
        <v>35.322707999999999</v>
      </c>
      <c r="H7">
        <v>35.604686999999998</v>
      </c>
      <c r="I7">
        <v>35.806705000000001</v>
      </c>
      <c r="J7">
        <v>35.905467999999999</v>
      </c>
      <c r="K7">
        <v>35.882885000000002</v>
      </c>
      <c r="L7">
        <v>35.810017000000002</v>
      </c>
      <c r="M7">
        <v>36.400112</v>
      </c>
      <c r="N7">
        <v>36.655968000000001</v>
      </c>
      <c r="O7">
        <v>36.721214000000003</v>
      </c>
      <c r="P7">
        <v>36.966468999999996</v>
      </c>
      <c r="Q7">
        <v>37.231819000000002</v>
      </c>
      <c r="R7">
        <v>37.474742999999997</v>
      </c>
      <c r="S7">
        <v>37.30827</v>
      </c>
      <c r="T7">
        <v>37.172085000000003</v>
      </c>
      <c r="U7">
        <v>37.122219000000001</v>
      </c>
      <c r="V7">
        <v>37.233500999999997</v>
      </c>
      <c r="W7">
        <v>37.447079000000002</v>
      </c>
      <c r="X7">
        <v>37.700321000000002</v>
      </c>
      <c r="Y7">
        <v>37.972594999999998</v>
      </c>
      <c r="Z7">
        <v>38.092804000000001</v>
      </c>
      <c r="AA7">
        <v>38.278564000000003</v>
      </c>
      <c r="AB7">
        <v>38.608809999999998</v>
      </c>
      <c r="AC7">
        <v>38.921222999999998</v>
      </c>
      <c r="AD7">
        <v>39.147613999999997</v>
      </c>
      <c r="AE7">
        <v>39.391460000000002</v>
      </c>
      <c r="AF7">
        <v>39.666964999999998</v>
      </c>
      <c r="AG7">
        <v>39.861117999999998</v>
      </c>
      <c r="AH7">
        <v>40.032657999999998</v>
      </c>
      <c r="AI7">
        <v>40.400123999999998</v>
      </c>
      <c r="AJ7" s="13">
        <v>6.0000000000000001E-3</v>
      </c>
    </row>
    <row r="8" spans="1:36" x14ac:dyDescent="0.25">
      <c r="A8" t="s">
        <v>1566</v>
      </c>
      <c r="B8" t="s">
        <v>1646</v>
      </c>
      <c r="C8" t="s">
        <v>1647</v>
      </c>
      <c r="D8" t="s">
        <v>1402</v>
      </c>
      <c r="F8">
        <v>5.953E-2</v>
      </c>
      <c r="G8">
        <v>6.3119999999999996E-2</v>
      </c>
      <c r="H8">
        <v>6.2992999999999993E-2</v>
      </c>
      <c r="I8">
        <v>6.2865000000000004E-2</v>
      </c>
      <c r="J8">
        <v>6.2738000000000002E-2</v>
      </c>
      <c r="K8">
        <v>6.2611E-2</v>
      </c>
      <c r="L8">
        <v>6.2482999999999997E-2</v>
      </c>
      <c r="M8">
        <v>6.2482999999999997E-2</v>
      </c>
      <c r="N8">
        <v>6.2482999999999997E-2</v>
      </c>
      <c r="O8">
        <v>6.2482999999999997E-2</v>
      </c>
      <c r="P8">
        <v>6.2482999999999997E-2</v>
      </c>
      <c r="Q8">
        <v>6.2482999999999997E-2</v>
      </c>
      <c r="R8">
        <v>6.2482999999999997E-2</v>
      </c>
      <c r="S8">
        <v>6.2482999999999997E-2</v>
      </c>
      <c r="T8">
        <v>6.2482999999999997E-2</v>
      </c>
      <c r="U8">
        <v>6.2482999999999997E-2</v>
      </c>
      <c r="V8">
        <v>6.2482999999999997E-2</v>
      </c>
      <c r="W8">
        <v>6.2482999999999997E-2</v>
      </c>
      <c r="X8">
        <v>6.2482999999999997E-2</v>
      </c>
      <c r="Y8">
        <v>6.2482999999999997E-2</v>
      </c>
      <c r="Z8">
        <v>6.2482999999999997E-2</v>
      </c>
      <c r="AA8">
        <v>6.2482999999999997E-2</v>
      </c>
      <c r="AB8">
        <v>6.2482999999999997E-2</v>
      </c>
      <c r="AC8">
        <v>6.2482999999999997E-2</v>
      </c>
      <c r="AD8">
        <v>6.2482999999999997E-2</v>
      </c>
      <c r="AE8">
        <v>6.2482999999999997E-2</v>
      </c>
      <c r="AF8">
        <v>6.2482999999999997E-2</v>
      </c>
      <c r="AG8">
        <v>6.2482999999999997E-2</v>
      </c>
      <c r="AH8">
        <v>6.2482999999999997E-2</v>
      </c>
      <c r="AI8">
        <v>6.2482999999999997E-2</v>
      </c>
      <c r="AJ8" s="13">
        <v>2E-3</v>
      </c>
    </row>
    <row r="9" spans="1:36" x14ac:dyDescent="0.25">
      <c r="A9" t="s">
        <v>1425</v>
      </c>
      <c r="B9" t="s">
        <v>1648</v>
      </c>
      <c r="C9" t="s">
        <v>1649</v>
      </c>
      <c r="D9" t="s">
        <v>1402</v>
      </c>
      <c r="F9">
        <v>-4.0188879999999996</v>
      </c>
      <c r="G9">
        <v>-5.0329220000000001</v>
      </c>
      <c r="H9">
        <v>-5.319394</v>
      </c>
      <c r="I9">
        <v>-5.505922</v>
      </c>
      <c r="J9">
        <v>-5.7956649999999996</v>
      </c>
      <c r="K9">
        <v>-5.8357029999999996</v>
      </c>
      <c r="L9">
        <v>-6.0070350000000001</v>
      </c>
      <c r="M9">
        <v>-6.3463459999999996</v>
      </c>
      <c r="N9">
        <v>-6.7262420000000001</v>
      </c>
      <c r="O9">
        <v>-7.0077360000000004</v>
      </c>
      <c r="P9">
        <v>-7.3725630000000004</v>
      </c>
      <c r="Q9">
        <v>-7.6343189999999996</v>
      </c>
      <c r="R9">
        <v>-7.7067889999999997</v>
      </c>
      <c r="S9">
        <v>-7.7878179999999997</v>
      </c>
      <c r="T9">
        <v>-7.8907959999999999</v>
      </c>
      <c r="U9">
        <v>-7.9182860000000002</v>
      </c>
      <c r="V9">
        <v>-7.8834210000000002</v>
      </c>
      <c r="W9">
        <v>-7.9086610000000004</v>
      </c>
      <c r="X9">
        <v>-7.9627610000000004</v>
      </c>
      <c r="Y9">
        <v>-8.0319929999999999</v>
      </c>
      <c r="Z9">
        <v>-8.0435140000000001</v>
      </c>
      <c r="AA9">
        <v>-8.0683089999999993</v>
      </c>
      <c r="AB9">
        <v>-8.1378730000000008</v>
      </c>
      <c r="AC9">
        <v>-8.2940170000000002</v>
      </c>
      <c r="AD9">
        <v>-8.3668099999999992</v>
      </c>
      <c r="AE9">
        <v>-8.3703780000000005</v>
      </c>
      <c r="AF9">
        <v>-8.386253</v>
      </c>
      <c r="AG9">
        <v>-8.3879400000000004</v>
      </c>
      <c r="AH9">
        <v>-8.3917699999999993</v>
      </c>
      <c r="AI9">
        <v>-8.4290870000000009</v>
      </c>
      <c r="AJ9" s="13">
        <v>2.5999999999999999E-2</v>
      </c>
    </row>
    <row r="10" spans="1:36" x14ac:dyDescent="0.25">
      <c r="A10" t="s">
        <v>1561</v>
      </c>
      <c r="B10" t="s">
        <v>1650</v>
      </c>
      <c r="C10" t="s">
        <v>1651</v>
      </c>
      <c r="D10" t="s">
        <v>1402</v>
      </c>
      <c r="F10">
        <v>-0.47681899999999999</v>
      </c>
      <c r="G10">
        <v>-0.91606600000000005</v>
      </c>
      <c r="H10">
        <v>-0.95944200000000002</v>
      </c>
      <c r="I10">
        <v>-1.0994470000000001</v>
      </c>
      <c r="J10">
        <v>-1.217244</v>
      </c>
      <c r="K10">
        <v>-1.2432049999999999</v>
      </c>
      <c r="L10">
        <v>-1.312514</v>
      </c>
      <c r="M10">
        <v>-1.4390499999999999</v>
      </c>
      <c r="N10">
        <v>-1.631721</v>
      </c>
      <c r="O10">
        <v>-1.7132149999999999</v>
      </c>
      <c r="P10">
        <v>-1.878042</v>
      </c>
      <c r="Q10">
        <v>-1.927022</v>
      </c>
      <c r="R10">
        <v>-1.9122680000000001</v>
      </c>
      <c r="S10">
        <v>-1.9932970000000001</v>
      </c>
      <c r="T10">
        <v>-2.0962749999999999</v>
      </c>
      <c r="U10">
        <v>-2.1109900000000001</v>
      </c>
      <c r="V10">
        <v>-2.0889009999999999</v>
      </c>
      <c r="W10">
        <v>-2.1141399999999999</v>
      </c>
      <c r="X10">
        <v>-2.1682399999999999</v>
      </c>
      <c r="Y10">
        <v>-2.2246959999999998</v>
      </c>
      <c r="Z10">
        <v>-2.2489940000000002</v>
      </c>
      <c r="AA10">
        <v>-2.2737880000000001</v>
      </c>
      <c r="AB10">
        <v>-2.3433519999999999</v>
      </c>
      <c r="AC10">
        <v>-2.4867210000000002</v>
      </c>
      <c r="AD10">
        <v>-2.572289</v>
      </c>
      <c r="AE10">
        <v>-2.5758559999999999</v>
      </c>
      <c r="AF10">
        <v>-2.5917330000000001</v>
      </c>
      <c r="AG10">
        <v>-2.5806439999999999</v>
      </c>
      <c r="AH10">
        <v>-2.5972499999999998</v>
      </c>
      <c r="AI10">
        <v>-2.634566</v>
      </c>
      <c r="AJ10" s="13">
        <v>6.0999999999999999E-2</v>
      </c>
    </row>
    <row r="11" spans="1:36" x14ac:dyDescent="0.25">
      <c r="A11" t="s">
        <v>1434</v>
      </c>
      <c r="B11" t="s">
        <v>1652</v>
      </c>
      <c r="C11" t="s">
        <v>1653</v>
      </c>
      <c r="D11" t="s">
        <v>1402</v>
      </c>
      <c r="F11">
        <v>-3.5420690000000001</v>
      </c>
      <c r="G11">
        <v>-4.1168550000000002</v>
      </c>
      <c r="H11">
        <v>-4.3599519999999998</v>
      </c>
      <c r="I11">
        <v>-4.4064740000000002</v>
      </c>
      <c r="J11">
        <v>-4.5784209999999996</v>
      </c>
      <c r="K11">
        <v>-4.5924990000000001</v>
      </c>
      <c r="L11">
        <v>-4.6945209999999999</v>
      </c>
      <c r="M11">
        <v>-4.9072969999999998</v>
      </c>
      <c r="N11">
        <v>-5.0945210000000003</v>
      </c>
      <c r="O11">
        <v>-5.2945209999999996</v>
      </c>
      <c r="P11">
        <v>-5.4945209999999998</v>
      </c>
      <c r="Q11">
        <v>-5.7072969999999996</v>
      </c>
      <c r="R11">
        <v>-5.7945209999999996</v>
      </c>
      <c r="S11">
        <v>-5.7945209999999996</v>
      </c>
      <c r="T11">
        <v>-5.7945209999999996</v>
      </c>
      <c r="U11">
        <v>-5.8072970000000002</v>
      </c>
      <c r="V11">
        <v>-5.7945209999999996</v>
      </c>
      <c r="W11">
        <v>-5.7945209999999996</v>
      </c>
      <c r="X11">
        <v>-5.7945209999999996</v>
      </c>
      <c r="Y11">
        <v>-5.8072970000000002</v>
      </c>
      <c r="Z11">
        <v>-5.7945209999999996</v>
      </c>
      <c r="AA11">
        <v>-5.7945209999999996</v>
      </c>
      <c r="AB11">
        <v>-5.7945209999999996</v>
      </c>
      <c r="AC11">
        <v>-5.8072970000000002</v>
      </c>
      <c r="AD11">
        <v>-5.7945209999999996</v>
      </c>
      <c r="AE11">
        <v>-5.7945209999999996</v>
      </c>
      <c r="AF11">
        <v>-5.7945209999999996</v>
      </c>
      <c r="AG11">
        <v>-5.8072970000000002</v>
      </c>
      <c r="AH11">
        <v>-5.7945209999999996</v>
      </c>
      <c r="AI11">
        <v>-5.7945209999999996</v>
      </c>
      <c r="AJ11" s="13">
        <v>1.7000000000000001E-2</v>
      </c>
    </row>
    <row r="12" spans="1:36" x14ac:dyDescent="0.25">
      <c r="A12" t="s">
        <v>1556</v>
      </c>
      <c r="B12" t="s">
        <v>1654</v>
      </c>
      <c r="C12" t="s">
        <v>1643</v>
      </c>
      <c r="D12" t="s">
        <v>1402</v>
      </c>
      <c r="F12">
        <v>30.450265999999999</v>
      </c>
      <c r="G12">
        <v>30.352909</v>
      </c>
      <c r="H12">
        <v>30.348286000000002</v>
      </c>
      <c r="I12">
        <v>30.363648999999999</v>
      </c>
      <c r="J12">
        <v>30.172539</v>
      </c>
      <c r="K12">
        <v>30.109793</v>
      </c>
      <c r="L12">
        <v>29.865466999999999</v>
      </c>
      <c r="M12">
        <v>30.116250999999998</v>
      </c>
      <c r="N12">
        <v>29.99221</v>
      </c>
      <c r="O12">
        <v>29.775963000000001</v>
      </c>
      <c r="P12">
        <v>29.656390999999999</v>
      </c>
      <c r="Q12">
        <v>29.659984999999999</v>
      </c>
      <c r="R12">
        <v>29.830438999999998</v>
      </c>
      <c r="S12">
        <v>29.582934999999999</v>
      </c>
      <c r="T12">
        <v>29.343772999999999</v>
      </c>
      <c r="U12">
        <v>29.266418000000002</v>
      </c>
      <c r="V12">
        <v>29.412565000000001</v>
      </c>
      <c r="W12">
        <v>29.600902999999999</v>
      </c>
      <c r="X12">
        <v>29.800045000000001</v>
      </c>
      <c r="Y12">
        <v>30.003086</v>
      </c>
      <c r="Z12">
        <v>30.111774</v>
      </c>
      <c r="AA12">
        <v>30.272739000000001</v>
      </c>
      <c r="AB12">
        <v>30.533422000000002</v>
      </c>
      <c r="AC12">
        <v>30.689689999999999</v>
      </c>
      <c r="AD12">
        <v>30.843288000000001</v>
      </c>
      <c r="AE12">
        <v>31.083569000000001</v>
      </c>
      <c r="AF12">
        <v>31.343197</v>
      </c>
      <c r="AG12">
        <v>31.535664000000001</v>
      </c>
      <c r="AH12">
        <v>31.703372999999999</v>
      </c>
      <c r="AI12">
        <v>32.033524</v>
      </c>
      <c r="AJ12" s="13">
        <v>2E-3</v>
      </c>
    </row>
    <row r="13" spans="1:36" x14ac:dyDescent="0.25">
      <c r="A13" t="s">
        <v>1553</v>
      </c>
      <c r="B13" t="s">
        <v>1655</v>
      </c>
      <c r="C13" t="s">
        <v>1656</v>
      </c>
      <c r="D13" t="s">
        <v>1402</v>
      </c>
      <c r="F13">
        <v>30.242594</v>
      </c>
      <c r="G13">
        <v>30.085173000000001</v>
      </c>
      <c r="H13">
        <v>30.064831000000002</v>
      </c>
      <c r="I13">
        <v>30.056604</v>
      </c>
      <c r="J13">
        <v>29.859272000000001</v>
      </c>
      <c r="K13">
        <v>29.777142999999999</v>
      </c>
      <c r="L13">
        <v>29.518978000000001</v>
      </c>
      <c r="M13">
        <v>29.768035999999999</v>
      </c>
      <c r="N13">
        <v>29.655114999999999</v>
      </c>
      <c r="O13">
        <v>29.446020000000001</v>
      </c>
      <c r="P13">
        <v>29.328666999999999</v>
      </c>
      <c r="Q13">
        <v>29.327214999999999</v>
      </c>
      <c r="R13">
        <v>29.514547</v>
      </c>
      <c r="S13">
        <v>29.269196000000001</v>
      </c>
      <c r="T13">
        <v>29.029827000000001</v>
      </c>
      <c r="U13">
        <v>28.959254999999999</v>
      </c>
      <c r="V13">
        <v>29.105549</v>
      </c>
      <c r="W13">
        <v>29.295653999999999</v>
      </c>
      <c r="X13">
        <v>29.500247999999999</v>
      </c>
      <c r="Y13">
        <v>29.703928000000001</v>
      </c>
      <c r="Z13">
        <v>29.806577999999998</v>
      </c>
      <c r="AA13">
        <v>29.968972999999998</v>
      </c>
      <c r="AB13">
        <v>30.229541999999999</v>
      </c>
      <c r="AC13">
        <v>30.386457</v>
      </c>
      <c r="AD13">
        <v>30.550422999999999</v>
      </c>
      <c r="AE13">
        <v>30.797487</v>
      </c>
      <c r="AF13">
        <v>31.028424999999999</v>
      </c>
      <c r="AG13">
        <v>31.221830000000001</v>
      </c>
      <c r="AH13">
        <v>31.388659000000001</v>
      </c>
      <c r="AI13">
        <v>31.717158999999999</v>
      </c>
      <c r="AJ13" s="13">
        <v>2E-3</v>
      </c>
    </row>
    <row r="14" spans="1:36" x14ac:dyDescent="0.25">
      <c r="A14" t="s">
        <v>1488</v>
      </c>
      <c r="B14" t="s">
        <v>1657</v>
      </c>
      <c r="C14" t="s">
        <v>1658</v>
      </c>
      <c r="D14" t="s">
        <v>1402</v>
      </c>
      <c r="F14">
        <v>4.8194189999999999</v>
      </c>
      <c r="G14">
        <v>4.87988</v>
      </c>
      <c r="H14">
        <v>4.8034359999999996</v>
      </c>
      <c r="I14">
        <v>4.8160449999999999</v>
      </c>
      <c r="J14">
        <v>4.8303010000000004</v>
      </c>
      <c r="K14">
        <v>4.8354929999999996</v>
      </c>
      <c r="L14">
        <v>4.8351280000000001</v>
      </c>
      <c r="M14">
        <v>4.8261839999999996</v>
      </c>
      <c r="N14">
        <v>4.8112589999999997</v>
      </c>
      <c r="O14">
        <v>4.7964659999999997</v>
      </c>
      <c r="P14">
        <v>4.782578</v>
      </c>
      <c r="Q14">
        <v>4.7657059999999998</v>
      </c>
      <c r="R14">
        <v>4.7489520000000001</v>
      </c>
      <c r="S14">
        <v>4.7354810000000001</v>
      </c>
      <c r="T14">
        <v>4.726693</v>
      </c>
      <c r="U14">
        <v>4.7201630000000003</v>
      </c>
      <c r="V14">
        <v>4.7127759999999999</v>
      </c>
      <c r="W14">
        <v>4.7047549999999996</v>
      </c>
      <c r="X14">
        <v>4.6962799999999998</v>
      </c>
      <c r="Y14">
        <v>4.6890780000000003</v>
      </c>
      <c r="Z14">
        <v>4.6804639999999997</v>
      </c>
      <c r="AA14">
        <v>4.6731369999999997</v>
      </c>
      <c r="AB14">
        <v>4.6678319999999998</v>
      </c>
      <c r="AC14">
        <v>4.6634570000000002</v>
      </c>
      <c r="AD14">
        <v>4.659014</v>
      </c>
      <c r="AE14">
        <v>4.6538830000000004</v>
      </c>
      <c r="AF14">
        <v>4.6478109999999999</v>
      </c>
      <c r="AG14">
        <v>4.6408500000000004</v>
      </c>
      <c r="AH14">
        <v>4.6324439999999996</v>
      </c>
      <c r="AI14">
        <v>4.6232009999999999</v>
      </c>
      <c r="AJ14" s="13">
        <v>-1E-3</v>
      </c>
    </row>
    <row r="15" spans="1:36" x14ac:dyDescent="0.25">
      <c r="A15" t="s">
        <v>1485</v>
      </c>
      <c r="B15" t="s">
        <v>1659</v>
      </c>
      <c r="C15" t="s">
        <v>1660</v>
      </c>
      <c r="D15" t="s">
        <v>1402</v>
      </c>
      <c r="F15">
        <v>3.3504839999999998</v>
      </c>
      <c r="G15">
        <v>3.4825870000000001</v>
      </c>
      <c r="H15">
        <v>3.4289239999999999</v>
      </c>
      <c r="I15">
        <v>3.434704</v>
      </c>
      <c r="J15">
        <v>3.4444880000000002</v>
      </c>
      <c r="K15">
        <v>3.443654</v>
      </c>
      <c r="L15">
        <v>3.4582109999999999</v>
      </c>
      <c r="M15">
        <v>3.4613610000000001</v>
      </c>
      <c r="N15">
        <v>3.4569040000000002</v>
      </c>
      <c r="O15">
        <v>3.4529619999999999</v>
      </c>
      <c r="P15">
        <v>3.4539520000000001</v>
      </c>
      <c r="Q15">
        <v>3.4515280000000002</v>
      </c>
      <c r="R15">
        <v>3.4483139999999999</v>
      </c>
      <c r="S15">
        <v>3.448515</v>
      </c>
      <c r="T15">
        <v>3.454259</v>
      </c>
      <c r="U15">
        <v>3.4626570000000001</v>
      </c>
      <c r="V15">
        <v>3.468118</v>
      </c>
      <c r="W15">
        <v>3.4705849999999998</v>
      </c>
      <c r="X15">
        <v>3.471409</v>
      </c>
      <c r="Y15">
        <v>3.472769</v>
      </c>
      <c r="Z15">
        <v>3.472588</v>
      </c>
      <c r="AA15">
        <v>3.4752960000000002</v>
      </c>
      <c r="AB15">
        <v>3.481176</v>
      </c>
      <c r="AC15">
        <v>3.4874290000000001</v>
      </c>
      <c r="AD15">
        <v>3.4937990000000001</v>
      </c>
      <c r="AE15">
        <v>3.4990220000000001</v>
      </c>
      <c r="AF15">
        <v>3.5028619999999999</v>
      </c>
      <c r="AG15">
        <v>3.5055320000000001</v>
      </c>
      <c r="AH15">
        <v>3.5059909999999999</v>
      </c>
      <c r="AI15">
        <v>3.505614</v>
      </c>
      <c r="AJ15" s="13">
        <v>2E-3</v>
      </c>
    </row>
    <row r="16" spans="1:36" x14ac:dyDescent="0.25">
      <c r="A16" t="s">
        <v>1482</v>
      </c>
      <c r="B16" t="s">
        <v>1661</v>
      </c>
      <c r="C16" t="s">
        <v>1662</v>
      </c>
      <c r="D16" t="s">
        <v>1402</v>
      </c>
      <c r="F16">
        <v>10.388059999999999</v>
      </c>
      <c r="G16">
        <v>10.575246</v>
      </c>
      <c r="H16">
        <v>10.486810999999999</v>
      </c>
      <c r="I16">
        <v>10.540606</v>
      </c>
      <c r="J16">
        <v>10.645498999999999</v>
      </c>
      <c r="K16">
        <v>10.709901</v>
      </c>
      <c r="L16">
        <v>10.719416000000001</v>
      </c>
      <c r="M16">
        <v>10.767504000000001</v>
      </c>
      <c r="N16">
        <v>10.779654000000001</v>
      </c>
      <c r="O16">
        <v>10.815272</v>
      </c>
      <c r="P16">
        <v>10.848523999999999</v>
      </c>
      <c r="Q16">
        <v>10.876146</v>
      </c>
      <c r="R16">
        <v>10.905524</v>
      </c>
      <c r="S16">
        <v>10.913145</v>
      </c>
      <c r="T16">
        <v>10.922623</v>
      </c>
      <c r="U16">
        <v>10.966374999999999</v>
      </c>
      <c r="V16">
        <v>10.982613000000001</v>
      </c>
      <c r="W16">
        <v>11.020459000000001</v>
      </c>
      <c r="X16">
        <v>11.064152</v>
      </c>
      <c r="Y16">
        <v>11.106756000000001</v>
      </c>
      <c r="Z16">
        <v>11.119011</v>
      </c>
      <c r="AA16">
        <v>11.164562999999999</v>
      </c>
      <c r="AB16">
        <v>11.248595999999999</v>
      </c>
      <c r="AC16">
        <v>11.297219999999999</v>
      </c>
      <c r="AD16">
        <v>11.350711</v>
      </c>
      <c r="AE16">
        <v>11.430659</v>
      </c>
      <c r="AF16">
        <v>11.497999999999999</v>
      </c>
      <c r="AG16">
        <v>11.531771000000001</v>
      </c>
      <c r="AH16">
        <v>11.566927</v>
      </c>
      <c r="AI16">
        <v>11.694829</v>
      </c>
      <c r="AJ16" s="13">
        <v>4.0000000000000001E-3</v>
      </c>
    </row>
    <row r="17" spans="1:38" x14ac:dyDescent="0.25">
      <c r="A17" t="s">
        <v>1544</v>
      </c>
      <c r="B17" t="s">
        <v>1663</v>
      </c>
      <c r="C17" t="s">
        <v>1664</v>
      </c>
      <c r="D17" t="s">
        <v>1402</v>
      </c>
      <c r="F17">
        <v>8.2577700000000007</v>
      </c>
      <c r="G17">
        <v>8.3280519999999996</v>
      </c>
      <c r="H17">
        <v>8.2096940000000007</v>
      </c>
      <c r="I17">
        <v>8.2352849999999993</v>
      </c>
      <c r="J17">
        <v>8.2954450000000008</v>
      </c>
      <c r="K17">
        <v>8.3544730000000005</v>
      </c>
      <c r="L17">
        <v>8.3557210000000008</v>
      </c>
      <c r="M17">
        <v>8.3492080000000009</v>
      </c>
      <c r="N17">
        <v>8.3322070000000004</v>
      </c>
      <c r="O17">
        <v>8.3282880000000006</v>
      </c>
      <c r="P17">
        <v>8.3294940000000004</v>
      </c>
      <c r="Q17">
        <v>8.3134490000000003</v>
      </c>
      <c r="R17">
        <v>8.3156890000000008</v>
      </c>
      <c r="S17">
        <v>8.3324529999999992</v>
      </c>
      <c r="T17">
        <v>8.3408320000000007</v>
      </c>
      <c r="U17">
        <v>8.3900539999999992</v>
      </c>
      <c r="V17">
        <v>8.4123169999999998</v>
      </c>
      <c r="W17">
        <v>8.4460379999999997</v>
      </c>
      <c r="X17">
        <v>8.4721460000000004</v>
      </c>
      <c r="Y17">
        <v>8.4965019999999996</v>
      </c>
      <c r="Z17">
        <v>8.5134129999999999</v>
      </c>
      <c r="AA17">
        <v>8.5515749999999997</v>
      </c>
      <c r="AB17">
        <v>8.6081380000000003</v>
      </c>
      <c r="AC17">
        <v>8.6420729999999999</v>
      </c>
      <c r="AD17">
        <v>8.6722210000000004</v>
      </c>
      <c r="AE17">
        <v>8.7376380000000005</v>
      </c>
      <c r="AF17">
        <v>8.7940869999999993</v>
      </c>
      <c r="AG17">
        <v>8.8144329999999993</v>
      </c>
      <c r="AH17">
        <v>8.8463670000000008</v>
      </c>
      <c r="AI17">
        <v>8.9321149999999996</v>
      </c>
      <c r="AJ17" s="13">
        <v>3.0000000000000001E-3</v>
      </c>
    </row>
    <row r="18" spans="1:38" x14ac:dyDescent="0.25">
      <c r="A18" t="s">
        <v>1541</v>
      </c>
      <c r="B18" t="s">
        <v>1665</v>
      </c>
      <c r="C18" t="s">
        <v>1666</v>
      </c>
      <c r="D18" t="s">
        <v>1402</v>
      </c>
      <c r="F18">
        <v>1.8403620000000001</v>
      </c>
      <c r="G18">
        <v>1.9073599999999999</v>
      </c>
      <c r="H18">
        <v>1.917754</v>
      </c>
      <c r="I18">
        <v>1.9423539999999999</v>
      </c>
      <c r="J18">
        <v>1.9733229999999999</v>
      </c>
      <c r="K18">
        <v>1.9777199999999999</v>
      </c>
      <c r="L18">
        <v>1.977887</v>
      </c>
      <c r="M18">
        <v>2.015253</v>
      </c>
      <c r="N18">
        <v>2.029239</v>
      </c>
      <c r="O18">
        <v>2.0525769999999999</v>
      </c>
      <c r="P18">
        <v>2.068422</v>
      </c>
      <c r="Q18">
        <v>2.0948560000000001</v>
      </c>
      <c r="R18">
        <v>2.1149269999999998</v>
      </c>
      <c r="S18">
        <v>2.105785</v>
      </c>
      <c r="T18">
        <v>2.1068829999999998</v>
      </c>
      <c r="U18">
        <v>2.1003790000000002</v>
      </c>
      <c r="V18">
        <v>2.0953870000000001</v>
      </c>
      <c r="W18">
        <v>2.099513</v>
      </c>
      <c r="X18">
        <v>2.1170979999999999</v>
      </c>
      <c r="Y18">
        <v>2.134312</v>
      </c>
      <c r="Z18">
        <v>2.1306889999999998</v>
      </c>
      <c r="AA18">
        <v>2.1380810000000001</v>
      </c>
      <c r="AB18">
        <v>2.1655500000000001</v>
      </c>
      <c r="AC18">
        <v>2.1792039999999999</v>
      </c>
      <c r="AD18">
        <v>2.2035819999999999</v>
      </c>
      <c r="AE18">
        <v>2.2181129999999998</v>
      </c>
      <c r="AF18">
        <v>2.2290049999999999</v>
      </c>
      <c r="AG18">
        <v>2.2413949999999998</v>
      </c>
      <c r="AH18">
        <v>2.2456520000000002</v>
      </c>
      <c r="AI18">
        <v>2.2878069999999999</v>
      </c>
      <c r="AJ18" s="13">
        <v>8.0000000000000002E-3</v>
      </c>
    </row>
    <row r="19" spans="1:38" x14ac:dyDescent="0.25">
      <c r="A19" t="s">
        <v>1538</v>
      </c>
      <c r="B19" t="s">
        <v>1667</v>
      </c>
      <c r="C19" t="s">
        <v>1668</v>
      </c>
      <c r="D19" t="s">
        <v>1402</v>
      </c>
      <c r="F19">
        <v>0.28992800000000002</v>
      </c>
      <c r="G19">
        <v>0.339835</v>
      </c>
      <c r="H19">
        <v>0.35936299999999999</v>
      </c>
      <c r="I19">
        <v>0.36296699999999998</v>
      </c>
      <c r="J19">
        <v>0.37673099999999998</v>
      </c>
      <c r="K19">
        <v>0.37770799999999999</v>
      </c>
      <c r="L19">
        <v>0.38580799999999998</v>
      </c>
      <c r="M19">
        <v>0.40304200000000001</v>
      </c>
      <c r="N19">
        <v>0.41820800000000002</v>
      </c>
      <c r="O19">
        <v>0.43440800000000002</v>
      </c>
      <c r="P19">
        <v>0.45060800000000001</v>
      </c>
      <c r="Q19">
        <v>0.46784199999999998</v>
      </c>
      <c r="R19">
        <v>0.474908</v>
      </c>
      <c r="S19">
        <v>0.474908</v>
      </c>
      <c r="T19">
        <v>0.474908</v>
      </c>
      <c r="U19">
        <v>0.47594199999999998</v>
      </c>
      <c r="V19">
        <v>0.474908</v>
      </c>
      <c r="W19">
        <v>0.474908</v>
      </c>
      <c r="X19">
        <v>0.474908</v>
      </c>
      <c r="Y19">
        <v>0.47594199999999998</v>
      </c>
      <c r="Z19">
        <v>0.474908</v>
      </c>
      <c r="AA19">
        <v>0.474908</v>
      </c>
      <c r="AB19">
        <v>0.474908</v>
      </c>
      <c r="AC19">
        <v>0.47594199999999998</v>
      </c>
      <c r="AD19">
        <v>0.474908</v>
      </c>
      <c r="AE19">
        <v>0.474908</v>
      </c>
      <c r="AF19">
        <v>0.474908</v>
      </c>
      <c r="AG19">
        <v>0.47594199999999998</v>
      </c>
      <c r="AH19">
        <v>0.474908</v>
      </c>
      <c r="AI19">
        <v>0.474908</v>
      </c>
      <c r="AJ19" s="13">
        <v>1.7000000000000001E-2</v>
      </c>
    </row>
    <row r="20" spans="1:38" x14ac:dyDescent="0.25">
      <c r="A20" t="s">
        <v>1535</v>
      </c>
      <c r="B20" t="s">
        <v>1669</v>
      </c>
      <c r="C20" t="s">
        <v>1670</v>
      </c>
      <c r="D20" t="s">
        <v>1402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1409</v>
      </c>
    </row>
    <row r="21" spans="1:38" x14ac:dyDescent="0.25">
      <c r="A21" t="s">
        <v>1532</v>
      </c>
      <c r="B21" t="s">
        <v>1671</v>
      </c>
      <c r="C21" t="s">
        <v>1672</v>
      </c>
      <c r="D21" t="s">
        <v>1402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1409</v>
      </c>
    </row>
    <row r="22" spans="1:38" x14ac:dyDescent="0.25">
      <c r="A22" t="s">
        <v>65</v>
      </c>
      <c r="B22" t="s">
        <v>1673</v>
      </c>
      <c r="C22" t="s">
        <v>1674</v>
      </c>
      <c r="D22" t="s">
        <v>1402</v>
      </c>
      <c r="F22">
        <v>0.82786999999999999</v>
      </c>
      <c r="G22">
        <v>0.77045600000000003</v>
      </c>
      <c r="H22">
        <v>0.76901600000000003</v>
      </c>
      <c r="I22">
        <v>0.75909099999999996</v>
      </c>
      <c r="J22">
        <v>0.75464600000000004</v>
      </c>
      <c r="K22">
        <v>0.75199499999999997</v>
      </c>
      <c r="L22">
        <v>0.74685199999999996</v>
      </c>
      <c r="M22">
        <v>0.75983500000000004</v>
      </c>
      <c r="N22">
        <v>0.76184799999999997</v>
      </c>
      <c r="O22">
        <v>0.76158800000000004</v>
      </c>
      <c r="P22">
        <v>0.76694700000000005</v>
      </c>
      <c r="Q22">
        <v>0.773339</v>
      </c>
      <c r="R22">
        <v>0.783053</v>
      </c>
      <c r="S22">
        <v>0.78149299999999999</v>
      </c>
      <c r="T22">
        <v>0.78630199999999995</v>
      </c>
      <c r="U22">
        <v>0.79482799999999998</v>
      </c>
      <c r="V22">
        <v>0.808952</v>
      </c>
      <c r="W22">
        <v>0.82450000000000001</v>
      </c>
      <c r="X22">
        <v>0.83774300000000002</v>
      </c>
      <c r="Y22">
        <v>0.85753599999999996</v>
      </c>
      <c r="Z22">
        <v>0.87035899999999999</v>
      </c>
      <c r="AA22">
        <v>0.88478299999999999</v>
      </c>
      <c r="AB22">
        <v>0.90146099999999996</v>
      </c>
      <c r="AC22">
        <v>0.92156300000000002</v>
      </c>
      <c r="AD22">
        <v>0.93029899999999999</v>
      </c>
      <c r="AE22">
        <v>0.94638900000000004</v>
      </c>
      <c r="AF22">
        <v>0.96484199999999998</v>
      </c>
      <c r="AG22">
        <v>0.98129500000000003</v>
      </c>
      <c r="AH22">
        <v>0.998166</v>
      </c>
      <c r="AI22">
        <v>1.0126869999999999</v>
      </c>
      <c r="AJ22" s="13">
        <v>7.0000000000000001E-3</v>
      </c>
    </row>
    <row r="23" spans="1:38" x14ac:dyDescent="0.25">
      <c r="A23" t="s">
        <v>1527</v>
      </c>
      <c r="B23" t="s">
        <v>1526</v>
      </c>
      <c r="C23" t="s">
        <v>1525</v>
      </c>
      <c r="D23" t="s">
        <v>1675</v>
      </c>
      <c r="E23" t="s">
        <v>1676</v>
      </c>
      <c r="F23" t="s">
        <v>1402</v>
      </c>
      <c r="H23">
        <v>0.10664</v>
      </c>
      <c r="I23">
        <v>9.6182000000000004E-2</v>
      </c>
      <c r="J23">
        <v>0.11329400000000001</v>
      </c>
      <c r="K23">
        <v>0.11966499999999999</v>
      </c>
      <c r="L23">
        <v>0.126026</v>
      </c>
      <c r="M23">
        <v>0.13594400000000001</v>
      </c>
      <c r="N23">
        <v>0.14696899999999999</v>
      </c>
      <c r="O23">
        <v>0.154949</v>
      </c>
      <c r="P23">
        <v>0.16269500000000001</v>
      </c>
      <c r="Q23">
        <v>0.171487</v>
      </c>
      <c r="R23">
        <v>0.180423</v>
      </c>
      <c r="S23">
        <v>0.18410699999999999</v>
      </c>
      <c r="T23">
        <v>0.19177900000000001</v>
      </c>
      <c r="U23">
        <v>0.19936599999999999</v>
      </c>
      <c r="V23">
        <v>0.206543</v>
      </c>
      <c r="W23">
        <v>0.21423700000000001</v>
      </c>
      <c r="X23">
        <v>0.22256600000000001</v>
      </c>
      <c r="Y23">
        <v>0.231628</v>
      </c>
      <c r="Z23">
        <v>0.23911199999999999</v>
      </c>
      <c r="AA23">
        <v>0.25351200000000002</v>
      </c>
      <c r="AB23">
        <v>0.26302700000000001</v>
      </c>
      <c r="AC23">
        <v>0.27200200000000002</v>
      </c>
      <c r="AD23">
        <v>0.28450199999999998</v>
      </c>
      <c r="AE23">
        <v>0.29765200000000003</v>
      </c>
      <c r="AF23">
        <v>0.30822699999999997</v>
      </c>
      <c r="AG23">
        <v>0.32111200000000001</v>
      </c>
      <c r="AH23">
        <v>0.331511</v>
      </c>
      <c r="AI23">
        <v>0.34002199999999999</v>
      </c>
      <c r="AJ23">
        <v>0.34979900000000003</v>
      </c>
      <c r="AK23">
        <v>0.40534399999999998</v>
      </c>
      <c r="AL23" s="13">
        <v>4.7E-2</v>
      </c>
    </row>
    <row r="24" spans="1:38" x14ac:dyDescent="0.25">
      <c r="A24" t="s">
        <v>1522</v>
      </c>
      <c r="B24" t="s">
        <v>1677</v>
      </c>
      <c r="C24" t="s">
        <v>1678</v>
      </c>
      <c r="D24" t="s">
        <v>1402</v>
      </c>
      <c r="F24">
        <v>0.72123000000000004</v>
      </c>
      <c r="G24">
        <v>0.67427400000000004</v>
      </c>
      <c r="H24">
        <v>0.65572200000000003</v>
      </c>
      <c r="I24">
        <v>0.63942600000000005</v>
      </c>
      <c r="J24">
        <v>0.62861999999999996</v>
      </c>
      <c r="K24">
        <v>0.61605100000000002</v>
      </c>
      <c r="L24">
        <v>0.59988300000000006</v>
      </c>
      <c r="M24">
        <v>0.60488600000000003</v>
      </c>
      <c r="N24">
        <v>0.59915300000000005</v>
      </c>
      <c r="O24">
        <v>0.59010099999999999</v>
      </c>
      <c r="P24">
        <v>0.58652400000000005</v>
      </c>
      <c r="Q24">
        <v>0.58923199999999998</v>
      </c>
      <c r="R24">
        <v>0.59127300000000005</v>
      </c>
      <c r="S24">
        <v>0.58212699999999995</v>
      </c>
      <c r="T24">
        <v>0.57976000000000005</v>
      </c>
      <c r="U24">
        <v>0.58059099999999997</v>
      </c>
      <c r="V24">
        <v>0.58638599999999996</v>
      </c>
      <c r="W24">
        <v>0.59287199999999995</v>
      </c>
      <c r="X24">
        <v>0.59863100000000002</v>
      </c>
      <c r="Y24">
        <v>0.60402400000000001</v>
      </c>
      <c r="Z24">
        <v>0.60733199999999998</v>
      </c>
      <c r="AA24">
        <v>0.61277999999999999</v>
      </c>
      <c r="AB24">
        <v>0.61695800000000001</v>
      </c>
      <c r="AC24">
        <v>0.62391099999999999</v>
      </c>
      <c r="AD24">
        <v>0.62207299999999999</v>
      </c>
      <c r="AE24">
        <v>0.62527699999999997</v>
      </c>
      <c r="AF24">
        <v>0.63333099999999998</v>
      </c>
      <c r="AG24">
        <v>0.64127299999999998</v>
      </c>
      <c r="AH24">
        <v>0.64836700000000003</v>
      </c>
      <c r="AI24">
        <v>0.65355099999999999</v>
      </c>
      <c r="AJ24" s="13">
        <v>-3.0000000000000001E-3</v>
      </c>
    </row>
    <row r="25" spans="1:38" x14ac:dyDescent="0.25">
      <c r="A25" t="s">
        <v>1477</v>
      </c>
      <c r="B25" t="s">
        <v>1679</v>
      </c>
      <c r="C25" t="s">
        <v>1680</v>
      </c>
      <c r="D25" t="s">
        <v>1402</v>
      </c>
      <c r="F25">
        <v>10.85676</v>
      </c>
      <c r="G25">
        <v>10.377003</v>
      </c>
      <c r="H25">
        <v>10.576644</v>
      </c>
      <c r="I25">
        <v>10.506159</v>
      </c>
      <c r="J25">
        <v>10.184333000000001</v>
      </c>
      <c r="K25">
        <v>10.036098000000001</v>
      </c>
      <c r="L25">
        <v>9.7593750000000004</v>
      </c>
      <c r="M25">
        <v>9.9531510000000001</v>
      </c>
      <c r="N25">
        <v>9.8454479999999993</v>
      </c>
      <c r="O25">
        <v>9.6197300000000006</v>
      </c>
      <c r="P25">
        <v>9.4766659999999998</v>
      </c>
      <c r="Q25">
        <v>9.4604970000000002</v>
      </c>
      <c r="R25">
        <v>9.6287029999999998</v>
      </c>
      <c r="S25">
        <v>9.3905619999999992</v>
      </c>
      <c r="T25">
        <v>9.1399519999999992</v>
      </c>
      <c r="U25">
        <v>9.015231</v>
      </c>
      <c r="V25">
        <v>9.1330899999999993</v>
      </c>
      <c r="W25">
        <v>9.2753519999999998</v>
      </c>
      <c r="X25">
        <v>9.4306640000000002</v>
      </c>
      <c r="Y25">
        <v>9.577788</v>
      </c>
      <c r="Z25">
        <v>9.6641560000000002</v>
      </c>
      <c r="AA25">
        <v>9.7711950000000005</v>
      </c>
      <c r="AB25">
        <v>9.9304769999999998</v>
      </c>
      <c r="AC25">
        <v>10.016788</v>
      </c>
      <c r="AD25">
        <v>10.116599000000001</v>
      </c>
      <c r="AE25">
        <v>10.267536</v>
      </c>
      <c r="AF25">
        <v>10.414911999999999</v>
      </c>
      <c r="AG25">
        <v>10.562379999999999</v>
      </c>
      <c r="AH25">
        <v>10.685131999999999</v>
      </c>
      <c r="AI25">
        <v>10.88083</v>
      </c>
      <c r="AJ25" s="13">
        <v>0</v>
      </c>
    </row>
    <row r="26" spans="1:38" x14ac:dyDescent="0.25">
      <c r="A26" t="s">
        <v>1517</v>
      </c>
      <c r="B26" t="s">
        <v>1681</v>
      </c>
      <c r="C26" t="s">
        <v>1682</v>
      </c>
      <c r="D26" t="s">
        <v>1402</v>
      </c>
      <c r="F26">
        <v>0.207672</v>
      </c>
      <c r="G26">
        <v>0.26773599999999997</v>
      </c>
      <c r="H26">
        <v>0.28345500000000001</v>
      </c>
      <c r="I26">
        <v>0.30704500000000001</v>
      </c>
      <c r="J26">
        <v>0.31326700000000002</v>
      </c>
      <c r="K26">
        <v>0.33264899999999997</v>
      </c>
      <c r="L26">
        <v>0.34648899999999999</v>
      </c>
      <c r="M26">
        <v>0.348215</v>
      </c>
      <c r="N26">
        <v>0.33709499999999998</v>
      </c>
      <c r="O26">
        <v>0.32994299999999999</v>
      </c>
      <c r="P26">
        <v>0.32772400000000002</v>
      </c>
      <c r="Q26">
        <v>0.33276899999999998</v>
      </c>
      <c r="R26">
        <v>0.31589099999999998</v>
      </c>
      <c r="S26">
        <v>0.31374000000000002</v>
      </c>
      <c r="T26">
        <v>0.313946</v>
      </c>
      <c r="U26">
        <v>0.30716300000000002</v>
      </c>
      <c r="V26">
        <v>0.30701600000000001</v>
      </c>
      <c r="W26">
        <v>0.30524800000000002</v>
      </c>
      <c r="X26">
        <v>0.29979699999999998</v>
      </c>
      <c r="Y26">
        <v>0.29915799999999998</v>
      </c>
      <c r="Z26">
        <v>0.305197</v>
      </c>
      <c r="AA26">
        <v>0.30376599999999998</v>
      </c>
      <c r="AB26">
        <v>0.30388100000000001</v>
      </c>
      <c r="AC26">
        <v>0.303232</v>
      </c>
      <c r="AD26">
        <v>0.29286600000000002</v>
      </c>
      <c r="AE26">
        <v>0.28608099999999997</v>
      </c>
      <c r="AF26">
        <v>0.314772</v>
      </c>
      <c r="AG26">
        <v>0.31383299999999997</v>
      </c>
      <c r="AH26">
        <v>0.31471399999999999</v>
      </c>
      <c r="AI26">
        <v>0.31636399999999998</v>
      </c>
      <c r="AJ26" t="s">
        <v>1409</v>
      </c>
    </row>
    <row r="27" spans="1:38" x14ac:dyDescent="0.25">
      <c r="A27" t="s">
        <v>1514</v>
      </c>
      <c r="C27" t="s">
        <v>1620</v>
      </c>
    </row>
    <row r="28" spans="1:38" s="14" customFormat="1" x14ac:dyDescent="0.25">
      <c r="A28" s="14" t="s">
        <v>1498</v>
      </c>
      <c r="C28" s="14" t="s">
        <v>1619</v>
      </c>
    </row>
    <row r="29" spans="1:38" s="14" customFormat="1" x14ac:dyDescent="0.25">
      <c r="A29" s="14" t="s">
        <v>1618</v>
      </c>
      <c r="B29" s="14" t="s">
        <v>1683</v>
      </c>
      <c r="C29" s="14" t="s">
        <v>1684</v>
      </c>
      <c r="D29" s="14" t="s">
        <v>1617</v>
      </c>
      <c r="F29" s="14">
        <v>4.115437</v>
      </c>
      <c r="G29" s="14">
        <v>3.8375569999999999</v>
      </c>
      <c r="H29" s="14">
        <v>3.4711470000000002</v>
      </c>
      <c r="I29" s="14">
        <v>3.1265849999999999</v>
      </c>
      <c r="J29" s="14">
        <v>2.9537409999999999</v>
      </c>
      <c r="K29" s="14">
        <v>2.9069660000000002</v>
      </c>
      <c r="L29" s="14">
        <v>2.9545490000000001</v>
      </c>
      <c r="M29" s="14">
        <v>3.1361569999999999</v>
      </c>
      <c r="N29" s="14">
        <v>3.2922310000000001</v>
      </c>
      <c r="O29" s="14">
        <v>3.3889710000000002</v>
      </c>
      <c r="P29" s="14">
        <v>3.4544480000000002</v>
      </c>
      <c r="Q29" s="14">
        <v>3.4918580000000001</v>
      </c>
      <c r="R29" s="14">
        <v>3.5932900000000001</v>
      </c>
      <c r="S29" s="14">
        <v>3.5941529999999999</v>
      </c>
      <c r="T29" s="14">
        <v>3.5243639999999998</v>
      </c>
      <c r="U29" s="14">
        <v>3.4853049999999999</v>
      </c>
      <c r="V29" s="14">
        <v>3.4869300000000001</v>
      </c>
      <c r="W29" s="14">
        <v>3.5182699999999998</v>
      </c>
      <c r="X29" s="14">
        <v>3.5456129999999999</v>
      </c>
      <c r="Y29" s="14">
        <v>3.577658</v>
      </c>
      <c r="Z29" s="14">
        <v>3.6346500000000002</v>
      </c>
      <c r="AA29" s="14">
        <v>3.6520290000000002</v>
      </c>
      <c r="AB29" s="14">
        <v>3.5895619999999999</v>
      </c>
      <c r="AC29" s="14">
        <v>3.5611259999999998</v>
      </c>
      <c r="AD29" s="14">
        <v>3.4696760000000002</v>
      </c>
      <c r="AE29" s="14">
        <v>3.4253659999999999</v>
      </c>
      <c r="AF29" s="14">
        <v>3.400315</v>
      </c>
      <c r="AG29" s="14">
        <v>3.3924319999999999</v>
      </c>
      <c r="AH29" s="14">
        <v>3.4035679999999999</v>
      </c>
      <c r="AI29" s="14">
        <v>3.4095119999999999</v>
      </c>
      <c r="AJ29" s="15">
        <v>-6.0000000000000001E-3</v>
      </c>
    </row>
    <row r="30" spans="1:38" x14ac:dyDescent="0.25">
      <c r="A30" t="s">
        <v>1492</v>
      </c>
      <c r="C30" t="s">
        <v>1616</v>
      </c>
    </row>
    <row r="31" spans="1:38" x14ac:dyDescent="0.25">
      <c r="A31" t="s">
        <v>1615</v>
      </c>
      <c r="C31" t="s">
        <v>1614</v>
      </c>
    </row>
    <row r="32" spans="1:38" x14ac:dyDescent="0.25">
      <c r="A32" t="s">
        <v>1488</v>
      </c>
      <c r="B32" t="s">
        <v>1685</v>
      </c>
      <c r="C32" t="s">
        <v>1686</v>
      </c>
      <c r="D32" t="s">
        <v>1613</v>
      </c>
      <c r="F32">
        <v>12.171644000000001</v>
      </c>
      <c r="G32">
        <v>12.625864999999999</v>
      </c>
      <c r="H32">
        <v>11.979865999999999</v>
      </c>
      <c r="I32">
        <v>11.480212999999999</v>
      </c>
      <c r="J32">
        <v>11.157558999999999</v>
      </c>
      <c r="K32">
        <v>10.968821</v>
      </c>
      <c r="L32">
        <v>10.837678</v>
      </c>
      <c r="M32">
        <v>10.981541</v>
      </c>
      <c r="N32">
        <v>11.152151</v>
      </c>
      <c r="O32">
        <v>11.246775</v>
      </c>
      <c r="P32">
        <v>11.342472000000001</v>
      </c>
      <c r="Q32">
        <v>11.688359999999999</v>
      </c>
      <c r="R32">
        <v>11.833169</v>
      </c>
      <c r="S32">
        <v>11.888336000000001</v>
      </c>
      <c r="T32">
        <v>11.888529999999999</v>
      </c>
      <c r="U32">
        <v>11.856069</v>
      </c>
      <c r="V32">
        <v>11.895705</v>
      </c>
      <c r="W32">
        <v>11.930014999999999</v>
      </c>
      <c r="X32">
        <v>11.970271</v>
      </c>
      <c r="Y32">
        <v>12.000363</v>
      </c>
      <c r="Z32">
        <v>12.084125999999999</v>
      </c>
      <c r="AA32">
        <v>12.079756</v>
      </c>
      <c r="AB32">
        <v>12.043774000000001</v>
      </c>
      <c r="AC32">
        <v>12.028834</v>
      </c>
      <c r="AD32">
        <v>11.998742</v>
      </c>
      <c r="AE32">
        <v>11.996384000000001</v>
      </c>
      <c r="AF32">
        <v>12.001075</v>
      </c>
      <c r="AG32">
        <v>12.006783</v>
      </c>
      <c r="AH32">
        <v>12.045881</v>
      </c>
      <c r="AI32">
        <v>12.069625</v>
      </c>
      <c r="AJ32" s="13">
        <v>0</v>
      </c>
    </row>
    <row r="33" spans="1:36" x14ac:dyDescent="0.25">
      <c r="A33" t="s">
        <v>1485</v>
      </c>
      <c r="B33" t="s">
        <v>1687</v>
      </c>
      <c r="C33" t="s">
        <v>1688</v>
      </c>
      <c r="D33" t="s">
        <v>1613</v>
      </c>
      <c r="F33">
        <v>8.7718389999999999</v>
      </c>
      <c r="G33">
        <v>9.1625669999999992</v>
      </c>
      <c r="H33">
        <v>8.8283839999999998</v>
      </c>
      <c r="I33">
        <v>8.4996670000000005</v>
      </c>
      <c r="J33">
        <v>8.3305900000000008</v>
      </c>
      <c r="K33">
        <v>8.2814259999999997</v>
      </c>
      <c r="L33">
        <v>8.2733539999999994</v>
      </c>
      <c r="M33">
        <v>8.3990840000000002</v>
      </c>
      <c r="N33">
        <v>8.5446329999999993</v>
      </c>
      <c r="O33">
        <v>8.6167649999999991</v>
      </c>
      <c r="P33">
        <v>8.6901229999999998</v>
      </c>
      <c r="Q33">
        <v>8.9053620000000002</v>
      </c>
      <c r="R33">
        <v>9.0087440000000001</v>
      </c>
      <c r="S33">
        <v>9.0377559999999999</v>
      </c>
      <c r="T33">
        <v>9.0094159999999999</v>
      </c>
      <c r="U33">
        <v>8.9635499999999997</v>
      </c>
      <c r="V33">
        <v>8.9891290000000001</v>
      </c>
      <c r="W33">
        <v>9.0116809999999994</v>
      </c>
      <c r="X33">
        <v>9.040559</v>
      </c>
      <c r="Y33">
        <v>9.060416</v>
      </c>
      <c r="Z33">
        <v>9.1320759999999996</v>
      </c>
      <c r="AA33">
        <v>9.1163790000000002</v>
      </c>
      <c r="AB33">
        <v>9.0693239999999999</v>
      </c>
      <c r="AC33">
        <v>9.0453329999999994</v>
      </c>
      <c r="AD33">
        <v>9.0070519999999998</v>
      </c>
      <c r="AE33">
        <v>8.9956340000000008</v>
      </c>
      <c r="AF33">
        <v>8.9924300000000006</v>
      </c>
      <c r="AG33">
        <v>8.9909730000000003</v>
      </c>
      <c r="AH33">
        <v>9.0222990000000003</v>
      </c>
      <c r="AI33">
        <v>9.0395420000000009</v>
      </c>
      <c r="AJ33" s="13">
        <v>1E-3</v>
      </c>
    </row>
    <row r="34" spans="1:36" x14ac:dyDescent="0.25">
      <c r="A34" t="s">
        <v>1482</v>
      </c>
      <c r="B34" t="s">
        <v>1689</v>
      </c>
      <c r="C34" t="s">
        <v>1690</v>
      </c>
      <c r="D34" t="s">
        <v>1613</v>
      </c>
      <c r="F34">
        <v>5.269056</v>
      </c>
      <c r="G34">
        <v>5.0323599999999997</v>
      </c>
      <c r="H34">
        <v>4.6879999999999997</v>
      </c>
      <c r="I34">
        <v>4.3174679999999999</v>
      </c>
      <c r="J34">
        <v>4.135796</v>
      </c>
      <c r="K34">
        <v>4.0794309999999996</v>
      </c>
      <c r="L34">
        <v>4.1113629999999999</v>
      </c>
      <c r="M34">
        <v>4.275023</v>
      </c>
      <c r="N34">
        <v>4.428134</v>
      </c>
      <c r="O34">
        <v>4.5177440000000004</v>
      </c>
      <c r="P34">
        <v>4.5773539999999997</v>
      </c>
      <c r="Q34">
        <v>4.5768800000000001</v>
      </c>
      <c r="R34">
        <v>4.6773660000000001</v>
      </c>
      <c r="S34">
        <v>4.6825469999999996</v>
      </c>
      <c r="T34">
        <v>4.6090109999999997</v>
      </c>
      <c r="U34">
        <v>4.5562690000000003</v>
      </c>
      <c r="V34">
        <v>4.5549059999999999</v>
      </c>
      <c r="W34">
        <v>4.5776630000000003</v>
      </c>
      <c r="X34">
        <v>4.5991119999999999</v>
      </c>
      <c r="Y34">
        <v>4.6223780000000003</v>
      </c>
      <c r="Z34">
        <v>4.6788650000000001</v>
      </c>
      <c r="AA34">
        <v>4.6864309999999998</v>
      </c>
      <c r="AB34">
        <v>4.6209639999999998</v>
      </c>
      <c r="AC34">
        <v>4.584721</v>
      </c>
      <c r="AD34">
        <v>4.5089540000000001</v>
      </c>
      <c r="AE34">
        <v>4.4777050000000003</v>
      </c>
      <c r="AF34">
        <v>4.4585059999999999</v>
      </c>
      <c r="AG34">
        <v>4.4528239999999997</v>
      </c>
      <c r="AH34">
        <v>4.4633039999999999</v>
      </c>
      <c r="AI34">
        <v>4.471565</v>
      </c>
      <c r="AJ34" s="13">
        <v>-6.0000000000000001E-3</v>
      </c>
    </row>
    <row r="35" spans="1:36" x14ac:dyDescent="0.25">
      <c r="A35" t="s">
        <v>65</v>
      </c>
      <c r="B35" t="s">
        <v>1691</v>
      </c>
      <c r="C35" t="s">
        <v>1692</v>
      </c>
      <c r="D35" t="s">
        <v>1613</v>
      </c>
      <c r="F35">
        <v>15.22551</v>
      </c>
      <c r="G35">
        <v>15.189867</v>
      </c>
      <c r="H35">
        <v>14.413707</v>
      </c>
      <c r="I35">
        <v>13.82573</v>
      </c>
      <c r="J35">
        <v>13.402384</v>
      </c>
      <c r="K35">
        <v>13.030856</v>
      </c>
      <c r="L35">
        <v>12.741631</v>
      </c>
      <c r="M35">
        <v>12.603173</v>
      </c>
      <c r="N35">
        <v>12.474068000000001</v>
      </c>
      <c r="O35">
        <v>12.308930999999999</v>
      </c>
      <c r="P35">
        <v>12.141323</v>
      </c>
      <c r="Q35">
        <v>12.813326999999999</v>
      </c>
      <c r="R35">
        <v>12.722208</v>
      </c>
      <c r="S35">
        <v>12.575328000000001</v>
      </c>
      <c r="T35">
        <v>12.466469999999999</v>
      </c>
      <c r="U35">
        <v>12.278451</v>
      </c>
      <c r="V35">
        <v>12.158415</v>
      </c>
      <c r="W35">
        <v>12.07103</v>
      </c>
      <c r="X35">
        <v>11.987043999999999</v>
      </c>
      <c r="Y35">
        <v>11.964777</v>
      </c>
      <c r="Z35">
        <v>11.952209</v>
      </c>
      <c r="AA35">
        <v>11.886301</v>
      </c>
      <c r="AB35">
        <v>11.783961</v>
      </c>
      <c r="AC35">
        <v>11.709951999999999</v>
      </c>
      <c r="AD35">
        <v>11.603604000000001</v>
      </c>
      <c r="AE35">
        <v>11.546721</v>
      </c>
      <c r="AF35">
        <v>11.496274</v>
      </c>
      <c r="AG35">
        <v>11.448224</v>
      </c>
      <c r="AH35">
        <v>11.422692</v>
      </c>
      <c r="AI35">
        <v>11.379571</v>
      </c>
      <c r="AJ35" s="13">
        <v>-0.01</v>
      </c>
    </row>
    <row r="36" spans="1:36" x14ac:dyDescent="0.25">
      <c r="A36" t="s">
        <v>1477</v>
      </c>
      <c r="B36" t="s">
        <v>1693</v>
      </c>
      <c r="C36" t="s">
        <v>1694</v>
      </c>
      <c r="D36" t="s">
        <v>1613</v>
      </c>
      <c r="F36">
        <v>5.3328569999999997</v>
      </c>
      <c r="G36">
        <v>4.1786479999999999</v>
      </c>
      <c r="H36">
        <v>3.8859050000000002</v>
      </c>
      <c r="I36">
        <v>3.547021</v>
      </c>
      <c r="J36">
        <v>3.377793</v>
      </c>
      <c r="K36">
        <v>3.3424209999999999</v>
      </c>
      <c r="L36">
        <v>3.3817219999999999</v>
      </c>
      <c r="M36">
        <v>3.5565630000000001</v>
      </c>
      <c r="N36">
        <v>3.6888589999999999</v>
      </c>
      <c r="O36">
        <v>3.7638340000000001</v>
      </c>
      <c r="P36">
        <v>3.8078729999999998</v>
      </c>
      <c r="Q36">
        <v>3.82572</v>
      </c>
      <c r="R36">
        <v>3.921008</v>
      </c>
      <c r="S36">
        <v>3.9041769999999998</v>
      </c>
      <c r="T36">
        <v>3.798467</v>
      </c>
      <c r="U36">
        <v>3.7502710000000001</v>
      </c>
      <c r="V36">
        <v>3.7447689999999998</v>
      </c>
      <c r="W36">
        <v>3.7679390000000001</v>
      </c>
      <c r="X36">
        <v>3.7935089999999998</v>
      </c>
      <c r="Y36">
        <v>3.8296790000000001</v>
      </c>
      <c r="Z36">
        <v>3.882215</v>
      </c>
      <c r="AA36">
        <v>3.8812389999999999</v>
      </c>
      <c r="AB36">
        <v>3.8030529999999998</v>
      </c>
      <c r="AC36">
        <v>3.7650030000000001</v>
      </c>
      <c r="AD36">
        <v>3.692361</v>
      </c>
      <c r="AE36">
        <v>3.6663199999999998</v>
      </c>
      <c r="AF36">
        <v>3.6504379999999998</v>
      </c>
      <c r="AG36">
        <v>3.6544240000000001</v>
      </c>
      <c r="AH36">
        <v>3.6603500000000002</v>
      </c>
      <c r="AI36">
        <v>3.687017</v>
      </c>
      <c r="AJ36" s="13">
        <v>-1.2999999999999999E-2</v>
      </c>
    </row>
    <row r="37" spans="1:36" x14ac:dyDescent="0.25">
      <c r="A37" t="s">
        <v>1474</v>
      </c>
      <c r="B37" t="s">
        <v>1695</v>
      </c>
      <c r="C37" t="s">
        <v>1696</v>
      </c>
      <c r="D37" t="s">
        <v>1613</v>
      </c>
      <c r="F37">
        <v>6.9759460000000004</v>
      </c>
      <c r="G37">
        <v>6.6352909999999996</v>
      </c>
      <c r="H37">
        <v>6.2298390000000001</v>
      </c>
      <c r="I37">
        <v>5.8627140000000004</v>
      </c>
      <c r="J37">
        <v>5.6907709999999998</v>
      </c>
      <c r="K37">
        <v>5.630795</v>
      </c>
      <c r="L37">
        <v>5.6567980000000002</v>
      </c>
      <c r="M37">
        <v>5.7990690000000003</v>
      </c>
      <c r="N37">
        <v>5.9535470000000004</v>
      </c>
      <c r="O37">
        <v>6.0531079999999999</v>
      </c>
      <c r="P37">
        <v>6.1257080000000004</v>
      </c>
      <c r="Q37">
        <v>6.2277050000000003</v>
      </c>
      <c r="R37">
        <v>6.3160069999999999</v>
      </c>
      <c r="S37">
        <v>6.3439779999999999</v>
      </c>
      <c r="T37">
        <v>6.3016649999999998</v>
      </c>
      <c r="U37">
        <v>6.2640909999999996</v>
      </c>
      <c r="V37">
        <v>6.2593949999999996</v>
      </c>
      <c r="W37">
        <v>6.2681370000000003</v>
      </c>
      <c r="X37">
        <v>6.2780110000000002</v>
      </c>
      <c r="Y37">
        <v>6.2927070000000001</v>
      </c>
      <c r="Z37">
        <v>6.3449989999999996</v>
      </c>
      <c r="AA37">
        <v>6.332001</v>
      </c>
      <c r="AB37">
        <v>6.253158</v>
      </c>
      <c r="AC37">
        <v>6.2136670000000001</v>
      </c>
      <c r="AD37">
        <v>6.1424620000000001</v>
      </c>
      <c r="AE37">
        <v>6.1050120000000003</v>
      </c>
      <c r="AF37">
        <v>6.0776450000000004</v>
      </c>
      <c r="AG37">
        <v>6.0640499999999999</v>
      </c>
      <c r="AH37">
        <v>6.0674970000000004</v>
      </c>
      <c r="AI37">
        <v>6.0641800000000003</v>
      </c>
      <c r="AJ37" s="13">
        <v>-5.0000000000000001E-3</v>
      </c>
    </row>
    <row r="38" spans="1:36" x14ac:dyDescent="0.25">
      <c r="A38" t="s">
        <v>1498</v>
      </c>
      <c r="C38" t="s">
        <v>1612</v>
      </c>
    </row>
    <row r="39" spans="1:36" x14ac:dyDescent="0.25">
      <c r="A39" t="s">
        <v>1496</v>
      </c>
      <c r="B39" t="s">
        <v>1683</v>
      </c>
      <c r="C39" t="s">
        <v>1697</v>
      </c>
      <c r="D39" t="s">
        <v>1493</v>
      </c>
      <c r="F39">
        <v>4.115437</v>
      </c>
      <c r="G39">
        <v>3.9611290000000001</v>
      </c>
      <c r="H39">
        <v>3.67353</v>
      </c>
      <c r="I39">
        <v>3.4075790000000001</v>
      </c>
      <c r="J39">
        <v>3.3212229999999998</v>
      </c>
      <c r="K39">
        <v>3.3800460000000001</v>
      </c>
      <c r="L39">
        <v>3.55681</v>
      </c>
      <c r="M39">
        <v>3.9095469999999999</v>
      </c>
      <c r="N39">
        <v>4.247153</v>
      </c>
      <c r="O39">
        <v>4.519075</v>
      </c>
      <c r="P39">
        <v>4.7598940000000001</v>
      </c>
      <c r="Q39">
        <v>4.9673059999999998</v>
      </c>
      <c r="R39">
        <v>5.2783959999999999</v>
      </c>
      <c r="S39">
        <v>5.4561140000000004</v>
      </c>
      <c r="T39">
        <v>5.5328049999999998</v>
      </c>
      <c r="U39">
        <v>5.6597249999999999</v>
      </c>
      <c r="V39">
        <v>5.8587119999999997</v>
      </c>
      <c r="W39">
        <v>6.1161620000000001</v>
      </c>
      <c r="X39">
        <v>6.3736819999999996</v>
      </c>
      <c r="Y39">
        <v>6.6530069999999997</v>
      </c>
      <c r="Z39">
        <v>6.9911810000000001</v>
      </c>
      <c r="AA39">
        <v>7.266311</v>
      </c>
      <c r="AB39">
        <v>7.3853030000000004</v>
      </c>
      <c r="AC39">
        <v>7.5735729999999997</v>
      </c>
      <c r="AD39">
        <v>7.6262499999999998</v>
      </c>
      <c r="AE39">
        <v>7.7810519999999999</v>
      </c>
      <c r="AF39">
        <v>7.9827640000000004</v>
      </c>
      <c r="AG39">
        <v>8.2286110000000008</v>
      </c>
      <c r="AH39">
        <v>8.5252770000000009</v>
      </c>
      <c r="AI39">
        <v>8.8140680000000007</v>
      </c>
      <c r="AJ39" s="13">
        <v>2.7E-2</v>
      </c>
    </row>
    <row r="40" spans="1:36" x14ac:dyDescent="0.25">
      <c r="A40" t="s">
        <v>1492</v>
      </c>
      <c r="C40" t="s">
        <v>1611</v>
      </c>
    </row>
    <row r="41" spans="1:36" x14ac:dyDescent="0.25">
      <c r="A41" t="s">
        <v>1490</v>
      </c>
      <c r="C41" t="s">
        <v>1610</v>
      </c>
    </row>
    <row r="42" spans="1:36" x14ac:dyDescent="0.25">
      <c r="A42" t="s">
        <v>1488</v>
      </c>
      <c r="B42" t="s">
        <v>1685</v>
      </c>
      <c r="C42" t="s">
        <v>1698</v>
      </c>
      <c r="D42" t="s">
        <v>1471</v>
      </c>
      <c r="F42">
        <v>12.171644000000001</v>
      </c>
      <c r="G42">
        <v>13.032427</v>
      </c>
      <c r="H42">
        <v>12.678345</v>
      </c>
      <c r="I42">
        <v>12.511969000000001</v>
      </c>
      <c r="J42">
        <v>12.5457</v>
      </c>
      <c r="K42">
        <v>12.753887000000001</v>
      </c>
      <c r="L42">
        <v>13.046851</v>
      </c>
      <c r="M42">
        <v>13.689635000000001</v>
      </c>
      <c r="N42">
        <v>14.386865999999999</v>
      </c>
      <c r="O42">
        <v>14.997185999999999</v>
      </c>
      <c r="P42">
        <v>15.628823000000001</v>
      </c>
      <c r="Q42">
        <v>16.627151000000001</v>
      </c>
      <c r="R42">
        <v>17.382442000000001</v>
      </c>
      <c r="S42">
        <v>18.047121000000001</v>
      </c>
      <c r="T42">
        <v>18.663485999999999</v>
      </c>
      <c r="U42">
        <v>19.252860999999999</v>
      </c>
      <c r="V42">
        <v>19.987069999999999</v>
      </c>
      <c r="W42">
        <v>20.739139999999999</v>
      </c>
      <c r="X42">
        <v>21.518059000000001</v>
      </c>
      <c r="Y42">
        <v>22.315857000000001</v>
      </c>
      <c r="Z42">
        <v>23.243590999999999</v>
      </c>
      <c r="AA42">
        <v>24.034658</v>
      </c>
      <c r="AB42">
        <v>24.779325</v>
      </c>
      <c r="AC42">
        <v>25.582144</v>
      </c>
      <c r="AD42">
        <v>26.372893999999999</v>
      </c>
      <c r="AE42">
        <v>27.250955999999999</v>
      </c>
      <c r="AF42">
        <v>28.174375999999999</v>
      </c>
      <c r="AG42">
        <v>29.1234</v>
      </c>
      <c r="AH42">
        <v>30.172592000000002</v>
      </c>
      <c r="AI42">
        <v>31.201681000000001</v>
      </c>
      <c r="AJ42" s="13">
        <v>3.3000000000000002E-2</v>
      </c>
    </row>
    <row r="43" spans="1:36" x14ac:dyDescent="0.25">
      <c r="A43" t="s">
        <v>1485</v>
      </c>
      <c r="B43" t="s">
        <v>1687</v>
      </c>
      <c r="C43" t="s">
        <v>1699</v>
      </c>
      <c r="D43" t="s">
        <v>1471</v>
      </c>
      <c r="F43">
        <v>8.7718389999999999</v>
      </c>
      <c r="G43">
        <v>9.4576080000000005</v>
      </c>
      <c r="H43">
        <v>9.3431180000000005</v>
      </c>
      <c r="I43">
        <v>9.2635539999999992</v>
      </c>
      <c r="J43">
        <v>9.3670209999999994</v>
      </c>
      <c r="K43">
        <v>9.6291469999999997</v>
      </c>
      <c r="L43">
        <v>9.9598099999999992</v>
      </c>
      <c r="M43">
        <v>10.470333</v>
      </c>
      <c r="N43">
        <v>11.023028999999999</v>
      </c>
      <c r="O43">
        <v>11.490159</v>
      </c>
      <c r="P43">
        <v>11.974144000000001</v>
      </c>
      <c r="Q43">
        <v>12.668225</v>
      </c>
      <c r="R43">
        <v>13.233478</v>
      </c>
      <c r="S43">
        <v>13.71979</v>
      </c>
      <c r="T43">
        <v>14.143641000000001</v>
      </c>
      <c r="U43">
        <v>14.555749</v>
      </c>
      <c r="V43">
        <v>15.103463</v>
      </c>
      <c r="W43">
        <v>15.665908</v>
      </c>
      <c r="X43">
        <v>16.251535000000001</v>
      </c>
      <c r="Y43">
        <v>16.848735999999999</v>
      </c>
      <c r="Z43">
        <v>17.565380000000001</v>
      </c>
      <c r="AA43">
        <v>18.138532999999999</v>
      </c>
      <c r="AB43">
        <v>18.659576000000001</v>
      </c>
      <c r="AC43">
        <v>19.237027999999999</v>
      </c>
      <c r="AD43">
        <v>19.797245</v>
      </c>
      <c r="AE43">
        <v>20.434460000000001</v>
      </c>
      <c r="AF43">
        <v>21.111115000000002</v>
      </c>
      <c r="AG43">
        <v>21.808311</v>
      </c>
      <c r="AH43">
        <v>22.599108000000001</v>
      </c>
      <c r="AI43">
        <v>23.368490000000001</v>
      </c>
      <c r="AJ43" s="13">
        <v>3.4000000000000002E-2</v>
      </c>
    </row>
    <row r="44" spans="1:36" x14ac:dyDescent="0.25">
      <c r="A44" t="s">
        <v>1482</v>
      </c>
      <c r="B44" t="s">
        <v>1689</v>
      </c>
      <c r="C44" t="s">
        <v>1700</v>
      </c>
      <c r="D44" t="s">
        <v>1471</v>
      </c>
      <c r="F44">
        <v>5.269056</v>
      </c>
      <c r="G44">
        <v>5.1944049999999997</v>
      </c>
      <c r="H44">
        <v>4.9613310000000004</v>
      </c>
      <c r="I44">
        <v>4.7054900000000002</v>
      </c>
      <c r="J44">
        <v>4.6503410000000001</v>
      </c>
      <c r="K44">
        <v>4.7433180000000004</v>
      </c>
      <c r="L44">
        <v>4.9494309999999997</v>
      </c>
      <c r="M44">
        <v>5.3292619999999999</v>
      </c>
      <c r="N44">
        <v>5.7125279999999998</v>
      </c>
      <c r="O44">
        <v>6.0242550000000001</v>
      </c>
      <c r="P44">
        <v>6.3071489999999999</v>
      </c>
      <c r="Q44">
        <v>6.5107920000000004</v>
      </c>
      <c r="R44">
        <v>6.8708600000000004</v>
      </c>
      <c r="S44">
        <v>7.1083530000000001</v>
      </c>
      <c r="T44">
        <v>7.235563</v>
      </c>
      <c r="U44">
        <v>7.3988449999999997</v>
      </c>
      <c r="V44">
        <v>7.6531159999999998</v>
      </c>
      <c r="W44">
        <v>7.9578100000000003</v>
      </c>
      <c r="X44">
        <v>8.2674780000000005</v>
      </c>
      <c r="Y44">
        <v>8.5957670000000004</v>
      </c>
      <c r="Z44">
        <v>8.9997109999999996</v>
      </c>
      <c r="AA44">
        <v>9.3244260000000008</v>
      </c>
      <c r="AB44">
        <v>9.5073500000000006</v>
      </c>
      <c r="AC44">
        <v>9.7504860000000004</v>
      </c>
      <c r="AD44">
        <v>9.9105519999999991</v>
      </c>
      <c r="AE44">
        <v>10.171543</v>
      </c>
      <c r="AF44">
        <v>10.467029999999999</v>
      </c>
      <c r="AG44">
        <v>10.800675</v>
      </c>
      <c r="AH44">
        <v>11.179709000000001</v>
      </c>
      <c r="AI44">
        <v>11.559625</v>
      </c>
      <c r="AJ44" s="13">
        <v>2.7E-2</v>
      </c>
    </row>
    <row r="45" spans="1:36" x14ac:dyDescent="0.25">
      <c r="A45" t="s">
        <v>65</v>
      </c>
      <c r="B45" t="s">
        <v>1691</v>
      </c>
      <c r="C45" t="s">
        <v>1701</v>
      </c>
      <c r="D45" t="s">
        <v>1471</v>
      </c>
      <c r="F45">
        <v>15.22551</v>
      </c>
      <c r="G45">
        <v>15.678991</v>
      </c>
      <c r="H45">
        <v>15.254087999999999</v>
      </c>
      <c r="I45">
        <v>15.068284</v>
      </c>
      <c r="J45">
        <v>15.06981</v>
      </c>
      <c r="K45">
        <v>15.151498</v>
      </c>
      <c r="L45">
        <v>15.33891</v>
      </c>
      <c r="M45">
        <v>15.711169</v>
      </c>
      <c r="N45">
        <v>16.092209</v>
      </c>
      <c r="O45">
        <v>16.413536000000001</v>
      </c>
      <c r="P45">
        <v>16.729562999999999</v>
      </c>
      <c r="Q45">
        <v>18.227459</v>
      </c>
      <c r="R45">
        <v>18.688402</v>
      </c>
      <c r="S45">
        <v>19.090012000000002</v>
      </c>
      <c r="T45">
        <v>19.570778000000001</v>
      </c>
      <c r="U45">
        <v>19.938759000000001</v>
      </c>
      <c r="V45">
        <v>20.428473</v>
      </c>
      <c r="W45">
        <v>20.984282</v>
      </c>
      <c r="X45">
        <v>21.548210000000001</v>
      </c>
      <c r="Y45">
        <v>22.249680000000001</v>
      </c>
      <c r="Z45">
        <v>22.989854999999999</v>
      </c>
      <c r="AA45">
        <v>23.649747999999999</v>
      </c>
      <c r="AB45">
        <v>24.244778</v>
      </c>
      <c r="AC45">
        <v>24.903967000000002</v>
      </c>
      <c r="AD45">
        <v>25.504393</v>
      </c>
      <c r="AE45">
        <v>26.229502</v>
      </c>
      <c r="AF45">
        <v>26.989277000000001</v>
      </c>
      <c r="AG45">
        <v>27.76857</v>
      </c>
      <c r="AH45">
        <v>28.611628</v>
      </c>
      <c r="AI45">
        <v>29.417795000000002</v>
      </c>
      <c r="AJ45" s="13">
        <v>2.3E-2</v>
      </c>
    </row>
    <row r="46" spans="1:36" x14ac:dyDescent="0.25">
      <c r="A46" t="s">
        <v>1477</v>
      </c>
      <c r="B46" t="s">
        <v>1693</v>
      </c>
      <c r="C46" t="s">
        <v>1702</v>
      </c>
      <c r="D46" t="s">
        <v>1471</v>
      </c>
      <c r="F46">
        <v>5.3328569999999997</v>
      </c>
      <c r="G46">
        <v>4.3132029999999997</v>
      </c>
      <c r="H46">
        <v>4.1124710000000002</v>
      </c>
      <c r="I46">
        <v>3.8658009999999998</v>
      </c>
      <c r="J46">
        <v>3.7980330000000002</v>
      </c>
      <c r="K46">
        <v>3.8863660000000002</v>
      </c>
      <c r="L46">
        <v>4.071059</v>
      </c>
      <c r="M46">
        <v>4.4336270000000004</v>
      </c>
      <c r="N46">
        <v>4.7588229999999996</v>
      </c>
      <c r="O46">
        <v>5.0189430000000002</v>
      </c>
      <c r="P46">
        <v>5.24688</v>
      </c>
      <c r="Q46">
        <v>5.4422360000000003</v>
      </c>
      <c r="R46">
        <v>5.7598000000000003</v>
      </c>
      <c r="S46">
        <v>5.9267469999999998</v>
      </c>
      <c r="T46">
        <v>5.9631119999999997</v>
      </c>
      <c r="U46">
        <v>6.0899989999999997</v>
      </c>
      <c r="V46">
        <v>6.2919309999999999</v>
      </c>
      <c r="W46">
        <v>6.5501870000000002</v>
      </c>
      <c r="X46">
        <v>6.8193070000000002</v>
      </c>
      <c r="Y46">
        <v>7.1216650000000001</v>
      </c>
      <c r="Z46">
        <v>7.4673699999999998</v>
      </c>
      <c r="AA46">
        <v>7.7223620000000004</v>
      </c>
      <c r="AB46">
        <v>7.8245490000000002</v>
      </c>
      <c r="AC46">
        <v>8.0071650000000005</v>
      </c>
      <c r="AD46">
        <v>8.1157039999999991</v>
      </c>
      <c r="AE46">
        <v>8.3284029999999998</v>
      </c>
      <c r="AF46">
        <v>8.5699649999999998</v>
      </c>
      <c r="AG46">
        <v>8.8640930000000004</v>
      </c>
      <c r="AH46">
        <v>9.1684660000000004</v>
      </c>
      <c r="AI46">
        <v>9.5314580000000007</v>
      </c>
      <c r="AJ46" s="13">
        <v>0.02</v>
      </c>
    </row>
    <row r="47" spans="1:36" x14ac:dyDescent="0.25">
      <c r="A47" t="s">
        <v>1474</v>
      </c>
      <c r="B47" t="s">
        <v>1695</v>
      </c>
      <c r="C47" t="s">
        <v>1703</v>
      </c>
      <c r="D47" t="s">
        <v>1471</v>
      </c>
      <c r="F47">
        <v>6.9759460000000004</v>
      </c>
      <c r="G47">
        <v>6.8489519999999997</v>
      </c>
      <c r="H47">
        <v>6.5930660000000003</v>
      </c>
      <c r="I47">
        <v>6.3896110000000004</v>
      </c>
      <c r="J47">
        <v>6.3987749999999997</v>
      </c>
      <c r="K47">
        <v>6.5471510000000004</v>
      </c>
      <c r="L47">
        <v>6.8098910000000004</v>
      </c>
      <c r="M47">
        <v>7.2291449999999999</v>
      </c>
      <c r="N47">
        <v>7.6803910000000002</v>
      </c>
      <c r="O47">
        <v>8.0716110000000008</v>
      </c>
      <c r="P47">
        <v>8.4406300000000005</v>
      </c>
      <c r="Q47">
        <v>8.8591549999999994</v>
      </c>
      <c r="R47">
        <v>9.2779559999999996</v>
      </c>
      <c r="S47">
        <v>9.6304920000000003</v>
      </c>
      <c r="T47">
        <v>9.8928159999999998</v>
      </c>
      <c r="U47">
        <v>10.172147000000001</v>
      </c>
      <c r="V47">
        <v>10.516985</v>
      </c>
      <c r="W47">
        <v>10.89653</v>
      </c>
      <c r="X47">
        <v>11.28551</v>
      </c>
      <c r="Y47">
        <v>11.701908</v>
      </c>
      <c r="Z47">
        <v>12.204488</v>
      </c>
      <c r="AA47">
        <v>12.598556</v>
      </c>
      <c r="AB47">
        <v>12.865489</v>
      </c>
      <c r="AC47">
        <v>13.214824999999999</v>
      </c>
      <c r="AD47">
        <v>13.500958000000001</v>
      </c>
      <c r="AE47">
        <v>13.868131</v>
      </c>
      <c r="AF47">
        <v>14.268209000000001</v>
      </c>
      <c r="AG47">
        <v>14.708831</v>
      </c>
      <c r="AH47">
        <v>15.197901999999999</v>
      </c>
      <c r="AI47">
        <v>15.67676</v>
      </c>
      <c r="AJ47" s="13">
        <v>2.8000000000000001E-2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7311-F53A-4468-82C5-9BF6F27AD3C5}">
  <dimension ref="A1:AK54"/>
  <sheetViews>
    <sheetView topLeftCell="A10" workbookViewId="0">
      <selection activeCell="A23" sqref="A23:XFD23"/>
    </sheetView>
  </sheetViews>
  <sheetFormatPr defaultRowHeight="15" x14ac:dyDescent="0.25"/>
  <cols>
    <col min="1" max="1" width="41.28515625" customWidth="1"/>
    <col min="2" max="2" width="51.28515625" customWidth="1"/>
  </cols>
  <sheetData>
    <row r="1" spans="1:37" x14ac:dyDescent="0.25">
      <c r="A1" t="s">
        <v>1389</v>
      </c>
    </row>
    <row r="2" spans="1:37" x14ac:dyDescent="0.25">
      <c r="A2" t="s">
        <v>1390</v>
      </c>
    </row>
    <row r="3" spans="1:37" x14ac:dyDescent="0.25">
      <c r="A3" t="s">
        <v>1391</v>
      </c>
    </row>
    <row r="4" spans="1:37" x14ac:dyDescent="0.25">
      <c r="A4" t="s">
        <v>1392</v>
      </c>
    </row>
    <row r="5" spans="1:37" x14ac:dyDescent="0.25">
      <c r="B5" t="s">
        <v>1393</v>
      </c>
      <c r="C5" t="s">
        <v>1394</v>
      </c>
      <c r="D5" t="s">
        <v>1395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1396</v>
      </c>
    </row>
    <row r="6" spans="1:37" x14ac:dyDescent="0.25">
      <c r="A6" t="s">
        <v>1397</v>
      </c>
      <c r="C6" t="s">
        <v>1398</v>
      </c>
    </row>
    <row r="7" spans="1:37" x14ac:dyDescent="0.25">
      <c r="A7" t="s">
        <v>1399</v>
      </c>
      <c r="B7" t="s">
        <v>1400</v>
      </c>
      <c r="C7" t="s">
        <v>1401</v>
      </c>
      <c r="D7" t="s">
        <v>1402</v>
      </c>
      <c r="F7">
        <v>2.5918450000000002</v>
      </c>
      <c r="G7">
        <v>2.6588880000000001</v>
      </c>
      <c r="H7">
        <v>2.5813350000000002</v>
      </c>
      <c r="I7">
        <v>2.2337400000000001</v>
      </c>
      <c r="J7">
        <v>2.0225580000000001</v>
      </c>
      <c r="K7">
        <v>2.1545269999999999</v>
      </c>
      <c r="L7">
        <v>2.254248</v>
      </c>
      <c r="M7">
        <v>2.1726299999999998</v>
      </c>
      <c r="N7">
        <v>2.0596580000000002</v>
      </c>
      <c r="O7">
        <v>1.9330339999999999</v>
      </c>
      <c r="P7">
        <v>1.705166</v>
      </c>
      <c r="Q7">
        <v>1.695373</v>
      </c>
      <c r="R7">
        <v>1.5883830000000001</v>
      </c>
      <c r="S7">
        <v>1.443764</v>
      </c>
      <c r="T7">
        <v>1.408442</v>
      </c>
      <c r="U7">
        <v>1.381659</v>
      </c>
      <c r="V7">
        <v>1.3726780000000001</v>
      </c>
      <c r="W7">
        <v>1.378547</v>
      </c>
      <c r="X7">
        <v>1.3728880000000001</v>
      </c>
      <c r="Y7">
        <v>1.3533390000000001</v>
      </c>
      <c r="Z7">
        <v>1.349054</v>
      </c>
      <c r="AA7">
        <v>1.3399080000000001</v>
      </c>
      <c r="AB7">
        <v>1.309852</v>
      </c>
      <c r="AC7">
        <v>1.2596620000000001</v>
      </c>
      <c r="AD7">
        <v>1.237417</v>
      </c>
      <c r="AE7">
        <v>1.1905650000000001</v>
      </c>
      <c r="AF7">
        <v>1.1523939999999999</v>
      </c>
      <c r="AG7">
        <v>1.128619</v>
      </c>
      <c r="AH7">
        <v>1.0658700000000001</v>
      </c>
      <c r="AI7">
        <v>1.032826</v>
      </c>
      <c r="AJ7">
        <v>1.02677</v>
      </c>
      <c r="AK7" s="13">
        <v>-0.03</v>
      </c>
    </row>
    <row r="8" spans="1:37" x14ac:dyDescent="0.25">
      <c r="A8" t="s">
        <v>1403</v>
      </c>
      <c r="B8" t="s">
        <v>1404</v>
      </c>
      <c r="C8" t="s">
        <v>1405</v>
      </c>
      <c r="D8" t="s">
        <v>1402</v>
      </c>
      <c r="F8">
        <v>2.5271859999999999</v>
      </c>
      <c r="G8">
        <v>2.5802269999999998</v>
      </c>
      <c r="H8">
        <v>2.5030260000000002</v>
      </c>
      <c r="I8">
        <v>2.1557840000000001</v>
      </c>
      <c r="J8">
        <v>1.9448920000000001</v>
      </c>
      <c r="K8">
        <v>2.076816</v>
      </c>
      <c r="L8">
        <v>2.1767699999999999</v>
      </c>
      <c r="M8">
        <v>2.0950630000000001</v>
      </c>
      <c r="N8">
        <v>1.982531</v>
      </c>
      <c r="O8">
        <v>1.855707</v>
      </c>
      <c r="P8">
        <v>1.628266</v>
      </c>
      <c r="Q8">
        <v>1.618474</v>
      </c>
      <c r="R8">
        <v>1.5114829999999999</v>
      </c>
      <c r="S8">
        <v>1.366865</v>
      </c>
      <c r="T8">
        <v>1.3315429999999999</v>
      </c>
      <c r="U8">
        <v>1.3047599999999999</v>
      </c>
      <c r="V8">
        <v>1.295779</v>
      </c>
      <c r="W8">
        <v>1.301647</v>
      </c>
      <c r="X8">
        <v>1.2959879999999999</v>
      </c>
      <c r="Y8">
        <v>1.27644</v>
      </c>
      <c r="Z8">
        <v>1.2721549999999999</v>
      </c>
      <c r="AA8">
        <v>1.263009</v>
      </c>
      <c r="AB8">
        <v>1.232953</v>
      </c>
      <c r="AC8">
        <v>1.182763</v>
      </c>
      <c r="AD8">
        <v>1.160517</v>
      </c>
      <c r="AE8">
        <v>1.1136649999999999</v>
      </c>
      <c r="AF8">
        <v>1.0754950000000001</v>
      </c>
      <c r="AG8">
        <v>1.05172</v>
      </c>
      <c r="AH8">
        <v>0.98897100000000004</v>
      </c>
      <c r="AI8">
        <v>0.95592699999999997</v>
      </c>
      <c r="AJ8">
        <v>0.94986999999999999</v>
      </c>
      <c r="AK8" s="13">
        <v>-3.2000000000000001E-2</v>
      </c>
    </row>
    <row r="9" spans="1:37" x14ac:dyDescent="0.25">
      <c r="A9" t="s">
        <v>1406</v>
      </c>
      <c r="B9" t="s">
        <v>1407</v>
      </c>
      <c r="C9" t="s">
        <v>1408</v>
      </c>
      <c r="D9" t="s">
        <v>1402</v>
      </c>
      <c r="F9">
        <v>0</v>
      </c>
      <c r="G9">
        <v>0</v>
      </c>
      <c r="H9">
        <v>0</v>
      </c>
      <c r="I9">
        <v>0</v>
      </c>
      <c r="J9">
        <v>6.2000000000000003E-5</v>
      </c>
      <c r="K9">
        <v>4.5899999999999999E-4</v>
      </c>
      <c r="L9">
        <v>5.7899999999999998E-4</v>
      </c>
      <c r="M9">
        <v>6.6799999999999997E-4</v>
      </c>
      <c r="N9">
        <v>2.2800000000000001E-4</v>
      </c>
      <c r="O9">
        <v>4.2700000000000002E-4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1409</v>
      </c>
    </row>
    <row r="10" spans="1:37" x14ac:dyDescent="0.25">
      <c r="A10" t="s">
        <v>1410</v>
      </c>
      <c r="B10" t="s">
        <v>1411</v>
      </c>
      <c r="C10" t="s">
        <v>1412</v>
      </c>
      <c r="D10" t="s">
        <v>1402</v>
      </c>
      <c r="F10">
        <v>6.4658999999999994E-2</v>
      </c>
      <c r="G10">
        <v>7.8660999999999995E-2</v>
      </c>
      <c r="H10">
        <v>7.8309000000000004E-2</v>
      </c>
      <c r="I10">
        <v>7.7955999999999998E-2</v>
      </c>
      <c r="J10">
        <v>7.7604000000000006E-2</v>
      </c>
      <c r="K10">
        <v>7.7252000000000001E-2</v>
      </c>
      <c r="L10">
        <v>7.6898999999999995E-2</v>
      </c>
      <c r="M10">
        <v>7.6898999999999995E-2</v>
      </c>
      <c r="N10">
        <v>7.6898999999999995E-2</v>
      </c>
      <c r="O10">
        <v>7.6898999999999995E-2</v>
      </c>
      <c r="P10">
        <v>7.6898999999999995E-2</v>
      </c>
      <c r="Q10">
        <v>7.6898999999999995E-2</v>
      </c>
      <c r="R10">
        <v>7.6898999999999995E-2</v>
      </c>
      <c r="S10">
        <v>7.6898999999999995E-2</v>
      </c>
      <c r="T10">
        <v>7.6898999999999995E-2</v>
      </c>
      <c r="U10">
        <v>7.6898999999999995E-2</v>
      </c>
      <c r="V10">
        <v>7.6898999999999995E-2</v>
      </c>
      <c r="W10">
        <v>7.6898999999999995E-2</v>
      </c>
      <c r="X10">
        <v>7.6898999999999995E-2</v>
      </c>
      <c r="Y10">
        <v>7.6898999999999995E-2</v>
      </c>
      <c r="Z10">
        <v>7.6898999999999995E-2</v>
      </c>
      <c r="AA10">
        <v>7.6898999999999995E-2</v>
      </c>
      <c r="AB10">
        <v>7.6898999999999995E-2</v>
      </c>
      <c r="AC10">
        <v>7.6898999999999995E-2</v>
      </c>
      <c r="AD10">
        <v>7.6898999999999995E-2</v>
      </c>
      <c r="AE10">
        <v>7.6898999999999995E-2</v>
      </c>
      <c r="AF10">
        <v>7.6898999999999995E-2</v>
      </c>
      <c r="AG10">
        <v>7.6898999999999995E-2</v>
      </c>
      <c r="AH10">
        <v>7.6898999999999995E-2</v>
      </c>
      <c r="AI10">
        <v>7.6898999999999995E-2</v>
      </c>
      <c r="AJ10">
        <v>7.6898999999999995E-2</v>
      </c>
      <c r="AK10" s="13">
        <v>6.0000000000000001E-3</v>
      </c>
    </row>
    <row r="11" spans="1:37" x14ac:dyDescent="0.25">
      <c r="A11" s="1" t="s">
        <v>1413</v>
      </c>
      <c r="B11" t="s">
        <v>1414</v>
      </c>
      <c r="C11" t="s">
        <v>1415</v>
      </c>
      <c r="D11" t="s">
        <v>1402</v>
      </c>
      <c r="F11">
        <v>5.2605529999999998</v>
      </c>
      <c r="G11">
        <v>6.2966530000000001</v>
      </c>
      <c r="H11">
        <v>6.521109</v>
      </c>
      <c r="I11">
        <v>6.7624659999999999</v>
      </c>
      <c r="J11">
        <v>7.2575200000000004</v>
      </c>
      <c r="K11">
        <v>7.86409</v>
      </c>
      <c r="L11">
        <v>8.3293900000000001</v>
      </c>
      <c r="M11">
        <v>8.5881810000000005</v>
      </c>
      <c r="N11">
        <v>8.9278890000000004</v>
      </c>
      <c r="O11">
        <v>9.3611160000000009</v>
      </c>
      <c r="P11">
        <v>9.8337780000000006</v>
      </c>
      <c r="Q11">
        <v>10.080954</v>
      </c>
      <c r="R11">
        <v>10.344863999999999</v>
      </c>
      <c r="S11">
        <v>10.563437</v>
      </c>
      <c r="T11">
        <v>10.789638999999999</v>
      </c>
      <c r="U11">
        <v>11.010730000000001</v>
      </c>
      <c r="V11">
        <v>11.253021</v>
      </c>
      <c r="W11">
        <v>11.458885</v>
      </c>
      <c r="X11">
        <v>11.687817000000001</v>
      </c>
      <c r="Y11">
        <v>11.909034999999999</v>
      </c>
      <c r="Z11">
        <v>12.158211</v>
      </c>
      <c r="AA11">
        <v>12.256627999999999</v>
      </c>
      <c r="AB11">
        <v>12.283306</v>
      </c>
      <c r="AC11">
        <v>12.311002999999999</v>
      </c>
      <c r="AD11">
        <v>12.357313</v>
      </c>
      <c r="AE11">
        <v>12.357868</v>
      </c>
      <c r="AF11">
        <v>12.383665000000001</v>
      </c>
      <c r="AG11">
        <v>12.409162999999999</v>
      </c>
      <c r="AH11">
        <v>12.465016</v>
      </c>
      <c r="AI11">
        <v>12.467362</v>
      </c>
      <c r="AJ11">
        <v>12.477143999999999</v>
      </c>
      <c r="AK11" s="13">
        <v>2.9000000000000001E-2</v>
      </c>
    </row>
    <row r="12" spans="1:37" x14ac:dyDescent="0.25">
      <c r="A12" s="14" t="s">
        <v>1416</v>
      </c>
      <c r="B12" s="14" t="s">
        <v>1417</v>
      </c>
      <c r="C12" s="14" t="s">
        <v>1418</v>
      </c>
      <c r="D12" s="14" t="s">
        <v>1402</v>
      </c>
      <c r="E12" s="14"/>
      <c r="F12" s="14">
        <v>0.881853</v>
      </c>
      <c r="G12" s="14">
        <v>0.93884199999999995</v>
      </c>
      <c r="H12" s="14">
        <v>0.90745100000000001</v>
      </c>
      <c r="I12" s="14">
        <v>0.96646900000000002</v>
      </c>
      <c r="J12" s="14">
        <v>0.98920799999999998</v>
      </c>
      <c r="K12" s="14">
        <v>0.98099099999999995</v>
      </c>
      <c r="L12" s="14">
        <v>0.97334399999999999</v>
      </c>
      <c r="M12" s="14">
        <v>0.98388500000000001</v>
      </c>
      <c r="N12" s="14">
        <v>1.0215129999999999</v>
      </c>
      <c r="O12" s="14">
        <v>1.03111</v>
      </c>
      <c r="P12" s="14">
        <v>1.068119</v>
      </c>
      <c r="Q12" s="14">
        <v>1.081704</v>
      </c>
      <c r="R12" s="14">
        <v>1.100447</v>
      </c>
      <c r="S12" s="14">
        <v>1.1113230000000001</v>
      </c>
      <c r="T12" s="14">
        <v>1.1110279999999999</v>
      </c>
      <c r="U12" s="14">
        <v>1.1215599999999999</v>
      </c>
      <c r="V12" s="14">
        <v>1.1344339999999999</v>
      </c>
      <c r="W12" s="14">
        <v>1.144015</v>
      </c>
      <c r="X12" s="14">
        <v>1.1574</v>
      </c>
      <c r="Y12" s="14">
        <v>1.163259</v>
      </c>
      <c r="Z12" s="14">
        <v>1.176172</v>
      </c>
      <c r="AA12" s="14">
        <v>1.177003</v>
      </c>
      <c r="AB12" s="14">
        <v>1.1867939999999999</v>
      </c>
      <c r="AC12" s="14">
        <v>1.196353</v>
      </c>
      <c r="AD12" s="14">
        <v>1.2082349999999999</v>
      </c>
      <c r="AE12" s="14">
        <v>1.208432</v>
      </c>
      <c r="AF12" s="14">
        <v>1.216575</v>
      </c>
      <c r="AG12" s="14">
        <v>1.2268539999999999</v>
      </c>
      <c r="AH12" s="14">
        <v>1.245973</v>
      </c>
      <c r="AI12" s="14">
        <v>1.2489159999999999</v>
      </c>
      <c r="AJ12" s="14">
        <v>1.2633730000000001</v>
      </c>
      <c r="AK12" s="15">
        <v>1.2E-2</v>
      </c>
    </row>
    <row r="13" spans="1:37" x14ac:dyDescent="0.25">
      <c r="A13" s="14" t="s">
        <v>1419</v>
      </c>
      <c r="B13" s="14" t="s">
        <v>1420</v>
      </c>
      <c r="C13" s="14" t="s">
        <v>1421</v>
      </c>
      <c r="D13" s="14" t="s">
        <v>1402</v>
      </c>
      <c r="E13" s="14"/>
      <c r="F13" s="14">
        <v>2.0645199999999999</v>
      </c>
      <c r="G13" s="14">
        <v>2.1902119999999998</v>
      </c>
      <c r="H13" s="14">
        <v>2.4863369999999998</v>
      </c>
      <c r="I13" s="14">
        <v>2.6299000000000001</v>
      </c>
      <c r="J13" s="14">
        <v>2.728291</v>
      </c>
      <c r="K13" s="14">
        <v>2.7867380000000002</v>
      </c>
      <c r="L13" s="14">
        <v>2.8311500000000001</v>
      </c>
      <c r="M13" s="14">
        <v>2.8793989999999998</v>
      </c>
      <c r="N13" s="14">
        <v>2.9693580000000002</v>
      </c>
      <c r="O13" s="14">
        <v>3.005112</v>
      </c>
      <c r="P13" s="14">
        <v>3.0407639999999998</v>
      </c>
      <c r="Q13" s="14">
        <v>3.074354</v>
      </c>
      <c r="R13" s="14">
        <v>3.107399</v>
      </c>
      <c r="S13" s="14">
        <v>3.1272190000000002</v>
      </c>
      <c r="T13" s="14">
        <v>3.153715</v>
      </c>
      <c r="U13" s="14">
        <v>3.1642749999999999</v>
      </c>
      <c r="V13" s="14">
        <v>3.1815690000000001</v>
      </c>
      <c r="W13" s="14">
        <v>3.189975</v>
      </c>
      <c r="X13" s="14">
        <v>3.2055220000000002</v>
      </c>
      <c r="Y13" s="14">
        <v>3.2208809999999999</v>
      </c>
      <c r="Z13" s="14">
        <v>3.2450199999999998</v>
      </c>
      <c r="AA13" s="14">
        <v>3.2547299999999999</v>
      </c>
      <c r="AB13" s="14">
        <v>3.271617</v>
      </c>
      <c r="AC13" s="14">
        <v>3.289755</v>
      </c>
      <c r="AD13" s="14">
        <v>3.3120599999999998</v>
      </c>
      <c r="AE13" s="14">
        <v>3.324541</v>
      </c>
      <c r="AF13" s="14">
        <v>3.3421949999999998</v>
      </c>
      <c r="AG13" s="14">
        <v>3.3574130000000002</v>
      </c>
      <c r="AH13" s="14">
        <v>3.3820250000000001</v>
      </c>
      <c r="AI13" s="14">
        <v>3.393551</v>
      </c>
      <c r="AJ13" s="14">
        <v>3.3888760000000002</v>
      </c>
      <c r="AK13" s="15">
        <v>1.7000000000000001E-2</v>
      </c>
    </row>
    <row r="14" spans="1:37" x14ac:dyDescent="0.25">
      <c r="A14" s="14" t="s">
        <v>1422</v>
      </c>
      <c r="B14" s="14" t="s">
        <v>1423</v>
      </c>
      <c r="C14" s="14" t="s">
        <v>1424</v>
      </c>
      <c r="D14" s="14" t="s">
        <v>1402</v>
      </c>
      <c r="E14" s="14"/>
      <c r="F14" s="14">
        <v>2.3141799999999999</v>
      </c>
      <c r="G14" s="14">
        <v>3.1675979999999999</v>
      </c>
      <c r="H14" s="14">
        <v>3.1273200000000001</v>
      </c>
      <c r="I14" s="14">
        <v>3.1660970000000002</v>
      </c>
      <c r="J14" s="14">
        <v>3.5400209999999999</v>
      </c>
      <c r="K14" s="14">
        <v>4.0963609999999999</v>
      </c>
      <c r="L14" s="14">
        <v>4.5248949999999999</v>
      </c>
      <c r="M14" s="14">
        <v>4.7248950000000001</v>
      </c>
      <c r="N14" s="14">
        <v>4.9370180000000001</v>
      </c>
      <c r="O14" s="14">
        <v>5.3248949999999997</v>
      </c>
      <c r="P14" s="14">
        <v>5.7248950000000001</v>
      </c>
      <c r="Q14" s="14">
        <v>5.9248950000000002</v>
      </c>
      <c r="R14" s="14">
        <v>6.1370180000000003</v>
      </c>
      <c r="S14" s="14">
        <v>6.3248949999999997</v>
      </c>
      <c r="T14" s="14">
        <v>6.5248949999999999</v>
      </c>
      <c r="U14" s="14">
        <v>6.7248950000000001</v>
      </c>
      <c r="V14" s="14">
        <v>6.9370180000000001</v>
      </c>
      <c r="W14" s="14">
        <v>7.1248959999999997</v>
      </c>
      <c r="X14" s="14">
        <v>7.3248949999999997</v>
      </c>
      <c r="Y14" s="14">
        <v>7.5248949999999999</v>
      </c>
      <c r="Z14" s="14">
        <v>7.7370190000000001</v>
      </c>
      <c r="AA14" s="14">
        <v>7.8248949999999997</v>
      </c>
      <c r="AB14" s="14">
        <v>7.8248949999999997</v>
      </c>
      <c r="AC14" s="14">
        <v>7.8248949999999997</v>
      </c>
      <c r="AD14" s="14">
        <v>7.8370179999999996</v>
      </c>
      <c r="AE14" s="14">
        <v>7.8248949999999997</v>
      </c>
      <c r="AF14" s="14">
        <v>7.8248949999999997</v>
      </c>
      <c r="AG14" s="14">
        <v>7.8248949999999997</v>
      </c>
      <c r="AH14" s="14">
        <v>7.8370179999999996</v>
      </c>
      <c r="AI14" s="14">
        <v>7.8248949999999997</v>
      </c>
      <c r="AJ14" s="14">
        <v>7.8248949999999997</v>
      </c>
      <c r="AK14" s="15">
        <v>4.1000000000000002E-2</v>
      </c>
    </row>
    <row r="15" spans="1:37" x14ac:dyDescent="0.25">
      <c r="A15" t="s">
        <v>1425</v>
      </c>
      <c r="B15" t="s">
        <v>1426</v>
      </c>
      <c r="C15" t="s">
        <v>1427</v>
      </c>
      <c r="D15" t="s">
        <v>1402</v>
      </c>
      <c r="F15">
        <v>-2.6687090000000002</v>
      </c>
      <c r="G15">
        <v>-3.6377649999999999</v>
      </c>
      <c r="H15">
        <v>-3.9397730000000002</v>
      </c>
      <c r="I15">
        <v>-4.5287269999999999</v>
      </c>
      <c r="J15">
        <v>-5.2349620000000003</v>
      </c>
      <c r="K15">
        <v>-5.709562</v>
      </c>
      <c r="L15">
        <v>-6.0751410000000003</v>
      </c>
      <c r="M15">
        <v>-6.4155499999999996</v>
      </c>
      <c r="N15">
        <v>-6.8682309999999998</v>
      </c>
      <c r="O15">
        <v>-7.428083</v>
      </c>
      <c r="P15">
        <v>-8.1286129999999996</v>
      </c>
      <c r="Q15">
        <v>-8.3855799999999991</v>
      </c>
      <c r="R15">
        <v>-8.7564810000000008</v>
      </c>
      <c r="S15">
        <v>-9.1196730000000006</v>
      </c>
      <c r="T15">
        <v>-9.3811959999999992</v>
      </c>
      <c r="U15">
        <v>-9.6290700000000005</v>
      </c>
      <c r="V15">
        <v>-9.8803420000000006</v>
      </c>
      <c r="W15">
        <v>-10.080339</v>
      </c>
      <c r="X15">
        <v>-10.31493</v>
      </c>
      <c r="Y15">
        <v>-10.555695999999999</v>
      </c>
      <c r="Z15">
        <v>-10.809156</v>
      </c>
      <c r="AA15">
        <v>-10.916719000000001</v>
      </c>
      <c r="AB15">
        <v>-10.973454</v>
      </c>
      <c r="AC15">
        <v>-11.051341000000001</v>
      </c>
      <c r="AD15">
        <v>-11.119896000000001</v>
      </c>
      <c r="AE15">
        <v>-11.167303</v>
      </c>
      <c r="AF15">
        <v>-11.231272000000001</v>
      </c>
      <c r="AG15">
        <v>-11.280543</v>
      </c>
      <c r="AH15">
        <v>-11.399146</v>
      </c>
      <c r="AI15">
        <v>-11.434536</v>
      </c>
      <c r="AJ15">
        <v>-11.450374999999999</v>
      </c>
      <c r="AK15" s="13">
        <v>0.05</v>
      </c>
    </row>
    <row r="16" spans="1:37" x14ac:dyDescent="0.25">
      <c r="A16" t="s">
        <v>1428</v>
      </c>
      <c r="B16" t="s">
        <v>1429</v>
      </c>
      <c r="C16" t="s">
        <v>1430</v>
      </c>
      <c r="D16" t="s">
        <v>1402</v>
      </c>
      <c r="F16">
        <v>1.6453329999999999</v>
      </c>
      <c r="G16">
        <v>1.6413850000000001</v>
      </c>
      <c r="H16">
        <v>1.595575</v>
      </c>
      <c r="I16">
        <v>1.189314</v>
      </c>
      <c r="J16">
        <v>0.95568399999999998</v>
      </c>
      <c r="K16">
        <v>1.095825</v>
      </c>
      <c r="L16">
        <v>1.2034260000000001</v>
      </c>
      <c r="M16">
        <v>1.1111770000000001</v>
      </c>
      <c r="N16">
        <v>0.96101899999999996</v>
      </c>
      <c r="O16">
        <v>0.82459700000000002</v>
      </c>
      <c r="P16">
        <v>0.56014699999999995</v>
      </c>
      <c r="Q16">
        <v>0.53676999999999997</v>
      </c>
      <c r="R16">
        <v>0.41103699999999999</v>
      </c>
      <c r="S16">
        <v>0.25554199999999999</v>
      </c>
      <c r="T16">
        <v>0.22051399999999999</v>
      </c>
      <c r="U16">
        <v>0.1832</v>
      </c>
      <c r="V16">
        <v>0.16134499999999999</v>
      </c>
      <c r="W16">
        <v>0.15763199999999999</v>
      </c>
      <c r="X16">
        <v>0.13858799999999999</v>
      </c>
      <c r="Y16">
        <v>0.113181</v>
      </c>
      <c r="Z16">
        <v>9.5982999999999999E-2</v>
      </c>
      <c r="AA16">
        <v>8.6005999999999999E-2</v>
      </c>
      <c r="AB16">
        <v>4.6157999999999998E-2</v>
      </c>
      <c r="AC16">
        <v>-1.3591000000000001E-2</v>
      </c>
      <c r="AD16">
        <v>-4.7718000000000003E-2</v>
      </c>
      <c r="AE16">
        <v>-9.4766000000000003E-2</v>
      </c>
      <c r="AF16">
        <v>-0.14108100000000001</v>
      </c>
      <c r="AG16">
        <v>-0.17513400000000001</v>
      </c>
      <c r="AH16">
        <v>-0.25700200000000001</v>
      </c>
      <c r="AI16">
        <v>-0.29298999999999997</v>
      </c>
      <c r="AJ16">
        <v>-0.313502</v>
      </c>
      <c r="AK16" t="s">
        <v>1409</v>
      </c>
    </row>
    <row r="17" spans="1:37" x14ac:dyDescent="0.25">
      <c r="A17" t="s">
        <v>1431</v>
      </c>
      <c r="B17" t="s">
        <v>1432</v>
      </c>
      <c r="C17" t="s">
        <v>1433</v>
      </c>
      <c r="D17" t="s">
        <v>1402</v>
      </c>
      <c r="F17">
        <v>-2.0645199999999999</v>
      </c>
      <c r="G17">
        <v>-2.1902119999999998</v>
      </c>
      <c r="H17">
        <v>-2.4863369999999998</v>
      </c>
      <c r="I17">
        <v>-2.6299000000000001</v>
      </c>
      <c r="J17">
        <v>-2.7282289999999998</v>
      </c>
      <c r="K17">
        <v>-2.786279</v>
      </c>
      <c r="L17">
        <v>-2.8305709999999999</v>
      </c>
      <c r="M17">
        <v>-2.8787319999999998</v>
      </c>
      <c r="N17">
        <v>-2.969131</v>
      </c>
      <c r="O17">
        <v>-3.0046840000000001</v>
      </c>
      <c r="P17">
        <v>-3.0407639999999998</v>
      </c>
      <c r="Q17">
        <v>-3.074354</v>
      </c>
      <c r="R17">
        <v>-3.107399</v>
      </c>
      <c r="S17">
        <v>-3.1272190000000002</v>
      </c>
      <c r="T17">
        <v>-3.153715</v>
      </c>
      <c r="U17">
        <v>-3.1642749999999999</v>
      </c>
      <c r="V17">
        <v>-3.1815690000000001</v>
      </c>
      <c r="W17">
        <v>-3.189975</v>
      </c>
      <c r="X17">
        <v>-3.2055220000000002</v>
      </c>
      <c r="Y17">
        <v>-3.2208809999999999</v>
      </c>
      <c r="Z17">
        <v>-3.2450199999999998</v>
      </c>
      <c r="AA17">
        <v>-3.2547299999999999</v>
      </c>
      <c r="AB17">
        <v>-3.271617</v>
      </c>
      <c r="AC17">
        <v>-3.289755</v>
      </c>
      <c r="AD17">
        <v>-3.3120599999999998</v>
      </c>
      <c r="AE17">
        <v>-3.324541</v>
      </c>
      <c r="AF17">
        <v>-3.3421949999999998</v>
      </c>
      <c r="AG17">
        <v>-3.3574130000000002</v>
      </c>
      <c r="AH17">
        <v>-3.3820250000000001</v>
      </c>
      <c r="AI17">
        <v>-3.393551</v>
      </c>
      <c r="AJ17">
        <v>-3.3888760000000002</v>
      </c>
      <c r="AK17" s="13">
        <v>1.7000000000000001E-2</v>
      </c>
    </row>
    <row r="18" spans="1:37" x14ac:dyDescent="0.25">
      <c r="A18" t="s">
        <v>1434</v>
      </c>
      <c r="B18" t="s">
        <v>1435</v>
      </c>
      <c r="C18" t="s">
        <v>1436</v>
      </c>
      <c r="D18" t="s">
        <v>1402</v>
      </c>
      <c r="F18">
        <v>-2.2495210000000001</v>
      </c>
      <c r="G18">
        <v>-3.0889380000000002</v>
      </c>
      <c r="H18">
        <v>-3.0490119999999998</v>
      </c>
      <c r="I18">
        <v>-3.0881400000000001</v>
      </c>
      <c r="J18">
        <v>-3.4624169999999999</v>
      </c>
      <c r="K18">
        <v>-4.0191090000000003</v>
      </c>
      <c r="L18">
        <v>-4.4479959999999998</v>
      </c>
      <c r="M18">
        <v>-4.647996</v>
      </c>
      <c r="N18">
        <v>-4.8601190000000001</v>
      </c>
      <c r="O18">
        <v>-5.2479959999999997</v>
      </c>
      <c r="P18">
        <v>-5.647996</v>
      </c>
      <c r="Q18">
        <v>-5.8479960000000002</v>
      </c>
      <c r="R18">
        <v>-6.0601190000000003</v>
      </c>
      <c r="S18">
        <v>-6.2479959999999997</v>
      </c>
      <c r="T18">
        <v>-6.4479959999999998</v>
      </c>
      <c r="U18">
        <v>-6.647996</v>
      </c>
      <c r="V18">
        <v>-6.8601190000000001</v>
      </c>
      <c r="W18">
        <v>-7.0479960000000004</v>
      </c>
      <c r="X18">
        <v>-7.2479959999999997</v>
      </c>
      <c r="Y18">
        <v>-7.4479959999999998</v>
      </c>
      <c r="Z18">
        <v>-7.6601189999999999</v>
      </c>
      <c r="AA18">
        <v>-7.7479959999999997</v>
      </c>
      <c r="AB18">
        <v>-7.7479959999999997</v>
      </c>
      <c r="AC18">
        <v>-7.7479959999999997</v>
      </c>
      <c r="AD18">
        <v>-7.7601190000000004</v>
      </c>
      <c r="AE18">
        <v>-7.7479959999999997</v>
      </c>
      <c r="AF18">
        <v>-7.7479959999999997</v>
      </c>
      <c r="AG18">
        <v>-7.7479959999999997</v>
      </c>
      <c r="AH18">
        <v>-7.7601190000000004</v>
      </c>
      <c r="AI18">
        <v>-7.7479959999999997</v>
      </c>
      <c r="AJ18">
        <v>-7.7479959999999997</v>
      </c>
      <c r="AK18" s="13">
        <v>4.2000000000000003E-2</v>
      </c>
    </row>
    <row r="21" spans="1:37" x14ac:dyDescent="0.25">
      <c r="B21" s="1" t="s">
        <v>1591</v>
      </c>
    </row>
    <row r="22" spans="1:37" x14ac:dyDescent="0.25">
      <c r="B22" s="1"/>
      <c r="C22" s="14" t="s">
        <v>1416</v>
      </c>
      <c r="D22" s="14" t="s">
        <v>1419</v>
      </c>
      <c r="E22" s="14" t="s">
        <v>1422</v>
      </c>
    </row>
    <row r="23" spans="1:37" x14ac:dyDescent="0.25">
      <c r="B23" cm="1">
        <f t="array" ref="B23:B54">TRANSPOSE(F5:AK5)</f>
        <v>2020</v>
      </c>
      <c r="C23">
        <f t="array" ref="C23:C54">TRANSPOSE(F12:AK12)</f>
        <v>0.881853</v>
      </c>
      <c r="D23">
        <f t="array" ref="D23:D54">TRANSPOSE(F13:AK13)</f>
        <v>2.0645199999999999</v>
      </c>
      <c r="E23">
        <f t="array" ref="E23:E54">TRANSPOSE(F14:AK14)</f>
        <v>2.3141799999999999</v>
      </c>
    </row>
    <row r="24" spans="1:37" x14ac:dyDescent="0.25">
      <c r="B24">
        <v>2021</v>
      </c>
      <c r="C24">
        <v>0.93884199999999995</v>
      </c>
      <c r="D24">
        <v>2.1902119999999998</v>
      </c>
      <c r="E24">
        <v>3.1675979999999999</v>
      </c>
    </row>
    <row r="25" spans="1:37" x14ac:dyDescent="0.25">
      <c r="B25">
        <v>2022</v>
      </c>
      <c r="C25">
        <v>0.90745100000000001</v>
      </c>
      <c r="D25">
        <v>2.4863369999999998</v>
      </c>
      <c r="E25">
        <v>3.1273200000000001</v>
      </c>
    </row>
    <row r="26" spans="1:37" x14ac:dyDescent="0.25">
      <c r="B26">
        <v>2023</v>
      </c>
      <c r="C26">
        <v>0.96646900000000002</v>
      </c>
      <c r="D26">
        <v>2.6299000000000001</v>
      </c>
      <c r="E26">
        <v>3.1660970000000002</v>
      </c>
    </row>
    <row r="27" spans="1:37" x14ac:dyDescent="0.25">
      <c r="B27">
        <v>2024</v>
      </c>
      <c r="C27">
        <v>0.98920799999999998</v>
      </c>
      <c r="D27">
        <v>2.728291</v>
      </c>
      <c r="E27">
        <v>3.5400209999999999</v>
      </c>
    </row>
    <row r="28" spans="1:37" x14ac:dyDescent="0.25">
      <c r="B28">
        <v>2025</v>
      </c>
      <c r="C28">
        <v>0.98099099999999995</v>
      </c>
      <c r="D28">
        <v>2.7867380000000002</v>
      </c>
      <c r="E28">
        <v>4.0963609999999999</v>
      </c>
    </row>
    <row r="29" spans="1:37" x14ac:dyDescent="0.25">
      <c r="B29">
        <v>2026</v>
      </c>
      <c r="C29">
        <v>0.97334399999999999</v>
      </c>
      <c r="D29">
        <v>2.8311500000000001</v>
      </c>
      <c r="E29">
        <v>4.5248949999999999</v>
      </c>
    </row>
    <row r="30" spans="1:37" x14ac:dyDescent="0.25">
      <c r="B30">
        <v>2027</v>
      </c>
      <c r="C30">
        <v>0.98388500000000001</v>
      </c>
      <c r="D30">
        <v>2.8793989999999998</v>
      </c>
      <c r="E30">
        <v>4.7248950000000001</v>
      </c>
    </row>
    <row r="31" spans="1:37" x14ac:dyDescent="0.25">
      <c r="B31">
        <v>2028</v>
      </c>
      <c r="C31">
        <v>1.0215129999999999</v>
      </c>
      <c r="D31">
        <v>2.9693580000000002</v>
      </c>
      <c r="E31">
        <v>4.9370180000000001</v>
      </c>
    </row>
    <row r="32" spans="1:37" x14ac:dyDescent="0.25">
      <c r="B32">
        <v>2029</v>
      </c>
      <c r="C32">
        <v>1.03111</v>
      </c>
      <c r="D32">
        <v>3.005112</v>
      </c>
      <c r="E32">
        <v>5.3248949999999997</v>
      </c>
    </row>
    <row r="33" spans="2:5" x14ac:dyDescent="0.25">
      <c r="B33">
        <v>2030</v>
      </c>
      <c r="C33">
        <v>1.068119</v>
      </c>
      <c r="D33">
        <v>3.0407639999999998</v>
      </c>
      <c r="E33">
        <v>5.7248950000000001</v>
      </c>
    </row>
    <row r="34" spans="2:5" x14ac:dyDescent="0.25">
      <c r="B34">
        <v>2031</v>
      </c>
      <c r="C34">
        <v>1.081704</v>
      </c>
      <c r="D34">
        <v>3.074354</v>
      </c>
      <c r="E34">
        <v>5.9248950000000002</v>
      </c>
    </row>
    <row r="35" spans="2:5" x14ac:dyDescent="0.25">
      <c r="B35">
        <v>2032</v>
      </c>
      <c r="C35">
        <v>1.100447</v>
      </c>
      <c r="D35">
        <v>3.107399</v>
      </c>
      <c r="E35">
        <v>6.1370180000000003</v>
      </c>
    </row>
    <row r="36" spans="2:5" x14ac:dyDescent="0.25">
      <c r="B36">
        <v>2033</v>
      </c>
      <c r="C36">
        <v>1.1113230000000001</v>
      </c>
      <c r="D36">
        <v>3.1272190000000002</v>
      </c>
      <c r="E36">
        <v>6.3248949999999997</v>
      </c>
    </row>
    <row r="37" spans="2:5" x14ac:dyDescent="0.25">
      <c r="B37">
        <v>2034</v>
      </c>
      <c r="C37">
        <v>1.1110279999999999</v>
      </c>
      <c r="D37">
        <v>3.153715</v>
      </c>
      <c r="E37">
        <v>6.5248949999999999</v>
      </c>
    </row>
    <row r="38" spans="2:5" x14ac:dyDescent="0.25">
      <c r="B38">
        <v>2035</v>
      </c>
      <c r="C38">
        <v>1.1215599999999999</v>
      </c>
      <c r="D38">
        <v>3.1642749999999999</v>
      </c>
      <c r="E38">
        <v>6.7248950000000001</v>
      </c>
    </row>
    <row r="39" spans="2:5" x14ac:dyDescent="0.25">
      <c r="B39">
        <v>2036</v>
      </c>
      <c r="C39">
        <v>1.1344339999999999</v>
      </c>
      <c r="D39">
        <v>3.1815690000000001</v>
      </c>
      <c r="E39">
        <v>6.9370180000000001</v>
      </c>
    </row>
    <row r="40" spans="2:5" x14ac:dyDescent="0.25">
      <c r="B40">
        <v>2037</v>
      </c>
      <c r="C40">
        <v>1.144015</v>
      </c>
      <c r="D40">
        <v>3.189975</v>
      </c>
      <c r="E40">
        <v>7.1248959999999997</v>
      </c>
    </row>
    <row r="41" spans="2:5" x14ac:dyDescent="0.25">
      <c r="B41">
        <v>2038</v>
      </c>
      <c r="C41">
        <v>1.1574</v>
      </c>
      <c r="D41">
        <v>3.2055220000000002</v>
      </c>
      <c r="E41">
        <v>7.3248949999999997</v>
      </c>
    </row>
    <row r="42" spans="2:5" x14ac:dyDescent="0.25">
      <c r="B42">
        <v>2039</v>
      </c>
      <c r="C42">
        <v>1.163259</v>
      </c>
      <c r="D42">
        <v>3.2208809999999999</v>
      </c>
      <c r="E42">
        <v>7.5248949999999999</v>
      </c>
    </row>
    <row r="43" spans="2:5" x14ac:dyDescent="0.25">
      <c r="B43">
        <v>2040</v>
      </c>
      <c r="C43">
        <v>1.176172</v>
      </c>
      <c r="D43">
        <v>3.2450199999999998</v>
      </c>
      <c r="E43">
        <v>7.7370190000000001</v>
      </c>
    </row>
    <row r="44" spans="2:5" x14ac:dyDescent="0.25">
      <c r="B44">
        <v>2041</v>
      </c>
      <c r="C44">
        <v>1.177003</v>
      </c>
      <c r="D44">
        <v>3.2547299999999999</v>
      </c>
      <c r="E44">
        <v>7.8248949999999997</v>
      </c>
    </row>
    <row r="45" spans="2:5" x14ac:dyDescent="0.25">
      <c r="B45">
        <v>2042</v>
      </c>
      <c r="C45">
        <v>1.1867939999999999</v>
      </c>
      <c r="D45">
        <v>3.271617</v>
      </c>
      <c r="E45">
        <v>7.8248949999999997</v>
      </c>
    </row>
    <row r="46" spans="2:5" x14ac:dyDescent="0.25">
      <c r="B46">
        <v>2043</v>
      </c>
      <c r="C46">
        <v>1.196353</v>
      </c>
      <c r="D46">
        <v>3.289755</v>
      </c>
      <c r="E46">
        <v>7.8248949999999997</v>
      </c>
    </row>
    <row r="47" spans="2:5" x14ac:dyDescent="0.25">
      <c r="B47">
        <v>2044</v>
      </c>
      <c r="C47">
        <v>1.2082349999999999</v>
      </c>
      <c r="D47">
        <v>3.3120599999999998</v>
      </c>
      <c r="E47">
        <v>7.8370179999999996</v>
      </c>
    </row>
    <row r="48" spans="2:5" x14ac:dyDescent="0.25">
      <c r="B48">
        <v>2045</v>
      </c>
      <c r="C48">
        <v>1.208432</v>
      </c>
      <c r="D48">
        <v>3.324541</v>
      </c>
      <c r="E48">
        <v>7.8248949999999997</v>
      </c>
    </row>
    <row r="49" spans="2:5" x14ac:dyDescent="0.25">
      <c r="B49">
        <v>2046</v>
      </c>
      <c r="C49">
        <v>1.216575</v>
      </c>
      <c r="D49">
        <v>3.3421949999999998</v>
      </c>
      <c r="E49">
        <v>7.8248949999999997</v>
      </c>
    </row>
    <row r="50" spans="2:5" x14ac:dyDescent="0.25">
      <c r="B50">
        <v>2047</v>
      </c>
      <c r="C50">
        <v>1.2268539999999999</v>
      </c>
      <c r="D50">
        <v>3.3574130000000002</v>
      </c>
      <c r="E50">
        <v>7.8248949999999997</v>
      </c>
    </row>
    <row r="51" spans="2:5" x14ac:dyDescent="0.25">
      <c r="B51">
        <v>2048</v>
      </c>
      <c r="C51">
        <v>1.245973</v>
      </c>
      <c r="D51">
        <v>3.3820250000000001</v>
      </c>
      <c r="E51">
        <v>7.8370179999999996</v>
      </c>
    </row>
    <row r="52" spans="2:5" x14ac:dyDescent="0.25">
      <c r="B52">
        <v>2049</v>
      </c>
      <c r="C52">
        <v>1.2489159999999999</v>
      </c>
      <c r="D52">
        <v>3.393551</v>
      </c>
      <c r="E52">
        <v>7.8248949999999997</v>
      </c>
    </row>
    <row r="53" spans="2:5" x14ac:dyDescent="0.25">
      <c r="B53">
        <v>2050</v>
      </c>
      <c r="C53">
        <v>1.2633730000000001</v>
      </c>
      <c r="D53">
        <v>3.3888760000000002</v>
      </c>
      <c r="E53">
        <v>7.8248949999999997</v>
      </c>
    </row>
    <row r="54" spans="2:5" x14ac:dyDescent="0.25">
      <c r="B54" t="str">
        <v>Growth (2020-2050)</v>
      </c>
      <c r="C54">
        <v>1.2E-2</v>
      </c>
      <c r="D54">
        <v>1.7000000000000001E-2</v>
      </c>
      <c r="E54">
        <v>4.1000000000000002E-2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C91C-E968-48E1-8C99-00D00643676B}">
  <dimension ref="A1:AJ53"/>
  <sheetViews>
    <sheetView workbookViewId="0">
      <selection activeCell="A6" sqref="A6:AJ18"/>
    </sheetView>
  </sheetViews>
  <sheetFormatPr defaultRowHeight="15" x14ac:dyDescent="0.25"/>
  <cols>
    <col min="1" max="1" width="41.28515625" customWidth="1"/>
    <col min="2" max="2" width="51.28515625" customWidth="1"/>
  </cols>
  <sheetData>
    <row r="1" spans="1:36" x14ac:dyDescent="0.25">
      <c r="A1" t="s">
        <v>1389</v>
      </c>
    </row>
    <row r="2" spans="1:36" x14ac:dyDescent="0.25">
      <c r="A2" t="s">
        <v>1627</v>
      </c>
    </row>
    <row r="3" spans="1:36" x14ac:dyDescent="0.25">
      <c r="A3" t="s">
        <v>1626</v>
      </c>
    </row>
    <row r="4" spans="1:36" x14ac:dyDescent="0.25">
      <c r="A4" t="s">
        <v>1392</v>
      </c>
    </row>
    <row r="5" spans="1:36" x14ac:dyDescent="0.25">
      <c r="B5" t="s">
        <v>1393</v>
      </c>
      <c r="C5" t="s">
        <v>1394</v>
      </c>
      <c r="D5" t="s">
        <v>1395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1622</v>
      </c>
    </row>
    <row r="6" spans="1:36" x14ac:dyDescent="0.25">
      <c r="A6" t="s">
        <v>1397</v>
      </c>
      <c r="C6" t="s">
        <v>1625</v>
      </c>
    </row>
    <row r="7" spans="1:36" x14ac:dyDescent="0.25">
      <c r="A7" t="s">
        <v>1399</v>
      </c>
      <c r="B7" t="s">
        <v>1704</v>
      </c>
      <c r="C7" t="s">
        <v>1705</v>
      </c>
      <c r="D7" t="s">
        <v>1402</v>
      </c>
      <c r="F7">
        <v>2.7300439999999999</v>
      </c>
      <c r="G7">
        <v>2.4789479999999999</v>
      </c>
      <c r="H7">
        <v>2.3998719999999998</v>
      </c>
      <c r="I7">
        <v>2.299369</v>
      </c>
      <c r="J7">
        <v>2.2272110000000001</v>
      </c>
      <c r="K7">
        <v>2.2016990000000001</v>
      </c>
      <c r="L7">
        <v>2.1670479999999999</v>
      </c>
      <c r="M7">
        <v>2.1176849999999998</v>
      </c>
      <c r="N7">
        <v>1.9871270000000001</v>
      </c>
      <c r="O7">
        <v>1.9350350000000001</v>
      </c>
      <c r="P7">
        <v>1.8446309999999999</v>
      </c>
      <c r="Q7">
        <v>1.8329759999999999</v>
      </c>
      <c r="R7">
        <v>1.8778250000000001</v>
      </c>
      <c r="S7">
        <v>1.8405</v>
      </c>
      <c r="T7">
        <v>1.7994749999999999</v>
      </c>
      <c r="U7">
        <v>1.7941739999999999</v>
      </c>
      <c r="V7">
        <v>1.8276479999999999</v>
      </c>
      <c r="W7">
        <v>1.824522</v>
      </c>
      <c r="X7">
        <v>1.7951079999999999</v>
      </c>
      <c r="Y7">
        <v>1.761056</v>
      </c>
      <c r="Z7">
        <v>1.7366779999999999</v>
      </c>
      <c r="AA7">
        <v>1.7289369999999999</v>
      </c>
      <c r="AB7">
        <v>1.669057</v>
      </c>
      <c r="AC7">
        <v>1.5486089999999999</v>
      </c>
      <c r="AD7">
        <v>1.4726410000000001</v>
      </c>
      <c r="AE7">
        <v>1.4528449999999999</v>
      </c>
      <c r="AF7">
        <v>1.425173</v>
      </c>
      <c r="AG7">
        <v>1.428671</v>
      </c>
      <c r="AH7">
        <v>1.39673</v>
      </c>
      <c r="AI7">
        <v>1.3533710000000001</v>
      </c>
      <c r="AJ7" s="13">
        <v>-2.4E-2</v>
      </c>
    </row>
    <row r="8" spans="1:36" x14ac:dyDescent="0.25">
      <c r="A8" t="s">
        <v>1403</v>
      </c>
      <c r="B8" t="s">
        <v>1706</v>
      </c>
      <c r="C8" t="s">
        <v>1707</v>
      </c>
      <c r="D8" t="s">
        <v>1402</v>
      </c>
      <c r="F8">
        <v>2.6927530000000002</v>
      </c>
      <c r="G8">
        <v>2.4003030000000001</v>
      </c>
      <c r="H8">
        <v>2.3232490000000001</v>
      </c>
      <c r="I8">
        <v>2.2247669999999999</v>
      </c>
      <c r="J8">
        <v>2.1546310000000002</v>
      </c>
      <c r="K8">
        <v>2.1311399999999998</v>
      </c>
      <c r="L8">
        <v>2.0985109999999998</v>
      </c>
      <c r="M8">
        <v>2.0491480000000002</v>
      </c>
      <c r="N8">
        <v>1.91859</v>
      </c>
      <c r="O8">
        <v>1.866498</v>
      </c>
      <c r="P8">
        <v>1.776095</v>
      </c>
      <c r="Q8">
        <v>1.76444</v>
      </c>
      <c r="R8">
        <v>1.809288</v>
      </c>
      <c r="S8">
        <v>1.771963</v>
      </c>
      <c r="T8">
        <v>1.7309380000000001</v>
      </c>
      <c r="U8">
        <v>1.7256370000000001</v>
      </c>
      <c r="V8">
        <v>1.7591110000000001</v>
      </c>
      <c r="W8">
        <v>1.755986</v>
      </c>
      <c r="X8">
        <v>1.7265710000000001</v>
      </c>
      <c r="Y8">
        <v>1.69252</v>
      </c>
      <c r="Z8">
        <v>1.6681410000000001</v>
      </c>
      <c r="AA8">
        <v>1.6604000000000001</v>
      </c>
      <c r="AB8">
        <v>1.6005199999999999</v>
      </c>
      <c r="AC8">
        <v>1.480073</v>
      </c>
      <c r="AD8">
        <v>1.404104</v>
      </c>
      <c r="AE8">
        <v>1.3843080000000001</v>
      </c>
      <c r="AF8">
        <v>1.356636</v>
      </c>
      <c r="AG8">
        <v>1.360134</v>
      </c>
      <c r="AH8">
        <v>1.328193</v>
      </c>
      <c r="AI8">
        <v>1.284834</v>
      </c>
      <c r="AJ8" s="13">
        <v>-2.5000000000000001E-2</v>
      </c>
    </row>
    <row r="9" spans="1:36" x14ac:dyDescent="0.25">
      <c r="A9" t="s">
        <v>1406</v>
      </c>
      <c r="B9" t="s">
        <v>1708</v>
      </c>
      <c r="C9" t="s">
        <v>1709</v>
      </c>
      <c r="D9" t="s">
        <v>1402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1409</v>
      </c>
    </row>
    <row r="10" spans="1:36" x14ac:dyDescent="0.25">
      <c r="A10" t="s">
        <v>1410</v>
      </c>
      <c r="B10" t="s">
        <v>1710</v>
      </c>
      <c r="C10" t="s">
        <v>1711</v>
      </c>
      <c r="D10" t="s">
        <v>1402</v>
      </c>
      <c r="F10">
        <v>3.7290999999999998E-2</v>
      </c>
      <c r="G10">
        <v>7.8645000000000007E-2</v>
      </c>
      <c r="H10">
        <v>7.6622999999999997E-2</v>
      </c>
      <c r="I10">
        <v>7.4602000000000002E-2</v>
      </c>
      <c r="J10">
        <v>7.2580000000000006E-2</v>
      </c>
      <c r="K10">
        <v>7.0557999999999996E-2</v>
      </c>
      <c r="L10">
        <v>6.8537000000000001E-2</v>
      </c>
      <c r="M10">
        <v>6.8537000000000001E-2</v>
      </c>
      <c r="N10">
        <v>6.8537000000000001E-2</v>
      </c>
      <c r="O10">
        <v>6.8537000000000001E-2</v>
      </c>
      <c r="P10">
        <v>6.8537000000000001E-2</v>
      </c>
      <c r="Q10">
        <v>6.8537000000000001E-2</v>
      </c>
      <c r="R10">
        <v>6.8537000000000001E-2</v>
      </c>
      <c r="S10">
        <v>6.8537000000000001E-2</v>
      </c>
      <c r="T10">
        <v>6.8537000000000001E-2</v>
      </c>
      <c r="U10">
        <v>6.8537000000000001E-2</v>
      </c>
      <c r="V10">
        <v>6.8537000000000001E-2</v>
      </c>
      <c r="W10">
        <v>6.8537000000000001E-2</v>
      </c>
      <c r="X10">
        <v>6.8537000000000001E-2</v>
      </c>
      <c r="Y10">
        <v>6.8537000000000001E-2</v>
      </c>
      <c r="Z10">
        <v>6.8537000000000001E-2</v>
      </c>
      <c r="AA10">
        <v>6.8537000000000001E-2</v>
      </c>
      <c r="AB10">
        <v>6.8537000000000001E-2</v>
      </c>
      <c r="AC10">
        <v>6.8537000000000001E-2</v>
      </c>
      <c r="AD10">
        <v>6.8537000000000001E-2</v>
      </c>
      <c r="AE10">
        <v>6.8537000000000001E-2</v>
      </c>
      <c r="AF10">
        <v>6.8537000000000001E-2</v>
      </c>
      <c r="AG10">
        <v>6.8537000000000001E-2</v>
      </c>
      <c r="AH10">
        <v>6.8537000000000001E-2</v>
      </c>
      <c r="AI10">
        <v>6.8537000000000001E-2</v>
      </c>
      <c r="AJ10" s="13">
        <v>2.1000000000000001E-2</v>
      </c>
    </row>
    <row r="11" spans="1:36" x14ac:dyDescent="0.25">
      <c r="A11" s="1" t="s">
        <v>1413</v>
      </c>
      <c r="B11" t="s">
        <v>1712</v>
      </c>
      <c r="C11" t="s">
        <v>1713</v>
      </c>
      <c r="D11" t="s">
        <v>1402</v>
      </c>
      <c r="F11">
        <v>6.7489319999999999</v>
      </c>
      <c r="G11">
        <v>7.5118689999999999</v>
      </c>
      <c r="H11">
        <v>7.7192660000000002</v>
      </c>
      <c r="I11">
        <v>7.8052900000000003</v>
      </c>
      <c r="J11">
        <v>8.0228760000000001</v>
      </c>
      <c r="K11">
        <v>8.0374020000000002</v>
      </c>
      <c r="L11">
        <v>8.1740840000000006</v>
      </c>
      <c r="M11">
        <v>8.4640310000000003</v>
      </c>
      <c r="N11">
        <v>8.7133679999999991</v>
      </c>
      <c r="O11">
        <v>8.9427710000000005</v>
      </c>
      <c r="P11">
        <v>9.2171950000000002</v>
      </c>
      <c r="Q11">
        <v>9.467295</v>
      </c>
      <c r="R11">
        <v>9.5846149999999994</v>
      </c>
      <c r="S11">
        <v>9.6283180000000002</v>
      </c>
      <c r="T11">
        <v>9.6902709999999992</v>
      </c>
      <c r="U11">
        <v>9.7124609999999993</v>
      </c>
      <c r="V11">
        <v>9.7110690000000002</v>
      </c>
      <c r="W11">
        <v>9.7331839999999996</v>
      </c>
      <c r="X11">
        <v>9.7578700000000005</v>
      </c>
      <c r="Y11">
        <v>9.7930489999999999</v>
      </c>
      <c r="Z11">
        <v>9.7801930000000006</v>
      </c>
      <c r="AA11">
        <v>9.7972470000000005</v>
      </c>
      <c r="AB11">
        <v>9.8069299999999995</v>
      </c>
      <c r="AC11">
        <v>9.8426270000000002</v>
      </c>
      <c r="AD11">
        <v>9.8394519999999996</v>
      </c>
      <c r="AE11">
        <v>9.8232219999999995</v>
      </c>
      <c r="AF11">
        <v>9.8114260000000009</v>
      </c>
      <c r="AG11">
        <v>9.8166119999999992</v>
      </c>
      <c r="AH11">
        <v>9.7885019999999994</v>
      </c>
      <c r="AI11">
        <v>9.7824570000000008</v>
      </c>
      <c r="AJ11" s="13">
        <v>1.2999999999999999E-2</v>
      </c>
    </row>
    <row r="12" spans="1:36" s="14" customFormat="1" x14ac:dyDescent="0.25">
      <c r="A12" s="14" t="s">
        <v>1416</v>
      </c>
      <c r="B12" s="14" t="s">
        <v>1714</v>
      </c>
      <c r="C12" s="14" t="s">
        <v>1715</v>
      </c>
      <c r="D12" s="14" t="s">
        <v>1402</v>
      </c>
      <c r="F12" s="14">
        <v>0.95093399999999995</v>
      </c>
      <c r="G12" s="14">
        <v>0.99431700000000001</v>
      </c>
      <c r="H12" s="14">
        <v>0.96694400000000003</v>
      </c>
      <c r="I12" s="14">
        <v>0.98479899999999998</v>
      </c>
      <c r="J12" s="14">
        <v>0.99467000000000005</v>
      </c>
      <c r="K12" s="14">
        <v>0.98452399999999995</v>
      </c>
      <c r="L12" s="14">
        <v>0.989653</v>
      </c>
      <c r="M12" s="14">
        <v>0.99810200000000004</v>
      </c>
      <c r="N12" s="14">
        <v>1.021865</v>
      </c>
      <c r="O12" s="14">
        <v>1.0219769999999999</v>
      </c>
      <c r="P12" s="14">
        <v>1.059877</v>
      </c>
      <c r="Q12" s="14">
        <v>1.06349</v>
      </c>
      <c r="R12" s="14">
        <v>1.063998</v>
      </c>
      <c r="S12" s="14">
        <v>1.0718540000000001</v>
      </c>
      <c r="T12" s="14">
        <v>1.0965819999999999</v>
      </c>
      <c r="U12" s="14">
        <v>1.1040700000000001</v>
      </c>
      <c r="V12" s="14">
        <v>1.1102069999999999</v>
      </c>
      <c r="W12" s="14">
        <v>1.121564</v>
      </c>
      <c r="X12" s="14">
        <v>1.137337</v>
      </c>
      <c r="Y12" s="14">
        <v>1.1500790000000001</v>
      </c>
      <c r="Z12" s="14">
        <v>1.1585890000000001</v>
      </c>
      <c r="AA12" s="14">
        <v>1.1823330000000001</v>
      </c>
      <c r="AB12" s="14">
        <v>1.198976</v>
      </c>
      <c r="AC12" s="14">
        <v>1.231174</v>
      </c>
      <c r="AD12" s="14">
        <v>1.2463500000000001</v>
      </c>
      <c r="AE12" s="14">
        <v>1.254089</v>
      </c>
      <c r="AF12" s="14">
        <v>1.2633270000000001</v>
      </c>
      <c r="AG12" s="14">
        <v>1.2745979999999999</v>
      </c>
      <c r="AH12" s="14">
        <v>1.27874</v>
      </c>
      <c r="AI12" s="14">
        <v>1.2897689999999999</v>
      </c>
      <c r="AJ12" s="15">
        <v>1.0999999999999999E-2</v>
      </c>
    </row>
    <row r="13" spans="1:36" s="14" customFormat="1" x14ac:dyDescent="0.25">
      <c r="A13" s="14" t="s">
        <v>1419</v>
      </c>
      <c r="B13" s="14" t="s">
        <v>1716</v>
      </c>
      <c r="C13" s="14" t="s">
        <v>1717</v>
      </c>
      <c r="D13" s="14" t="s">
        <v>1402</v>
      </c>
      <c r="F13" s="14">
        <v>2.2186370000000002</v>
      </c>
      <c r="G13" s="14">
        <v>2.3220519999999998</v>
      </c>
      <c r="H13" s="14">
        <v>2.315747</v>
      </c>
      <c r="I13" s="14">
        <v>2.3394159999999999</v>
      </c>
      <c r="J13" s="14">
        <v>2.377205</v>
      </c>
      <c r="K13" s="14">
        <v>2.389821</v>
      </c>
      <c r="L13" s="14">
        <v>2.4213719999999999</v>
      </c>
      <c r="M13" s="14">
        <v>2.4900950000000002</v>
      </c>
      <c r="N13" s="14">
        <v>2.5284450000000001</v>
      </c>
      <c r="O13" s="14">
        <v>2.5577359999999998</v>
      </c>
      <c r="P13" s="14">
        <v>2.5942599999999998</v>
      </c>
      <c r="Q13" s="14">
        <v>2.6279720000000002</v>
      </c>
      <c r="R13" s="14">
        <v>2.6575579999999999</v>
      </c>
      <c r="S13" s="14">
        <v>2.693406</v>
      </c>
      <c r="T13" s="14">
        <v>2.7306319999999999</v>
      </c>
      <c r="U13" s="14">
        <v>2.7325569999999999</v>
      </c>
      <c r="V13" s="14">
        <v>2.7378049999999998</v>
      </c>
      <c r="W13" s="14">
        <v>2.7485620000000002</v>
      </c>
      <c r="X13" s="14">
        <v>2.7574740000000002</v>
      </c>
      <c r="Y13" s="14">
        <v>2.767137</v>
      </c>
      <c r="Z13" s="14">
        <v>2.7585459999999999</v>
      </c>
      <c r="AA13" s="14">
        <v>2.7518549999999999</v>
      </c>
      <c r="AB13" s="14">
        <v>2.7448950000000001</v>
      </c>
      <c r="AC13" s="14">
        <v>2.7356189999999998</v>
      </c>
      <c r="AD13" s="14">
        <v>2.7300439999999999</v>
      </c>
      <c r="AE13" s="14">
        <v>2.7060740000000001</v>
      </c>
      <c r="AF13" s="14">
        <v>2.685041</v>
      </c>
      <c r="AG13" s="14">
        <v>2.6661809999999999</v>
      </c>
      <c r="AH13" s="14">
        <v>2.646703</v>
      </c>
      <c r="AI13" s="14">
        <v>2.6296300000000001</v>
      </c>
      <c r="AJ13" s="15">
        <v>6.0000000000000001E-3</v>
      </c>
    </row>
    <row r="14" spans="1:36" s="14" customFormat="1" x14ac:dyDescent="0.25">
      <c r="A14" s="14" t="s">
        <v>1422</v>
      </c>
      <c r="B14" s="14" t="s">
        <v>1718</v>
      </c>
      <c r="C14" s="14" t="s">
        <v>1719</v>
      </c>
      <c r="D14" s="14" t="s">
        <v>1402</v>
      </c>
      <c r="F14" s="14">
        <v>3.5793599999999999</v>
      </c>
      <c r="G14" s="14">
        <v>4.1955</v>
      </c>
      <c r="H14" s="14">
        <v>4.4365750000000004</v>
      </c>
      <c r="I14" s="14">
        <v>4.4810759999999998</v>
      </c>
      <c r="J14" s="14">
        <v>4.6510009999999999</v>
      </c>
      <c r="K14" s="14">
        <v>4.6630580000000004</v>
      </c>
      <c r="L14" s="14">
        <v>4.763058</v>
      </c>
      <c r="M14" s="14">
        <v>4.9758329999999997</v>
      </c>
      <c r="N14" s="14">
        <v>5.1630580000000004</v>
      </c>
      <c r="O14" s="14">
        <v>5.3630579999999997</v>
      </c>
      <c r="P14" s="14">
        <v>5.5630579999999998</v>
      </c>
      <c r="Q14" s="14">
        <v>5.7758330000000004</v>
      </c>
      <c r="R14" s="14">
        <v>5.8630579999999997</v>
      </c>
      <c r="S14" s="14">
        <v>5.8630579999999997</v>
      </c>
      <c r="T14" s="14">
        <v>5.8630579999999997</v>
      </c>
      <c r="U14" s="14">
        <v>5.8758340000000002</v>
      </c>
      <c r="V14" s="14">
        <v>5.8630579999999997</v>
      </c>
      <c r="W14" s="14">
        <v>5.8630579999999997</v>
      </c>
      <c r="X14" s="14">
        <v>5.8630579999999997</v>
      </c>
      <c r="Y14" s="14">
        <v>5.8758340000000002</v>
      </c>
      <c r="Z14" s="14">
        <v>5.8630579999999997</v>
      </c>
      <c r="AA14" s="14">
        <v>5.8630579999999997</v>
      </c>
      <c r="AB14" s="14">
        <v>5.8630579999999997</v>
      </c>
      <c r="AC14" s="14">
        <v>5.8758340000000002</v>
      </c>
      <c r="AD14" s="14">
        <v>5.8630579999999997</v>
      </c>
      <c r="AE14" s="14">
        <v>5.8630579999999997</v>
      </c>
      <c r="AF14" s="14">
        <v>5.8630579999999997</v>
      </c>
      <c r="AG14" s="14">
        <v>5.8758340000000002</v>
      </c>
      <c r="AH14" s="14">
        <v>5.8630579999999997</v>
      </c>
      <c r="AI14" s="14">
        <v>5.8630579999999997</v>
      </c>
      <c r="AJ14" s="15">
        <v>1.7000000000000001E-2</v>
      </c>
    </row>
    <row r="15" spans="1:36" x14ac:dyDescent="0.25">
      <c r="A15" t="s">
        <v>1425</v>
      </c>
      <c r="B15" t="s">
        <v>1720</v>
      </c>
      <c r="C15" t="s">
        <v>1721</v>
      </c>
      <c r="D15" t="s">
        <v>1402</v>
      </c>
      <c r="F15">
        <v>-4.0188879999999996</v>
      </c>
      <c r="G15">
        <v>-5.0329220000000001</v>
      </c>
      <c r="H15">
        <v>-5.319394</v>
      </c>
      <c r="I15">
        <v>-5.5059209999999998</v>
      </c>
      <c r="J15">
        <v>-5.7956659999999998</v>
      </c>
      <c r="K15">
        <v>-5.8357039999999998</v>
      </c>
      <c r="L15">
        <v>-6.0070350000000001</v>
      </c>
      <c r="M15">
        <v>-6.3463469999999997</v>
      </c>
      <c r="N15">
        <v>-6.7262420000000001</v>
      </c>
      <c r="O15">
        <v>-7.0077360000000004</v>
      </c>
      <c r="P15">
        <v>-7.3725630000000004</v>
      </c>
      <c r="Q15">
        <v>-7.6343180000000004</v>
      </c>
      <c r="R15">
        <v>-7.7067889999999997</v>
      </c>
      <c r="S15">
        <v>-7.7878179999999997</v>
      </c>
      <c r="T15">
        <v>-7.8907959999999999</v>
      </c>
      <c r="U15">
        <v>-7.9182870000000003</v>
      </c>
      <c r="V15">
        <v>-7.8834220000000004</v>
      </c>
      <c r="W15">
        <v>-7.9086619999999996</v>
      </c>
      <c r="X15">
        <v>-7.9627610000000004</v>
      </c>
      <c r="Y15">
        <v>-8.0319929999999999</v>
      </c>
      <c r="Z15">
        <v>-8.0435140000000001</v>
      </c>
      <c r="AA15">
        <v>-8.0683100000000003</v>
      </c>
      <c r="AB15">
        <v>-8.1378730000000008</v>
      </c>
      <c r="AC15">
        <v>-8.2940179999999994</v>
      </c>
      <c r="AD15">
        <v>-8.3668110000000002</v>
      </c>
      <c r="AE15">
        <v>-8.3703769999999995</v>
      </c>
      <c r="AF15">
        <v>-8.3862539999999992</v>
      </c>
      <c r="AG15">
        <v>-8.3879409999999996</v>
      </c>
      <c r="AH15">
        <v>-8.3917710000000003</v>
      </c>
      <c r="AI15">
        <v>-8.4290870000000009</v>
      </c>
      <c r="AJ15" s="13">
        <v>2.5999999999999999E-2</v>
      </c>
    </row>
    <row r="16" spans="1:36" x14ac:dyDescent="0.25">
      <c r="A16" t="s">
        <v>1428</v>
      </c>
      <c r="B16" t="s">
        <v>1722</v>
      </c>
      <c r="C16" t="s">
        <v>1723</v>
      </c>
      <c r="D16" t="s">
        <v>1402</v>
      </c>
      <c r="F16">
        <v>1.741819</v>
      </c>
      <c r="G16">
        <v>1.405986</v>
      </c>
      <c r="H16">
        <v>1.3563050000000001</v>
      </c>
      <c r="I16">
        <v>1.2399690000000001</v>
      </c>
      <c r="J16">
        <v>1.159961</v>
      </c>
      <c r="K16">
        <v>1.1466160000000001</v>
      </c>
      <c r="L16">
        <v>1.1088579999999999</v>
      </c>
      <c r="M16">
        <v>1.051045</v>
      </c>
      <c r="N16">
        <v>0.89672499999999999</v>
      </c>
      <c r="O16">
        <v>0.84452199999999999</v>
      </c>
      <c r="P16">
        <v>0.71621800000000002</v>
      </c>
      <c r="Q16">
        <v>0.70094999999999996</v>
      </c>
      <c r="R16">
        <v>0.74529000000000001</v>
      </c>
      <c r="S16">
        <v>0.70010899999999998</v>
      </c>
      <c r="T16">
        <v>0.63435699999999995</v>
      </c>
      <c r="U16">
        <v>0.62156699999999998</v>
      </c>
      <c r="V16">
        <v>0.64890400000000004</v>
      </c>
      <c r="W16">
        <v>0.63442200000000004</v>
      </c>
      <c r="X16">
        <v>0.58923400000000004</v>
      </c>
      <c r="Y16">
        <v>0.54244000000000003</v>
      </c>
      <c r="Z16">
        <v>0.50955300000000003</v>
      </c>
      <c r="AA16">
        <v>0.47806700000000002</v>
      </c>
      <c r="AB16">
        <v>0.40154299999999998</v>
      </c>
      <c r="AC16">
        <v>0.24889800000000001</v>
      </c>
      <c r="AD16">
        <v>0.15775500000000001</v>
      </c>
      <c r="AE16">
        <v>0.130219</v>
      </c>
      <c r="AF16">
        <v>9.3309000000000003E-2</v>
      </c>
      <c r="AG16">
        <v>8.5537000000000002E-2</v>
      </c>
      <c r="AH16">
        <v>4.9453999999999998E-2</v>
      </c>
      <c r="AI16">
        <v>-4.9350000000000002E-3</v>
      </c>
      <c r="AJ16" s="13" t="s">
        <v>1409</v>
      </c>
    </row>
    <row r="17" spans="1:36" x14ac:dyDescent="0.25">
      <c r="A17" t="s">
        <v>1431</v>
      </c>
      <c r="B17" t="s">
        <v>1724</v>
      </c>
      <c r="C17" t="s">
        <v>1725</v>
      </c>
      <c r="D17" t="s">
        <v>1402</v>
      </c>
      <c r="F17">
        <v>-2.2186370000000002</v>
      </c>
      <c r="G17">
        <v>-2.3220519999999998</v>
      </c>
      <c r="H17">
        <v>-2.315747</v>
      </c>
      <c r="I17">
        <v>-2.3394159999999999</v>
      </c>
      <c r="J17">
        <v>-2.377205</v>
      </c>
      <c r="K17">
        <v>-2.389821</v>
      </c>
      <c r="L17">
        <v>-2.4213719999999999</v>
      </c>
      <c r="M17">
        <v>-2.4900950000000002</v>
      </c>
      <c r="N17">
        <v>-2.5284450000000001</v>
      </c>
      <c r="O17">
        <v>-2.5577359999999998</v>
      </c>
      <c r="P17">
        <v>-2.5942599999999998</v>
      </c>
      <c r="Q17">
        <v>-2.6279720000000002</v>
      </c>
      <c r="R17">
        <v>-2.6575579999999999</v>
      </c>
      <c r="S17">
        <v>-2.693406</v>
      </c>
      <c r="T17">
        <v>-2.7306319999999999</v>
      </c>
      <c r="U17">
        <v>-2.7325569999999999</v>
      </c>
      <c r="V17">
        <v>-2.7378049999999998</v>
      </c>
      <c r="W17">
        <v>-2.7485620000000002</v>
      </c>
      <c r="X17">
        <v>-2.7574740000000002</v>
      </c>
      <c r="Y17">
        <v>-2.767137</v>
      </c>
      <c r="Z17">
        <v>-2.7585459999999999</v>
      </c>
      <c r="AA17">
        <v>-2.7518549999999999</v>
      </c>
      <c r="AB17">
        <v>-2.7448950000000001</v>
      </c>
      <c r="AC17">
        <v>-2.7356189999999998</v>
      </c>
      <c r="AD17">
        <v>-2.7300439999999999</v>
      </c>
      <c r="AE17">
        <v>-2.7060740000000001</v>
      </c>
      <c r="AF17">
        <v>-2.685041</v>
      </c>
      <c r="AG17">
        <v>-2.6661809999999999</v>
      </c>
      <c r="AH17">
        <v>-2.646703</v>
      </c>
      <c r="AI17">
        <v>-2.6296300000000001</v>
      </c>
      <c r="AJ17" s="13">
        <v>6.0000000000000001E-3</v>
      </c>
    </row>
    <row r="18" spans="1:36" x14ac:dyDescent="0.25">
      <c r="A18" t="s">
        <v>1434</v>
      </c>
      <c r="B18" t="s">
        <v>1726</v>
      </c>
      <c r="C18" t="s">
        <v>1727</v>
      </c>
      <c r="D18" t="s">
        <v>1402</v>
      </c>
      <c r="F18">
        <v>-3.5420690000000001</v>
      </c>
      <c r="G18">
        <v>-4.1168560000000003</v>
      </c>
      <c r="H18">
        <v>-4.3599519999999998</v>
      </c>
      <c r="I18">
        <v>-4.4064740000000002</v>
      </c>
      <c r="J18">
        <v>-4.5784209999999996</v>
      </c>
      <c r="K18">
        <v>-4.5924990000000001</v>
      </c>
      <c r="L18">
        <v>-4.6945209999999999</v>
      </c>
      <c r="M18">
        <v>-4.9072969999999998</v>
      </c>
      <c r="N18">
        <v>-5.0945210000000003</v>
      </c>
      <c r="O18">
        <v>-5.2945209999999996</v>
      </c>
      <c r="P18">
        <v>-5.4945209999999998</v>
      </c>
      <c r="Q18">
        <v>-5.7072960000000004</v>
      </c>
      <c r="R18">
        <v>-5.7945209999999996</v>
      </c>
      <c r="S18">
        <v>-5.7945209999999996</v>
      </c>
      <c r="T18">
        <v>-5.7945209999999996</v>
      </c>
      <c r="U18">
        <v>-5.8072970000000002</v>
      </c>
      <c r="V18">
        <v>-5.7945209999999996</v>
      </c>
      <c r="W18">
        <v>-5.7945209999999996</v>
      </c>
      <c r="X18">
        <v>-5.7945209999999996</v>
      </c>
      <c r="Y18">
        <v>-5.8072970000000002</v>
      </c>
      <c r="Z18">
        <v>-5.7945209999999996</v>
      </c>
      <c r="AA18">
        <v>-5.7945209999999996</v>
      </c>
      <c r="AB18">
        <v>-5.7945209999999996</v>
      </c>
      <c r="AC18">
        <v>-5.8072970000000002</v>
      </c>
      <c r="AD18">
        <v>-5.7945209999999996</v>
      </c>
      <c r="AE18">
        <v>-5.7945209999999996</v>
      </c>
      <c r="AF18">
        <v>-5.7945209999999996</v>
      </c>
      <c r="AG18">
        <v>-5.8072970000000002</v>
      </c>
      <c r="AH18">
        <v>-5.7945209999999996</v>
      </c>
      <c r="AI18">
        <v>-5.7945209999999996</v>
      </c>
      <c r="AJ18" s="13">
        <v>1.7000000000000001E-2</v>
      </c>
    </row>
    <row r="21" spans="1:36" x14ac:dyDescent="0.25">
      <c r="B21" s="1" t="s">
        <v>1591</v>
      </c>
    </row>
    <row r="22" spans="1:36" x14ac:dyDescent="0.25">
      <c r="C22" s="14" t="s">
        <v>1416</v>
      </c>
      <c r="D22" s="14" t="s">
        <v>1419</v>
      </c>
      <c r="E22" s="14" t="s">
        <v>1422</v>
      </c>
    </row>
    <row r="23" spans="1:36" x14ac:dyDescent="0.25">
      <c r="B23">
        <v>2021</v>
      </c>
      <c r="C23" s="25">
        <v>0.95093399999999995</v>
      </c>
      <c r="D23" s="25">
        <v>2.218661</v>
      </c>
      <c r="E23" s="25">
        <v>3.5793599999999999</v>
      </c>
    </row>
    <row r="24" spans="1:36" x14ac:dyDescent="0.25">
      <c r="B24">
        <v>2022</v>
      </c>
      <c r="C24" s="25">
        <v>0.99348800000000004</v>
      </c>
      <c r="D24" s="25">
        <v>2.3218239999999999</v>
      </c>
      <c r="E24" s="25">
        <v>4.1955</v>
      </c>
    </row>
    <row r="25" spans="1:36" x14ac:dyDescent="0.25">
      <c r="B25">
        <v>2023</v>
      </c>
      <c r="C25" s="25">
        <v>0.96299400000000002</v>
      </c>
      <c r="D25" s="25">
        <v>2.3134139999999999</v>
      </c>
      <c r="E25" s="25">
        <v>4.4365750000000004</v>
      </c>
    </row>
    <row r="26" spans="1:36" x14ac:dyDescent="0.25">
      <c r="B26">
        <v>2024</v>
      </c>
      <c r="C26" s="25">
        <v>0.97946800000000001</v>
      </c>
      <c r="D26" s="25">
        <v>2.3348010000000001</v>
      </c>
      <c r="E26" s="25">
        <v>4.4810759999999998</v>
      </c>
    </row>
    <row r="27" spans="1:36" x14ac:dyDescent="0.25">
      <c r="B27">
        <v>2025</v>
      </c>
      <c r="C27" s="25">
        <v>0.99441400000000002</v>
      </c>
      <c r="D27" s="25">
        <v>2.3719999999999999</v>
      </c>
      <c r="E27" s="25">
        <v>4.6510009999999999</v>
      </c>
    </row>
    <row r="28" spans="1:36" x14ac:dyDescent="0.25">
      <c r="B28">
        <v>2026</v>
      </c>
      <c r="C28" s="25">
        <v>0.98408300000000004</v>
      </c>
      <c r="D28" s="25">
        <v>2.3817170000000001</v>
      </c>
      <c r="E28" s="25">
        <v>4.6630580000000004</v>
      </c>
    </row>
    <row r="29" spans="1:36" x14ac:dyDescent="0.25">
      <c r="B29">
        <v>2027</v>
      </c>
      <c r="C29" s="25">
        <v>0.98275500000000005</v>
      </c>
      <c r="D29" s="25">
        <v>2.4097270000000002</v>
      </c>
      <c r="E29" s="25">
        <v>4.763058</v>
      </c>
    </row>
    <row r="30" spans="1:36" x14ac:dyDescent="0.25">
      <c r="B30">
        <v>2028</v>
      </c>
      <c r="C30" s="25">
        <v>0.99467700000000003</v>
      </c>
      <c r="D30" s="25">
        <v>2.4779140000000002</v>
      </c>
      <c r="E30" s="25">
        <v>4.9758329999999997</v>
      </c>
    </row>
    <row r="31" spans="1:36" x14ac:dyDescent="0.25">
      <c r="B31">
        <v>2029</v>
      </c>
      <c r="C31" s="25">
        <v>1.026718</v>
      </c>
      <c r="D31" s="25">
        <v>2.5132059999999998</v>
      </c>
      <c r="E31" s="25">
        <v>5.1630580000000004</v>
      </c>
    </row>
    <row r="32" spans="1:36" x14ac:dyDescent="0.25">
      <c r="B32">
        <v>2030</v>
      </c>
      <c r="C32" s="25">
        <v>1.0244329999999999</v>
      </c>
      <c r="D32" s="25">
        <v>2.5390649999999999</v>
      </c>
      <c r="E32" s="25">
        <v>5.3630579999999997</v>
      </c>
    </row>
    <row r="33" spans="2:5" x14ac:dyDescent="0.25">
      <c r="B33">
        <v>2031</v>
      </c>
      <c r="C33" s="25">
        <v>1.0595140000000001</v>
      </c>
      <c r="D33" s="25">
        <v>2.574106</v>
      </c>
      <c r="E33" s="25">
        <v>5.5630579999999998</v>
      </c>
    </row>
    <row r="34" spans="2:5" x14ac:dyDescent="0.25">
      <c r="B34">
        <v>2032</v>
      </c>
      <c r="C34" s="25">
        <v>1.0659479999999999</v>
      </c>
      <c r="D34" s="25">
        <v>2.607545</v>
      </c>
      <c r="E34" s="25">
        <v>5.7758330000000004</v>
      </c>
    </row>
    <row r="35" spans="2:5" x14ac:dyDescent="0.25">
      <c r="B35">
        <v>2033</v>
      </c>
      <c r="C35" s="25">
        <v>1.0686450000000001</v>
      </c>
      <c r="D35" s="25">
        <v>2.6375920000000002</v>
      </c>
      <c r="E35" s="25">
        <v>5.8630579999999997</v>
      </c>
    </row>
    <row r="36" spans="2:5" x14ac:dyDescent="0.25">
      <c r="B36">
        <v>2034</v>
      </c>
      <c r="C36" s="25">
        <v>1.077634</v>
      </c>
      <c r="D36" s="25">
        <v>2.6727219999999998</v>
      </c>
      <c r="E36" s="25">
        <v>5.8630579999999997</v>
      </c>
    </row>
    <row r="37" spans="2:5" x14ac:dyDescent="0.25">
      <c r="B37">
        <v>2035</v>
      </c>
      <c r="C37" s="25">
        <v>1.0939289999999999</v>
      </c>
      <c r="D37" s="25">
        <v>2.7067190000000001</v>
      </c>
      <c r="E37" s="25">
        <v>5.8630579999999997</v>
      </c>
    </row>
    <row r="38" spans="2:5" x14ac:dyDescent="0.25">
      <c r="B38">
        <v>2036</v>
      </c>
      <c r="C38" s="25">
        <v>1.104568</v>
      </c>
      <c r="D38" s="25">
        <v>2.7069390000000002</v>
      </c>
      <c r="E38" s="25">
        <v>5.8758340000000002</v>
      </c>
    </row>
    <row r="39" spans="2:5" x14ac:dyDescent="0.25">
      <c r="B39">
        <v>2037</v>
      </c>
      <c r="C39" s="25">
        <v>1.1097939999999999</v>
      </c>
      <c r="D39" s="25">
        <v>2.7084090000000001</v>
      </c>
      <c r="E39" s="25">
        <v>5.8630579999999997</v>
      </c>
    </row>
    <row r="40" spans="2:5" x14ac:dyDescent="0.25">
      <c r="B40">
        <v>2038</v>
      </c>
      <c r="C40" s="25">
        <v>1.1232070000000001</v>
      </c>
      <c r="D40" s="25">
        <v>2.7151350000000001</v>
      </c>
      <c r="E40" s="25">
        <v>5.8630579999999997</v>
      </c>
    </row>
    <row r="41" spans="2:5" x14ac:dyDescent="0.25">
      <c r="B41">
        <v>2039</v>
      </c>
      <c r="C41" s="25">
        <v>1.144728</v>
      </c>
      <c r="D41" s="25">
        <v>2.7195559999999999</v>
      </c>
      <c r="E41" s="25">
        <v>5.8630579999999997</v>
      </c>
    </row>
    <row r="42" spans="2:5" x14ac:dyDescent="0.25">
      <c r="B42">
        <v>2040</v>
      </c>
      <c r="C42" s="25">
        <v>1.1552260000000001</v>
      </c>
      <c r="D42" s="25">
        <v>2.7250429999999999</v>
      </c>
      <c r="E42" s="25">
        <v>5.8758340000000002</v>
      </c>
    </row>
    <row r="43" spans="2:5" x14ac:dyDescent="0.25">
      <c r="B43">
        <v>2041</v>
      </c>
      <c r="C43" s="25">
        <v>1.176131</v>
      </c>
      <c r="D43" s="25">
        <v>2.717654</v>
      </c>
      <c r="E43" s="25">
        <v>5.8630579999999997</v>
      </c>
    </row>
    <row r="44" spans="2:5" x14ac:dyDescent="0.25">
      <c r="B44">
        <v>2042</v>
      </c>
      <c r="C44" s="25">
        <v>1.1870959999999999</v>
      </c>
      <c r="D44" s="25">
        <v>2.711551</v>
      </c>
      <c r="E44" s="25">
        <v>5.8630579999999997</v>
      </c>
    </row>
    <row r="45" spans="2:5" x14ac:dyDescent="0.25">
      <c r="B45">
        <v>2043</v>
      </c>
      <c r="C45" s="25">
        <v>1.2053959999999999</v>
      </c>
      <c r="D45" s="25">
        <v>2.7027739999999998</v>
      </c>
      <c r="E45" s="25">
        <v>5.8630579999999997</v>
      </c>
    </row>
    <row r="46" spans="2:5" x14ac:dyDescent="0.25">
      <c r="B46">
        <v>2044</v>
      </c>
      <c r="C46" s="25">
        <v>1.239697</v>
      </c>
      <c r="D46" s="25">
        <v>2.6984560000000002</v>
      </c>
      <c r="E46" s="25">
        <v>5.8758340000000002</v>
      </c>
    </row>
    <row r="47" spans="2:5" x14ac:dyDescent="0.25">
      <c r="B47">
        <v>2045</v>
      </c>
      <c r="C47" s="25">
        <v>1.2516860000000001</v>
      </c>
      <c r="D47" s="25">
        <v>2.6895359999999999</v>
      </c>
      <c r="E47" s="25">
        <v>5.8630579999999997</v>
      </c>
    </row>
    <row r="48" spans="2:5" x14ac:dyDescent="0.25">
      <c r="B48">
        <v>2046</v>
      </c>
      <c r="C48" s="25">
        <v>1.2630749999999999</v>
      </c>
      <c r="D48" s="25">
        <v>2.6658149999999998</v>
      </c>
      <c r="E48" s="25">
        <v>5.8630579999999997</v>
      </c>
    </row>
    <row r="49" spans="2:5" x14ac:dyDescent="0.25">
      <c r="B49">
        <v>2047</v>
      </c>
      <c r="C49" s="25">
        <v>1.2760940000000001</v>
      </c>
      <c r="D49" s="25">
        <v>2.6425230000000002</v>
      </c>
      <c r="E49" s="25">
        <v>5.8630579999999997</v>
      </c>
    </row>
    <row r="50" spans="2:5" x14ac:dyDescent="0.25">
      <c r="B50">
        <v>2048</v>
      </c>
      <c r="C50" s="25">
        <v>1.286707</v>
      </c>
      <c r="D50" s="25">
        <v>2.6201829999999999</v>
      </c>
      <c r="E50" s="25">
        <v>5.8758340000000002</v>
      </c>
    </row>
    <row r="51" spans="2:5" x14ac:dyDescent="0.25">
      <c r="B51">
        <v>2049</v>
      </c>
      <c r="C51" s="25">
        <v>1.2947580000000001</v>
      </c>
      <c r="D51" s="25">
        <v>2.598824</v>
      </c>
      <c r="E51" s="25">
        <v>5.8630579999999997</v>
      </c>
    </row>
    <row r="52" spans="2:5" x14ac:dyDescent="0.25">
      <c r="B52">
        <v>2050</v>
      </c>
      <c r="C52" s="25">
        <v>1.307339</v>
      </c>
      <c r="D52" s="25">
        <v>2.5775589999999999</v>
      </c>
      <c r="E52" s="25">
        <v>5.8630579999999997</v>
      </c>
    </row>
    <row r="53" spans="2:5" x14ac:dyDescent="0.25">
      <c r="B53" t="s">
        <v>1622</v>
      </c>
      <c r="C53" s="34">
        <v>1.0999999999999999E-2</v>
      </c>
      <c r="D53" s="34">
        <v>5.0000000000000001E-3</v>
      </c>
      <c r="E53" s="34">
        <v>1.7000000000000001E-2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84FD-FAEC-4B54-A9C7-F1686B0FC5B1}">
  <dimension ref="A1:D257"/>
  <sheetViews>
    <sheetView topLeftCell="A224" workbookViewId="0">
      <selection activeCell="H258" sqref="H258"/>
    </sheetView>
  </sheetViews>
  <sheetFormatPr defaultRowHeight="15" x14ac:dyDescent="0.25"/>
  <sheetData>
    <row r="1" spans="1:4" ht="15.75" x14ac:dyDescent="0.25">
      <c r="A1" s="41" t="s">
        <v>1437</v>
      </c>
      <c r="B1" s="40" t="s">
        <v>1638</v>
      </c>
    </row>
    <row r="2" spans="1:4" ht="24.75" x14ac:dyDescent="0.25">
      <c r="A2" s="39" t="s">
        <v>1439</v>
      </c>
      <c r="B2" s="39" t="s">
        <v>1637</v>
      </c>
    </row>
    <row r="3" spans="1:4" ht="102.75" x14ac:dyDescent="0.25">
      <c r="A3" s="37" t="s">
        <v>1455</v>
      </c>
      <c r="B3" s="37" t="s">
        <v>1636</v>
      </c>
    </row>
    <row r="4" spans="1:4" x14ac:dyDescent="0.25">
      <c r="A4" s="47">
        <v>36906</v>
      </c>
      <c r="B4" s="16">
        <v>2505011</v>
      </c>
      <c r="C4">
        <f t="shared" ref="C4:C67" si="0">MONTH(A4)</f>
        <v>1</v>
      </c>
      <c r="D4">
        <f t="shared" ref="D4:D67" si="1">YEAR(A4)</f>
        <v>2001</v>
      </c>
    </row>
    <row r="5" spans="1:4" x14ac:dyDescent="0.25">
      <c r="A5" s="47">
        <v>36937</v>
      </c>
      <c r="B5" s="16">
        <v>2156873</v>
      </c>
      <c r="C5">
        <f t="shared" si="0"/>
        <v>2</v>
      </c>
      <c r="D5">
        <f t="shared" si="1"/>
        <v>2001</v>
      </c>
    </row>
    <row r="6" spans="1:4" x14ac:dyDescent="0.25">
      <c r="A6" s="47">
        <v>36965</v>
      </c>
      <c r="B6" s="16">
        <v>2086568</v>
      </c>
      <c r="C6">
        <f t="shared" si="0"/>
        <v>3</v>
      </c>
      <c r="D6">
        <f t="shared" si="1"/>
        <v>2001</v>
      </c>
    </row>
    <row r="7" spans="1:4" x14ac:dyDescent="0.25">
      <c r="A7" s="47">
        <v>36996</v>
      </c>
      <c r="B7" s="16">
        <v>1663832</v>
      </c>
      <c r="C7">
        <f t="shared" si="0"/>
        <v>4</v>
      </c>
      <c r="D7">
        <f t="shared" si="1"/>
        <v>2001</v>
      </c>
    </row>
    <row r="8" spans="1:4" x14ac:dyDescent="0.25">
      <c r="A8" s="47">
        <v>37026</v>
      </c>
      <c r="B8" s="16">
        <v>1385163</v>
      </c>
      <c r="C8">
        <f t="shared" si="0"/>
        <v>5</v>
      </c>
      <c r="D8">
        <f t="shared" si="1"/>
        <v>2001</v>
      </c>
    </row>
    <row r="9" spans="1:4" x14ac:dyDescent="0.25">
      <c r="A9" s="47">
        <v>37057</v>
      </c>
      <c r="B9" s="16">
        <v>1313119</v>
      </c>
      <c r="C9">
        <f t="shared" si="0"/>
        <v>6</v>
      </c>
      <c r="D9">
        <f t="shared" si="1"/>
        <v>2001</v>
      </c>
    </row>
    <row r="10" spans="1:4" x14ac:dyDescent="0.25">
      <c r="A10" s="47">
        <v>37087</v>
      </c>
      <c r="B10" s="16">
        <v>1459919</v>
      </c>
      <c r="C10">
        <f t="shared" si="0"/>
        <v>7</v>
      </c>
      <c r="D10">
        <f t="shared" si="1"/>
        <v>2001</v>
      </c>
    </row>
    <row r="11" spans="1:4" x14ac:dyDescent="0.25">
      <c r="A11" s="47">
        <v>37118</v>
      </c>
      <c r="B11" s="16">
        <v>1528483</v>
      </c>
      <c r="C11">
        <f t="shared" si="0"/>
        <v>8</v>
      </c>
      <c r="D11">
        <f t="shared" si="1"/>
        <v>2001</v>
      </c>
    </row>
    <row r="12" spans="1:4" x14ac:dyDescent="0.25">
      <c r="A12" s="47">
        <v>37149</v>
      </c>
      <c r="B12" s="16">
        <v>1360871</v>
      </c>
      <c r="C12">
        <f t="shared" si="0"/>
        <v>9</v>
      </c>
      <c r="D12">
        <f t="shared" si="1"/>
        <v>2001</v>
      </c>
    </row>
    <row r="13" spans="1:4" x14ac:dyDescent="0.25">
      <c r="A13" s="47">
        <v>37179</v>
      </c>
      <c r="B13" s="16">
        <v>1507428</v>
      </c>
      <c r="C13">
        <f t="shared" si="0"/>
        <v>10</v>
      </c>
      <c r="D13">
        <f t="shared" si="1"/>
        <v>2001</v>
      </c>
    </row>
    <row r="14" spans="1:4" x14ac:dyDescent="0.25">
      <c r="A14" s="47">
        <v>37210</v>
      </c>
      <c r="B14" s="16">
        <v>1561970</v>
      </c>
      <c r="C14">
        <f t="shared" si="0"/>
        <v>11</v>
      </c>
      <c r="D14">
        <f t="shared" si="1"/>
        <v>2001</v>
      </c>
    </row>
    <row r="15" spans="1:4" x14ac:dyDescent="0.25">
      <c r="A15" s="47">
        <v>37240</v>
      </c>
      <c r="B15" s="16">
        <v>1965873</v>
      </c>
      <c r="C15">
        <f t="shared" si="0"/>
        <v>12</v>
      </c>
      <c r="D15">
        <f t="shared" si="1"/>
        <v>2001</v>
      </c>
    </row>
    <row r="16" spans="1:4" x14ac:dyDescent="0.25">
      <c r="A16" s="47">
        <v>37271</v>
      </c>
      <c r="B16" s="16">
        <v>2319273</v>
      </c>
      <c r="C16">
        <f t="shared" si="0"/>
        <v>1</v>
      </c>
      <c r="D16">
        <f t="shared" si="1"/>
        <v>2002</v>
      </c>
    </row>
    <row r="17" spans="1:4" x14ac:dyDescent="0.25">
      <c r="A17" s="47">
        <v>37302</v>
      </c>
      <c r="B17" s="16">
        <v>2090786</v>
      </c>
      <c r="C17">
        <f t="shared" si="0"/>
        <v>2</v>
      </c>
      <c r="D17">
        <f t="shared" si="1"/>
        <v>2002</v>
      </c>
    </row>
    <row r="18" spans="1:4" x14ac:dyDescent="0.25">
      <c r="A18" s="47">
        <v>37330</v>
      </c>
      <c r="B18" s="16">
        <v>2096915</v>
      </c>
      <c r="C18">
        <f t="shared" si="0"/>
        <v>3</v>
      </c>
      <c r="D18">
        <f t="shared" si="1"/>
        <v>2002</v>
      </c>
    </row>
    <row r="19" spans="1:4" x14ac:dyDescent="0.25">
      <c r="A19" s="47">
        <v>37361</v>
      </c>
      <c r="B19" s="16">
        <v>1734549</v>
      </c>
      <c r="C19">
        <f t="shared" si="0"/>
        <v>4</v>
      </c>
      <c r="D19">
        <f t="shared" si="1"/>
        <v>2002</v>
      </c>
    </row>
    <row r="20" spans="1:4" x14ac:dyDescent="0.25">
      <c r="A20" s="47">
        <v>37391</v>
      </c>
      <c r="B20" s="16">
        <v>1470504</v>
      </c>
      <c r="C20">
        <f t="shared" si="0"/>
        <v>5</v>
      </c>
      <c r="D20">
        <f t="shared" si="1"/>
        <v>2002</v>
      </c>
    </row>
    <row r="21" spans="1:4" x14ac:dyDescent="0.25">
      <c r="A21" s="47">
        <v>37422</v>
      </c>
      <c r="B21" s="16">
        <v>1453967</v>
      </c>
      <c r="C21">
        <f t="shared" si="0"/>
        <v>6</v>
      </c>
      <c r="D21">
        <f t="shared" si="1"/>
        <v>2002</v>
      </c>
    </row>
    <row r="22" spans="1:4" x14ac:dyDescent="0.25">
      <c r="A22" s="47">
        <v>37452</v>
      </c>
      <c r="B22" s="16">
        <v>1602849</v>
      </c>
      <c r="C22">
        <f t="shared" si="0"/>
        <v>7</v>
      </c>
      <c r="D22">
        <f t="shared" si="1"/>
        <v>2002</v>
      </c>
    </row>
    <row r="23" spans="1:4" x14ac:dyDescent="0.25">
      <c r="A23" s="47">
        <v>37483</v>
      </c>
      <c r="B23" s="16">
        <v>1582079</v>
      </c>
      <c r="C23">
        <f t="shared" si="0"/>
        <v>8</v>
      </c>
      <c r="D23">
        <f t="shared" si="1"/>
        <v>2002</v>
      </c>
    </row>
    <row r="24" spans="1:4" x14ac:dyDescent="0.25">
      <c r="A24" s="47">
        <v>37514</v>
      </c>
      <c r="B24" s="16">
        <v>1408599</v>
      </c>
      <c r="C24">
        <f t="shared" si="0"/>
        <v>9</v>
      </c>
      <c r="D24">
        <f t="shared" si="1"/>
        <v>2002</v>
      </c>
    </row>
    <row r="25" spans="1:4" x14ac:dyDescent="0.25">
      <c r="A25" s="47">
        <v>37544</v>
      </c>
      <c r="B25" s="16">
        <v>1506936</v>
      </c>
      <c r="C25">
        <f t="shared" si="0"/>
        <v>10</v>
      </c>
      <c r="D25">
        <f t="shared" si="1"/>
        <v>2002</v>
      </c>
    </row>
    <row r="26" spans="1:4" x14ac:dyDescent="0.25">
      <c r="A26" s="47">
        <v>37575</v>
      </c>
      <c r="B26" s="16">
        <v>1766395</v>
      </c>
      <c r="C26">
        <f t="shared" si="0"/>
        <v>11</v>
      </c>
      <c r="D26">
        <f t="shared" si="1"/>
        <v>2002</v>
      </c>
    </row>
    <row r="27" spans="1:4" x14ac:dyDescent="0.25">
      <c r="A27" s="47">
        <v>37605</v>
      </c>
      <c r="B27" s="16">
        <v>2214167</v>
      </c>
      <c r="C27">
        <f t="shared" si="0"/>
        <v>12</v>
      </c>
      <c r="D27">
        <f t="shared" si="1"/>
        <v>2002</v>
      </c>
    </row>
    <row r="28" spans="1:4" x14ac:dyDescent="0.25">
      <c r="A28" s="47">
        <v>37636</v>
      </c>
      <c r="B28" s="16">
        <v>2532736</v>
      </c>
      <c r="C28">
        <f t="shared" si="0"/>
        <v>1</v>
      </c>
      <c r="D28">
        <f t="shared" si="1"/>
        <v>2003</v>
      </c>
    </row>
    <row r="29" spans="1:4" x14ac:dyDescent="0.25">
      <c r="A29" s="47">
        <v>37667</v>
      </c>
      <c r="B29" s="16">
        <v>2346489</v>
      </c>
      <c r="C29">
        <f t="shared" si="0"/>
        <v>2</v>
      </c>
      <c r="D29">
        <f t="shared" si="1"/>
        <v>2003</v>
      </c>
    </row>
    <row r="30" spans="1:4" x14ac:dyDescent="0.25">
      <c r="A30" s="47">
        <v>37695</v>
      </c>
      <c r="B30" s="16">
        <v>2041522</v>
      </c>
      <c r="C30">
        <f t="shared" si="0"/>
        <v>3</v>
      </c>
      <c r="D30">
        <f t="shared" si="1"/>
        <v>2003</v>
      </c>
    </row>
    <row r="31" spans="1:4" x14ac:dyDescent="0.25">
      <c r="A31" s="47">
        <v>37726</v>
      </c>
      <c r="B31" s="16">
        <v>1603853</v>
      </c>
      <c r="C31">
        <f t="shared" si="0"/>
        <v>4</v>
      </c>
      <c r="D31">
        <f t="shared" si="1"/>
        <v>2003</v>
      </c>
    </row>
    <row r="32" spans="1:4" x14ac:dyDescent="0.25">
      <c r="A32" s="47">
        <v>37756</v>
      </c>
      <c r="B32" s="16">
        <v>1379497</v>
      </c>
      <c r="C32">
        <f t="shared" si="0"/>
        <v>5</v>
      </c>
      <c r="D32">
        <f t="shared" si="1"/>
        <v>2003</v>
      </c>
    </row>
    <row r="33" spans="1:4" x14ac:dyDescent="0.25">
      <c r="A33" s="47">
        <v>37787</v>
      </c>
      <c r="B33" s="16">
        <v>1240196</v>
      </c>
      <c r="C33">
        <f t="shared" si="0"/>
        <v>6</v>
      </c>
      <c r="D33">
        <f t="shared" si="1"/>
        <v>2003</v>
      </c>
    </row>
    <row r="34" spans="1:4" x14ac:dyDescent="0.25">
      <c r="A34" s="47">
        <v>37817</v>
      </c>
      <c r="B34" s="16">
        <v>1464704</v>
      </c>
      <c r="C34">
        <f t="shared" si="0"/>
        <v>7</v>
      </c>
      <c r="D34">
        <f t="shared" si="1"/>
        <v>2003</v>
      </c>
    </row>
    <row r="35" spans="1:4" x14ac:dyDescent="0.25">
      <c r="A35" s="47">
        <v>37848</v>
      </c>
      <c r="B35" s="16">
        <v>1512522</v>
      </c>
      <c r="C35">
        <f t="shared" si="0"/>
        <v>8</v>
      </c>
      <c r="D35">
        <f t="shared" si="1"/>
        <v>2003</v>
      </c>
    </row>
    <row r="36" spans="1:4" x14ac:dyDescent="0.25">
      <c r="A36" s="47">
        <v>37879</v>
      </c>
      <c r="B36" s="16">
        <v>1299128</v>
      </c>
      <c r="C36">
        <f t="shared" si="0"/>
        <v>9</v>
      </c>
      <c r="D36">
        <f t="shared" si="1"/>
        <v>2003</v>
      </c>
    </row>
    <row r="37" spans="1:4" x14ac:dyDescent="0.25">
      <c r="A37" s="47">
        <v>37909</v>
      </c>
      <c r="B37" s="16">
        <v>1417234</v>
      </c>
      <c r="C37">
        <f t="shared" si="0"/>
        <v>10</v>
      </c>
      <c r="D37">
        <f t="shared" si="1"/>
        <v>2003</v>
      </c>
    </row>
    <row r="38" spans="1:4" x14ac:dyDescent="0.25">
      <c r="A38" s="47">
        <v>37940</v>
      </c>
      <c r="B38" s="16">
        <v>1616154</v>
      </c>
      <c r="C38">
        <f t="shared" si="0"/>
        <v>11</v>
      </c>
      <c r="D38">
        <f t="shared" si="1"/>
        <v>2003</v>
      </c>
    </row>
    <row r="39" spans="1:4" x14ac:dyDescent="0.25">
      <c r="A39" s="47">
        <v>37970</v>
      </c>
      <c r="B39" s="16">
        <v>2108690</v>
      </c>
      <c r="C39">
        <f t="shared" si="0"/>
        <v>12</v>
      </c>
      <c r="D39">
        <f t="shared" si="1"/>
        <v>2003</v>
      </c>
    </row>
    <row r="40" spans="1:4" x14ac:dyDescent="0.25">
      <c r="A40" s="47">
        <v>38001</v>
      </c>
      <c r="B40" s="16">
        <v>2512844</v>
      </c>
      <c r="C40">
        <f t="shared" si="0"/>
        <v>1</v>
      </c>
      <c r="D40">
        <f t="shared" si="1"/>
        <v>2004</v>
      </c>
    </row>
    <row r="41" spans="1:4" x14ac:dyDescent="0.25">
      <c r="A41" s="47">
        <v>38032</v>
      </c>
      <c r="B41" s="16">
        <v>2358946</v>
      </c>
      <c r="C41">
        <f t="shared" si="0"/>
        <v>2</v>
      </c>
      <c r="D41">
        <f t="shared" si="1"/>
        <v>2004</v>
      </c>
    </row>
    <row r="42" spans="1:4" x14ac:dyDescent="0.25">
      <c r="A42" s="47">
        <v>38061</v>
      </c>
      <c r="B42" s="16">
        <v>1952607</v>
      </c>
      <c r="C42">
        <f t="shared" si="0"/>
        <v>3</v>
      </c>
      <c r="D42">
        <f t="shared" si="1"/>
        <v>2004</v>
      </c>
    </row>
    <row r="43" spans="1:4" x14ac:dyDescent="0.25">
      <c r="A43" s="47">
        <v>38092</v>
      </c>
      <c r="B43" s="16">
        <v>1609746</v>
      </c>
      <c r="C43">
        <f t="shared" si="0"/>
        <v>4</v>
      </c>
      <c r="D43">
        <f t="shared" si="1"/>
        <v>2004</v>
      </c>
    </row>
    <row r="44" spans="1:4" x14ac:dyDescent="0.25">
      <c r="A44" s="47">
        <v>38122</v>
      </c>
      <c r="B44" s="16">
        <v>1441557</v>
      </c>
      <c r="C44">
        <f t="shared" si="0"/>
        <v>5</v>
      </c>
      <c r="D44">
        <f t="shared" si="1"/>
        <v>2004</v>
      </c>
    </row>
    <row r="45" spans="1:4" x14ac:dyDescent="0.25">
      <c r="A45" s="47">
        <v>38153</v>
      </c>
      <c r="B45" s="16">
        <v>1356266</v>
      </c>
      <c r="C45">
        <f t="shared" si="0"/>
        <v>6</v>
      </c>
      <c r="D45">
        <f t="shared" si="1"/>
        <v>2004</v>
      </c>
    </row>
    <row r="46" spans="1:4" x14ac:dyDescent="0.25">
      <c r="A46" s="47">
        <v>38183</v>
      </c>
      <c r="B46" s="16">
        <v>1452339</v>
      </c>
      <c r="C46">
        <f t="shared" si="0"/>
        <v>7</v>
      </c>
      <c r="D46">
        <f t="shared" si="1"/>
        <v>2004</v>
      </c>
    </row>
    <row r="47" spans="1:4" x14ac:dyDescent="0.25">
      <c r="A47" s="47">
        <v>38214</v>
      </c>
      <c r="B47" s="16">
        <v>1445892</v>
      </c>
      <c r="C47">
        <f t="shared" si="0"/>
        <v>8</v>
      </c>
      <c r="D47">
        <f t="shared" si="1"/>
        <v>2004</v>
      </c>
    </row>
    <row r="48" spans="1:4" x14ac:dyDescent="0.25">
      <c r="A48" s="47">
        <v>38245</v>
      </c>
      <c r="B48" s="16">
        <v>1357712</v>
      </c>
      <c r="C48">
        <f t="shared" si="0"/>
        <v>9</v>
      </c>
      <c r="D48">
        <f t="shared" si="1"/>
        <v>2004</v>
      </c>
    </row>
    <row r="49" spans="1:4" x14ac:dyDescent="0.25">
      <c r="A49" s="47">
        <v>38275</v>
      </c>
      <c r="B49" s="16">
        <v>1426546</v>
      </c>
      <c r="C49">
        <f t="shared" si="0"/>
        <v>10</v>
      </c>
      <c r="D49">
        <f t="shared" si="1"/>
        <v>2004</v>
      </c>
    </row>
    <row r="50" spans="1:4" x14ac:dyDescent="0.25">
      <c r="A50" s="47">
        <v>38306</v>
      </c>
      <c r="B50" s="16">
        <v>1647979</v>
      </c>
      <c r="C50">
        <f t="shared" si="0"/>
        <v>11</v>
      </c>
      <c r="D50">
        <f t="shared" si="1"/>
        <v>2004</v>
      </c>
    </row>
    <row r="51" spans="1:4" x14ac:dyDescent="0.25">
      <c r="A51" s="47">
        <v>38336</v>
      </c>
      <c r="B51" s="16">
        <v>2176020</v>
      </c>
      <c r="C51">
        <f t="shared" si="0"/>
        <v>12</v>
      </c>
      <c r="D51">
        <f t="shared" si="1"/>
        <v>2004</v>
      </c>
    </row>
    <row r="52" spans="1:4" x14ac:dyDescent="0.25">
      <c r="A52" s="47">
        <v>38367</v>
      </c>
      <c r="B52" s="16">
        <v>2396713</v>
      </c>
      <c r="C52">
        <f t="shared" si="0"/>
        <v>1</v>
      </c>
      <c r="D52">
        <f t="shared" si="1"/>
        <v>2005</v>
      </c>
    </row>
    <row r="53" spans="1:4" x14ac:dyDescent="0.25">
      <c r="A53" s="47">
        <v>38398</v>
      </c>
      <c r="B53" s="16">
        <v>2094357</v>
      </c>
      <c r="C53">
        <f t="shared" si="0"/>
        <v>2</v>
      </c>
      <c r="D53">
        <f t="shared" si="1"/>
        <v>2005</v>
      </c>
    </row>
    <row r="54" spans="1:4" x14ac:dyDescent="0.25">
      <c r="A54" s="47">
        <v>38426</v>
      </c>
      <c r="B54" s="16">
        <v>2048169</v>
      </c>
      <c r="C54">
        <f t="shared" si="0"/>
        <v>3</v>
      </c>
      <c r="D54">
        <f t="shared" si="1"/>
        <v>2005</v>
      </c>
    </row>
    <row r="55" spans="1:4" x14ac:dyDescent="0.25">
      <c r="A55" s="47">
        <v>38457</v>
      </c>
      <c r="B55" s="16">
        <v>1585188</v>
      </c>
      <c r="C55">
        <f t="shared" si="0"/>
        <v>4</v>
      </c>
      <c r="D55">
        <f t="shared" si="1"/>
        <v>2005</v>
      </c>
    </row>
    <row r="56" spans="1:4" x14ac:dyDescent="0.25">
      <c r="A56" s="47">
        <v>38487</v>
      </c>
      <c r="B56" s="16">
        <v>1386917</v>
      </c>
      <c r="C56">
        <f t="shared" si="0"/>
        <v>5</v>
      </c>
      <c r="D56">
        <f t="shared" si="1"/>
        <v>2005</v>
      </c>
    </row>
    <row r="57" spans="1:4" x14ac:dyDescent="0.25">
      <c r="A57" s="47">
        <v>38518</v>
      </c>
      <c r="B57" s="16">
        <v>1400018</v>
      </c>
      <c r="C57">
        <f t="shared" si="0"/>
        <v>6</v>
      </c>
      <c r="D57">
        <f t="shared" si="1"/>
        <v>2005</v>
      </c>
    </row>
    <row r="58" spans="1:4" x14ac:dyDescent="0.25">
      <c r="A58" s="47">
        <v>38548</v>
      </c>
      <c r="B58" s="16">
        <v>1547608</v>
      </c>
      <c r="C58">
        <f t="shared" si="0"/>
        <v>7</v>
      </c>
      <c r="D58">
        <f t="shared" si="1"/>
        <v>2005</v>
      </c>
    </row>
    <row r="59" spans="1:4" x14ac:dyDescent="0.25">
      <c r="A59" s="47">
        <v>38579</v>
      </c>
      <c r="B59" s="16">
        <v>1555887</v>
      </c>
      <c r="C59">
        <f t="shared" si="0"/>
        <v>8</v>
      </c>
      <c r="D59">
        <f t="shared" si="1"/>
        <v>2005</v>
      </c>
    </row>
    <row r="60" spans="1:4" x14ac:dyDescent="0.25">
      <c r="A60" s="47">
        <v>38610</v>
      </c>
      <c r="B60" s="16">
        <v>1301829</v>
      </c>
      <c r="C60">
        <f t="shared" si="0"/>
        <v>9</v>
      </c>
      <c r="D60">
        <f t="shared" si="1"/>
        <v>2005</v>
      </c>
    </row>
    <row r="61" spans="1:4" x14ac:dyDescent="0.25">
      <c r="A61" s="47">
        <v>38640</v>
      </c>
      <c r="B61" s="16">
        <v>1302758</v>
      </c>
      <c r="C61">
        <f t="shared" si="0"/>
        <v>10</v>
      </c>
      <c r="D61">
        <f t="shared" si="1"/>
        <v>2005</v>
      </c>
    </row>
    <row r="62" spans="1:4" x14ac:dyDescent="0.25">
      <c r="A62" s="47">
        <v>38671</v>
      </c>
      <c r="B62" s="16">
        <v>1529693</v>
      </c>
      <c r="C62">
        <f t="shared" si="0"/>
        <v>11</v>
      </c>
      <c r="D62">
        <f t="shared" si="1"/>
        <v>2005</v>
      </c>
    </row>
    <row r="63" spans="1:4" x14ac:dyDescent="0.25">
      <c r="A63" s="47">
        <v>38701</v>
      </c>
      <c r="B63" s="16">
        <v>2169754</v>
      </c>
      <c r="C63">
        <f t="shared" si="0"/>
        <v>12</v>
      </c>
      <c r="D63">
        <f t="shared" si="1"/>
        <v>2005</v>
      </c>
    </row>
    <row r="64" spans="1:4" x14ac:dyDescent="0.25">
      <c r="A64" s="47">
        <v>38732</v>
      </c>
      <c r="B64" s="16">
        <v>2010926</v>
      </c>
      <c r="C64">
        <f t="shared" si="0"/>
        <v>1</v>
      </c>
      <c r="D64">
        <f t="shared" si="1"/>
        <v>2006</v>
      </c>
    </row>
    <row r="65" spans="1:4" x14ac:dyDescent="0.25">
      <c r="A65" s="47">
        <v>38763</v>
      </c>
      <c r="B65" s="16">
        <v>1999359</v>
      </c>
      <c r="C65">
        <f t="shared" si="0"/>
        <v>2</v>
      </c>
      <c r="D65">
        <f t="shared" si="1"/>
        <v>2006</v>
      </c>
    </row>
    <row r="66" spans="1:4" x14ac:dyDescent="0.25">
      <c r="A66" s="47">
        <v>38791</v>
      </c>
      <c r="B66" s="16">
        <v>1972165</v>
      </c>
      <c r="C66">
        <f t="shared" si="0"/>
        <v>3</v>
      </c>
      <c r="D66">
        <f t="shared" si="1"/>
        <v>2006</v>
      </c>
    </row>
    <row r="67" spans="1:4" x14ac:dyDescent="0.25">
      <c r="A67" s="47">
        <v>38822</v>
      </c>
      <c r="B67" s="16">
        <v>1543302</v>
      </c>
      <c r="C67">
        <f t="shared" si="0"/>
        <v>4</v>
      </c>
      <c r="D67">
        <f t="shared" si="1"/>
        <v>2006</v>
      </c>
    </row>
    <row r="68" spans="1:4" x14ac:dyDescent="0.25">
      <c r="A68" s="47">
        <v>38852</v>
      </c>
      <c r="B68" s="16">
        <v>1390353</v>
      </c>
      <c r="C68">
        <f t="shared" ref="C68:C131" si="2">MONTH(A68)</f>
        <v>5</v>
      </c>
      <c r="D68">
        <f t="shared" ref="D68:D131" si="3">YEAR(A68)</f>
        <v>2006</v>
      </c>
    </row>
    <row r="69" spans="1:4" x14ac:dyDescent="0.25">
      <c r="A69" s="47">
        <v>38883</v>
      </c>
      <c r="B69" s="16">
        <v>1415134</v>
      </c>
      <c r="C69">
        <f t="shared" si="2"/>
        <v>6</v>
      </c>
      <c r="D69">
        <f t="shared" si="3"/>
        <v>2006</v>
      </c>
    </row>
    <row r="70" spans="1:4" x14ac:dyDescent="0.25">
      <c r="A70" s="47">
        <v>38913</v>
      </c>
      <c r="B70" s="16">
        <v>1615241</v>
      </c>
      <c r="C70">
        <f t="shared" si="2"/>
        <v>7</v>
      </c>
      <c r="D70">
        <f t="shared" si="3"/>
        <v>2006</v>
      </c>
    </row>
    <row r="71" spans="1:4" x14ac:dyDescent="0.25">
      <c r="A71" s="47">
        <v>38944</v>
      </c>
      <c r="B71" s="16">
        <v>1607830</v>
      </c>
      <c r="C71">
        <f t="shared" si="2"/>
        <v>8</v>
      </c>
      <c r="D71">
        <f t="shared" si="3"/>
        <v>2006</v>
      </c>
    </row>
    <row r="72" spans="1:4" x14ac:dyDescent="0.25">
      <c r="A72" s="47">
        <v>38975</v>
      </c>
      <c r="B72" s="16">
        <v>1328565</v>
      </c>
      <c r="C72">
        <f t="shared" si="2"/>
        <v>9</v>
      </c>
      <c r="D72">
        <f t="shared" si="3"/>
        <v>2006</v>
      </c>
    </row>
    <row r="73" spans="1:4" x14ac:dyDescent="0.25">
      <c r="A73" s="47">
        <v>39005</v>
      </c>
      <c r="B73" s="16">
        <v>1501925</v>
      </c>
      <c r="C73">
        <f t="shared" si="2"/>
        <v>10</v>
      </c>
      <c r="D73">
        <f t="shared" si="3"/>
        <v>2006</v>
      </c>
    </row>
    <row r="74" spans="1:4" x14ac:dyDescent="0.25">
      <c r="A74" s="47">
        <v>39036</v>
      </c>
      <c r="B74" s="16">
        <v>1622364</v>
      </c>
      <c r="C74">
        <f t="shared" si="2"/>
        <v>11</v>
      </c>
      <c r="D74">
        <f t="shared" si="3"/>
        <v>2006</v>
      </c>
    </row>
    <row r="75" spans="1:4" x14ac:dyDescent="0.25">
      <c r="A75" s="47">
        <v>39066</v>
      </c>
      <c r="B75" s="16">
        <v>1965718</v>
      </c>
      <c r="C75">
        <f t="shared" si="2"/>
        <v>12</v>
      </c>
      <c r="D75">
        <f t="shared" si="3"/>
        <v>2006</v>
      </c>
    </row>
    <row r="76" spans="1:4" x14ac:dyDescent="0.25">
      <c r="A76" s="47">
        <v>39097</v>
      </c>
      <c r="B76" s="16">
        <v>2306943</v>
      </c>
      <c r="C76">
        <f t="shared" si="2"/>
        <v>1</v>
      </c>
      <c r="D76">
        <f t="shared" si="3"/>
        <v>2007</v>
      </c>
    </row>
    <row r="77" spans="1:4" x14ac:dyDescent="0.25">
      <c r="A77" s="47">
        <v>39128</v>
      </c>
      <c r="B77" s="16">
        <v>2403778</v>
      </c>
      <c r="C77">
        <f t="shared" si="2"/>
        <v>2</v>
      </c>
      <c r="D77">
        <f t="shared" si="3"/>
        <v>2007</v>
      </c>
    </row>
    <row r="78" spans="1:4" x14ac:dyDescent="0.25">
      <c r="A78" s="47">
        <v>39156</v>
      </c>
      <c r="B78" s="16">
        <v>1967388</v>
      </c>
      <c r="C78">
        <f t="shared" si="2"/>
        <v>3</v>
      </c>
      <c r="D78">
        <f t="shared" si="3"/>
        <v>2007</v>
      </c>
    </row>
    <row r="79" spans="1:4" x14ac:dyDescent="0.25">
      <c r="A79" s="47">
        <v>39187</v>
      </c>
      <c r="B79" s="16">
        <v>1662412</v>
      </c>
      <c r="C79">
        <f t="shared" si="2"/>
        <v>4</v>
      </c>
      <c r="D79">
        <f t="shared" si="3"/>
        <v>2007</v>
      </c>
    </row>
    <row r="80" spans="1:4" x14ac:dyDescent="0.25">
      <c r="A80" s="47">
        <v>39217</v>
      </c>
      <c r="B80" s="16">
        <v>1414428</v>
      </c>
      <c r="C80">
        <f t="shared" si="2"/>
        <v>5</v>
      </c>
      <c r="D80">
        <f t="shared" si="3"/>
        <v>2007</v>
      </c>
    </row>
    <row r="81" spans="1:4" x14ac:dyDescent="0.25">
      <c r="A81" s="47">
        <v>39248</v>
      </c>
      <c r="B81" s="16">
        <v>1413254</v>
      </c>
      <c r="C81">
        <f t="shared" si="2"/>
        <v>6</v>
      </c>
      <c r="D81">
        <f t="shared" si="3"/>
        <v>2007</v>
      </c>
    </row>
    <row r="82" spans="1:4" x14ac:dyDescent="0.25">
      <c r="A82" s="47">
        <v>39278</v>
      </c>
      <c r="B82" s="16">
        <v>1513157</v>
      </c>
      <c r="C82">
        <f t="shared" si="2"/>
        <v>7</v>
      </c>
      <c r="D82">
        <f t="shared" si="3"/>
        <v>2007</v>
      </c>
    </row>
    <row r="83" spans="1:4" x14ac:dyDescent="0.25">
      <c r="A83" s="47">
        <v>39309</v>
      </c>
      <c r="B83" s="16">
        <v>1741755</v>
      </c>
      <c r="C83">
        <f t="shared" si="2"/>
        <v>8</v>
      </c>
      <c r="D83">
        <f t="shared" si="3"/>
        <v>2007</v>
      </c>
    </row>
    <row r="84" spans="1:4" x14ac:dyDescent="0.25">
      <c r="A84" s="47">
        <v>39340</v>
      </c>
      <c r="B84" s="16">
        <v>1446674</v>
      </c>
      <c r="C84">
        <f t="shared" si="2"/>
        <v>9</v>
      </c>
      <c r="D84">
        <f t="shared" si="3"/>
        <v>2007</v>
      </c>
    </row>
    <row r="85" spans="1:4" x14ac:dyDescent="0.25">
      <c r="A85" s="47">
        <v>39370</v>
      </c>
      <c r="B85" s="16">
        <v>1479110</v>
      </c>
      <c r="C85">
        <f t="shared" si="2"/>
        <v>10</v>
      </c>
      <c r="D85">
        <f t="shared" si="3"/>
        <v>2007</v>
      </c>
    </row>
    <row r="86" spans="1:4" x14ac:dyDescent="0.25">
      <c r="A86" s="47">
        <v>39401</v>
      </c>
      <c r="B86" s="16">
        <v>1681149</v>
      </c>
      <c r="C86">
        <f t="shared" si="2"/>
        <v>11</v>
      </c>
      <c r="D86">
        <f t="shared" si="3"/>
        <v>2007</v>
      </c>
    </row>
    <row r="87" spans="1:4" x14ac:dyDescent="0.25">
      <c r="A87" s="47">
        <v>39431</v>
      </c>
      <c r="B87" s="16">
        <v>2225994</v>
      </c>
      <c r="C87">
        <f t="shared" si="2"/>
        <v>12</v>
      </c>
      <c r="D87">
        <f t="shared" si="3"/>
        <v>2007</v>
      </c>
    </row>
    <row r="88" spans="1:4" x14ac:dyDescent="0.25">
      <c r="A88" s="47">
        <v>39462</v>
      </c>
      <c r="B88" s="16">
        <v>2554281</v>
      </c>
      <c r="C88">
        <f t="shared" si="2"/>
        <v>1</v>
      </c>
      <c r="D88">
        <f t="shared" si="3"/>
        <v>2008</v>
      </c>
    </row>
    <row r="89" spans="1:4" x14ac:dyDescent="0.25">
      <c r="A89" s="47">
        <v>39493</v>
      </c>
      <c r="B89" s="16">
        <v>2335770</v>
      </c>
      <c r="C89">
        <f t="shared" si="2"/>
        <v>2</v>
      </c>
      <c r="D89">
        <f t="shared" si="3"/>
        <v>2008</v>
      </c>
    </row>
    <row r="90" spans="1:4" x14ac:dyDescent="0.25">
      <c r="A90" s="47">
        <v>39522</v>
      </c>
      <c r="B90" s="16">
        <v>2109623</v>
      </c>
      <c r="C90">
        <f t="shared" si="2"/>
        <v>3</v>
      </c>
      <c r="D90">
        <f t="shared" si="3"/>
        <v>2008</v>
      </c>
    </row>
    <row r="91" spans="1:4" x14ac:dyDescent="0.25">
      <c r="A91" s="47">
        <v>39553</v>
      </c>
      <c r="B91" s="16">
        <v>1672724</v>
      </c>
      <c r="C91">
        <f t="shared" si="2"/>
        <v>4</v>
      </c>
      <c r="D91">
        <f t="shared" si="3"/>
        <v>2008</v>
      </c>
    </row>
    <row r="92" spans="1:4" x14ac:dyDescent="0.25">
      <c r="A92" s="47">
        <v>39583</v>
      </c>
      <c r="B92" s="16">
        <v>1430242</v>
      </c>
      <c r="C92">
        <f t="shared" si="2"/>
        <v>5</v>
      </c>
      <c r="D92">
        <f t="shared" si="3"/>
        <v>2008</v>
      </c>
    </row>
    <row r="93" spans="1:4" x14ac:dyDescent="0.25">
      <c r="A93" s="47">
        <v>39614</v>
      </c>
      <c r="B93" s="16">
        <v>1459015</v>
      </c>
      <c r="C93">
        <f t="shared" si="2"/>
        <v>6</v>
      </c>
      <c r="D93">
        <f t="shared" si="3"/>
        <v>2008</v>
      </c>
    </row>
    <row r="94" spans="1:4" x14ac:dyDescent="0.25">
      <c r="A94" s="47">
        <v>39644</v>
      </c>
      <c r="B94" s="16">
        <v>1556011</v>
      </c>
      <c r="C94">
        <f t="shared" si="2"/>
        <v>7</v>
      </c>
      <c r="D94">
        <f t="shared" si="3"/>
        <v>2008</v>
      </c>
    </row>
    <row r="95" spans="1:4" x14ac:dyDescent="0.25">
      <c r="A95" s="47">
        <v>39675</v>
      </c>
      <c r="B95" s="16">
        <v>1531863</v>
      </c>
      <c r="C95">
        <f t="shared" si="2"/>
        <v>8</v>
      </c>
      <c r="D95">
        <f t="shared" si="3"/>
        <v>2008</v>
      </c>
    </row>
    <row r="96" spans="1:4" x14ac:dyDescent="0.25">
      <c r="A96" s="47">
        <v>39706</v>
      </c>
      <c r="B96" s="16">
        <v>1329726</v>
      </c>
      <c r="C96">
        <f t="shared" si="2"/>
        <v>9</v>
      </c>
      <c r="D96">
        <f t="shared" si="3"/>
        <v>2008</v>
      </c>
    </row>
    <row r="97" spans="1:4" x14ac:dyDescent="0.25">
      <c r="A97" s="47">
        <v>39736</v>
      </c>
      <c r="B97" s="16">
        <v>1488645</v>
      </c>
      <c r="C97">
        <f t="shared" si="2"/>
        <v>10</v>
      </c>
      <c r="D97">
        <f t="shared" si="3"/>
        <v>2008</v>
      </c>
    </row>
    <row r="98" spans="1:4" x14ac:dyDescent="0.25">
      <c r="A98" s="47">
        <v>39767</v>
      </c>
      <c r="B98" s="16">
        <v>1714971</v>
      </c>
      <c r="C98">
        <f t="shared" si="2"/>
        <v>11</v>
      </c>
      <c r="D98">
        <f t="shared" si="3"/>
        <v>2008</v>
      </c>
    </row>
    <row r="99" spans="1:4" x14ac:dyDescent="0.25">
      <c r="A99" s="47">
        <v>39797</v>
      </c>
      <c r="B99" s="16">
        <v>2226478</v>
      </c>
      <c r="C99">
        <f t="shared" si="2"/>
        <v>12</v>
      </c>
      <c r="D99">
        <f t="shared" si="3"/>
        <v>2008</v>
      </c>
    </row>
    <row r="100" spans="1:4" x14ac:dyDescent="0.25">
      <c r="A100" s="47">
        <v>39828</v>
      </c>
      <c r="B100" s="16">
        <v>2538368</v>
      </c>
      <c r="C100">
        <f t="shared" si="2"/>
        <v>1</v>
      </c>
      <c r="D100">
        <f t="shared" si="3"/>
        <v>2009</v>
      </c>
    </row>
    <row r="101" spans="1:4" x14ac:dyDescent="0.25">
      <c r="A101" s="47">
        <v>39859</v>
      </c>
      <c r="B101" s="16">
        <v>2162215</v>
      </c>
      <c r="C101">
        <f t="shared" si="2"/>
        <v>2</v>
      </c>
      <c r="D101">
        <f t="shared" si="3"/>
        <v>2009</v>
      </c>
    </row>
    <row r="102" spans="1:4" x14ac:dyDescent="0.25">
      <c r="A102" s="47">
        <v>39887</v>
      </c>
      <c r="B102" s="16">
        <v>1996245</v>
      </c>
      <c r="C102">
        <f t="shared" si="2"/>
        <v>3</v>
      </c>
      <c r="D102">
        <f t="shared" si="3"/>
        <v>2009</v>
      </c>
    </row>
    <row r="103" spans="1:4" x14ac:dyDescent="0.25">
      <c r="A103" s="47">
        <v>39918</v>
      </c>
      <c r="B103" s="16">
        <v>1585512</v>
      </c>
      <c r="C103">
        <f t="shared" si="2"/>
        <v>4</v>
      </c>
      <c r="D103">
        <f t="shared" si="3"/>
        <v>2009</v>
      </c>
    </row>
    <row r="104" spans="1:4" x14ac:dyDescent="0.25">
      <c r="A104" s="47">
        <v>39948</v>
      </c>
      <c r="B104" s="16">
        <v>1353150</v>
      </c>
      <c r="C104">
        <f t="shared" si="2"/>
        <v>5</v>
      </c>
      <c r="D104">
        <f t="shared" si="3"/>
        <v>2009</v>
      </c>
    </row>
    <row r="105" spans="1:4" x14ac:dyDescent="0.25">
      <c r="A105" s="47">
        <v>39979</v>
      </c>
      <c r="B105" s="16">
        <v>1378772</v>
      </c>
      <c r="C105">
        <f t="shared" si="2"/>
        <v>6</v>
      </c>
      <c r="D105">
        <f t="shared" si="3"/>
        <v>2009</v>
      </c>
    </row>
    <row r="106" spans="1:4" x14ac:dyDescent="0.25">
      <c r="A106" s="47">
        <v>40009</v>
      </c>
      <c r="B106" s="16">
        <v>1503321</v>
      </c>
      <c r="C106">
        <f t="shared" si="2"/>
        <v>7</v>
      </c>
      <c r="D106">
        <f t="shared" si="3"/>
        <v>2009</v>
      </c>
    </row>
    <row r="107" spans="1:4" x14ac:dyDescent="0.25">
      <c r="A107" s="47">
        <v>40040</v>
      </c>
      <c r="B107" s="16">
        <v>1578354</v>
      </c>
      <c r="C107">
        <f t="shared" si="2"/>
        <v>8</v>
      </c>
      <c r="D107">
        <f t="shared" si="3"/>
        <v>2009</v>
      </c>
    </row>
    <row r="108" spans="1:4" x14ac:dyDescent="0.25">
      <c r="A108" s="47">
        <v>40071</v>
      </c>
      <c r="B108" s="16">
        <v>1427135</v>
      </c>
      <c r="C108">
        <f t="shared" si="2"/>
        <v>9</v>
      </c>
      <c r="D108">
        <f t="shared" si="3"/>
        <v>2009</v>
      </c>
    </row>
    <row r="109" spans="1:4" x14ac:dyDescent="0.25">
      <c r="A109" s="47">
        <v>40101</v>
      </c>
      <c r="B109" s="16">
        <v>1510867</v>
      </c>
      <c r="C109">
        <f t="shared" si="2"/>
        <v>10</v>
      </c>
      <c r="D109">
        <f t="shared" si="3"/>
        <v>2009</v>
      </c>
    </row>
    <row r="110" spans="1:4" x14ac:dyDescent="0.25">
      <c r="A110" s="47">
        <v>40132</v>
      </c>
      <c r="B110" s="16">
        <v>1619852</v>
      </c>
      <c r="C110">
        <f t="shared" si="2"/>
        <v>11</v>
      </c>
      <c r="D110">
        <f t="shared" si="3"/>
        <v>2009</v>
      </c>
    </row>
    <row r="111" spans="1:4" x14ac:dyDescent="0.25">
      <c r="A111" s="47">
        <v>40162</v>
      </c>
      <c r="B111" s="16">
        <v>2310875</v>
      </c>
      <c r="C111">
        <f t="shared" si="2"/>
        <v>12</v>
      </c>
      <c r="D111">
        <f t="shared" si="3"/>
        <v>2009</v>
      </c>
    </row>
    <row r="112" spans="1:4" x14ac:dyDescent="0.25">
      <c r="A112" s="47">
        <v>40193</v>
      </c>
      <c r="B112" s="16">
        <v>2624217</v>
      </c>
      <c r="C112">
        <f t="shared" si="2"/>
        <v>1</v>
      </c>
      <c r="D112">
        <f t="shared" si="3"/>
        <v>2010</v>
      </c>
    </row>
    <row r="113" spans="1:4" x14ac:dyDescent="0.25">
      <c r="A113" s="47">
        <v>40224</v>
      </c>
      <c r="B113" s="16">
        <v>2312746</v>
      </c>
      <c r="C113">
        <f t="shared" si="2"/>
        <v>2</v>
      </c>
      <c r="D113">
        <f t="shared" si="3"/>
        <v>2010</v>
      </c>
    </row>
    <row r="114" spans="1:4" x14ac:dyDescent="0.25">
      <c r="A114" s="47">
        <v>40252</v>
      </c>
      <c r="B114" s="16">
        <v>1974222</v>
      </c>
      <c r="C114">
        <f t="shared" si="2"/>
        <v>3</v>
      </c>
      <c r="D114">
        <f t="shared" si="3"/>
        <v>2010</v>
      </c>
    </row>
    <row r="115" spans="1:4" x14ac:dyDescent="0.25">
      <c r="A115" s="47">
        <v>40283</v>
      </c>
      <c r="B115" s="16">
        <v>1540128</v>
      </c>
      <c r="C115">
        <f t="shared" si="2"/>
        <v>4</v>
      </c>
      <c r="D115">
        <f t="shared" si="3"/>
        <v>2010</v>
      </c>
    </row>
    <row r="116" spans="1:4" x14ac:dyDescent="0.25">
      <c r="A116" s="47">
        <v>40313</v>
      </c>
      <c r="B116" s="16">
        <v>1465089</v>
      </c>
      <c r="C116">
        <f t="shared" si="2"/>
        <v>5</v>
      </c>
      <c r="D116">
        <f t="shared" si="3"/>
        <v>2010</v>
      </c>
    </row>
    <row r="117" spans="1:4" x14ac:dyDescent="0.25">
      <c r="A117" s="47">
        <v>40344</v>
      </c>
      <c r="B117" s="16">
        <v>1500962</v>
      </c>
      <c r="C117">
        <f t="shared" si="2"/>
        <v>6</v>
      </c>
      <c r="D117">
        <f t="shared" si="3"/>
        <v>2010</v>
      </c>
    </row>
    <row r="118" spans="1:4" x14ac:dyDescent="0.25">
      <c r="A118" s="47">
        <v>40374</v>
      </c>
      <c r="B118" s="16">
        <v>1668244</v>
      </c>
      <c r="C118">
        <f t="shared" si="2"/>
        <v>7</v>
      </c>
      <c r="D118">
        <f t="shared" si="3"/>
        <v>2010</v>
      </c>
    </row>
    <row r="119" spans="1:4" x14ac:dyDescent="0.25">
      <c r="A119" s="47">
        <v>40405</v>
      </c>
      <c r="B119" s="16">
        <v>1718550</v>
      </c>
      <c r="C119">
        <f t="shared" si="2"/>
        <v>8</v>
      </c>
      <c r="D119">
        <f t="shared" si="3"/>
        <v>2010</v>
      </c>
    </row>
    <row r="120" spans="1:4" x14ac:dyDescent="0.25">
      <c r="A120" s="47">
        <v>40436</v>
      </c>
      <c r="B120" s="16">
        <v>1485061</v>
      </c>
      <c r="C120">
        <f t="shared" si="2"/>
        <v>9</v>
      </c>
      <c r="D120">
        <f t="shared" si="3"/>
        <v>2010</v>
      </c>
    </row>
    <row r="121" spans="1:4" x14ac:dyDescent="0.25">
      <c r="A121" s="47">
        <v>40466</v>
      </c>
      <c r="B121" s="16">
        <v>1506234</v>
      </c>
      <c r="C121">
        <f t="shared" si="2"/>
        <v>10</v>
      </c>
      <c r="D121">
        <f t="shared" si="3"/>
        <v>2010</v>
      </c>
    </row>
    <row r="122" spans="1:4" x14ac:dyDescent="0.25">
      <c r="A122" s="47">
        <v>40497</v>
      </c>
      <c r="B122" s="16">
        <v>1809151</v>
      </c>
      <c r="C122">
        <f t="shared" si="2"/>
        <v>11</v>
      </c>
      <c r="D122">
        <f t="shared" si="3"/>
        <v>2010</v>
      </c>
    </row>
    <row r="123" spans="1:4" x14ac:dyDescent="0.25">
      <c r="A123" s="47">
        <v>40527</v>
      </c>
      <c r="B123" s="16">
        <v>2522442</v>
      </c>
      <c r="C123">
        <f t="shared" si="2"/>
        <v>12</v>
      </c>
      <c r="D123">
        <f t="shared" si="3"/>
        <v>2010</v>
      </c>
    </row>
    <row r="124" spans="1:4" x14ac:dyDescent="0.25">
      <c r="A124" s="47">
        <v>40558</v>
      </c>
      <c r="B124" s="16">
        <v>2699039</v>
      </c>
      <c r="C124">
        <f t="shared" si="2"/>
        <v>1</v>
      </c>
      <c r="D124">
        <f t="shared" si="3"/>
        <v>2011</v>
      </c>
    </row>
    <row r="125" spans="1:4" x14ac:dyDescent="0.25">
      <c r="A125" s="47">
        <v>40589</v>
      </c>
      <c r="B125" s="16">
        <v>2285465</v>
      </c>
      <c r="C125">
        <f t="shared" si="2"/>
        <v>2</v>
      </c>
      <c r="D125">
        <f t="shared" si="3"/>
        <v>2011</v>
      </c>
    </row>
    <row r="126" spans="1:4" x14ac:dyDescent="0.25">
      <c r="A126" s="47">
        <v>40617</v>
      </c>
      <c r="B126" s="16">
        <v>2056105</v>
      </c>
      <c r="C126">
        <f t="shared" si="2"/>
        <v>3</v>
      </c>
      <c r="D126">
        <f t="shared" si="3"/>
        <v>2011</v>
      </c>
    </row>
    <row r="127" spans="1:4" x14ac:dyDescent="0.25">
      <c r="A127" s="47">
        <v>40648</v>
      </c>
      <c r="B127" s="16">
        <v>1665278</v>
      </c>
      <c r="C127">
        <f t="shared" si="2"/>
        <v>4</v>
      </c>
      <c r="D127">
        <f t="shared" si="3"/>
        <v>2011</v>
      </c>
    </row>
    <row r="128" spans="1:4" x14ac:dyDescent="0.25">
      <c r="A128" s="47">
        <v>40678</v>
      </c>
      <c r="B128" s="16">
        <v>1509295</v>
      </c>
      <c r="C128">
        <f t="shared" si="2"/>
        <v>5</v>
      </c>
      <c r="D128">
        <f t="shared" si="3"/>
        <v>2011</v>
      </c>
    </row>
    <row r="129" spans="1:4" x14ac:dyDescent="0.25">
      <c r="A129" s="47">
        <v>40709</v>
      </c>
      <c r="B129" s="16">
        <v>1503845</v>
      </c>
      <c r="C129">
        <f t="shared" si="2"/>
        <v>6</v>
      </c>
      <c r="D129">
        <f t="shared" si="3"/>
        <v>2011</v>
      </c>
    </row>
    <row r="130" spans="1:4" x14ac:dyDescent="0.25">
      <c r="A130" s="47">
        <v>40739</v>
      </c>
      <c r="B130" s="16">
        <v>1728010</v>
      </c>
      <c r="C130">
        <f t="shared" si="2"/>
        <v>7</v>
      </c>
      <c r="D130">
        <f t="shared" si="3"/>
        <v>2011</v>
      </c>
    </row>
    <row r="131" spans="1:4" x14ac:dyDescent="0.25">
      <c r="A131" s="47">
        <v>40770</v>
      </c>
      <c r="B131" s="16">
        <v>1727907</v>
      </c>
      <c r="C131">
        <f t="shared" si="2"/>
        <v>8</v>
      </c>
      <c r="D131">
        <f t="shared" si="3"/>
        <v>2011</v>
      </c>
    </row>
    <row r="132" spans="1:4" x14ac:dyDescent="0.25">
      <c r="A132" s="47">
        <v>40801</v>
      </c>
      <c r="B132" s="16">
        <v>1500242</v>
      </c>
      <c r="C132">
        <f t="shared" ref="C132:C195" si="4">MONTH(A132)</f>
        <v>9</v>
      </c>
      <c r="D132">
        <f t="shared" ref="D132:D195" si="5">YEAR(A132)</f>
        <v>2011</v>
      </c>
    </row>
    <row r="133" spans="1:4" x14ac:dyDescent="0.25">
      <c r="A133" s="47">
        <v>40831</v>
      </c>
      <c r="B133" s="16">
        <v>1579772</v>
      </c>
      <c r="C133">
        <f t="shared" si="4"/>
        <v>10</v>
      </c>
      <c r="D133">
        <f t="shared" si="5"/>
        <v>2011</v>
      </c>
    </row>
    <row r="134" spans="1:4" x14ac:dyDescent="0.25">
      <c r="A134" s="47">
        <v>40862</v>
      </c>
      <c r="B134" s="16">
        <v>1860159</v>
      </c>
      <c r="C134">
        <f t="shared" si="4"/>
        <v>11</v>
      </c>
      <c r="D134">
        <f t="shared" si="5"/>
        <v>2011</v>
      </c>
    </row>
    <row r="135" spans="1:4" x14ac:dyDescent="0.25">
      <c r="A135" s="47">
        <v>40892</v>
      </c>
      <c r="B135" s="16">
        <v>2351937</v>
      </c>
      <c r="C135">
        <f t="shared" si="4"/>
        <v>12</v>
      </c>
      <c r="D135">
        <f t="shared" si="5"/>
        <v>2011</v>
      </c>
    </row>
    <row r="136" spans="1:4" x14ac:dyDescent="0.25">
      <c r="A136" s="47">
        <v>40923</v>
      </c>
      <c r="B136" s="16">
        <v>2557465</v>
      </c>
      <c r="C136">
        <f t="shared" si="4"/>
        <v>1</v>
      </c>
      <c r="D136">
        <f t="shared" si="5"/>
        <v>2012</v>
      </c>
    </row>
    <row r="137" spans="1:4" x14ac:dyDescent="0.25">
      <c r="A137" s="47">
        <v>40954</v>
      </c>
      <c r="B137" s="16">
        <v>2319221</v>
      </c>
      <c r="C137">
        <f t="shared" si="4"/>
        <v>2</v>
      </c>
      <c r="D137">
        <f t="shared" si="5"/>
        <v>2012</v>
      </c>
    </row>
    <row r="138" spans="1:4" x14ac:dyDescent="0.25">
      <c r="A138" s="47">
        <v>40983</v>
      </c>
      <c r="B138" s="16">
        <v>1949890</v>
      </c>
      <c r="C138">
        <f t="shared" si="4"/>
        <v>3</v>
      </c>
      <c r="D138">
        <f t="shared" si="5"/>
        <v>2012</v>
      </c>
    </row>
    <row r="139" spans="1:4" x14ac:dyDescent="0.25">
      <c r="A139" s="47">
        <v>41014</v>
      </c>
      <c r="B139" s="16">
        <v>1784460</v>
      </c>
      <c r="C139">
        <f t="shared" si="4"/>
        <v>4</v>
      </c>
      <c r="D139">
        <f t="shared" si="5"/>
        <v>2012</v>
      </c>
    </row>
    <row r="140" spans="1:4" x14ac:dyDescent="0.25">
      <c r="A140" s="47">
        <v>41044</v>
      </c>
      <c r="B140" s="16">
        <v>1703507</v>
      </c>
      <c r="C140">
        <f t="shared" si="4"/>
        <v>5</v>
      </c>
      <c r="D140">
        <f t="shared" si="5"/>
        <v>2012</v>
      </c>
    </row>
    <row r="141" spans="1:4" x14ac:dyDescent="0.25">
      <c r="A141" s="47">
        <v>41075</v>
      </c>
      <c r="B141" s="16">
        <v>1702557</v>
      </c>
      <c r="C141">
        <f t="shared" si="4"/>
        <v>6</v>
      </c>
      <c r="D141">
        <f t="shared" si="5"/>
        <v>2012</v>
      </c>
    </row>
    <row r="142" spans="1:4" x14ac:dyDescent="0.25">
      <c r="A142" s="47">
        <v>41105</v>
      </c>
      <c r="B142" s="16">
        <v>1891318</v>
      </c>
      <c r="C142">
        <f t="shared" si="4"/>
        <v>7</v>
      </c>
      <c r="D142">
        <f t="shared" si="5"/>
        <v>2012</v>
      </c>
    </row>
    <row r="143" spans="1:4" x14ac:dyDescent="0.25">
      <c r="A143" s="47">
        <v>41136</v>
      </c>
      <c r="B143" s="16">
        <v>1832775</v>
      </c>
      <c r="C143">
        <f t="shared" si="4"/>
        <v>8</v>
      </c>
      <c r="D143">
        <f t="shared" si="5"/>
        <v>2012</v>
      </c>
    </row>
    <row r="144" spans="1:4" x14ac:dyDescent="0.25">
      <c r="A144" s="47">
        <v>41167</v>
      </c>
      <c r="B144" s="16">
        <v>1640347</v>
      </c>
      <c r="C144">
        <f t="shared" si="4"/>
        <v>9</v>
      </c>
      <c r="D144">
        <f t="shared" si="5"/>
        <v>2012</v>
      </c>
    </row>
    <row r="145" spans="1:4" x14ac:dyDescent="0.25">
      <c r="A145" s="47">
        <v>41197</v>
      </c>
      <c r="B145" s="16">
        <v>1727393</v>
      </c>
      <c r="C145">
        <f t="shared" si="4"/>
        <v>10</v>
      </c>
      <c r="D145">
        <f t="shared" si="5"/>
        <v>2012</v>
      </c>
    </row>
    <row r="146" spans="1:4" x14ac:dyDescent="0.25">
      <c r="A146" s="47">
        <v>41228</v>
      </c>
      <c r="B146" s="16">
        <v>1989660</v>
      </c>
      <c r="C146">
        <f t="shared" si="4"/>
        <v>11</v>
      </c>
      <c r="D146">
        <f t="shared" si="5"/>
        <v>2012</v>
      </c>
    </row>
    <row r="147" spans="1:4" x14ac:dyDescent="0.25">
      <c r="A147" s="47">
        <v>41258</v>
      </c>
      <c r="B147" s="16">
        <v>2312832</v>
      </c>
      <c r="C147">
        <f t="shared" si="4"/>
        <v>12</v>
      </c>
      <c r="D147">
        <f t="shared" si="5"/>
        <v>2012</v>
      </c>
    </row>
    <row r="148" spans="1:4" x14ac:dyDescent="0.25">
      <c r="A148" s="47">
        <v>41289</v>
      </c>
      <c r="B148" s="16">
        <v>2661816</v>
      </c>
      <c r="C148">
        <f t="shared" si="4"/>
        <v>1</v>
      </c>
      <c r="D148">
        <f t="shared" si="5"/>
        <v>2013</v>
      </c>
    </row>
    <row r="149" spans="1:4" x14ac:dyDescent="0.25">
      <c r="A149" s="47">
        <v>41320</v>
      </c>
      <c r="B149" s="16">
        <v>2371983</v>
      </c>
      <c r="C149">
        <f t="shared" si="4"/>
        <v>2</v>
      </c>
      <c r="D149">
        <f t="shared" si="5"/>
        <v>2013</v>
      </c>
    </row>
    <row r="150" spans="1:4" x14ac:dyDescent="0.25">
      <c r="A150" s="47">
        <v>41348</v>
      </c>
      <c r="B150" s="16">
        <v>2316191</v>
      </c>
      <c r="C150">
        <f t="shared" si="4"/>
        <v>3</v>
      </c>
      <c r="D150">
        <f t="shared" si="5"/>
        <v>2013</v>
      </c>
    </row>
    <row r="151" spans="1:4" x14ac:dyDescent="0.25">
      <c r="A151" s="47">
        <v>41379</v>
      </c>
      <c r="B151" s="16">
        <v>1783603</v>
      </c>
      <c r="C151">
        <f t="shared" si="4"/>
        <v>4</v>
      </c>
      <c r="D151">
        <f t="shared" si="5"/>
        <v>2013</v>
      </c>
    </row>
    <row r="152" spans="1:4" x14ac:dyDescent="0.25">
      <c r="A152" s="47">
        <v>41409</v>
      </c>
      <c r="B152" s="16">
        <v>1572373</v>
      </c>
      <c r="C152">
        <f t="shared" si="4"/>
        <v>5</v>
      </c>
      <c r="D152">
        <f t="shared" si="5"/>
        <v>2013</v>
      </c>
    </row>
    <row r="153" spans="1:4" x14ac:dyDescent="0.25">
      <c r="A153" s="47">
        <v>41440</v>
      </c>
      <c r="B153" s="16">
        <v>1567216</v>
      </c>
      <c r="C153">
        <f t="shared" si="4"/>
        <v>6</v>
      </c>
      <c r="D153">
        <f t="shared" si="5"/>
        <v>2013</v>
      </c>
    </row>
    <row r="154" spans="1:4" x14ac:dyDescent="0.25">
      <c r="A154" s="47">
        <v>41470</v>
      </c>
      <c r="B154" s="16">
        <v>1738157</v>
      </c>
      <c r="C154">
        <f t="shared" si="4"/>
        <v>7</v>
      </c>
      <c r="D154">
        <f t="shared" si="5"/>
        <v>2013</v>
      </c>
    </row>
    <row r="155" spans="1:4" x14ac:dyDescent="0.25">
      <c r="A155" s="47">
        <v>41501</v>
      </c>
      <c r="B155" s="16">
        <v>1739436</v>
      </c>
      <c r="C155">
        <f t="shared" si="4"/>
        <v>8</v>
      </c>
      <c r="D155">
        <f t="shared" si="5"/>
        <v>2013</v>
      </c>
    </row>
    <row r="156" spans="1:4" x14ac:dyDescent="0.25">
      <c r="A156" s="47">
        <v>41532</v>
      </c>
      <c r="B156" s="16">
        <v>1588718</v>
      </c>
      <c r="C156">
        <f t="shared" si="4"/>
        <v>9</v>
      </c>
      <c r="D156">
        <f t="shared" si="5"/>
        <v>2013</v>
      </c>
    </row>
    <row r="157" spans="1:4" x14ac:dyDescent="0.25">
      <c r="A157" s="47">
        <v>41562</v>
      </c>
      <c r="B157" s="16">
        <v>1680814</v>
      </c>
      <c r="C157">
        <f t="shared" si="4"/>
        <v>10</v>
      </c>
      <c r="D157">
        <f t="shared" si="5"/>
        <v>2013</v>
      </c>
    </row>
    <row r="158" spans="1:4" x14ac:dyDescent="0.25">
      <c r="A158" s="47">
        <v>41593</v>
      </c>
      <c r="B158" s="16">
        <v>2118508</v>
      </c>
      <c r="C158">
        <f t="shared" si="4"/>
        <v>11</v>
      </c>
      <c r="D158">
        <f t="shared" si="5"/>
        <v>2013</v>
      </c>
    </row>
    <row r="159" spans="1:4" x14ac:dyDescent="0.25">
      <c r="A159" s="47">
        <v>41623</v>
      </c>
      <c r="B159" s="16">
        <v>2700111</v>
      </c>
      <c r="C159">
        <f t="shared" si="4"/>
        <v>12</v>
      </c>
      <c r="D159">
        <f t="shared" si="5"/>
        <v>2013</v>
      </c>
    </row>
    <row r="160" spans="1:4" x14ac:dyDescent="0.25">
      <c r="A160" s="47">
        <v>41654</v>
      </c>
      <c r="B160" s="16">
        <v>2997145</v>
      </c>
      <c r="C160">
        <f t="shared" si="4"/>
        <v>1</v>
      </c>
      <c r="D160">
        <f t="shared" si="5"/>
        <v>2014</v>
      </c>
    </row>
    <row r="161" spans="1:4" x14ac:dyDescent="0.25">
      <c r="A161" s="47">
        <v>41685</v>
      </c>
      <c r="B161" s="16">
        <v>2556038</v>
      </c>
      <c r="C161">
        <f t="shared" si="4"/>
        <v>2</v>
      </c>
      <c r="D161">
        <f t="shared" si="5"/>
        <v>2014</v>
      </c>
    </row>
    <row r="162" spans="1:4" x14ac:dyDescent="0.25">
      <c r="A162" s="47">
        <v>41713</v>
      </c>
      <c r="B162" s="16">
        <v>2365293</v>
      </c>
      <c r="C162">
        <f t="shared" si="4"/>
        <v>3</v>
      </c>
      <c r="D162">
        <f t="shared" si="5"/>
        <v>2014</v>
      </c>
    </row>
    <row r="163" spans="1:4" x14ac:dyDescent="0.25">
      <c r="A163" s="47">
        <v>41744</v>
      </c>
      <c r="B163" s="16">
        <v>1786764</v>
      </c>
      <c r="C163">
        <f t="shared" si="4"/>
        <v>4</v>
      </c>
      <c r="D163">
        <f t="shared" si="5"/>
        <v>2014</v>
      </c>
    </row>
    <row r="164" spans="1:4" x14ac:dyDescent="0.25">
      <c r="A164" s="47">
        <v>41774</v>
      </c>
      <c r="B164" s="16">
        <v>1636202</v>
      </c>
      <c r="C164">
        <f t="shared" si="4"/>
        <v>5</v>
      </c>
      <c r="D164">
        <f t="shared" si="5"/>
        <v>2014</v>
      </c>
    </row>
    <row r="165" spans="1:4" x14ac:dyDescent="0.25">
      <c r="A165" s="47">
        <v>41805</v>
      </c>
      <c r="B165" s="16">
        <v>1576508</v>
      </c>
      <c r="C165">
        <f t="shared" si="4"/>
        <v>6</v>
      </c>
      <c r="D165">
        <f t="shared" si="5"/>
        <v>2014</v>
      </c>
    </row>
    <row r="166" spans="1:4" x14ac:dyDescent="0.25">
      <c r="A166" s="47">
        <v>41835</v>
      </c>
      <c r="B166" s="16">
        <v>1701744</v>
      </c>
      <c r="C166">
        <f t="shared" si="4"/>
        <v>7</v>
      </c>
      <c r="D166">
        <f t="shared" si="5"/>
        <v>2014</v>
      </c>
    </row>
    <row r="167" spans="1:4" x14ac:dyDescent="0.25">
      <c r="A167" s="47">
        <v>41866</v>
      </c>
      <c r="B167" s="16">
        <v>1751644</v>
      </c>
      <c r="C167">
        <f t="shared" si="4"/>
        <v>8</v>
      </c>
      <c r="D167">
        <f t="shared" si="5"/>
        <v>2014</v>
      </c>
    </row>
    <row r="168" spans="1:4" x14ac:dyDescent="0.25">
      <c r="A168" s="47">
        <v>41897</v>
      </c>
      <c r="B168" s="16">
        <v>1635485</v>
      </c>
      <c r="C168">
        <f t="shared" si="4"/>
        <v>9</v>
      </c>
      <c r="D168">
        <f t="shared" si="5"/>
        <v>2014</v>
      </c>
    </row>
    <row r="169" spans="1:4" x14ac:dyDescent="0.25">
      <c r="A169" s="47">
        <v>41927</v>
      </c>
      <c r="B169" s="16">
        <v>1730740</v>
      </c>
      <c r="C169">
        <f t="shared" si="4"/>
        <v>10</v>
      </c>
      <c r="D169">
        <f t="shared" si="5"/>
        <v>2014</v>
      </c>
    </row>
    <row r="170" spans="1:4" x14ac:dyDescent="0.25">
      <c r="A170" s="47">
        <v>41958</v>
      </c>
      <c r="B170" s="16">
        <v>2167984</v>
      </c>
      <c r="C170">
        <f t="shared" si="4"/>
        <v>11</v>
      </c>
      <c r="D170">
        <f t="shared" si="5"/>
        <v>2014</v>
      </c>
    </row>
    <row r="171" spans="1:4" x14ac:dyDescent="0.25">
      <c r="A171" s="47">
        <v>41988</v>
      </c>
      <c r="B171" s="16">
        <v>2475535</v>
      </c>
      <c r="C171">
        <f t="shared" si="4"/>
        <v>12</v>
      </c>
      <c r="D171">
        <f t="shared" si="5"/>
        <v>2014</v>
      </c>
    </row>
    <row r="172" spans="1:4" x14ac:dyDescent="0.25">
      <c r="A172" s="47">
        <v>42019</v>
      </c>
      <c r="B172" s="16">
        <v>2903574</v>
      </c>
      <c r="C172">
        <f t="shared" si="4"/>
        <v>1</v>
      </c>
      <c r="D172">
        <f t="shared" si="5"/>
        <v>2015</v>
      </c>
    </row>
    <row r="173" spans="1:4" x14ac:dyDescent="0.25">
      <c r="A173" s="47">
        <v>42050</v>
      </c>
      <c r="B173" s="16">
        <v>2730693</v>
      </c>
      <c r="C173">
        <f t="shared" si="4"/>
        <v>2</v>
      </c>
      <c r="D173">
        <f t="shared" si="5"/>
        <v>2015</v>
      </c>
    </row>
    <row r="174" spans="1:4" x14ac:dyDescent="0.25">
      <c r="A174" s="47">
        <v>42078</v>
      </c>
      <c r="B174" s="16">
        <v>2392542</v>
      </c>
      <c r="C174">
        <f t="shared" si="4"/>
        <v>3</v>
      </c>
      <c r="D174">
        <f t="shared" si="5"/>
        <v>2015</v>
      </c>
    </row>
    <row r="175" spans="1:4" x14ac:dyDescent="0.25">
      <c r="A175" s="47">
        <v>42109</v>
      </c>
      <c r="B175" s="16">
        <v>1826933</v>
      </c>
      <c r="C175">
        <f t="shared" si="4"/>
        <v>4</v>
      </c>
      <c r="D175">
        <f t="shared" si="5"/>
        <v>2015</v>
      </c>
    </row>
    <row r="176" spans="1:4" x14ac:dyDescent="0.25">
      <c r="A176" s="47">
        <v>42139</v>
      </c>
      <c r="B176" s="16">
        <v>1678755</v>
      </c>
      <c r="C176">
        <f t="shared" si="4"/>
        <v>5</v>
      </c>
      <c r="D176">
        <f t="shared" si="5"/>
        <v>2015</v>
      </c>
    </row>
    <row r="177" spans="1:4" x14ac:dyDescent="0.25">
      <c r="A177" s="47">
        <v>42170</v>
      </c>
      <c r="B177" s="16">
        <v>1723906</v>
      </c>
      <c r="C177">
        <f t="shared" si="4"/>
        <v>6</v>
      </c>
      <c r="D177">
        <f t="shared" si="5"/>
        <v>2015</v>
      </c>
    </row>
    <row r="178" spans="1:4" x14ac:dyDescent="0.25">
      <c r="A178" s="47">
        <v>42200</v>
      </c>
      <c r="B178" s="16">
        <v>1882675</v>
      </c>
      <c r="C178">
        <f t="shared" si="4"/>
        <v>7</v>
      </c>
      <c r="D178">
        <f t="shared" si="5"/>
        <v>2015</v>
      </c>
    </row>
    <row r="179" spans="1:4" x14ac:dyDescent="0.25">
      <c r="A179" s="47">
        <v>42231</v>
      </c>
      <c r="B179" s="16">
        <v>1867936</v>
      </c>
      <c r="C179">
        <f t="shared" si="4"/>
        <v>8</v>
      </c>
      <c r="D179">
        <f t="shared" si="5"/>
        <v>2015</v>
      </c>
    </row>
    <row r="180" spans="1:4" x14ac:dyDescent="0.25">
      <c r="A180" s="47">
        <v>42262</v>
      </c>
      <c r="B180" s="16">
        <v>1723960</v>
      </c>
      <c r="C180">
        <f t="shared" si="4"/>
        <v>9</v>
      </c>
      <c r="D180">
        <f t="shared" si="5"/>
        <v>2015</v>
      </c>
    </row>
    <row r="181" spans="1:4" x14ac:dyDescent="0.25">
      <c r="A181" s="47">
        <v>42292</v>
      </c>
      <c r="B181" s="16">
        <v>1804380</v>
      </c>
      <c r="C181">
        <f t="shared" si="4"/>
        <v>10</v>
      </c>
      <c r="D181">
        <f t="shared" si="5"/>
        <v>2015</v>
      </c>
    </row>
    <row r="182" spans="1:4" x14ac:dyDescent="0.25">
      <c r="A182" s="47">
        <v>42323</v>
      </c>
      <c r="B182" s="16">
        <v>2064029</v>
      </c>
      <c r="C182">
        <f t="shared" si="4"/>
        <v>11</v>
      </c>
      <c r="D182">
        <f t="shared" si="5"/>
        <v>2015</v>
      </c>
    </row>
    <row r="183" spans="1:4" x14ac:dyDescent="0.25">
      <c r="A183" s="47">
        <v>42353</v>
      </c>
      <c r="B183" s="16">
        <v>2389902</v>
      </c>
      <c r="C183">
        <f t="shared" si="4"/>
        <v>12</v>
      </c>
      <c r="D183">
        <f t="shared" si="5"/>
        <v>2015</v>
      </c>
    </row>
    <row r="184" spans="1:4" x14ac:dyDescent="0.25">
      <c r="A184" s="47">
        <v>42384</v>
      </c>
      <c r="B184" s="16">
        <v>2880714</v>
      </c>
      <c r="C184">
        <f t="shared" si="4"/>
        <v>1</v>
      </c>
      <c r="D184">
        <f t="shared" si="5"/>
        <v>2016</v>
      </c>
    </row>
    <row r="185" spans="1:4" x14ac:dyDescent="0.25">
      <c r="A185" s="47">
        <v>42415</v>
      </c>
      <c r="B185" s="16">
        <v>2459545</v>
      </c>
      <c r="C185">
        <f t="shared" si="4"/>
        <v>2</v>
      </c>
      <c r="D185">
        <f t="shared" si="5"/>
        <v>2016</v>
      </c>
    </row>
    <row r="186" spans="1:4" x14ac:dyDescent="0.25">
      <c r="A186" s="47">
        <v>42444</v>
      </c>
      <c r="B186" s="16">
        <v>2164467</v>
      </c>
      <c r="C186">
        <f t="shared" si="4"/>
        <v>3</v>
      </c>
      <c r="D186">
        <f t="shared" si="5"/>
        <v>2016</v>
      </c>
    </row>
    <row r="187" spans="1:4" x14ac:dyDescent="0.25">
      <c r="A187" s="47">
        <v>42475</v>
      </c>
      <c r="B187" s="16">
        <v>1903501</v>
      </c>
      <c r="C187">
        <f t="shared" si="4"/>
        <v>4</v>
      </c>
      <c r="D187">
        <f t="shared" si="5"/>
        <v>2016</v>
      </c>
    </row>
    <row r="188" spans="1:4" x14ac:dyDescent="0.25">
      <c r="A188" s="47">
        <v>42505</v>
      </c>
      <c r="B188" s="16">
        <v>1785885</v>
      </c>
      <c r="C188">
        <f t="shared" si="4"/>
        <v>5</v>
      </c>
      <c r="D188">
        <f t="shared" si="5"/>
        <v>2016</v>
      </c>
    </row>
    <row r="189" spans="1:4" x14ac:dyDescent="0.25">
      <c r="A189" s="47">
        <v>42536</v>
      </c>
      <c r="B189" s="16">
        <v>1825125</v>
      </c>
      <c r="C189">
        <f t="shared" si="4"/>
        <v>6</v>
      </c>
      <c r="D189">
        <f t="shared" si="5"/>
        <v>2016</v>
      </c>
    </row>
    <row r="190" spans="1:4" x14ac:dyDescent="0.25">
      <c r="A190" s="47">
        <v>42566</v>
      </c>
      <c r="B190" s="16">
        <v>2001036</v>
      </c>
      <c r="C190">
        <f t="shared" si="4"/>
        <v>7</v>
      </c>
      <c r="D190">
        <f t="shared" si="5"/>
        <v>2016</v>
      </c>
    </row>
    <row r="191" spans="1:4" x14ac:dyDescent="0.25">
      <c r="A191" s="47">
        <v>42597</v>
      </c>
      <c r="B191" s="16">
        <v>2023229</v>
      </c>
      <c r="C191">
        <f t="shared" si="4"/>
        <v>8</v>
      </c>
      <c r="D191">
        <f t="shared" si="5"/>
        <v>2016</v>
      </c>
    </row>
    <row r="192" spans="1:4" x14ac:dyDescent="0.25">
      <c r="A192" s="47">
        <v>42628</v>
      </c>
      <c r="B192" s="16">
        <v>1774412</v>
      </c>
      <c r="C192">
        <f t="shared" si="4"/>
        <v>9</v>
      </c>
      <c r="D192">
        <f t="shared" si="5"/>
        <v>2016</v>
      </c>
    </row>
    <row r="193" spans="1:4" x14ac:dyDescent="0.25">
      <c r="A193" s="47">
        <v>42658</v>
      </c>
      <c r="B193" s="16">
        <v>1748897</v>
      </c>
      <c r="C193">
        <f t="shared" si="4"/>
        <v>10</v>
      </c>
      <c r="D193">
        <f t="shared" si="5"/>
        <v>2016</v>
      </c>
    </row>
    <row r="194" spans="1:4" x14ac:dyDescent="0.25">
      <c r="A194" s="47">
        <v>42689</v>
      </c>
      <c r="B194" s="16">
        <v>1979957</v>
      </c>
      <c r="C194">
        <f t="shared" si="4"/>
        <v>11</v>
      </c>
      <c r="D194">
        <f t="shared" si="5"/>
        <v>2016</v>
      </c>
    </row>
    <row r="195" spans="1:4" x14ac:dyDescent="0.25">
      <c r="A195" s="47">
        <v>42719</v>
      </c>
      <c r="B195" s="16">
        <v>2665391</v>
      </c>
      <c r="C195">
        <f t="shared" si="4"/>
        <v>12</v>
      </c>
      <c r="D195">
        <f t="shared" si="5"/>
        <v>2016</v>
      </c>
    </row>
    <row r="196" spans="1:4" x14ac:dyDescent="0.25">
      <c r="A196" s="47">
        <v>42750</v>
      </c>
      <c r="B196" s="16">
        <v>2708217</v>
      </c>
      <c r="C196">
        <f t="shared" ref="C196:C257" si="6">MONTH(A196)</f>
        <v>1</v>
      </c>
      <c r="D196">
        <f t="shared" ref="D196:D257" si="7">YEAR(A196)</f>
        <v>2017</v>
      </c>
    </row>
    <row r="197" spans="1:4" x14ac:dyDescent="0.25">
      <c r="A197" s="47">
        <v>42781</v>
      </c>
      <c r="B197" s="16">
        <v>2161185</v>
      </c>
      <c r="C197">
        <f t="shared" si="6"/>
        <v>2</v>
      </c>
      <c r="D197">
        <f t="shared" si="7"/>
        <v>2017</v>
      </c>
    </row>
    <row r="198" spans="1:4" x14ac:dyDescent="0.25">
      <c r="A198" s="47">
        <v>42809</v>
      </c>
      <c r="B198" s="16">
        <v>2324198</v>
      </c>
      <c r="C198">
        <f t="shared" si="6"/>
        <v>3</v>
      </c>
      <c r="D198">
        <f t="shared" si="7"/>
        <v>2017</v>
      </c>
    </row>
    <row r="199" spans="1:4" x14ac:dyDescent="0.25">
      <c r="A199" s="47">
        <v>42840</v>
      </c>
      <c r="B199" s="16">
        <v>1753578</v>
      </c>
      <c r="C199">
        <f t="shared" si="6"/>
        <v>4</v>
      </c>
      <c r="D199">
        <f t="shared" si="7"/>
        <v>2017</v>
      </c>
    </row>
    <row r="200" spans="1:4" x14ac:dyDescent="0.25">
      <c r="A200" s="47">
        <v>42870</v>
      </c>
      <c r="B200" s="16">
        <v>1710548</v>
      </c>
      <c r="C200">
        <f t="shared" si="6"/>
        <v>5</v>
      </c>
      <c r="D200">
        <f t="shared" si="7"/>
        <v>2017</v>
      </c>
    </row>
    <row r="201" spans="1:4" x14ac:dyDescent="0.25">
      <c r="A201" s="47">
        <v>42901</v>
      </c>
      <c r="B201" s="16">
        <v>1731387</v>
      </c>
      <c r="C201">
        <f t="shared" si="6"/>
        <v>6</v>
      </c>
      <c r="D201">
        <f t="shared" si="7"/>
        <v>2017</v>
      </c>
    </row>
    <row r="202" spans="1:4" x14ac:dyDescent="0.25">
      <c r="A202" s="47">
        <v>42931</v>
      </c>
      <c r="B202" s="16">
        <v>1950510</v>
      </c>
      <c r="C202">
        <f t="shared" si="6"/>
        <v>7</v>
      </c>
      <c r="D202">
        <f t="shared" si="7"/>
        <v>2017</v>
      </c>
    </row>
    <row r="203" spans="1:4" x14ac:dyDescent="0.25">
      <c r="A203" s="47">
        <v>42962</v>
      </c>
      <c r="B203" s="16">
        <v>1904112</v>
      </c>
      <c r="C203">
        <f t="shared" si="6"/>
        <v>8</v>
      </c>
      <c r="D203">
        <f t="shared" si="7"/>
        <v>2017</v>
      </c>
    </row>
    <row r="204" spans="1:4" x14ac:dyDescent="0.25">
      <c r="A204" s="47">
        <v>42993</v>
      </c>
      <c r="B204" s="16">
        <v>1737701</v>
      </c>
      <c r="C204">
        <f t="shared" si="6"/>
        <v>9</v>
      </c>
      <c r="D204">
        <f t="shared" si="7"/>
        <v>2017</v>
      </c>
    </row>
    <row r="205" spans="1:4" x14ac:dyDescent="0.25">
      <c r="A205" s="47">
        <v>43023</v>
      </c>
      <c r="B205" s="16">
        <v>1838965</v>
      </c>
      <c r="C205">
        <f t="shared" si="6"/>
        <v>10</v>
      </c>
      <c r="D205">
        <f t="shared" si="7"/>
        <v>2017</v>
      </c>
    </row>
    <row r="206" spans="1:4" x14ac:dyDescent="0.25">
      <c r="A206" s="47">
        <v>43054</v>
      </c>
      <c r="B206" s="16">
        <v>2155805</v>
      </c>
      <c r="C206">
        <f t="shared" si="6"/>
        <v>11</v>
      </c>
      <c r="D206">
        <f t="shared" si="7"/>
        <v>2017</v>
      </c>
    </row>
    <row r="207" spans="1:4" x14ac:dyDescent="0.25">
      <c r="A207" s="47">
        <v>43084</v>
      </c>
      <c r="B207" s="16">
        <v>2858509</v>
      </c>
      <c r="C207">
        <f t="shared" si="6"/>
        <v>12</v>
      </c>
      <c r="D207">
        <f t="shared" si="7"/>
        <v>2017</v>
      </c>
    </row>
    <row r="208" spans="1:4" x14ac:dyDescent="0.25">
      <c r="A208" s="47">
        <v>43115</v>
      </c>
      <c r="B208" s="16">
        <v>3107734</v>
      </c>
      <c r="C208">
        <f t="shared" si="6"/>
        <v>1</v>
      </c>
      <c r="D208">
        <f t="shared" si="7"/>
        <v>2018</v>
      </c>
    </row>
    <row r="209" spans="1:4" x14ac:dyDescent="0.25">
      <c r="A209" s="47">
        <v>43146</v>
      </c>
      <c r="B209" s="16">
        <v>2507085</v>
      </c>
      <c r="C209">
        <f t="shared" si="6"/>
        <v>2</v>
      </c>
      <c r="D209">
        <f t="shared" si="7"/>
        <v>2018</v>
      </c>
    </row>
    <row r="210" spans="1:4" x14ac:dyDescent="0.25">
      <c r="A210" s="47">
        <v>43174</v>
      </c>
      <c r="B210" s="16">
        <v>2576005</v>
      </c>
      <c r="C210">
        <f t="shared" si="6"/>
        <v>3</v>
      </c>
      <c r="D210">
        <f t="shared" si="7"/>
        <v>2018</v>
      </c>
    </row>
    <row r="211" spans="1:4" x14ac:dyDescent="0.25">
      <c r="A211" s="47">
        <v>43205</v>
      </c>
      <c r="B211" s="16">
        <v>2148089</v>
      </c>
      <c r="C211">
        <f t="shared" si="6"/>
        <v>4</v>
      </c>
      <c r="D211">
        <f t="shared" si="7"/>
        <v>2018</v>
      </c>
    </row>
    <row r="212" spans="1:4" x14ac:dyDescent="0.25">
      <c r="A212" s="47">
        <v>43235</v>
      </c>
      <c r="B212" s="16">
        <v>1855856</v>
      </c>
      <c r="C212">
        <f t="shared" si="6"/>
        <v>5</v>
      </c>
      <c r="D212">
        <f t="shared" si="7"/>
        <v>2018</v>
      </c>
    </row>
    <row r="213" spans="1:4" x14ac:dyDescent="0.25">
      <c r="A213" s="47">
        <v>43266</v>
      </c>
      <c r="B213" s="16">
        <v>1867447</v>
      </c>
      <c r="C213">
        <f t="shared" si="6"/>
        <v>6</v>
      </c>
      <c r="D213">
        <f t="shared" si="7"/>
        <v>2018</v>
      </c>
    </row>
    <row r="214" spans="1:4" x14ac:dyDescent="0.25">
      <c r="A214" s="47">
        <v>43296</v>
      </c>
      <c r="B214" s="16">
        <v>2139037</v>
      </c>
      <c r="C214">
        <f t="shared" si="6"/>
        <v>7</v>
      </c>
      <c r="D214">
        <f t="shared" si="7"/>
        <v>2018</v>
      </c>
    </row>
    <row r="215" spans="1:4" x14ac:dyDescent="0.25">
      <c r="A215" s="47">
        <v>43327</v>
      </c>
      <c r="B215" s="16">
        <v>2100482</v>
      </c>
      <c r="C215">
        <f t="shared" si="6"/>
        <v>8</v>
      </c>
      <c r="D215">
        <f t="shared" si="7"/>
        <v>2018</v>
      </c>
    </row>
    <row r="216" spans="1:4" x14ac:dyDescent="0.25">
      <c r="A216" s="47">
        <v>43358</v>
      </c>
      <c r="B216" s="16">
        <v>1949898</v>
      </c>
      <c r="C216">
        <f t="shared" si="6"/>
        <v>9</v>
      </c>
      <c r="D216">
        <f t="shared" si="7"/>
        <v>2018</v>
      </c>
    </row>
    <row r="217" spans="1:4" x14ac:dyDescent="0.25">
      <c r="A217" s="47">
        <v>43388</v>
      </c>
      <c r="B217" s="16">
        <v>2069201</v>
      </c>
      <c r="C217">
        <f t="shared" si="6"/>
        <v>10</v>
      </c>
      <c r="D217">
        <f t="shared" si="7"/>
        <v>2018</v>
      </c>
    </row>
    <row r="218" spans="1:4" x14ac:dyDescent="0.25">
      <c r="A218" s="47">
        <v>43419</v>
      </c>
      <c r="B218" s="16">
        <v>2488282</v>
      </c>
      <c r="C218">
        <f t="shared" si="6"/>
        <v>11</v>
      </c>
      <c r="D218">
        <f t="shared" si="7"/>
        <v>2018</v>
      </c>
    </row>
    <row r="219" spans="1:4" x14ac:dyDescent="0.25">
      <c r="A219" s="47">
        <v>43449</v>
      </c>
      <c r="B219" s="16">
        <v>2759042</v>
      </c>
      <c r="C219">
        <f t="shared" si="6"/>
        <v>12</v>
      </c>
      <c r="D219">
        <f t="shared" si="7"/>
        <v>2018</v>
      </c>
    </row>
    <row r="220" spans="1:4" x14ac:dyDescent="0.25">
      <c r="A220" s="47">
        <v>43480</v>
      </c>
      <c r="B220" s="16">
        <v>3161732</v>
      </c>
      <c r="C220">
        <f t="shared" si="6"/>
        <v>1</v>
      </c>
      <c r="D220">
        <f t="shared" si="7"/>
        <v>2019</v>
      </c>
    </row>
    <row r="221" spans="1:4" x14ac:dyDescent="0.25">
      <c r="A221" s="47">
        <v>43511</v>
      </c>
      <c r="B221" s="16">
        <v>2783640</v>
      </c>
      <c r="C221">
        <f t="shared" si="6"/>
        <v>2</v>
      </c>
      <c r="D221">
        <f t="shared" si="7"/>
        <v>2019</v>
      </c>
    </row>
    <row r="222" spans="1:4" x14ac:dyDescent="0.25">
      <c r="A222" s="47">
        <v>43539</v>
      </c>
      <c r="B222" s="16">
        <v>2680848</v>
      </c>
      <c r="C222">
        <f t="shared" si="6"/>
        <v>3</v>
      </c>
      <c r="D222">
        <f t="shared" si="7"/>
        <v>2019</v>
      </c>
    </row>
    <row r="223" spans="1:4" x14ac:dyDescent="0.25">
      <c r="A223" s="47">
        <v>43570</v>
      </c>
      <c r="B223" s="16">
        <v>1994279</v>
      </c>
      <c r="C223">
        <f t="shared" si="6"/>
        <v>4</v>
      </c>
      <c r="D223">
        <f t="shared" si="7"/>
        <v>2019</v>
      </c>
    </row>
    <row r="224" spans="1:4" x14ac:dyDescent="0.25">
      <c r="A224" s="47">
        <v>43600</v>
      </c>
      <c r="B224" s="16">
        <v>1912779</v>
      </c>
      <c r="C224">
        <f t="shared" si="6"/>
        <v>5</v>
      </c>
      <c r="D224">
        <f t="shared" si="7"/>
        <v>2019</v>
      </c>
    </row>
    <row r="225" spans="1:4" x14ac:dyDescent="0.25">
      <c r="A225" s="47">
        <v>43631</v>
      </c>
      <c r="B225" s="16">
        <v>1902995</v>
      </c>
      <c r="C225">
        <f t="shared" si="6"/>
        <v>6</v>
      </c>
      <c r="D225">
        <f t="shared" si="7"/>
        <v>2019</v>
      </c>
    </row>
    <row r="226" spans="1:4" x14ac:dyDescent="0.25">
      <c r="A226" s="47">
        <v>43661</v>
      </c>
      <c r="B226" s="16">
        <v>2162450</v>
      </c>
      <c r="C226">
        <f t="shared" si="6"/>
        <v>7</v>
      </c>
      <c r="D226">
        <f t="shared" si="7"/>
        <v>2019</v>
      </c>
    </row>
    <row r="227" spans="1:4" x14ac:dyDescent="0.25">
      <c r="A227" s="47">
        <v>43692</v>
      </c>
      <c r="B227" s="16">
        <v>2197474</v>
      </c>
      <c r="C227">
        <f t="shared" si="6"/>
        <v>8</v>
      </c>
      <c r="D227">
        <f t="shared" si="7"/>
        <v>2019</v>
      </c>
    </row>
    <row r="228" spans="1:4" x14ac:dyDescent="0.25">
      <c r="A228" s="47">
        <v>43723</v>
      </c>
      <c r="B228" s="16">
        <v>1982049</v>
      </c>
      <c r="C228">
        <f t="shared" si="6"/>
        <v>9</v>
      </c>
      <c r="D228">
        <f t="shared" si="7"/>
        <v>2019</v>
      </c>
    </row>
    <row r="229" spans="1:4" x14ac:dyDescent="0.25">
      <c r="A229" s="47">
        <v>43753</v>
      </c>
      <c r="B229" s="16">
        <v>2072599</v>
      </c>
      <c r="C229">
        <f t="shared" si="6"/>
        <v>10</v>
      </c>
      <c r="D229">
        <f t="shared" si="7"/>
        <v>2019</v>
      </c>
    </row>
    <row r="230" spans="1:4" x14ac:dyDescent="0.25">
      <c r="A230" s="47">
        <v>43784</v>
      </c>
      <c r="B230" s="16">
        <v>2535754</v>
      </c>
      <c r="C230">
        <f t="shared" si="6"/>
        <v>11</v>
      </c>
      <c r="D230">
        <f t="shared" si="7"/>
        <v>2019</v>
      </c>
    </row>
    <row r="231" spans="1:4" x14ac:dyDescent="0.25">
      <c r="A231" s="47">
        <v>43814</v>
      </c>
      <c r="B231" s="16">
        <v>2904407</v>
      </c>
      <c r="C231">
        <f t="shared" si="6"/>
        <v>12</v>
      </c>
      <c r="D231">
        <f t="shared" si="7"/>
        <v>2019</v>
      </c>
    </row>
    <row r="232" spans="1:4" x14ac:dyDescent="0.25">
      <c r="A232" s="47">
        <v>43845</v>
      </c>
      <c r="B232" s="16">
        <v>3030214</v>
      </c>
      <c r="C232">
        <f t="shared" si="6"/>
        <v>1</v>
      </c>
      <c r="D232">
        <f t="shared" si="7"/>
        <v>2020</v>
      </c>
    </row>
    <row r="233" spans="1:4" x14ac:dyDescent="0.25">
      <c r="A233" s="47">
        <v>43876</v>
      </c>
      <c r="B233" s="16">
        <v>2791073</v>
      </c>
      <c r="C233">
        <f t="shared" si="6"/>
        <v>2</v>
      </c>
      <c r="D233">
        <f t="shared" si="7"/>
        <v>2020</v>
      </c>
    </row>
    <row r="234" spans="1:4" x14ac:dyDescent="0.25">
      <c r="A234" s="47">
        <v>43905</v>
      </c>
      <c r="B234" s="16">
        <v>2458627</v>
      </c>
      <c r="C234">
        <f t="shared" si="6"/>
        <v>3</v>
      </c>
      <c r="D234">
        <f t="shared" si="7"/>
        <v>2020</v>
      </c>
    </row>
    <row r="235" spans="1:4" x14ac:dyDescent="0.25">
      <c r="A235" s="47">
        <v>43936</v>
      </c>
      <c r="B235" s="16">
        <v>2016963</v>
      </c>
      <c r="C235">
        <f t="shared" si="6"/>
        <v>4</v>
      </c>
      <c r="D235">
        <f t="shared" si="7"/>
        <v>2020</v>
      </c>
    </row>
    <row r="236" spans="1:4" x14ac:dyDescent="0.25">
      <c r="A236" s="47">
        <v>43966</v>
      </c>
      <c r="B236" s="16">
        <v>1853641</v>
      </c>
      <c r="C236">
        <f t="shared" si="6"/>
        <v>5</v>
      </c>
      <c r="D236">
        <f t="shared" si="7"/>
        <v>2020</v>
      </c>
    </row>
    <row r="237" spans="1:4" x14ac:dyDescent="0.25">
      <c r="A237" s="47">
        <v>43997</v>
      </c>
      <c r="B237" s="16">
        <v>1917632</v>
      </c>
      <c r="C237">
        <f t="shared" si="6"/>
        <v>6</v>
      </c>
      <c r="D237">
        <f t="shared" si="7"/>
        <v>2020</v>
      </c>
    </row>
    <row r="238" spans="1:4" x14ac:dyDescent="0.25">
      <c r="A238" s="47">
        <v>44027</v>
      </c>
      <c r="B238" s="16">
        <v>2256531</v>
      </c>
      <c r="C238">
        <f t="shared" si="6"/>
        <v>7</v>
      </c>
      <c r="D238">
        <f t="shared" si="7"/>
        <v>2020</v>
      </c>
    </row>
    <row r="239" spans="1:4" x14ac:dyDescent="0.25">
      <c r="A239" s="47">
        <v>44058</v>
      </c>
      <c r="B239" s="16">
        <v>2172105</v>
      </c>
      <c r="C239">
        <f t="shared" si="6"/>
        <v>8</v>
      </c>
      <c r="D239">
        <f t="shared" si="7"/>
        <v>2020</v>
      </c>
    </row>
    <row r="240" spans="1:4" x14ac:dyDescent="0.25">
      <c r="A240" s="47">
        <v>44089</v>
      </c>
      <c r="B240" s="16">
        <v>1955210</v>
      </c>
      <c r="C240">
        <f t="shared" si="6"/>
        <v>9</v>
      </c>
      <c r="D240">
        <f t="shared" si="7"/>
        <v>2020</v>
      </c>
    </row>
    <row r="241" spans="1:4" x14ac:dyDescent="0.25">
      <c r="A241" s="47">
        <v>44119</v>
      </c>
      <c r="B241" s="16">
        <v>2094617</v>
      </c>
      <c r="C241">
        <f t="shared" si="6"/>
        <v>10</v>
      </c>
      <c r="D241">
        <f t="shared" si="7"/>
        <v>2020</v>
      </c>
    </row>
    <row r="242" spans="1:4" x14ac:dyDescent="0.25">
      <c r="A242" s="47">
        <v>44150</v>
      </c>
      <c r="B242" s="16">
        <v>2205783</v>
      </c>
      <c r="C242">
        <f t="shared" si="6"/>
        <v>11</v>
      </c>
      <c r="D242">
        <f t="shared" si="7"/>
        <v>2020</v>
      </c>
    </row>
    <row r="243" spans="1:4" x14ac:dyDescent="0.25">
      <c r="A243" s="47">
        <v>44180</v>
      </c>
      <c r="B243" s="16">
        <v>2907979</v>
      </c>
      <c r="C243">
        <f t="shared" si="6"/>
        <v>12</v>
      </c>
      <c r="D243">
        <f t="shared" si="7"/>
        <v>2020</v>
      </c>
    </row>
    <row r="244" spans="1:4" x14ac:dyDescent="0.25">
      <c r="A244" s="47">
        <v>44211</v>
      </c>
      <c r="B244" s="16">
        <v>3028497</v>
      </c>
      <c r="C244">
        <f t="shared" si="6"/>
        <v>1</v>
      </c>
      <c r="D244">
        <f t="shared" si="7"/>
        <v>2021</v>
      </c>
    </row>
    <row r="245" spans="1:4" x14ac:dyDescent="0.25">
      <c r="A245" s="47">
        <v>44242</v>
      </c>
      <c r="B245" s="16">
        <v>2812349</v>
      </c>
      <c r="C245">
        <f t="shared" si="6"/>
        <v>2</v>
      </c>
      <c r="D245">
        <f t="shared" si="7"/>
        <v>2021</v>
      </c>
    </row>
    <row r="246" spans="1:4" x14ac:dyDescent="0.25">
      <c r="A246" s="47">
        <v>44270</v>
      </c>
      <c r="B246" s="16">
        <v>2375060</v>
      </c>
      <c r="C246">
        <f t="shared" si="6"/>
        <v>3</v>
      </c>
      <c r="D246">
        <f t="shared" si="7"/>
        <v>2021</v>
      </c>
    </row>
    <row r="247" spans="1:4" x14ac:dyDescent="0.25">
      <c r="A247" s="47">
        <v>44301</v>
      </c>
      <c r="B247" s="16">
        <v>2013135</v>
      </c>
      <c r="C247">
        <f t="shared" si="6"/>
        <v>4</v>
      </c>
      <c r="D247">
        <f t="shared" si="7"/>
        <v>2021</v>
      </c>
    </row>
    <row r="248" spans="1:4" x14ac:dyDescent="0.25">
      <c r="A248" s="47">
        <v>44331</v>
      </c>
      <c r="B248" s="16">
        <v>1868534</v>
      </c>
      <c r="C248">
        <f t="shared" si="6"/>
        <v>5</v>
      </c>
      <c r="D248">
        <f t="shared" si="7"/>
        <v>2021</v>
      </c>
    </row>
    <row r="249" spans="1:4" x14ac:dyDescent="0.25">
      <c r="A249" s="47">
        <v>44362</v>
      </c>
      <c r="B249" s="16">
        <v>1990375</v>
      </c>
      <c r="C249">
        <f t="shared" si="6"/>
        <v>6</v>
      </c>
      <c r="D249">
        <f t="shared" si="7"/>
        <v>2021</v>
      </c>
    </row>
    <row r="250" spans="1:4" x14ac:dyDescent="0.25">
      <c r="A250" s="47">
        <v>44392</v>
      </c>
      <c r="B250" s="16">
        <v>2151996</v>
      </c>
      <c r="C250">
        <f t="shared" si="6"/>
        <v>7</v>
      </c>
      <c r="D250">
        <f t="shared" si="7"/>
        <v>2021</v>
      </c>
    </row>
    <row r="251" spans="1:4" x14ac:dyDescent="0.25">
      <c r="A251" s="47">
        <v>44423</v>
      </c>
      <c r="B251" s="16">
        <v>2173083</v>
      </c>
      <c r="C251">
        <f t="shared" si="6"/>
        <v>8</v>
      </c>
      <c r="D251">
        <f t="shared" si="7"/>
        <v>2021</v>
      </c>
    </row>
    <row r="252" spans="1:4" x14ac:dyDescent="0.25">
      <c r="A252" s="47">
        <v>44454</v>
      </c>
      <c r="B252" s="16">
        <v>1888403</v>
      </c>
      <c r="C252">
        <f t="shared" si="6"/>
        <v>9</v>
      </c>
      <c r="D252">
        <f t="shared" si="7"/>
        <v>2021</v>
      </c>
    </row>
    <row r="253" spans="1:4" x14ac:dyDescent="0.25">
      <c r="A253" s="47">
        <v>44484</v>
      </c>
      <c r="B253" s="16">
        <v>2003258</v>
      </c>
      <c r="C253">
        <f t="shared" si="6"/>
        <v>10</v>
      </c>
      <c r="D253">
        <f t="shared" si="7"/>
        <v>2021</v>
      </c>
    </row>
    <row r="254" spans="1:4" x14ac:dyDescent="0.25">
      <c r="A254" s="47">
        <v>44515</v>
      </c>
      <c r="B254" s="16">
        <v>2414464</v>
      </c>
      <c r="C254">
        <f t="shared" si="6"/>
        <v>11</v>
      </c>
      <c r="D254">
        <f t="shared" si="7"/>
        <v>2021</v>
      </c>
    </row>
    <row r="255" spans="1:4" x14ac:dyDescent="0.25">
      <c r="A255" s="47">
        <v>44545</v>
      </c>
      <c r="B255" s="16">
        <v>2718349</v>
      </c>
      <c r="C255">
        <f t="shared" si="6"/>
        <v>12</v>
      </c>
      <c r="D255">
        <f t="shared" si="7"/>
        <v>2021</v>
      </c>
    </row>
    <row r="256" spans="1:4" x14ac:dyDescent="0.25">
      <c r="A256" s="47">
        <v>44576</v>
      </c>
      <c r="B256" s="16">
        <v>3314289</v>
      </c>
      <c r="C256">
        <f t="shared" si="6"/>
        <v>1</v>
      </c>
      <c r="D256">
        <f t="shared" si="7"/>
        <v>2022</v>
      </c>
    </row>
    <row r="257" spans="1:4" x14ac:dyDescent="0.25">
      <c r="A257" s="47">
        <v>44607</v>
      </c>
      <c r="B257" s="16">
        <v>2797164</v>
      </c>
      <c r="C257">
        <f t="shared" si="6"/>
        <v>2</v>
      </c>
      <c r="D257">
        <f t="shared" si="7"/>
        <v>2022</v>
      </c>
    </row>
  </sheetData>
  <hyperlinks>
    <hyperlink ref="A1" location="Contents!A1" display="Back to Contents" xr:uid="{84C0ECFC-3103-4F8C-927C-CB15D9E2E60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C24D-DE7A-433D-95B2-38FD7BC3C997}">
  <dimension ref="A1:B28"/>
  <sheetViews>
    <sheetView workbookViewId="0">
      <pane xSplit="1" ySplit="3" topLeftCell="B4" activePane="bottomRight" state="frozen"/>
      <selection pane="topRight"/>
      <selection pane="bottomLeft"/>
      <selection pane="bottomRight" activeCell="H15" sqref="H15"/>
    </sheetView>
  </sheetViews>
  <sheetFormatPr defaultColWidth="9.140625" defaultRowHeight="12.75" x14ac:dyDescent="0.2"/>
  <cols>
    <col min="1" max="1" width="15.140625" style="16" customWidth="1"/>
    <col min="2" max="2" width="19" style="16" customWidth="1"/>
    <col min="3" max="16384" width="9.140625" style="16"/>
  </cols>
  <sheetData>
    <row r="1" spans="1:2" ht="15.75" x14ac:dyDescent="0.25">
      <c r="A1" s="21" t="s">
        <v>1437</v>
      </c>
      <c r="B1" s="20" t="s">
        <v>1585</v>
      </c>
    </row>
    <row r="2" spans="1:2" x14ac:dyDescent="0.2">
      <c r="A2" s="19" t="s">
        <v>1439</v>
      </c>
      <c r="B2" s="19" t="s">
        <v>1584</v>
      </c>
    </row>
    <row r="3" spans="1:2" ht="51" x14ac:dyDescent="0.2">
      <c r="A3" s="18" t="s">
        <v>1455</v>
      </c>
      <c r="B3" s="18" t="s">
        <v>1583</v>
      </c>
    </row>
    <row r="4" spans="1:2" x14ac:dyDescent="0.2">
      <c r="A4" s="17">
        <v>35611</v>
      </c>
      <c r="B4" s="16">
        <v>2.4900000000000002</v>
      </c>
    </row>
    <row r="5" spans="1:2" x14ac:dyDescent="0.2">
      <c r="A5" s="17">
        <v>35976</v>
      </c>
      <c r="B5" s="16">
        <v>2.09</v>
      </c>
    </row>
    <row r="6" spans="1:2" x14ac:dyDescent="0.2">
      <c r="A6" s="17">
        <v>36341</v>
      </c>
      <c r="B6" s="16">
        <v>2.27</v>
      </c>
    </row>
    <row r="7" spans="1:2" x14ac:dyDescent="0.2">
      <c r="A7" s="17">
        <v>36707</v>
      </c>
      <c r="B7" s="16">
        <v>4.3099999999999996</v>
      </c>
    </row>
    <row r="8" spans="1:2" x14ac:dyDescent="0.2">
      <c r="A8" s="17">
        <v>37072</v>
      </c>
      <c r="B8" s="16">
        <v>3.96</v>
      </c>
    </row>
    <row r="9" spans="1:2" x14ac:dyDescent="0.2">
      <c r="A9" s="17">
        <v>37437</v>
      </c>
      <c r="B9" s="16">
        <v>3.38</v>
      </c>
    </row>
    <row r="10" spans="1:2" x14ac:dyDescent="0.2">
      <c r="A10" s="17">
        <v>37802</v>
      </c>
      <c r="B10" s="16">
        <v>5.47</v>
      </c>
    </row>
    <row r="11" spans="1:2" x14ac:dyDescent="0.2">
      <c r="A11" s="17">
        <v>38168</v>
      </c>
      <c r="B11" s="16">
        <v>5.89</v>
      </c>
    </row>
    <row r="12" spans="1:2" x14ac:dyDescent="0.2">
      <c r="A12" s="17">
        <v>38533</v>
      </c>
      <c r="B12" s="16">
        <v>8.69</v>
      </c>
    </row>
    <row r="13" spans="1:2" x14ac:dyDescent="0.2">
      <c r="A13" s="17">
        <v>38898</v>
      </c>
      <c r="B13" s="16">
        <v>6.73</v>
      </c>
    </row>
    <row r="14" spans="1:2" x14ac:dyDescent="0.2">
      <c r="A14" s="17">
        <v>39263</v>
      </c>
      <c r="B14" s="16">
        <v>6.97</v>
      </c>
    </row>
    <row r="15" spans="1:2" x14ac:dyDescent="0.2">
      <c r="A15" s="17">
        <v>39629</v>
      </c>
      <c r="B15" s="16">
        <v>8.86</v>
      </c>
    </row>
    <row r="16" spans="1:2" x14ac:dyDescent="0.2">
      <c r="A16" s="17">
        <v>39994</v>
      </c>
      <c r="B16" s="16">
        <v>3.94</v>
      </c>
    </row>
    <row r="17" spans="1:2" x14ac:dyDescent="0.2">
      <c r="A17" s="17">
        <v>40359</v>
      </c>
      <c r="B17" s="16">
        <v>4.37</v>
      </c>
    </row>
    <row r="18" spans="1:2" x14ac:dyDescent="0.2">
      <c r="A18" s="17">
        <v>40724</v>
      </c>
      <c r="B18" s="16">
        <v>4</v>
      </c>
    </row>
    <row r="19" spans="1:2" x14ac:dyDescent="0.2">
      <c r="A19" s="17">
        <v>41090</v>
      </c>
      <c r="B19" s="16">
        <v>2.75</v>
      </c>
    </row>
    <row r="20" spans="1:2" x14ac:dyDescent="0.2">
      <c r="A20" s="17">
        <v>41455</v>
      </c>
      <c r="B20" s="16">
        <v>3.73</v>
      </c>
    </row>
    <row r="21" spans="1:2" x14ac:dyDescent="0.2">
      <c r="A21" s="17">
        <v>41820</v>
      </c>
      <c r="B21" s="16">
        <v>4.37</v>
      </c>
    </row>
    <row r="22" spans="1:2" x14ac:dyDescent="0.2">
      <c r="A22" s="17">
        <v>42185</v>
      </c>
      <c r="B22" s="16">
        <v>2.62</v>
      </c>
    </row>
    <row r="23" spans="1:2" x14ac:dyDescent="0.2">
      <c r="A23" s="17">
        <v>42551</v>
      </c>
      <c r="B23" s="16">
        <v>2.52</v>
      </c>
    </row>
    <row r="24" spans="1:2" x14ac:dyDescent="0.2">
      <c r="A24" s="17">
        <v>42916</v>
      </c>
      <c r="B24" s="16">
        <v>2.99</v>
      </c>
    </row>
    <row r="25" spans="1:2" x14ac:dyDescent="0.2">
      <c r="A25" s="17">
        <v>43281</v>
      </c>
      <c r="B25" s="16">
        <v>3.15</v>
      </c>
    </row>
    <row r="26" spans="1:2" x14ac:dyDescent="0.2">
      <c r="A26" s="17">
        <v>43646</v>
      </c>
      <c r="B26" s="16">
        <v>2.56</v>
      </c>
    </row>
    <row r="27" spans="1:2" x14ac:dyDescent="0.2">
      <c r="A27" s="17">
        <v>44012</v>
      </c>
      <c r="B27" s="16">
        <v>2.0299999999999998</v>
      </c>
    </row>
    <row r="28" spans="1:2" x14ac:dyDescent="0.2">
      <c r="A28" s="17">
        <v>44377</v>
      </c>
      <c r="B28" s="16">
        <v>3.89</v>
      </c>
    </row>
  </sheetData>
  <hyperlinks>
    <hyperlink ref="A1" location="Contents!A1" display="Back to Contents" xr:uid="{D7D623A2-DE67-4CC4-8C0F-BBB178832206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E644-2B92-47DA-988A-0A3DC1E4B0CE}">
  <dimension ref="A1:V103"/>
  <sheetViews>
    <sheetView workbookViewId="0">
      <pane ySplit="3" topLeftCell="A4" activePane="bottomLeft" state="frozen"/>
      <selection pane="bottomLeft" activeCell="U83" sqref="U83"/>
    </sheetView>
  </sheetViews>
  <sheetFormatPr defaultColWidth="9.140625" defaultRowHeight="15" x14ac:dyDescent="0.25"/>
  <cols>
    <col min="1" max="1" width="15.140625" customWidth="1"/>
    <col min="2" max="5" width="19" hidden="1" customWidth="1"/>
    <col min="6" max="8" width="19" style="23" customWidth="1"/>
    <col min="9" max="18" width="19" hidden="1" customWidth="1"/>
    <col min="19" max="19" width="19" customWidth="1"/>
    <col min="257" max="257" width="15.140625" customWidth="1"/>
    <col min="258" max="275" width="19" customWidth="1"/>
    <col min="513" max="513" width="15.140625" customWidth="1"/>
    <col min="514" max="531" width="19" customWidth="1"/>
    <col min="769" max="769" width="15.140625" customWidth="1"/>
    <col min="770" max="787" width="19" customWidth="1"/>
    <col min="1025" max="1025" width="15.140625" customWidth="1"/>
    <col min="1026" max="1043" width="19" customWidth="1"/>
    <col min="1281" max="1281" width="15.140625" customWidth="1"/>
    <col min="1282" max="1299" width="19" customWidth="1"/>
    <col min="1537" max="1537" width="15.140625" customWidth="1"/>
    <col min="1538" max="1555" width="19" customWidth="1"/>
    <col min="1793" max="1793" width="15.140625" customWidth="1"/>
    <col min="1794" max="1811" width="19" customWidth="1"/>
    <col min="2049" max="2049" width="15.140625" customWidth="1"/>
    <col min="2050" max="2067" width="19" customWidth="1"/>
    <col min="2305" max="2305" width="15.140625" customWidth="1"/>
    <col min="2306" max="2323" width="19" customWidth="1"/>
    <col min="2561" max="2561" width="15.140625" customWidth="1"/>
    <col min="2562" max="2579" width="19" customWidth="1"/>
    <col min="2817" max="2817" width="15.140625" customWidth="1"/>
    <col min="2818" max="2835" width="19" customWidth="1"/>
    <col min="3073" max="3073" width="15.140625" customWidth="1"/>
    <col min="3074" max="3091" width="19" customWidth="1"/>
    <col min="3329" max="3329" width="15.140625" customWidth="1"/>
    <col min="3330" max="3347" width="19" customWidth="1"/>
    <col min="3585" max="3585" width="15.140625" customWidth="1"/>
    <col min="3586" max="3603" width="19" customWidth="1"/>
    <col min="3841" max="3841" width="15.140625" customWidth="1"/>
    <col min="3842" max="3859" width="19" customWidth="1"/>
    <col min="4097" max="4097" width="15.140625" customWidth="1"/>
    <col min="4098" max="4115" width="19" customWidth="1"/>
    <col min="4353" max="4353" width="15.140625" customWidth="1"/>
    <col min="4354" max="4371" width="19" customWidth="1"/>
    <col min="4609" max="4609" width="15.140625" customWidth="1"/>
    <col min="4610" max="4627" width="19" customWidth="1"/>
    <col min="4865" max="4865" width="15.140625" customWidth="1"/>
    <col min="4866" max="4883" width="19" customWidth="1"/>
    <col min="5121" max="5121" width="15.140625" customWidth="1"/>
    <col min="5122" max="5139" width="19" customWidth="1"/>
    <col min="5377" max="5377" width="15.140625" customWidth="1"/>
    <col min="5378" max="5395" width="19" customWidth="1"/>
    <col min="5633" max="5633" width="15.140625" customWidth="1"/>
    <col min="5634" max="5651" width="19" customWidth="1"/>
    <col min="5889" max="5889" width="15.140625" customWidth="1"/>
    <col min="5890" max="5907" width="19" customWidth="1"/>
    <col min="6145" max="6145" width="15.140625" customWidth="1"/>
    <col min="6146" max="6163" width="19" customWidth="1"/>
    <col min="6401" max="6401" width="15.140625" customWidth="1"/>
    <col min="6402" max="6419" width="19" customWidth="1"/>
    <col min="6657" max="6657" width="15.140625" customWidth="1"/>
    <col min="6658" max="6675" width="19" customWidth="1"/>
    <col min="6913" max="6913" width="15.140625" customWidth="1"/>
    <col min="6914" max="6931" width="19" customWidth="1"/>
    <col min="7169" max="7169" width="15.140625" customWidth="1"/>
    <col min="7170" max="7187" width="19" customWidth="1"/>
    <col min="7425" max="7425" width="15.140625" customWidth="1"/>
    <col min="7426" max="7443" width="19" customWidth="1"/>
    <col min="7681" max="7681" width="15.140625" customWidth="1"/>
    <col min="7682" max="7699" width="19" customWidth="1"/>
    <col min="7937" max="7937" width="15.140625" customWidth="1"/>
    <col min="7938" max="7955" width="19" customWidth="1"/>
    <col min="8193" max="8193" width="15.140625" customWidth="1"/>
    <col min="8194" max="8211" width="19" customWidth="1"/>
    <col min="8449" max="8449" width="15.140625" customWidth="1"/>
    <col min="8450" max="8467" width="19" customWidth="1"/>
    <col min="8705" max="8705" width="15.140625" customWidth="1"/>
    <col min="8706" max="8723" width="19" customWidth="1"/>
    <col min="8961" max="8961" width="15.140625" customWidth="1"/>
    <col min="8962" max="8979" width="19" customWidth="1"/>
    <col min="9217" max="9217" width="15.140625" customWidth="1"/>
    <col min="9218" max="9235" width="19" customWidth="1"/>
    <col min="9473" max="9473" width="15.140625" customWidth="1"/>
    <col min="9474" max="9491" width="19" customWidth="1"/>
    <col min="9729" max="9729" width="15.140625" customWidth="1"/>
    <col min="9730" max="9747" width="19" customWidth="1"/>
    <col min="9985" max="9985" width="15.140625" customWidth="1"/>
    <col min="9986" max="10003" width="19" customWidth="1"/>
    <col min="10241" max="10241" width="15.140625" customWidth="1"/>
    <col min="10242" max="10259" width="19" customWidth="1"/>
    <col min="10497" max="10497" width="15.140625" customWidth="1"/>
    <col min="10498" max="10515" width="19" customWidth="1"/>
    <col min="10753" max="10753" width="15.140625" customWidth="1"/>
    <col min="10754" max="10771" width="19" customWidth="1"/>
    <col min="11009" max="11009" width="15.140625" customWidth="1"/>
    <col min="11010" max="11027" width="19" customWidth="1"/>
    <col min="11265" max="11265" width="15.140625" customWidth="1"/>
    <col min="11266" max="11283" width="19" customWidth="1"/>
    <col min="11521" max="11521" width="15.140625" customWidth="1"/>
    <col min="11522" max="11539" width="19" customWidth="1"/>
    <col min="11777" max="11777" width="15.140625" customWidth="1"/>
    <col min="11778" max="11795" width="19" customWidth="1"/>
    <col min="12033" max="12033" width="15.140625" customWidth="1"/>
    <col min="12034" max="12051" width="19" customWidth="1"/>
    <col min="12289" max="12289" width="15.140625" customWidth="1"/>
    <col min="12290" max="12307" width="19" customWidth="1"/>
    <col min="12545" max="12545" width="15.140625" customWidth="1"/>
    <col min="12546" max="12563" width="19" customWidth="1"/>
    <col min="12801" max="12801" width="15.140625" customWidth="1"/>
    <col min="12802" max="12819" width="19" customWidth="1"/>
    <col min="13057" max="13057" width="15.140625" customWidth="1"/>
    <col min="13058" max="13075" width="19" customWidth="1"/>
    <col min="13313" max="13313" width="15.140625" customWidth="1"/>
    <col min="13314" max="13331" width="19" customWidth="1"/>
    <col min="13569" max="13569" width="15.140625" customWidth="1"/>
    <col min="13570" max="13587" width="19" customWidth="1"/>
    <col min="13825" max="13825" width="15.140625" customWidth="1"/>
    <col min="13826" max="13843" width="19" customWidth="1"/>
    <col min="14081" max="14081" width="15.140625" customWidth="1"/>
    <col min="14082" max="14099" width="19" customWidth="1"/>
    <col min="14337" max="14337" width="15.140625" customWidth="1"/>
    <col min="14338" max="14355" width="19" customWidth="1"/>
    <col min="14593" max="14593" width="15.140625" customWidth="1"/>
    <col min="14594" max="14611" width="19" customWidth="1"/>
    <col min="14849" max="14849" width="15.140625" customWidth="1"/>
    <col min="14850" max="14867" width="19" customWidth="1"/>
    <col min="15105" max="15105" width="15.140625" customWidth="1"/>
    <col min="15106" max="15123" width="19" customWidth="1"/>
    <col min="15361" max="15361" width="15.140625" customWidth="1"/>
    <col min="15362" max="15379" width="19" customWidth="1"/>
    <col min="15617" max="15617" width="15.140625" customWidth="1"/>
    <col min="15618" max="15635" width="19" customWidth="1"/>
    <col min="15873" max="15873" width="15.140625" customWidth="1"/>
    <col min="15874" max="15891" width="19" customWidth="1"/>
    <col min="16129" max="16129" width="15.140625" customWidth="1"/>
    <col min="16130" max="16147" width="19" customWidth="1"/>
  </cols>
  <sheetData>
    <row r="1" spans="1:22" ht="15.75" x14ac:dyDescent="0.25">
      <c r="A1" s="41" t="s">
        <v>1437</v>
      </c>
      <c r="B1" s="40" t="s">
        <v>1438</v>
      </c>
      <c r="U1" t="s">
        <v>1600</v>
      </c>
    </row>
    <row r="2" spans="1:22" x14ac:dyDescent="0.25">
      <c r="A2" s="39" t="s">
        <v>1439</v>
      </c>
      <c r="B2" s="38" t="s">
        <v>1440</v>
      </c>
      <c r="C2" s="38" t="s">
        <v>1441</v>
      </c>
      <c r="D2" s="38" t="s">
        <v>1442</v>
      </c>
      <c r="E2" s="38" t="s">
        <v>1443</v>
      </c>
      <c r="F2" s="42" t="s">
        <v>1444</v>
      </c>
      <c r="G2" s="42" t="s">
        <v>1445</v>
      </c>
      <c r="H2" s="42" t="s">
        <v>1446</v>
      </c>
      <c r="I2" s="38" t="s">
        <v>1604</v>
      </c>
      <c r="J2" s="38" t="s">
        <v>1447</v>
      </c>
      <c r="K2" s="38" t="s">
        <v>1448</v>
      </c>
      <c r="L2" s="38" t="s">
        <v>1449</v>
      </c>
      <c r="M2" s="38" t="s">
        <v>1450</v>
      </c>
      <c r="N2" s="38" t="s">
        <v>1451</v>
      </c>
      <c r="O2" s="38" t="s">
        <v>1452</v>
      </c>
      <c r="P2" s="38" t="s">
        <v>1453</v>
      </c>
      <c r="Q2" s="38" t="s">
        <v>1603</v>
      </c>
      <c r="R2" s="38" t="s">
        <v>1454</v>
      </c>
      <c r="S2" s="38"/>
      <c r="U2" t="s">
        <v>1561</v>
      </c>
      <c r="V2" t="s">
        <v>1599</v>
      </c>
    </row>
    <row r="3" spans="1:22" ht="90" x14ac:dyDescent="0.25">
      <c r="A3" s="37" t="s">
        <v>1455</v>
      </c>
      <c r="B3" s="36" t="s">
        <v>1456</v>
      </c>
      <c r="C3" s="36" t="s">
        <v>1457</v>
      </c>
      <c r="D3" s="36" t="s">
        <v>1458</v>
      </c>
      <c r="E3" s="36" t="s">
        <v>1459</v>
      </c>
      <c r="F3" s="43" t="s">
        <v>1460</v>
      </c>
      <c r="G3" s="43" t="s">
        <v>1461</v>
      </c>
      <c r="H3" s="43" t="s">
        <v>1462</v>
      </c>
      <c r="I3" s="36" t="s">
        <v>1602</v>
      </c>
      <c r="J3" s="36" t="s">
        <v>1463</v>
      </c>
      <c r="K3" s="36" t="s">
        <v>1464</v>
      </c>
      <c r="L3" s="36" t="s">
        <v>1465</v>
      </c>
      <c r="M3" s="36" t="s">
        <v>1466</v>
      </c>
      <c r="N3" s="36" t="s">
        <v>1467</v>
      </c>
      <c r="O3" s="36" t="s">
        <v>1468</v>
      </c>
      <c r="P3" s="36" t="s">
        <v>1469</v>
      </c>
      <c r="Q3" s="36" t="s">
        <v>1601</v>
      </c>
      <c r="R3" s="36" t="s">
        <v>1470</v>
      </c>
      <c r="S3" s="36" t="s">
        <v>30</v>
      </c>
      <c r="U3" s="29" t="s">
        <v>1598</v>
      </c>
      <c r="V3" s="29" t="s">
        <v>1598</v>
      </c>
    </row>
    <row r="4" spans="1:22" hidden="1" x14ac:dyDescent="0.25">
      <c r="A4" s="17">
        <v>8217</v>
      </c>
      <c r="B4" s="16">
        <v>0.11</v>
      </c>
      <c r="C4" s="16"/>
      <c r="D4" s="16"/>
      <c r="E4" s="16"/>
      <c r="F4" s="30"/>
      <c r="G4" s="30"/>
      <c r="H4" s="30"/>
      <c r="I4" s="16"/>
      <c r="J4" s="16"/>
      <c r="K4" s="16"/>
      <c r="L4" s="16"/>
      <c r="M4" s="16"/>
      <c r="N4" s="16"/>
      <c r="O4" s="16"/>
      <c r="P4" s="16"/>
      <c r="Q4" s="16"/>
      <c r="R4" s="16"/>
      <c r="S4">
        <f t="shared" ref="S4:S35" si="0">YEAR(A4)</f>
        <v>1922</v>
      </c>
    </row>
    <row r="5" spans="1:22" hidden="1" x14ac:dyDescent="0.25">
      <c r="A5" s="17">
        <v>8582</v>
      </c>
      <c r="B5" s="16">
        <v>0.1</v>
      </c>
      <c r="C5" s="16"/>
      <c r="D5" s="16"/>
      <c r="E5" s="16"/>
      <c r="F5" s="30"/>
      <c r="G5" s="30"/>
      <c r="H5" s="30"/>
      <c r="I5" s="16"/>
      <c r="J5" s="16"/>
      <c r="K5" s="16"/>
      <c r="L5" s="16"/>
      <c r="M5" s="16"/>
      <c r="N5" s="16"/>
      <c r="O5" s="16"/>
      <c r="P5" s="16"/>
      <c r="Q5" s="16"/>
      <c r="R5" s="16"/>
      <c r="S5">
        <f t="shared" si="0"/>
        <v>1923</v>
      </c>
    </row>
    <row r="6" spans="1:22" hidden="1" x14ac:dyDescent="0.25">
      <c r="A6" s="17">
        <v>8948</v>
      </c>
      <c r="B6" s="16">
        <v>0.09</v>
      </c>
      <c r="C6" s="16"/>
      <c r="D6" s="16"/>
      <c r="E6" s="16"/>
      <c r="F6" s="30"/>
      <c r="G6" s="30"/>
      <c r="H6" s="30"/>
      <c r="I6" s="16"/>
      <c r="J6" s="16"/>
      <c r="K6" s="16"/>
      <c r="L6" s="16"/>
      <c r="M6" s="16"/>
      <c r="N6" s="16"/>
      <c r="O6" s="16"/>
      <c r="P6" s="16"/>
      <c r="Q6" s="16"/>
      <c r="R6" s="16"/>
      <c r="S6">
        <f t="shared" si="0"/>
        <v>1924</v>
      </c>
    </row>
    <row r="7" spans="1:22" hidden="1" x14ac:dyDescent="0.25">
      <c r="A7" s="17">
        <v>9313</v>
      </c>
      <c r="B7" s="16">
        <v>0.09</v>
      </c>
      <c r="C7" s="16"/>
      <c r="D7" s="16"/>
      <c r="E7" s="16"/>
      <c r="F7" s="30"/>
      <c r="G7" s="30"/>
      <c r="H7" s="30"/>
      <c r="I7" s="16"/>
      <c r="J7" s="16"/>
      <c r="K7" s="16"/>
      <c r="L7" s="16"/>
      <c r="M7" s="16"/>
      <c r="N7" s="16"/>
      <c r="O7" s="16"/>
      <c r="P7" s="16"/>
      <c r="Q7" s="16"/>
      <c r="R7" s="16"/>
      <c r="S7">
        <f t="shared" si="0"/>
        <v>1925</v>
      </c>
    </row>
    <row r="8" spans="1:22" hidden="1" x14ac:dyDescent="0.25">
      <c r="A8" s="17">
        <v>9678</v>
      </c>
      <c r="B8" s="16">
        <v>0.1</v>
      </c>
      <c r="C8" s="16"/>
      <c r="D8" s="16"/>
      <c r="E8" s="16"/>
      <c r="F8" s="30"/>
      <c r="G8" s="30"/>
      <c r="H8" s="30"/>
      <c r="I8" s="16"/>
      <c r="J8" s="16"/>
      <c r="K8" s="16"/>
      <c r="L8" s="16"/>
      <c r="M8" s="16"/>
      <c r="N8" s="16"/>
      <c r="O8" s="16"/>
      <c r="P8" s="16"/>
      <c r="Q8" s="16"/>
      <c r="R8" s="16"/>
      <c r="S8">
        <f t="shared" si="0"/>
        <v>1926</v>
      </c>
    </row>
    <row r="9" spans="1:22" hidden="1" x14ac:dyDescent="0.25">
      <c r="A9" s="17">
        <v>10043</v>
      </c>
      <c r="B9" s="16">
        <v>0.09</v>
      </c>
      <c r="C9" s="16"/>
      <c r="D9" s="16"/>
      <c r="E9" s="16"/>
      <c r="F9" s="30"/>
      <c r="G9" s="30"/>
      <c r="H9" s="30"/>
      <c r="I9" s="16"/>
      <c r="J9" s="16"/>
      <c r="K9" s="16"/>
      <c r="L9" s="16"/>
      <c r="M9" s="16"/>
      <c r="N9" s="16"/>
      <c r="O9" s="16"/>
      <c r="P9" s="16"/>
      <c r="Q9" s="16"/>
      <c r="R9" s="16"/>
      <c r="S9">
        <f t="shared" si="0"/>
        <v>1927</v>
      </c>
    </row>
    <row r="10" spans="1:22" hidden="1" x14ac:dyDescent="0.25">
      <c r="A10" s="17">
        <v>10409</v>
      </c>
      <c r="B10" s="16">
        <v>0.09</v>
      </c>
      <c r="C10" s="16"/>
      <c r="D10" s="16"/>
      <c r="E10" s="16"/>
      <c r="F10" s="30"/>
      <c r="G10" s="30"/>
      <c r="H10" s="30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>
        <f t="shared" si="0"/>
        <v>1928</v>
      </c>
    </row>
    <row r="11" spans="1:22" hidden="1" x14ac:dyDescent="0.25">
      <c r="A11" s="17">
        <v>10774</v>
      </c>
      <c r="B11" s="16">
        <v>0.08</v>
      </c>
      <c r="C11" s="16"/>
      <c r="D11" s="16"/>
      <c r="E11" s="16"/>
      <c r="F11" s="30"/>
      <c r="G11" s="30"/>
      <c r="H11" s="30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>
        <f t="shared" si="0"/>
        <v>1929</v>
      </c>
    </row>
    <row r="12" spans="1:22" hidden="1" x14ac:dyDescent="0.25">
      <c r="A12" s="17">
        <v>11139</v>
      </c>
      <c r="B12" s="16">
        <v>0.08</v>
      </c>
      <c r="C12" s="16"/>
      <c r="D12" s="16"/>
      <c r="E12" s="16"/>
      <c r="F12" s="30"/>
      <c r="G12" s="30"/>
      <c r="H12" s="30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>
        <f t="shared" si="0"/>
        <v>1930</v>
      </c>
    </row>
    <row r="13" spans="1:22" hidden="1" x14ac:dyDescent="0.25">
      <c r="A13" s="17">
        <v>11504</v>
      </c>
      <c r="B13" s="16">
        <v>7.0000000000000007E-2</v>
      </c>
      <c r="C13" s="16"/>
      <c r="D13" s="16"/>
      <c r="E13" s="16"/>
      <c r="F13" s="30"/>
      <c r="G13" s="30"/>
      <c r="H13" s="30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>
        <f t="shared" si="0"/>
        <v>1931</v>
      </c>
    </row>
    <row r="14" spans="1:22" hidden="1" x14ac:dyDescent="0.25">
      <c r="A14" s="17">
        <v>11870</v>
      </c>
      <c r="B14" s="16">
        <v>0.06</v>
      </c>
      <c r="C14" s="16"/>
      <c r="D14" s="16"/>
      <c r="E14" s="16"/>
      <c r="F14" s="30"/>
      <c r="G14" s="30"/>
      <c r="H14" s="30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>
        <f t="shared" si="0"/>
        <v>1932</v>
      </c>
    </row>
    <row r="15" spans="1:22" hidden="1" x14ac:dyDescent="0.25">
      <c r="A15" s="17">
        <v>12235</v>
      </c>
      <c r="B15" s="16">
        <v>0.06</v>
      </c>
      <c r="C15" s="16"/>
      <c r="D15" s="16"/>
      <c r="E15" s="16"/>
      <c r="F15" s="30"/>
      <c r="G15" s="30"/>
      <c r="H15" s="3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>
        <f t="shared" si="0"/>
        <v>1933</v>
      </c>
    </row>
    <row r="16" spans="1:22" hidden="1" x14ac:dyDescent="0.25">
      <c r="A16" s="17">
        <v>12600</v>
      </c>
      <c r="B16" s="16">
        <v>0.06</v>
      </c>
      <c r="C16" s="16"/>
      <c r="D16" s="16"/>
      <c r="E16" s="16"/>
      <c r="F16" s="30"/>
      <c r="G16" s="30"/>
      <c r="H16" s="30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>
        <f t="shared" si="0"/>
        <v>1934</v>
      </c>
    </row>
    <row r="17" spans="1:19" hidden="1" x14ac:dyDescent="0.25">
      <c r="A17" s="17">
        <v>12965</v>
      </c>
      <c r="B17" s="16">
        <v>0.06</v>
      </c>
      <c r="S17">
        <f t="shared" si="0"/>
        <v>1935</v>
      </c>
    </row>
    <row r="18" spans="1:19" hidden="1" x14ac:dyDescent="0.25">
      <c r="A18" s="17">
        <v>13331</v>
      </c>
      <c r="B18" s="16">
        <v>0.06</v>
      </c>
      <c r="S18">
        <f t="shared" si="0"/>
        <v>1936</v>
      </c>
    </row>
    <row r="19" spans="1:19" hidden="1" x14ac:dyDescent="0.25">
      <c r="A19" s="17">
        <v>13696</v>
      </c>
      <c r="B19" s="16">
        <v>0.05</v>
      </c>
      <c r="S19">
        <f t="shared" si="0"/>
        <v>1937</v>
      </c>
    </row>
    <row r="20" spans="1:19" hidden="1" x14ac:dyDescent="0.25">
      <c r="A20" s="17">
        <v>14061</v>
      </c>
      <c r="B20" s="16">
        <v>0.05</v>
      </c>
      <c r="S20">
        <f t="shared" si="0"/>
        <v>1938</v>
      </c>
    </row>
    <row r="21" spans="1:19" hidden="1" x14ac:dyDescent="0.25">
      <c r="A21" s="17">
        <v>14426</v>
      </c>
      <c r="B21" s="16">
        <v>0.05</v>
      </c>
      <c r="S21">
        <f t="shared" si="0"/>
        <v>1939</v>
      </c>
    </row>
    <row r="22" spans="1:19" hidden="1" x14ac:dyDescent="0.25">
      <c r="A22" s="17">
        <v>14792</v>
      </c>
      <c r="B22" s="16">
        <v>0.05</v>
      </c>
      <c r="S22">
        <f t="shared" si="0"/>
        <v>1940</v>
      </c>
    </row>
    <row r="23" spans="1:19" hidden="1" x14ac:dyDescent="0.25">
      <c r="A23" s="17">
        <v>15157</v>
      </c>
      <c r="B23" s="16">
        <v>0.05</v>
      </c>
      <c r="S23">
        <f t="shared" si="0"/>
        <v>1941</v>
      </c>
    </row>
    <row r="24" spans="1:19" hidden="1" x14ac:dyDescent="0.25">
      <c r="A24" s="17">
        <v>15522</v>
      </c>
      <c r="B24" s="16">
        <v>0.05</v>
      </c>
      <c r="S24">
        <f t="shared" si="0"/>
        <v>1942</v>
      </c>
    </row>
    <row r="25" spans="1:19" hidden="1" x14ac:dyDescent="0.25">
      <c r="A25" s="17">
        <v>15887</v>
      </c>
      <c r="B25" s="16">
        <v>0.05</v>
      </c>
      <c r="S25">
        <f t="shared" si="0"/>
        <v>1943</v>
      </c>
    </row>
    <row r="26" spans="1:19" hidden="1" x14ac:dyDescent="0.25">
      <c r="A26" s="17">
        <v>16253</v>
      </c>
      <c r="B26" s="16">
        <v>0.05</v>
      </c>
      <c r="S26">
        <f t="shared" si="0"/>
        <v>1944</v>
      </c>
    </row>
    <row r="27" spans="1:19" hidden="1" x14ac:dyDescent="0.25">
      <c r="A27" s="17">
        <v>16618</v>
      </c>
      <c r="B27" s="16">
        <v>0.05</v>
      </c>
      <c r="S27">
        <f t="shared" si="0"/>
        <v>1945</v>
      </c>
    </row>
    <row r="28" spans="1:19" hidden="1" x14ac:dyDescent="0.25">
      <c r="A28" s="17">
        <v>16983</v>
      </c>
      <c r="B28" s="16">
        <v>0.05</v>
      </c>
      <c r="S28">
        <f t="shared" si="0"/>
        <v>1946</v>
      </c>
    </row>
    <row r="29" spans="1:19" hidden="1" x14ac:dyDescent="0.25">
      <c r="A29" s="17">
        <v>17348</v>
      </c>
      <c r="B29" s="16">
        <v>0.06</v>
      </c>
      <c r="S29">
        <f t="shared" si="0"/>
        <v>1947</v>
      </c>
    </row>
    <row r="30" spans="1:19" hidden="1" x14ac:dyDescent="0.25">
      <c r="A30" s="17">
        <v>17714</v>
      </c>
      <c r="B30" s="16">
        <v>7.0000000000000007E-2</v>
      </c>
      <c r="S30">
        <f t="shared" si="0"/>
        <v>1948</v>
      </c>
    </row>
    <row r="31" spans="1:19" hidden="1" x14ac:dyDescent="0.25">
      <c r="A31" s="17">
        <v>18079</v>
      </c>
      <c r="B31" s="16">
        <v>0.06</v>
      </c>
      <c r="S31">
        <f t="shared" si="0"/>
        <v>1949</v>
      </c>
    </row>
    <row r="32" spans="1:19" hidden="1" x14ac:dyDescent="0.25">
      <c r="A32" s="17">
        <v>18444</v>
      </c>
      <c r="B32" s="16">
        <v>7.0000000000000007E-2</v>
      </c>
      <c r="S32">
        <f t="shared" si="0"/>
        <v>1950</v>
      </c>
    </row>
    <row r="33" spans="1:19" hidden="1" x14ac:dyDescent="0.25">
      <c r="A33" s="17">
        <v>18809</v>
      </c>
      <c r="B33" s="16">
        <v>7.0000000000000007E-2</v>
      </c>
      <c r="S33">
        <f t="shared" si="0"/>
        <v>1951</v>
      </c>
    </row>
    <row r="34" spans="1:19" hidden="1" x14ac:dyDescent="0.25">
      <c r="A34" s="17">
        <v>19175</v>
      </c>
      <c r="B34" s="16">
        <v>0.08</v>
      </c>
      <c r="S34">
        <f t="shared" si="0"/>
        <v>1952</v>
      </c>
    </row>
    <row r="35" spans="1:19" hidden="1" x14ac:dyDescent="0.25">
      <c r="A35" s="17">
        <v>19540</v>
      </c>
      <c r="B35" s="16">
        <v>0.09</v>
      </c>
      <c r="S35">
        <f t="shared" si="0"/>
        <v>1953</v>
      </c>
    </row>
    <row r="36" spans="1:19" hidden="1" x14ac:dyDescent="0.25">
      <c r="A36" s="17">
        <v>19905</v>
      </c>
      <c r="B36" s="16">
        <v>0.1</v>
      </c>
      <c r="S36">
        <f t="shared" ref="S36:S67" si="1">YEAR(A36)</f>
        <v>1954</v>
      </c>
    </row>
    <row r="37" spans="1:19" hidden="1" x14ac:dyDescent="0.25">
      <c r="A37" s="17">
        <v>20270</v>
      </c>
      <c r="B37" s="16">
        <v>0.1</v>
      </c>
      <c r="S37">
        <f t="shared" si="1"/>
        <v>1955</v>
      </c>
    </row>
    <row r="38" spans="1:19" hidden="1" x14ac:dyDescent="0.25">
      <c r="A38" s="17">
        <v>20636</v>
      </c>
      <c r="B38" s="16">
        <v>0.11</v>
      </c>
      <c r="S38">
        <f t="shared" si="1"/>
        <v>1956</v>
      </c>
    </row>
    <row r="39" spans="1:19" hidden="1" x14ac:dyDescent="0.25">
      <c r="A39" s="17">
        <v>21001</v>
      </c>
      <c r="B39" s="16">
        <v>0.11</v>
      </c>
      <c r="S39">
        <f t="shared" si="1"/>
        <v>1957</v>
      </c>
    </row>
    <row r="40" spans="1:19" hidden="1" x14ac:dyDescent="0.25">
      <c r="A40" s="17">
        <v>21366</v>
      </c>
      <c r="B40" s="16">
        <v>0.12</v>
      </c>
      <c r="S40">
        <f t="shared" si="1"/>
        <v>1958</v>
      </c>
    </row>
    <row r="41" spans="1:19" hidden="1" x14ac:dyDescent="0.25">
      <c r="A41" s="17">
        <v>21731</v>
      </c>
      <c r="B41" s="16">
        <v>0.13</v>
      </c>
      <c r="S41">
        <f t="shared" si="1"/>
        <v>1959</v>
      </c>
    </row>
    <row r="42" spans="1:19" hidden="1" x14ac:dyDescent="0.25">
      <c r="A42" s="17">
        <v>22097</v>
      </c>
      <c r="B42" s="16">
        <v>0.14000000000000001</v>
      </c>
      <c r="S42">
        <f t="shared" si="1"/>
        <v>1960</v>
      </c>
    </row>
    <row r="43" spans="1:19" hidden="1" x14ac:dyDescent="0.25">
      <c r="A43" s="17">
        <v>22462</v>
      </c>
      <c r="B43" s="16">
        <v>0.15</v>
      </c>
      <c r="S43">
        <f t="shared" si="1"/>
        <v>1961</v>
      </c>
    </row>
    <row r="44" spans="1:19" hidden="1" x14ac:dyDescent="0.25">
      <c r="A44" s="17">
        <v>22827</v>
      </c>
      <c r="B44" s="16">
        <v>0.16</v>
      </c>
      <c r="S44">
        <f t="shared" si="1"/>
        <v>1962</v>
      </c>
    </row>
    <row r="45" spans="1:19" hidden="1" x14ac:dyDescent="0.25">
      <c r="A45" s="17">
        <v>23192</v>
      </c>
      <c r="B45" s="16">
        <v>0.16</v>
      </c>
      <c r="S45">
        <f t="shared" si="1"/>
        <v>1963</v>
      </c>
    </row>
    <row r="46" spans="1:19" hidden="1" x14ac:dyDescent="0.25">
      <c r="A46" s="17">
        <v>23558</v>
      </c>
      <c r="B46" s="16">
        <v>0.15</v>
      </c>
      <c r="S46">
        <f t="shared" si="1"/>
        <v>1964</v>
      </c>
    </row>
    <row r="47" spans="1:19" hidden="1" x14ac:dyDescent="0.25">
      <c r="A47" s="17">
        <v>23923</v>
      </c>
      <c r="B47" s="16">
        <v>0.16</v>
      </c>
      <c r="S47">
        <f t="shared" si="1"/>
        <v>1965</v>
      </c>
    </row>
    <row r="48" spans="1:19" hidden="1" x14ac:dyDescent="0.25">
      <c r="A48" s="17">
        <v>24288</v>
      </c>
      <c r="B48" s="16">
        <v>0.16</v>
      </c>
      <c r="S48">
        <f t="shared" si="1"/>
        <v>1966</v>
      </c>
    </row>
    <row r="49" spans="1:19" hidden="1" x14ac:dyDescent="0.25">
      <c r="A49" s="17">
        <v>24653</v>
      </c>
      <c r="B49" s="16">
        <v>0.16</v>
      </c>
      <c r="C49" s="16"/>
      <c r="D49" s="16"/>
      <c r="E49" s="16"/>
      <c r="F49" s="30"/>
      <c r="G49" s="30"/>
      <c r="H49" s="30"/>
      <c r="I49" s="16">
        <v>0.2</v>
      </c>
      <c r="J49" s="16"/>
      <c r="K49" s="16">
        <v>1.04</v>
      </c>
      <c r="L49" s="16"/>
      <c r="M49" s="16">
        <v>0.74</v>
      </c>
      <c r="S49">
        <f t="shared" si="1"/>
        <v>1967</v>
      </c>
    </row>
    <row r="50" spans="1:19" hidden="1" x14ac:dyDescent="0.25">
      <c r="A50" s="17">
        <v>25019</v>
      </c>
      <c r="B50" s="16">
        <v>0.16</v>
      </c>
      <c r="C50" s="16"/>
      <c r="D50" s="16"/>
      <c r="E50" s="16"/>
      <c r="F50" s="30"/>
      <c r="G50" s="30"/>
      <c r="H50" s="30"/>
      <c r="I50" s="16">
        <v>0.2</v>
      </c>
      <c r="J50" s="16"/>
      <c r="K50" s="16">
        <v>1.04</v>
      </c>
      <c r="L50" s="16"/>
      <c r="M50" s="16">
        <v>0.73</v>
      </c>
      <c r="S50">
        <f t="shared" si="1"/>
        <v>1968</v>
      </c>
    </row>
    <row r="51" spans="1:19" hidden="1" x14ac:dyDescent="0.25">
      <c r="A51" s="17">
        <v>25384</v>
      </c>
      <c r="B51" s="16">
        <v>0.17</v>
      </c>
      <c r="C51" s="16"/>
      <c r="D51" s="16"/>
      <c r="E51" s="16"/>
      <c r="F51" s="30"/>
      <c r="G51" s="30"/>
      <c r="H51" s="30"/>
      <c r="I51" s="16">
        <v>0.21</v>
      </c>
      <c r="J51" s="16"/>
      <c r="K51" s="16">
        <v>1.05</v>
      </c>
      <c r="L51" s="16"/>
      <c r="M51" s="16">
        <v>0.74</v>
      </c>
      <c r="S51">
        <f t="shared" si="1"/>
        <v>1969</v>
      </c>
    </row>
    <row r="52" spans="1:19" hidden="1" x14ac:dyDescent="0.25">
      <c r="A52" s="17">
        <v>25749</v>
      </c>
      <c r="B52" s="16">
        <v>0.17</v>
      </c>
      <c r="C52" s="16"/>
      <c r="D52" s="16"/>
      <c r="E52" s="16"/>
      <c r="F52" s="30"/>
      <c r="G52" s="30"/>
      <c r="H52" s="30"/>
      <c r="I52" s="16">
        <v>0.21</v>
      </c>
      <c r="J52" s="16"/>
      <c r="K52" s="16">
        <v>1.0900000000000001</v>
      </c>
      <c r="L52" s="16"/>
      <c r="M52" s="16">
        <v>0.77</v>
      </c>
      <c r="S52">
        <f t="shared" si="1"/>
        <v>1970</v>
      </c>
    </row>
    <row r="53" spans="1:19" hidden="1" x14ac:dyDescent="0.25">
      <c r="A53" s="17">
        <v>26114</v>
      </c>
      <c r="B53" s="16">
        <v>0.18</v>
      </c>
      <c r="C53" s="16"/>
      <c r="D53" s="16"/>
      <c r="E53" s="16"/>
      <c r="F53" s="30"/>
      <c r="G53" s="30"/>
      <c r="H53" s="30"/>
      <c r="I53" s="16">
        <v>0.22</v>
      </c>
      <c r="J53" s="16"/>
      <c r="K53" s="16">
        <v>1.1499999999999999</v>
      </c>
      <c r="L53" s="16"/>
      <c r="M53" s="16">
        <v>0.82</v>
      </c>
      <c r="S53">
        <f t="shared" si="1"/>
        <v>1971</v>
      </c>
    </row>
    <row r="54" spans="1:19" hidden="1" x14ac:dyDescent="0.25">
      <c r="A54" s="17">
        <v>26480</v>
      </c>
      <c r="B54" s="16">
        <v>0.19</v>
      </c>
      <c r="C54" s="16"/>
      <c r="D54" s="16"/>
      <c r="E54" s="16"/>
      <c r="F54" s="30"/>
      <c r="G54" s="30"/>
      <c r="H54" s="30"/>
      <c r="I54" s="16">
        <v>0.23</v>
      </c>
      <c r="J54" s="16"/>
      <c r="K54" s="16">
        <v>1.21</v>
      </c>
      <c r="L54" s="16"/>
      <c r="M54" s="16">
        <v>0.88</v>
      </c>
      <c r="S54">
        <f t="shared" si="1"/>
        <v>1972</v>
      </c>
    </row>
    <row r="55" spans="1:19" hidden="1" x14ac:dyDescent="0.25">
      <c r="A55" s="17">
        <v>26845</v>
      </c>
      <c r="B55" s="16">
        <v>0.22</v>
      </c>
      <c r="C55" s="16"/>
      <c r="D55" s="16"/>
      <c r="E55" s="16"/>
      <c r="F55" s="30"/>
      <c r="G55" s="30"/>
      <c r="H55" s="30"/>
      <c r="I55" s="16">
        <v>0.25</v>
      </c>
      <c r="J55" s="16"/>
      <c r="K55" s="16">
        <v>1.29</v>
      </c>
      <c r="L55" s="16"/>
      <c r="M55" s="16">
        <v>0.94</v>
      </c>
      <c r="S55">
        <f t="shared" si="1"/>
        <v>1973</v>
      </c>
    </row>
    <row r="56" spans="1:19" hidden="1" x14ac:dyDescent="0.25">
      <c r="A56" s="17">
        <v>27210</v>
      </c>
      <c r="B56" s="16">
        <v>0.3</v>
      </c>
      <c r="C56" s="16"/>
      <c r="D56" s="16"/>
      <c r="E56" s="16"/>
      <c r="F56" s="30"/>
      <c r="G56" s="30"/>
      <c r="H56" s="30"/>
      <c r="I56" s="16">
        <v>0.3</v>
      </c>
      <c r="J56" s="16"/>
      <c r="K56" s="16">
        <v>1.43</v>
      </c>
      <c r="L56" s="16"/>
      <c r="M56" s="16">
        <v>1.07</v>
      </c>
      <c r="S56">
        <f t="shared" si="1"/>
        <v>1974</v>
      </c>
    </row>
    <row r="57" spans="1:19" hidden="1" x14ac:dyDescent="0.25">
      <c r="A57" s="17">
        <v>27575</v>
      </c>
      <c r="B57" s="16">
        <v>0.44</v>
      </c>
      <c r="C57" s="16"/>
      <c r="D57" s="16"/>
      <c r="E57" s="16"/>
      <c r="F57" s="30"/>
      <c r="G57" s="30"/>
      <c r="H57" s="30"/>
      <c r="I57" s="16">
        <v>0.4</v>
      </c>
      <c r="J57" s="16"/>
      <c r="K57" s="16">
        <v>1.71</v>
      </c>
      <c r="L57" s="16"/>
      <c r="M57" s="16">
        <v>1.35</v>
      </c>
      <c r="S57">
        <f t="shared" si="1"/>
        <v>1975</v>
      </c>
    </row>
    <row r="58" spans="1:19" hidden="1" x14ac:dyDescent="0.25">
      <c r="A58" s="17">
        <v>27941</v>
      </c>
      <c r="B58" s="16">
        <v>0.57999999999999996</v>
      </c>
      <c r="C58" s="16"/>
      <c r="D58" s="16"/>
      <c r="E58" s="16"/>
      <c r="F58" s="30"/>
      <c r="G58" s="30"/>
      <c r="H58" s="30"/>
      <c r="I58" s="16">
        <v>0.51</v>
      </c>
      <c r="J58" s="16"/>
      <c r="K58" s="16">
        <v>1.98</v>
      </c>
      <c r="L58" s="16"/>
      <c r="M58" s="16">
        <v>1.64</v>
      </c>
      <c r="S58">
        <f t="shared" si="1"/>
        <v>1976</v>
      </c>
    </row>
    <row r="59" spans="1:19" hidden="1" x14ac:dyDescent="0.25">
      <c r="A59" s="17">
        <v>28306</v>
      </c>
      <c r="B59" s="16">
        <v>0.79</v>
      </c>
      <c r="C59" s="16"/>
      <c r="D59" s="16"/>
      <c r="E59" s="16"/>
      <c r="F59" s="30"/>
      <c r="G59" s="30"/>
      <c r="H59" s="30"/>
      <c r="I59" s="16">
        <v>0.77</v>
      </c>
      <c r="J59" s="16"/>
      <c r="K59" s="16">
        <v>2.35</v>
      </c>
      <c r="L59" s="16"/>
      <c r="M59" s="16">
        <v>2.04</v>
      </c>
      <c r="S59">
        <f t="shared" si="1"/>
        <v>1977</v>
      </c>
    </row>
    <row r="60" spans="1:19" hidden="1" x14ac:dyDescent="0.25">
      <c r="A60" s="17">
        <v>28671</v>
      </c>
      <c r="B60" s="16">
        <v>0.91</v>
      </c>
      <c r="C60" s="16"/>
      <c r="D60" s="16"/>
      <c r="E60" s="16"/>
      <c r="F60" s="30"/>
      <c r="G60" s="30"/>
      <c r="H60" s="30"/>
      <c r="I60" s="16">
        <v>0.9</v>
      </c>
      <c r="J60" s="16"/>
      <c r="K60" s="16">
        <v>2.56</v>
      </c>
      <c r="L60" s="16"/>
      <c r="M60" s="16">
        <v>2.23</v>
      </c>
      <c r="S60">
        <f t="shared" si="1"/>
        <v>1978</v>
      </c>
    </row>
    <row r="61" spans="1:19" hidden="1" x14ac:dyDescent="0.25">
      <c r="A61" s="17">
        <v>29036</v>
      </c>
      <c r="B61" s="16">
        <v>1.18</v>
      </c>
      <c r="C61" s="16"/>
      <c r="D61" s="16"/>
      <c r="E61" s="16"/>
      <c r="F61" s="30"/>
      <c r="G61" s="30"/>
      <c r="H61" s="30"/>
      <c r="I61" s="16">
        <v>1.32</v>
      </c>
      <c r="J61" s="16"/>
      <c r="K61" s="16">
        <v>2.98</v>
      </c>
      <c r="L61" s="16"/>
      <c r="M61" s="16">
        <v>2.73</v>
      </c>
      <c r="S61">
        <f t="shared" si="1"/>
        <v>1979</v>
      </c>
    </row>
    <row r="62" spans="1:19" hidden="1" x14ac:dyDescent="0.25">
      <c r="A62" s="17">
        <v>29402</v>
      </c>
      <c r="B62" s="16">
        <v>1.59</v>
      </c>
      <c r="C62" s="16"/>
      <c r="D62" s="16"/>
      <c r="E62" s="16"/>
      <c r="F62" s="30"/>
      <c r="G62" s="30"/>
      <c r="H62" s="30"/>
      <c r="I62" s="16">
        <v>1.85</v>
      </c>
      <c r="J62" s="16"/>
      <c r="K62" s="16">
        <v>3.68</v>
      </c>
      <c r="L62" s="16"/>
      <c r="M62" s="16">
        <v>3.39</v>
      </c>
      <c r="S62">
        <f t="shared" si="1"/>
        <v>1980</v>
      </c>
    </row>
    <row r="63" spans="1:19" hidden="1" x14ac:dyDescent="0.25">
      <c r="A63" s="17">
        <v>29767</v>
      </c>
      <c r="B63" s="16">
        <v>1.98</v>
      </c>
      <c r="C63" s="16"/>
      <c r="D63" s="16"/>
      <c r="E63" s="16"/>
      <c r="F63" s="30"/>
      <c r="G63" s="30"/>
      <c r="H63" s="30"/>
      <c r="I63" s="16">
        <v>2.39</v>
      </c>
      <c r="J63" s="16"/>
      <c r="K63" s="16">
        <v>4.29</v>
      </c>
      <c r="L63" s="16"/>
      <c r="M63" s="16">
        <v>4</v>
      </c>
      <c r="S63">
        <f t="shared" si="1"/>
        <v>1981</v>
      </c>
    </row>
    <row r="64" spans="1:19" hidden="1" x14ac:dyDescent="0.25">
      <c r="A64" s="17">
        <v>30132</v>
      </c>
      <c r="B64" s="16">
        <v>2.46</v>
      </c>
      <c r="C64" s="16"/>
      <c r="D64" s="16"/>
      <c r="E64" s="16"/>
      <c r="F64" s="30"/>
      <c r="G64" s="30"/>
      <c r="H64" s="30"/>
      <c r="I64" s="16">
        <v>2.97</v>
      </c>
      <c r="J64" s="16"/>
      <c r="K64" s="16">
        <v>5.17</v>
      </c>
      <c r="L64" s="16"/>
      <c r="M64" s="16">
        <v>4.82</v>
      </c>
      <c r="S64">
        <f t="shared" si="1"/>
        <v>1982</v>
      </c>
    </row>
    <row r="65" spans="1:19" hidden="1" x14ac:dyDescent="0.25">
      <c r="A65" s="17">
        <v>30497</v>
      </c>
      <c r="B65" s="16">
        <v>2.59</v>
      </c>
      <c r="C65" s="16"/>
      <c r="D65" s="16"/>
      <c r="E65" s="16"/>
      <c r="F65" s="30"/>
      <c r="G65" s="30"/>
      <c r="H65" s="30"/>
      <c r="I65" s="16">
        <v>3.15</v>
      </c>
      <c r="J65" s="16"/>
      <c r="K65" s="16">
        <v>6.06</v>
      </c>
      <c r="L65" s="16"/>
      <c r="M65" s="16">
        <v>5.59</v>
      </c>
      <c r="N65" s="16"/>
      <c r="O65" s="16"/>
      <c r="P65" s="16"/>
      <c r="Q65" s="16"/>
      <c r="R65" s="16"/>
      <c r="S65">
        <f t="shared" si="1"/>
        <v>1983</v>
      </c>
    </row>
    <row r="66" spans="1:19" hidden="1" x14ac:dyDescent="0.25">
      <c r="A66" s="17">
        <v>30863</v>
      </c>
      <c r="B66" s="16">
        <v>2.66</v>
      </c>
      <c r="C66" s="16"/>
      <c r="D66" s="16"/>
      <c r="E66" s="16"/>
      <c r="F66" s="30"/>
      <c r="G66" s="30"/>
      <c r="H66" s="30"/>
      <c r="I66" s="16">
        <v>3.04</v>
      </c>
      <c r="J66" s="16">
        <v>3.95</v>
      </c>
      <c r="K66" s="16">
        <v>6.12</v>
      </c>
      <c r="L66" s="16"/>
      <c r="M66" s="16">
        <v>5.55</v>
      </c>
      <c r="N66" s="16"/>
      <c r="O66" s="16"/>
      <c r="P66" s="16"/>
      <c r="Q66" s="16"/>
      <c r="R66" s="16"/>
      <c r="S66">
        <f t="shared" si="1"/>
        <v>1984</v>
      </c>
    </row>
    <row r="67" spans="1:19" hidden="1" x14ac:dyDescent="0.25">
      <c r="A67" s="17">
        <v>31228</v>
      </c>
      <c r="B67" s="16">
        <v>2.5099999999999998</v>
      </c>
      <c r="C67" s="16">
        <v>3.21</v>
      </c>
      <c r="D67" s="16">
        <v>3.17</v>
      </c>
      <c r="E67" s="16">
        <v>4.5999999999999996</v>
      </c>
      <c r="F67" s="30">
        <v>4.7699999999999996</v>
      </c>
      <c r="G67" s="30">
        <v>3.92</v>
      </c>
      <c r="H67" s="30">
        <v>4.8099999999999996</v>
      </c>
      <c r="I67" s="16">
        <v>2.92</v>
      </c>
      <c r="J67" s="16">
        <v>3.75</v>
      </c>
      <c r="K67" s="16">
        <v>6.12</v>
      </c>
      <c r="L67" s="16"/>
      <c r="M67" s="16">
        <v>5.5</v>
      </c>
      <c r="N67" s="16"/>
      <c r="O67" s="16"/>
      <c r="P67" s="16"/>
      <c r="Q67" s="16"/>
      <c r="R67" s="16"/>
      <c r="S67">
        <f t="shared" si="1"/>
        <v>1985</v>
      </c>
    </row>
    <row r="68" spans="1:19" hidden="1" x14ac:dyDescent="0.25">
      <c r="A68" s="17">
        <v>31593</v>
      </c>
      <c r="B68" s="16">
        <v>1.94</v>
      </c>
      <c r="C68" s="16">
        <v>2.4300000000000002</v>
      </c>
      <c r="D68" s="16">
        <v>2.42</v>
      </c>
      <c r="E68" s="16">
        <v>4.62</v>
      </c>
      <c r="F68" s="30">
        <v>2.81</v>
      </c>
      <c r="G68" s="30">
        <v>2.35</v>
      </c>
      <c r="H68" s="30">
        <v>2.91</v>
      </c>
      <c r="I68" s="16">
        <v>2.52</v>
      </c>
      <c r="J68" s="16">
        <v>3.22</v>
      </c>
      <c r="K68" s="16">
        <v>5.83</v>
      </c>
      <c r="L68" s="16"/>
      <c r="M68" s="16">
        <v>5.08</v>
      </c>
      <c r="N68" s="16"/>
      <c r="O68" s="16"/>
      <c r="P68" s="16"/>
      <c r="Q68" s="16"/>
      <c r="R68" s="16"/>
      <c r="S68">
        <f t="shared" ref="S68:S103" si="2">YEAR(A68)</f>
        <v>1986</v>
      </c>
    </row>
    <row r="69" spans="1:19" hidden="1" x14ac:dyDescent="0.25">
      <c r="A69" s="17">
        <v>31958</v>
      </c>
      <c r="B69" s="16">
        <v>1.67</v>
      </c>
      <c r="C69" s="16">
        <v>1.95</v>
      </c>
      <c r="D69" s="16">
        <v>1.95</v>
      </c>
      <c r="E69" s="16"/>
      <c r="F69" s="30">
        <v>3.07</v>
      </c>
      <c r="G69" s="30">
        <v>2.35</v>
      </c>
      <c r="H69" s="30">
        <v>3.15</v>
      </c>
      <c r="I69" s="16">
        <v>2.17</v>
      </c>
      <c r="J69" s="16">
        <v>2.87</v>
      </c>
      <c r="K69" s="16">
        <v>5.54</v>
      </c>
      <c r="L69" s="16"/>
      <c r="M69" s="16">
        <v>4.7699999999999996</v>
      </c>
      <c r="N69" s="16">
        <v>93.1</v>
      </c>
      <c r="O69" s="16"/>
      <c r="P69" s="16"/>
      <c r="Q69" s="16"/>
      <c r="R69" s="16"/>
      <c r="S69">
        <f t="shared" si="2"/>
        <v>1987</v>
      </c>
    </row>
    <row r="70" spans="1:19" hidden="1" x14ac:dyDescent="0.25">
      <c r="A70" s="17">
        <v>32324</v>
      </c>
      <c r="B70" s="16">
        <v>1.69</v>
      </c>
      <c r="C70" s="16">
        <v>1.84</v>
      </c>
      <c r="D70" s="16">
        <v>1.83</v>
      </c>
      <c r="E70" s="16">
        <v>2.71</v>
      </c>
      <c r="F70" s="30">
        <v>2.74</v>
      </c>
      <c r="G70" s="30">
        <v>2.14</v>
      </c>
      <c r="H70" s="30">
        <v>2.98</v>
      </c>
      <c r="I70" s="16">
        <v>2.1</v>
      </c>
      <c r="J70" s="16">
        <v>2.92</v>
      </c>
      <c r="K70" s="16">
        <v>5.47</v>
      </c>
      <c r="L70" s="16"/>
      <c r="M70" s="16">
        <v>4.63</v>
      </c>
      <c r="N70" s="16">
        <v>90.8</v>
      </c>
      <c r="O70" s="16"/>
      <c r="P70" s="16"/>
      <c r="Q70" s="16"/>
      <c r="R70" s="16"/>
      <c r="S70">
        <f t="shared" si="2"/>
        <v>1988</v>
      </c>
    </row>
    <row r="71" spans="1:19" hidden="1" x14ac:dyDescent="0.25">
      <c r="A71" s="17">
        <v>32689</v>
      </c>
      <c r="B71" s="16">
        <v>1.69</v>
      </c>
      <c r="C71" s="16">
        <v>1.82</v>
      </c>
      <c r="D71" s="16">
        <v>1.81</v>
      </c>
      <c r="E71" s="16">
        <v>2.2200000000000002</v>
      </c>
      <c r="F71" s="30">
        <v>2.5099999999999998</v>
      </c>
      <c r="G71" s="30">
        <v>2.0499999999999998</v>
      </c>
      <c r="H71" s="30">
        <v>3.01</v>
      </c>
      <c r="I71" s="16">
        <v>2.0099999999999998</v>
      </c>
      <c r="J71" s="16">
        <v>3.01</v>
      </c>
      <c r="K71" s="16">
        <v>5.64</v>
      </c>
      <c r="L71" s="16">
        <v>99.9</v>
      </c>
      <c r="M71" s="16">
        <v>4.74</v>
      </c>
      <c r="N71" s="16">
        <v>89.1</v>
      </c>
      <c r="O71" s="16"/>
      <c r="P71" s="16"/>
      <c r="Q71" s="16">
        <v>4.17</v>
      </c>
      <c r="R71" s="16"/>
      <c r="S71">
        <f t="shared" si="2"/>
        <v>1989</v>
      </c>
    </row>
    <row r="72" spans="1:19" hidden="1" x14ac:dyDescent="0.25">
      <c r="A72" s="17">
        <v>33054</v>
      </c>
      <c r="B72" s="16">
        <v>1.71</v>
      </c>
      <c r="C72" s="16">
        <v>1.94</v>
      </c>
      <c r="D72" s="16">
        <v>1.91</v>
      </c>
      <c r="E72" s="16">
        <v>2.4700000000000002</v>
      </c>
      <c r="F72" s="30">
        <v>3.1</v>
      </c>
      <c r="G72" s="30">
        <v>2.31</v>
      </c>
      <c r="H72" s="30">
        <v>3.59</v>
      </c>
      <c r="I72" s="16">
        <v>1.95</v>
      </c>
      <c r="J72" s="16">
        <v>3.03</v>
      </c>
      <c r="K72" s="16">
        <v>5.8</v>
      </c>
      <c r="L72" s="16">
        <v>99.2</v>
      </c>
      <c r="M72" s="16">
        <v>4.83</v>
      </c>
      <c r="N72" s="16">
        <v>86.6</v>
      </c>
      <c r="O72" s="16"/>
      <c r="P72" s="16"/>
      <c r="Q72" s="16">
        <v>3.39</v>
      </c>
      <c r="R72" s="16"/>
      <c r="S72">
        <f t="shared" si="2"/>
        <v>1990</v>
      </c>
    </row>
    <row r="73" spans="1:19" hidden="1" x14ac:dyDescent="0.25">
      <c r="A73" s="17">
        <v>33419</v>
      </c>
      <c r="B73" s="16">
        <v>1.64</v>
      </c>
      <c r="C73" s="16">
        <v>1.83</v>
      </c>
      <c r="D73" s="16">
        <v>1.81</v>
      </c>
      <c r="E73" s="16">
        <v>2.36</v>
      </c>
      <c r="F73" s="30">
        <v>2.59</v>
      </c>
      <c r="G73" s="30">
        <v>1.79</v>
      </c>
      <c r="H73" s="30">
        <v>3.71</v>
      </c>
      <c r="I73" s="16">
        <v>1.87</v>
      </c>
      <c r="J73" s="16">
        <v>2.9</v>
      </c>
      <c r="K73" s="16">
        <v>5.82</v>
      </c>
      <c r="L73" s="16">
        <v>99.2</v>
      </c>
      <c r="M73" s="16">
        <v>4.8099999999999996</v>
      </c>
      <c r="N73" s="16">
        <v>85.1</v>
      </c>
      <c r="O73" s="16"/>
      <c r="P73" s="16"/>
      <c r="Q73" s="16">
        <v>3.96</v>
      </c>
      <c r="R73" s="16"/>
      <c r="S73">
        <f t="shared" si="2"/>
        <v>1991</v>
      </c>
    </row>
    <row r="74" spans="1:19" hidden="1" x14ac:dyDescent="0.25">
      <c r="A74" s="17">
        <v>33785</v>
      </c>
      <c r="B74" s="16">
        <v>1.74</v>
      </c>
      <c r="C74" s="16">
        <v>1.85</v>
      </c>
      <c r="D74" s="16">
        <v>1.84</v>
      </c>
      <c r="E74" s="16">
        <v>2.54</v>
      </c>
      <c r="F74" s="30">
        <v>2.25</v>
      </c>
      <c r="G74" s="30">
        <v>1.88</v>
      </c>
      <c r="H74" s="30">
        <v>3.43</v>
      </c>
      <c r="I74" s="16">
        <v>2.0699999999999998</v>
      </c>
      <c r="J74" s="16">
        <v>3.01</v>
      </c>
      <c r="K74" s="16">
        <v>5.89</v>
      </c>
      <c r="L74" s="16">
        <v>99.1</v>
      </c>
      <c r="M74" s="16">
        <v>4.88</v>
      </c>
      <c r="N74" s="16">
        <v>83.2</v>
      </c>
      <c r="O74" s="16"/>
      <c r="P74" s="16"/>
      <c r="Q74" s="16">
        <v>4.05</v>
      </c>
      <c r="R74" s="16"/>
      <c r="S74">
        <f t="shared" si="2"/>
        <v>1992</v>
      </c>
    </row>
    <row r="75" spans="1:19" hidden="1" x14ac:dyDescent="0.25">
      <c r="A75" s="17">
        <v>34150</v>
      </c>
      <c r="B75" s="16">
        <v>2.04</v>
      </c>
      <c r="C75" s="16">
        <v>2.0299999999999998</v>
      </c>
      <c r="D75" s="16">
        <v>2.02</v>
      </c>
      <c r="E75" s="16">
        <v>2.2000000000000002</v>
      </c>
      <c r="F75" s="30">
        <v>2.59</v>
      </c>
      <c r="G75" s="30">
        <v>2.08</v>
      </c>
      <c r="H75" s="30">
        <v>3.34</v>
      </c>
      <c r="I75" s="16">
        <v>1.97</v>
      </c>
      <c r="J75" s="16">
        <v>3.21</v>
      </c>
      <c r="K75" s="16">
        <v>6.16</v>
      </c>
      <c r="L75" s="16">
        <v>99.1</v>
      </c>
      <c r="M75" s="16">
        <v>5.22</v>
      </c>
      <c r="N75" s="16">
        <v>83.9</v>
      </c>
      <c r="O75" s="16"/>
      <c r="P75" s="16"/>
      <c r="Q75" s="16">
        <v>4.2699999999999996</v>
      </c>
      <c r="R75" s="16"/>
      <c r="S75">
        <f t="shared" si="2"/>
        <v>1993</v>
      </c>
    </row>
    <row r="76" spans="1:19" hidden="1" x14ac:dyDescent="0.25">
      <c r="A76" s="17">
        <v>34515</v>
      </c>
      <c r="B76" s="16">
        <v>1.85</v>
      </c>
      <c r="C76" s="16">
        <v>1.87</v>
      </c>
      <c r="D76" s="16">
        <v>1.86</v>
      </c>
      <c r="E76" s="16">
        <v>2.2799999999999998</v>
      </c>
      <c r="F76" s="30">
        <v>2.5</v>
      </c>
      <c r="G76" s="30">
        <v>2.08</v>
      </c>
      <c r="H76" s="30">
        <v>3.18</v>
      </c>
      <c r="I76" s="16">
        <v>1.7</v>
      </c>
      <c r="J76" s="16">
        <v>3.07</v>
      </c>
      <c r="K76" s="16">
        <v>6.41</v>
      </c>
      <c r="L76" s="16">
        <v>99.1</v>
      </c>
      <c r="M76" s="16">
        <v>5.44</v>
      </c>
      <c r="N76" s="16">
        <v>79.3</v>
      </c>
      <c r="O76" s="16"/>
      <c r="P76" s="16"/>
      <c r="Q76" s="16">
        <v>4.1100000000000003</v>
      </c>
      <c r="R76" s="16"/>
      <c r="S76">
        <f t="shared" si="2"/>
        <v>1994</v>
      </c>
    </row>
    <row r="77" spans="1:19" hidden="1" x14ac:dyDescent="0.25">
      <c r="A77" s="17">
        <v>34880</v>
      </c>
      <c r="B77" s="16">
        <v>1.55</v>
      </c>
      <c r="C77" s="16">
        <v>1.49</v>
      </c>
      <c r="D77" s="16">
        <v>1.48</v>
      </c>
      <c r="E77" s="16">
        <v>2.2999999999999998</v>
      </c>
      <c r="F77" s="30">
        <v>2.39</v>
      </c>
      <c r="G77" s="30">
        <v>1.64</v>
      </c>
      <c r="H77" s="30">
        <v>3.41</v>
      </c>
      <c r="I77" s="16">
        <v>1.49</v>
      </c>
      <c r="J77" s="16">
        <v>2.78</v>
      </c>
      <c r="K77" s="16">
        <v>6.06</v>
      </c>
      <c r="L77" s="16">
        <v>99</v>
      </c>
      <c r="M77" s="16">
        <v>5.05</v>
      </c>
      <c r="N77" s="16">
        <v>76.7</v>
      </c>
      <c r="O77" s="16"/>
      <c r="P77" s="16"/>
      <c r="Q77" s="16">
        <v>3.98</v>
      </c>
      <c r="R77" s="16"/>
      <c r="S77">
        <f t="shared" si="2"/>
        <v>1995</v>
      </c>
    </row>
    <row r="78" spans="1:19" hidden="1" x14ac:dyDescent="0.25">
      <c r="A78" s="17">
        <v>35246</v>
      </c>
      <c r="B78" s="16">
        <v>2.17</v>
      </c>
      <c r="C78" s="16">
        <v>1.97</v>
      </c>
      <c r="D78" s="16">
        <v>1.96</v>
      </c>
      <c r="E78" s="16">
        <v>2.8</v>
      </c>
      <c r="F78" s="30">
        <v>2.97</v>
      </c>
      <c r="G78" s="30">
        <v>2.4500000000000002</v>
      </c>
      <c r="H78" s="30">
        <v>3.65</v>
      </c>
      <c r="I78" s="16">
        <v>2.27</v>
      </c>
      <c r="J78" s="16">
        <v>3.27</v>
      </c>
      <c r="K78" s="16">
        <v>6.34</v>
      </c>
      <c r="L78" s="16">
        <v>99</v>
      </c>
      <c r="M78" s="16">
        <v>5.4</v>
      </c>
      <c r="N78" s="16">
        <v>77.599999999999994</v>
      </c>
      <c r="O78" s="16"/>
      <c r="P78" s="16"/>
      <c r="Q78" s="16">
        <v>4.34</v>
      </c>
      <c r="R78" s="16"/>
      <c r="S78">
        <f t="shared" si="2"/>
        <v>1996</v>
      </c>
    </row>
    <row r="79" spans="1:19" hidden="1" x14ac:dyDescent="0.25">
      <c r="A79" s="17">
        <v>35611</v>
      </c>
      <c r="B79" s="16">
        <v>2.3199999999999998</v>
      </c>
      <c r="C79" s="16">
        <v>2.17</v>
      </c>
      <c r="D79" s="16">
        <v>2.15</v>
      </c>
      <c r="E79" s="16">
        <v>2.74</v>
      </c>
      <c r="F79" s="30">
        <v>3.02</v>
      </c>
      <c r="G79" s="30">
        <v>2.4900000000000002</v>
      </c>
      <c r="H79" s="30">
        <v>3.83</v>
      </c>
      <c r="I79" s="16">
        <v>2.29</v>
      </c>
      <c r="J79" s="16">
        <v>3.66</v>
      </c>
      <c r="K79" s="16">
        <v>6.94</v>
      </c>
      <c r="L79" s="16">
        <v>98.8</v>
      </c>
      <c r="M79" s="16">
        <v>5.8</v>
      </c>
      <c r="N79" s="16">
        <v>70.8</v>
      </c>
      <c r="O79" s="16">
        <v>3.59</v>
      </c>
      <c r="P79" s="16">
        <v>18.100000000000001</v>
      </c>
      <c r="Q79" s="16">
        <v>4.4400000000000004</v>
      </c>
      <c r="R79" s="16">
        <v>2.78</v>
      </c>
      <c r="S79">
        <f t="shared" si="2"/>
        <v>1997</v>
      </c>
    </row>
    <row r="80" spans="1:19" hidden="1" x14ac:dyDescent="0.25">
      <c r="A80" s="17">
        <v>35976</v>
      </c>
      <c r="B80" s="16">
        <v>1.96</v>
      </c>
      <c r="C80" s="16">
        <v>1.97</v>
      </c>
      <c r="D80" s="16">
        <v>1.95</v>
      </c>
      <c r="E80" s="16">
        <v>2.63</v>
      </c>
      <c r="F80" s="30">
        <v>2.4500000000000002</v>
      </c>
      <c r="G80" s="30">
        <v>2.13</v>
      </c>
      <c r="H80" s="30">
        <v>2.91</v>
      </c>
      <c r="I80" s="16">
        <v>2.0099999999999998</v>
      </c>
      <c r="J80" s="16">
        <v>3.07</v>
      </c>
      <c r="K80" s="16">
        <v>6.82</v>
      </c>
      <c r="L80" s="16">
        <v>97.7</v>
      </c>
      <c r="M80" s="16">
        <v>5.48</v>
      </c>
      <c r="N80" s="16">
        <v>67</v>
      </c>
      <c r="O80" s="16">
        <v>3.14</v>
      </c>
      <c r="P80" s="16">
        <v>16.100000000000001</v>
      </c>
      <c r="Q80" s="16">
        <v>4.59</v>
      </c>
      <c r="R80" s="16">
        <v>2.4</v>
      </c>
      <c r="S80">
        <f t="shared" si="2"/>
        <v>1998</v>
      </c>
    </row>
    <row r="81" spans="1:22" hidden="1" x14ac:dyDescent="0.25">
      <c r="A81" s="17">
        <v>36341</v>
      </c>
      <c r="B81" s="16">
        <v>2.19</v>
      </c>
      <c r="C81" s="16">
        <v>2.2400000000000002</v>
      </c>
      <c r="D81" s="16">
        <v>2.23</v>
      </c>
      <c r="E81" s="16">
        <v>2.4700000000000002</v>
      </c>
      <c r="F81" s="30">
        <v>2.61</v>
      </c>
      <c r="G81" s="30">
        <v>2.2999999999999998</v>
      </c>
      <c r="H81" s="30">
        <v>3.1</v>
      </c>
      <c r="I81" s="16">
        <v>1.88</v>
      </c>
      <c r="J81" s="16">
        <v>3.1</v>
      </c>
      <c r="K81" s="16">
        <v>6.69</v>
      </c>
      <c r="L81" s="16">
        <v>95.2</v>
      </c>
      <c r="M81" s="16">
        <v>5.33</v>
      </c>
      <c r="N81" s="16">
        <v>66.099999999999994</v>
      </c>
      <c r="O81" s="16">
        <v>3.12</v>
      </c>
      <c r="P81" s="16">
        <v>18.8</v>
      </c>
      <c r="Q81" s="16">
        <v>4.34</v>
      </c>
      <c r="R81" s="16">
        <v>2.62</v>
      </c>
      <c r="S81">
        <f t="shared" si="2"/>
        <v>1999</v>
      </c>
    </row>
    <row r="82" spans="1:22" hidden="1" x14ac:dyDescent="0.25">
      <c r="A82" s="17">
        <v>36707</v>
      </c>
      <c r="B82" s="16">
        <v>3.68</v>
      </c>
      <c r="C82" s="16">
        <v>3.95</v>
      </c>
      <c r="D82" s="16">
        <v>3.98</v>
      </c>
      <c r="E82" s="16">
        <v>3.5</v>
      </c>
      <c r="F82" s="30">
        <v>4.0999999999999996</v>
      </c>
      <c r="G82" s="30">
        <v>4.0199999999999996</v>
      </c>
      <c r="H82" s="30">
        <v>4.32</v>
      </c>
      <c r="I82" s="16">
        <v>2.97</v>
      </c>
      <c r="J82" s="16">
        <v>4.62</v>
      </c>
      <c r="K82" s="16">
        <v>7.76</v>
      </c>
      <c r="L82" s="16">
        <v>92.6</v>
      </c>
      <c r="M82" s="16">
        <v>6.59</v>
      </c>
      <c r="N82" s="16">
        <v>63.9</v>
      </c>
      <c r="O82" s="16">
        <v>4.45</v>
      </c>
      <c r="P82" s="16">
        <v>19.8</v>
      </c>
      <c r="Q82" s="16">
        <v>5.54</v>
      </c>
      <c r="R82" s="16">
        <v>4.38</v>
      </c>
      <c r="S82">
        <f t="shared" si="2"/>
        <v>2000</v>
      </c>
    </row>
    <row r="83" spans="1:22" x14ac:dyDescent="0.25">
      <c r="A83" s="17">
        <v>37072</v>
      </c>
      <c r="B83" s="16">
        <v>4</v>
      </c>
      <c r="C83" s="16">
        <v>4.43</v>
      </c>
      <c r="D83" s="16">
        <v>4.4400000000000004</v>
      </c>
      <c r="E83" s="16">
        <v>4.3499999999999996</v>
      </c>
      <c r="F83" s="30">
        <v>4.1900000000000004</v>
      </c>
      <c r="G83" s="30">
        <v>4.1399999999999997</v>
      </c>
      <c r="H83" s="30">
        <v>4.4000000000000004</v>
      </c>
      <c r="I83" s="16">
        <v>3.55</v>
      </c>
      <c r="J83" s="16">
        <v>5.72</v>
      </c>
      <c r="K83" s="16">
        <v>9.6300000000000008</v>
      </c>
      <c r="L83" s="16">
        <v>92.4</v>
      </c>
      <c r="M83" s="16">
        <v>8.43</v>
      </c>
      <c r="N83" s="16">
        <v>66</v>
      </c>
      <c r="O83" s="16">
        <v>5.24</v>
      </c>
      <c r="P83" s="16">
        <v>20.8</v>
      </c>
      <c r="Q83" s="16">
        <v>6.6</v>
      </c>
      <c r="R83" s="16">
        <v>4.6100000000000003</v>
      </c>
      <c r="S83">
        <f t="shared" si="2"/>
        <v>2001</v>
      </c>
      <c r="U83">
        <f>G83*About!$B$27</f>
        <v>4.2931799999999996</v>
      </c>
      <c r="V83">
        <f>H83*About!$B$27</f>
        <v>4.5628000000000002</v>
      </c>
    </row>
    <row r="84" spans="1:22" x14ac:dyDescent="0.25">
      <c r="A84" s="17">
        <v>37437</v>
      </c>
      <c r="B84" s="16">
        <v>2.95</v>
      </c>
      <c r="C84" s="16">
        <v>3.15</v>
      </c>
      <c r="D84" s="16">
        <v>3.13</v>
      </c>
      <c r="E84" s="16">
        <v>3.41</v>
      </c>
      <c r="F84" s="30">
        <v>3.41</v>
      </c>
      <c r="G84" s="30">
        <v>3.32</v>
      </c>
      <c r="H84" s="30">
        <v>4.08</v>
      </c>
      <c r="I84" s="16"/>
      <c r="J84" s="16">
        <v>4.12</v>
      </c>
      <c r="K84" s="16">
        <v>7.89</v>
      </c>
      <c r="L84" s="16">
        <v>97.9</v>
      </c>
      <c r="M84" s="16">
        <v>6.63</v>
      </c>
      <c r="N84" s="16">
        <v>77.400000000000006</v>
      </c>
      <c r="O84" s="16">
        <v>4.0199999999999996</v>
      </c>
      <c r="P84" s="16">
        <v>22.7</v>
      </c>
      <c r="Q84" s="16">
        <v>5.0999999999999996</v>
      </c>
      <c r="R84" s="16">
        <v>3.68</v>
      </c>
      <c r="S84">
        <f t="shared" si="2"/>
        <v>2002</v>
      </c>
      <c r="U84">
        <f>G84*About!$B$27</f>
        <v>3.4428399999999995</v>
      </c>
      <c r="V84">
        <f>H84*About!$B$27</f>
        <v>4.2309599999999996</v>
      </c>
    </row>
    <row r="85" spans="1:22" x14ac:dyDescent="0.25">
      <c r="A85" s="17">
        <v>37802</v>
      </c>
      <c r="B85" s="16">
        <v>4.88</v>
      </c>
      <c r="C85" s="16">
        <v>5.17</v>
      </c>
      <c r="D85" s="16">
        <v>5.23</v>
      </c>
      <c r="E85" s="16">
        <v>4.79</v>
      </c>
      <c r="F85" s="30">
        <v>5.54</v>
      </c>
      <c r="G85" s="30">
        <v>5.66</v>
      </c>
      <c r="H85" s="30">
        <v>4.47</v>
      </c>
      <c r="I85" s="16"/>
      <c r="J85" s="16">
        <v>5.85</v>
      </c>
      <c r="K85" s="16">
        <v>9.6300000000000008</v>
      </c>
      <c r="L85" s="16">
        <v>97.5</v>
      </c>
      <c r="M85" s="16">
        <v>8.4</v>
      </c>
      <c r="N85" s="16">
        <v>78.2</v>
      </c>
      <c r="O85" s="16">
        <v>5.89</v>
      </c>
      <c r="P85" s="16">
        <v>22.1</v>
      </c>
      <c r="Q85" s="16">
        <v>6.19</v>
      </c>
      <c r="R85" s="16">
        <v>5.57</v>
      </c>
      <c r="S85">
        <f t="shared" si="2"/>
        <v>2003</v>
      </c>
      <c r="U85">
        <f>G85*About!$B$27</f>
        <v>5.8694199999999999</v>
      </c>
      <c r="V85">
        <f>H85*About!$B$27</f>
        <v>4.6353899999999992</v>
      </c>
    </row>
    <row r="86" spans="1:22" x14ac:dyDescent="0.25">
      <c r="A86" s="17">
        <v>38168</v>
      </c>
      <c r="B86" s="16">
        <v>5.46</v>
      </c>
      <c r="C86" s="16">
        <v>5.81</v>
      </c>
      <c r="D86" s="16">
        <v>5.8</v>
      </c>
      <c r="E86" s="16">
        <v>5.82</v>
      </c>
      <c r="F86" s="30">
        <v>6.09</v>
      </c>
      <c r="G86" s="30">
        <v>6.18</v>
      </c>
      <c r="H86" s="30">
        <v>4.96</v>
      </c>
      <c r="I86" s="16"/>
      <c r="J86" s="16">
        <v>6.65</v>
      </c>
      <c r="K86" s="16">
        <v>10.75</v>
      </c>
      <c r="L86" s="16">
        <v>97.7</v>
      </c>
      <c r="M86" s="16">
        <v>9.43</v>
      </c>
      <c r="N86" s="16">
        <v>78</v>
      </c>
      <c r="O86" s="16">
        <v>6.53</v>
      </c>
      <c r="P86" s="16">
        <v>23.6</v>
      </c>
      <c r="Q86" s="16">
        <v>7.16</v>
      </c>
      <c r="R86" s="16">
        <v>6.11</v>
      </c>
      <c r="S86">
        <f t="shared" si="2"/>
        <v>2004</v>
      </c>
      <c r="U86">
        <f>G86*About!$B$27</f>
        <v>6.4086599999999994</v>
      </c>
      <c r="V86">
        <f>H86*About!$B$27</f>
        <v>5.1435199999999996</v>
      </c>
    </row>
    <row r="87" spans="1:22" x14ac:dyDescent="0.25">
      <c r="A87" s="17">
        <v>38533</v>
      </c>
      <c r="B87" s="16">
        <v>7.33</v>
      </c>
      <c r="C87" s="16">
        <v>8.1199999999999992</v>
      </c>
      <c r="D87" s="16">
        <v>8.09</v>
      </c>
      <c r="E87" s="16">
        <v>8.26</v>
      </c>
      <c r="F87" s="30">
        <v>7.59</v>
      </c>
      <c r="G87" s="30">
        <v>7.77</v>
      </c>
      <c r="H87" s="30">
        <v>5.79</v>
      </c>
      <c r="I87" s="16"/>
      <c r="J87" s="16">
        <v>8.67</v>
      </c>
      <c r="K87" s="16">
        <v>12.7</v>
      </c>
      <c r="L87" s="16">
        <v>98.1</v>
      </c>
      <c r="M87" s="16">
        <v>11.34</v>
      </c>
      <c r="N87" s="16">
        <v>82.1</v>
      </c>
      <c r="O87" s="16">
        <v>8.56</v>
      </c>
      <c r="P87" s="16">
        <v>24</v>
      </c>
      <c r="Q87" s="16">
        <v>9.14</v>
      </c>
      <c r="R87" s="16">
        <v>8.4700000000000006</v>
      </c>
      <c r="S87">
        <f t="shared" si="2"/>
        <v>2005</v>
      </c>
      <c r="U87">
        <f>G87*About!$B$27</f>
        <v>8.0574899999999996</v>
      </c>
      <c r="V87">
        <f>H87*About!$B$27</f>
        <v>6.0042299999999997</v>
      </c>
    </row>
    <row r="88" spans="1:22" x14ac:dyDescent="0.25">
      <c r="A88" s="17">
        <v>38898</v>
      </c>
      <c r="B88" s="16">
        <v>6.39</v>
      </c>
      <c r="C88" s="16">
        <v>6.88</v>
      </c>
      <c r="D88" s="16">
        <v>6.83</v>
      </c>
      <c r="E88" s="16">
        <v>7.19</v>
      </c>
      <c r="F88" s="30">
        <v>6.83</v>
      </c>
      <c r="G88" s="30">
        <v>6.9</v>
      </c>
      <c r="H88" s="30">
        <v>6.02</v>
      </c>
      <c r="I88" s="16"/>
      <c r="J88" s="16">
        <v>8.61</v>
      </c>
      <c r="K88" s="16">
        <v>13.73</v>
      </c>
      <c r="L88" s="16">
        <v>98.1</v>
      </c>
      <c r="M88" s="16">
        <v>12</v>
      </c>
      <c r="N88" s="16">
        <v>80.8</v>
      </c>
      <c r="O88" s="16">
        <v>7.87</v>
      </c>
      <c r="P88" s="16">
        <v>23.4</v>
      </c>
      <c r="Q88" s="16">
        <v>8.7200000000000006</v>
      </c>
      <c r="R88" s="16">
        <v>7.11</v>
      </c>
      <c r="S88">
        <f t="shared" si="2"/>
        <v>2006</v>
      </c>
      <c r="U88">
        <f>G88*About!$B$27</f>
        <v>7.1552999999999995</v>
      </c>
      <c r="V88">
        <f>H88*About!$B$27</f>
        <v>6.2427399999999995</v>
      </c>
    </row>
    <row r="89" spans="1:22" x14ac:dyDescent="0.25">
      <c r="A89" s="17">
        <v>39263</v>
      </c>
      <c r="B89" s="16">
        <v>6.25</v>
      </c>
      <c r="C89" s="16">
        <v>6.87</v>
      </c>
      <c r="D89" s="16">
        <v>6.83</v>
      </c>
      <c r="E89" s="16">
        <v>7.07</v>
      </c>
      <c r="F89" s="30">
        <v>6.92</v>
      </c>
      <c r="G89" s="30">
        <v>6.96</v>
      </c>
      <c r="H89" s="30">
        <v>6.23</v>
      </c>
      <c r="I89" s="16"/>
      <c r="J89" s="16">
        <v>8.16</v>
      </c>
      <c r="K89" s="16">
        <v>13.08</v>
      </c>
      <c r="L89" s="16">
        <v>98</v>
      </c>
      <c r="M89" s="16">
        <v>11.34</v>
      </c>
      <c r="N89" s="16">
        <v>80.400000000000006</v>
      </c>
      <c r="O89" s="16">
        <v>7.68</v>
      </c>
      <c r="P89" s="16">
        <v>22.2</v>
      </c>
      <c r="Q89" s="16">
        <v>8.5</v>
      </c>
      <c r="R89" s="16">
        <v>7.31</v>
      </c>
      <c r="S89">
        <f t="shared" si="2"/>
        <v>2007</v>
      </c>
      <c r="U89">
        <f>G89*About!$B$27</f>
        <v>7.2175199999999995</v>
      </c>
      <c r="V89">
        <f>H89*About!$B$27</f>
        <v>6.4605100000000002</v>
      </c>
    </row>
    <row r="90" spans="1:22" x14ac:dyDescent="0.25">
      <c r="A90" s="17">
        <v>39629</v>
      </c>
      <c r="B90" s="16">
        <v>7.97</v>
      </c>
      <c r="C90" s="16">
        <v>8.6999999999999993</v>
      </c>
      <c r="D90" s="16">
        <v>8.57</v>
      </c>
      <c r="E90" s="16">
        <v>10.029999999999999</v>
      </c>
      <c r="F90" s="30">
        <v>8.58</v>
      </c>
      <c r="G90" s="30">
        <v>8.6199999999999992</v>
      </c>
      <c r="H90" s="30">
        <v>7.69</v>
      </c>
      <c r="I90" s="16"/>
      <c r="J90" s="16">
        <v>9.18</v>
      </c>
      <c r="K90" s="16">
        <v>13.89</v>
      </c>
      <c r="L90" s="16">
        <v>97.5</v>
      </c>
      <c r="M90" s="16">
        <v>12.23</v>
      </c>
      <c r="N90" s="16">
        <v>79.7</v>
      </c>
      <c r="O90" s="16">
        <v>9.65</v>
      </c>
      <c r="P90" s="16">
        <v>20.399999999999999</v>
      </c>
      <c r="Q90" s="16">
        <v>11.75</v>
      </c>
      <c r="R90" s="16">
        <v>9.26</v>
      </c>
      <c r="S90">
        <f t="shared" si="2"/>
        <v>2008</v>
      </c>
      <c r="U90">
        <f>G90*About!$B$27</f>
        <v>8.9389399999999988</v>
      </c>
      <c r="V90">
        <f>H90*About!$B$27</f>
        <v>7.9745299999999997</v>
      </c>
    </row>
    <row r="91" spans="1:22" x14ac:dyDescent="0.25">
      <c r="A91" s="17">
        <v>39994</v>
      </c>
      <c r="B91" s="16">
        <v>3.67</v>
      </c>
      <c r="C91" s="16">
        <v>4.1900000000000004</v>
      </c>
      <c r="D91" s="16">
        <v>4.13</v>
      </c>
      <c r="E91" s="16">
        <v>4.59</v>
      </c>
      <c r="F91" s="30">
        <v>4.47</v>
      </c>
      <c r="G91" s="30">
        <v>4.34</v>
      </c>
      <c r="H91" s="30">
        <v>8.4</v>
      </c>
      <c r="I91" s="16"/>
      <c r="J91" s="16">
        <v>6.48</v>
      </c>
      <c r="K91" s="16">
        <v>12.14</v>
      </c>
      <c r="L91" s="16">
        <v>97.4</v>
      </c>
      <c r="M91" s="16">
        <v>10.06</v>
      </c>
      <c r="N91" s="16">
        <v>77.8</v>
      </c>
      <c r="O91" s="16">
        <v>5.33</v>
      </c>
      <c r="P91" s="16">
        <v>18.8</v>
      </c>
      <c r="Q91" s="16">
        <v>8.1300000000000008</v>
      </c>
      <c r="R91" s="16">
        <v>4.93</v>
      </c>
      <c r="S91">
        <f t="shared" si="2"/>
        <v>2009</v>
      </c>
      <c r="U91">
        <f>G91*About!$B$27</f>
        <v>4.5005799999999994</v>
      </c>
      <c r="V91">
        <f>H91*About!$B$27</f>
        <v>8.710799999999999</v>
      </c>
    </row>
    <row r="92" spans="1:22" x14ac:dyDescent="0.25">
      <c r="A92" s="17">
        <v>40359</v>
      </c>
      <c r="B92" s="16">
        <v>4.4800000000000004</v>
      </c>
      <c r="C92" s="16">
        <v>4.5199999999999996</v>
      </c>
      <c r="D92" s="16">
        <v>4.46</v>
      </c>
      <c r="E92" s="16">
        <v>4.9400000000000004</v>
      </c>
      <c r="F92" s="30">
        <v>5.0199999999999996</v>
      </c>
      <c r="G92" s="30">
        <v>4.75</v>
      </c>
      <c r="H92" s="30">
        <v>9.5299999999999994</v>
      </c>
      <c r="I92" s="16"/>
      <c r="J92" s="16">
        <v>6.18</v>
      </c>
      <c r="K92" s="16">
        <v>11.39</v>
      </c>
      <c r="L92" s="16">
        <v>97.4</v>
      </c>
      <c r="M92" s="16">
        <v>9.4700000000000006</v>
      </c>
      <c r="N92" s="16">
        <v>77.5</v>
      </c>
      <c r="O92" s="16">
        <v>5.49</v>
      </c>
      <c r="P92" s="16">
        <v>18</v>
      </c>
      <c r="Q92" s="16">
        <v>6.25</v>
      </c>
      <c r="R92" s="16">
        <v>5.27</v>
      </c>
      <c r="S92">
        <f t="shared" si="2"/>
        <v>2010</v>
      </c>
      <c r="U92">
        <f>G92*About!$B$27</f>
        <v>4.9257499999999999</v>
      </c>
      <c r="V92">
        <f>H92*About!$B$27</f>
        <v>9.8826099999999979</v>
      </c>
    </row>
    <row r="93" spans="1:22" x14ac:dyDescent="0.25">
      <c r="A93" s="17">
        <v>40724</v>
      </c>
      <c r="B93" s="16">
        <v>3.95</v>
      </c>
      <c r="C93" s="16">
        <v>4.24</v>
      </c>
      <c r="D93" s="16">
        <v>4.09</v>
      </c>
      <c r="E93" s="16">
        <v>5.63</v>
      </c>
      <c r="F93" s="30">
        <v>4.6399999999999997</v>
      </c>
      <c r="G93" s="30">
        <v>4.3499999999999996</v>
      </c>
      <c r="H93" s="30">
        <v>10.54</v>
      </c>
      <c r="I93" s="16"/>
      <c r="J93" s="16">
        <v>5.63</v>
      </c>
      <c r="K93" s="16">
        <v>11.03</v>
      </c>
      <c r="L93" s="16">
        <v>96.3</v>
      </c>
      <c r="M93" s="16">
        <v>8.91</v>
      </c>
      <c r="N93" s="16">
        <v>67.3</v>
      </c>
      <c r="O93" s="16">
        <v>5.13</v>
      </c>
      <c r="P93" s="16">
        <v>16.3</v>
      </c>
      <c r="Q93" s="16">
        <v>7.48</v>
      </c>
      <c r="R93" s="16">
        <v>4.8899999999999997</v>
      </c>
      <c r="S93">
        <f t="shared" si="2"/>
        <v>2011</v>
      </c>
      <c r="U93">
        <f>G93*About!$B$27</f>
        <v>4.5109499999999993</v>
      </c>
      <c r="V93">
        <f>H93*About!$B$27</f>
        <v>10.929979999999999</v>
      </c>
    </row>
    <row r="94" spans="1:22" x14ac:dyDescent="0.25">
      <c r="A94" s="17">
        <v>41090</v>
      </c>
      <c r="B94" s="16">
        <v>2.66</v>
      </c>
      <c r="C94" s="16">
        <v>2.88</v>
      </c>
      <c r="D94" s="16">
        <v>2.79</v>
      </c>
      <c r="E94" s="16">
        <v>4.2699999999999996</v>
      </c>
      <c r="F94" s="30">
        <v>3.25</v>
      </c>
      <c r="G94" s="30">
        <v>3.08</v>
      </c>
      <c r="H94" s="30">
        <v>12.82</v>
      </c>
      <c r="I94" s="16"/>
      <c r="J94" s="16">
        <v>4.7300000000000004</v>
      </c>
      <c r="K94" s="16">
        <v>10.65</v>
      </c>
      <c r="L94" s="16">
        <v>95.8</v>
      </c>
      <c r="M94" s="16">
        <v>8.1</v>
      </c>
      <c r="N94" s="16">
        <v>65.2</v>
      </c>
      <c r="O94" s="16">
        <v>3.88</v>
      </c>
      <c r="P94" s="16">
        <v>16.2</v>
      </c>
      <c r="Q94" s="16">
        <v>8.0399999999999991</v>
      </c>
      <c r="R94" s="16">
        <v>3.54</v>
      </c>
      <c r="S94">
        <f t="shared" si="2"/>
        <v>2012</v>
      </c>
      <c r="U94">
        <f>G94*About!$B$27</f>
        <v>3.1939599999999997</v>
      </c>
      <c r="V94">
        <f>H94*About!$B$27</f>
        <v>13.29434</v>
      </c>
    </row>
    <row r="95" spans="1:22" x14ac:dyDescent="0.25">
      <c r="A95" s="17">
        <v>41455</v>
      </c>
      <c r="B95" s="16"/>
      <c r="C95" s="16">
        <v>3.83</v>
      </c>
      <c r="D95" s="16">
        <v>3.73</v>
      </c>
      <c r="E95" s="16">
        <v>6.8</v>
      </c>
      <c r="F95" s="30">
        <v>4.08</v>
      </c>
      <c r="G95" s="30">
        <v>4.0599999999999996</v>
      </c>
      <c r="H95" s="30">
        <v>13.36</v>
      </c>
      <c r="I95" s="16"/>
      <c r="J95" s="16">
        <v>4.88</v>
      </c>
      <c r="K95" s="16">
        <v>10.32</v>
      </c>
      <c r="L95" s="16">
        <v>95.7</v>
      </c>
      <c r="M95" s="16">
        <v>8.08</v>
      </c>
      <c r="N95" s="16">
        <v>65.8</v>
      </c>
      <c r="O95" s="16">
        <v>4.6399999999999997</v>
      </c>
      <c r="P95" s="16">
        <v>16.600000000000001</v>
      </c>
      <c r="Q95" s="16"/>
      <c r="R95" s="16">
        <v>4.49</v>
      </c>
      <c r="S95">
        <f t="shared" si="2"/>
        <v>2013</v>
      </c>
      <c r="U95">
        <f>G95*About!$B$27</f>
        <v>4.2102199999999996</v>
      </c>
      <c r="V95">
        <f>H95*About!$B$27</f>
        <v>13.854319999999998</v>
      </c>
    </row>
    <row r="96" spans="1:22" x14ac:dyDescent="0.25">
      <c r="A96" s="17">
        <v>41820</v>
      </c>
      <c r="B96" s="16"/>
      <c r="C96" s="16">
        <v>5.3</v>
      </c>
      <c r="D96" s="16">
        <v>5.21</v>
      </c>
      <c r="E96" s="16">
        <v>8.85</v>
      </c>
      <c r="F96" s="30">
        <v>5.51</v>
      </c>
      <c r="G96" s="30">
        <v>5.4</v>
      </c>
      <c r="H96" s="30">
        <v>15.66</v>
      </c>
      <c r="I96" s="16"/>
      <c r="J96" s="16">
        <v>5.71</v>
      </c>
      <c r="K96" s="16">
        <v>10.97</v>
      </c>
      <c r="L96" s="16">
        <v>95.5</v>
      </c>
      <c r="M96" s="16">
        <v>8.9</v>
      </c>
      <c r="N96" s="16">
        <v>65.8</v>
      </c>
      <c r="O96" s="16">
        <v>5.62</v>
      </c>
      <c r="P96" s="16">
        <v>15.9</v>
      </c>
      <c r="Q96" s="16"/>
      <c r="R96" s="16">
        <v>5.19</v>
      </c>
      <c r="S96">
        <f t="shared" si="2"/>
        <v>2014</v>
      </c>
      <c r="U96">
        <f>G96*About!$B$27</f>
        <v>5.5998000000000001</v>
      </c>
      <c r="V96">
        <f>H96*About!$B$27</f>
        <v>16.239419999999999</v>
      </c>
    </row>
    <row r="97" spans="1:22" x14ac:dyDescent="0.25">
      <c r="A97" s="17">
        <v>42185</v>
      </c>
      <c r="B97" s="16"/>
      <c r="C97" s="16">
        <v>2.99</v>
      </c>
      <c r="D97" s="16">
        <v>2.84</v>
      </c>
      <c r="E97" s="16">
        <v>7.37</v>
      </c>
      <c r="F97" s="30">
        <v>3.07</v>
      </c>
      <c r="G97" s="30">
        <v>2.95</v>
      </c>
      <c r="H97" s="30">
        <v>10.92</v>
      </c>
      <c r="I97" s="16"/>
      <c r="J97" s="16">
        <v>4.26</v>
      </c>
      <c r="K97" s="16">
        <v>10.38</v>
      </c>
      <c r="L97" s="16">
        <v>95.6</v>
      </c>
      <c r="M97" s="16">
        <v>7.91</v>
      </c>
      <c r="N97" s="16">
        <v>65.7</v>
      </c>
      <c r="O97" s="16">
        <v>3.93</v>
      </c>
      <c r="P97" s="16">
        <v>14.8</v>
      </c>
      <c r="Q97" s="16"/>
      <c r="R97" s="16">
        <v>3.38</v>
      </c>
      <c r="S97">
        <f t="shared" si="2"/>
        <v>2015</v>
      </c>
      <c r="U97">
        <f>G97*About!$B$27</f>
        <v>3.0591499999999998</v>
      </c>
      <c r="V97">
        <f>H97*About!$B$27</f>
        <v>11.324039999999998</v>
      </c>
    </row>
    <row r="98" spans="1:22" x14ac:dyDescent="0.25">
      <c r="A98" s="17">
        <v>42551</v>
      </c>
      <c r="B98" s="16"/>
      <c r="C98" s="16">
        <v>2.2400000000000002</v>
      </c>
      <c r="D98" s="16">
        <v>2.1800000000000002</v>
      </c>
      <c r="E98" s="16">
        <v>4.07</v>
      </c>
      <c r="F98" s="30">
        <v>2.79</v>
      </c>
      <c r="G98" s="30">
        <v>2.63</v>
      </c>
      <c r="H98" s="30">
        <v>4.71</v>
      </c>
      <c r="I98" s="16"/>
      <c r="J98" s="16">
        <v>3.71</v>
      </c>
      <c r="K98" s="16">
        <v>10.050000000000001</v>
      </c>
      <c r="L98" s="16">
        <v>95.8</v>
      </c>
      <c r="M98" s="16">
        <v>7.28</v>
      </c>
      <c r="N98" s="16">
        <v>64.8</v>
      </c>
      <c r="O98" s="16">
        <v>3.51</v>
      </c>
      <c r="P98" s="16">
        <v>14.9</v>
      </c>
      <c r="Q98" s="16"/>
      <c r="R98" s="16">
        <v>2.99</v>
      </c>
      <c r="S98">
        <f t="shared" si="2"/>
        <v>2016</v>
      </c>
      <c r="U98">
        <f>G98*About!$B$27</f>
        <v>2.7273099999999997</v>
      </c>
      <c r="V98">
        <f>H98*About!$B$27</f>
        <v>4.8842699999999999</v>
      </c>
    </row>
    <row r="99" spans="1:22" x14ac:dyDescent="0.25">
      <c r="A99" s="17">
        <v>42916</v>
      </c>
      <c r="B99" s="16"/>
      <c r="C99" s="16">
        <v>2.6</v>
      </c>
      <c r="D99" s="16">
        <v>2.5499999999999998</v>
      </c>
      <c r="E99" s="16">
        <v>4.58</v>
      </c>
      <c r="F99" s="30">
        <v>3.54</v>
      </c>
      <c r="G99" s="30">
        <v>3.2</v>
      </c>
      <c r="H99" s="30">
        <v>4.6900000000000004</v>
      </c>
      <c r="I99" s="16"/>
      <c r="J99" s="16">
        <v>4.16</v>
      </c>
      <c r="K99" s="16">
        <v>10.91</v>
      </c>
      <c r="L99" s="16">
        <v>95.9</v>
      </c>
      <c r="M99" s="16">
        <v>7.88</v>
      </c>
      <c r="N99" s="16">
        <v>65.400000000000006</v>
      </c>
      <c r="O99" s="16">
        <v>4.08</v>
      </c>
      <c r="P99" s="16">
        <v>14.8</v>
      </c>
      <c r="Q99" s="16"/>
      <c r="R99" s="16">
        <v>3.51</v>
      </c>
      <c r="S99">
        <f t="shared" si="2"/>
        <v>2017</v>
      </c>
      <c r="U99">
        <f>G99*About!$B$27</f>
        <v>3.3184</v>
      </c>
      <c r="V99">
        <f>H99*About!$B$27</f>
        <v>4.8635299999999999</v>
      </c>
    </row>
    <row r="100" spans="1:22" x14ac:dyDescent="0.25">
      <c r="A100" s="17">
        <v>43281</v>
      </c>
      <c r="B100" s="16"/>
      <c r="C100" s="16">
        <v>2.69</v>
      </c>
      <c r="D100" s="16">
        <v>2.58</v>
      </c>
      <c r="E100" s="16">
        <v>6.56</v>
      </c>
      <c r="F100" s="30">
        <v>3.89</v>
      </c>
      <c r="G100" s="30">
        <v>3.34</v>
      </c>
      <c r="H100" s="30">
        <v>5.2</v>
      </c>
      <c r="I100" s="16"/>
      <c r="J100" s="16">
        <v>4.2300000000000004</v>
      </c>
      <c r="K100" s="16">
        <v>10.5</v>
      </c>
      <c r="L100" s="16">
        <v>96</v>
      </c>
      <c r="M100" s="16">
        <v>7.79</v>
      </c>
      <c r="N100" s="16">
        <v>65.8</v>
      </c>
      <c r="O100" s="16">
        <v>4.1900000000000004</v>
      </c>
      <c r="P100" s="16">
        <v>14.5</v>
      </c>
      <c r="Q100" s="16"/>
      <c r="R100" s="16">
        <v>3.68</v>
      </c>
      <c r="S100">
        <f t="shared" si="2"/>
        <v>2018</v>
      </c>
      <c r="U100">
        <f>G100*About!$B$27</f>
        <v>3.4635799999999994</v>
      </c>
      <c r="V100">
        <f>H100*About!$B$27</f>
        <v>5.3923999999999994</v>
      </c>
    </row>
    <row r="101" spans="1:22" x14ac:dyDescent="0.25">
      <c r="A101" s="17">
        <v>43646</v>
      </c>
      <c r="B101" s="16"/>
      <c r="C101" s="16">
        <v>2.5499999999999998</v>
      </c>
      <c r="D101" s="16">
        <v>2.46</v>
      </c>
      <c r="E101" s="16">
        <v>7.44</v>
      </c>
      <c r="F101" s="30">
        <v>3.64</v>
      </c>
      <c r="G101" s="30">
        <v>2.64</v>
      </c>
      <c r="H101" s="30">
        <v>5.21</v>
      </c>
      <c r="I101" s="16"/>
      <c r="J101" s="16">
        <v>3.81</v>
      </c>
      <c r="K101" s="16">
        <v>10.51</v>
      </c>
      <c r="L101" s="16">
        <v>96.2</v>
      </c>
      <c r="M101" s="16">
        <v>7.61</v>
      </c>
      <c r="N101" s="16">
        <v>65.5</v>
      </c>
      <c r="O101" s="16">
        <v>3.9</v>
      </c>
      <c r="P101" s="16">
        <v>13</v>
      </c>
      <c r="Q101" s="16"/>
      <c r="R101" s="16">
        <v>2.99</v>
      </c>
      <c r="S101">
        <f t="shared" si="2"/>
        <v>2019</v>
      </c>
      <c r="U101">
        <f>G101*About!$B$27</f>
        <v>2.7376800000000001</v>
      </c>
      <c r="V101">
        <f>H101*About!$B$27</f>
        <v>5.4027699999999994</v>
      </c>
    </row>
    <row r="102" spans="1:22" x14ac:dyDescent="0.25">
      <c r="A102" s="17">
        <v>44012</v>
      </c>
      <c r="B102" s="16"/>
      <c r="C102" s="16">
        <v>2.0699999999999998</v>
      </c>
      <c r="D102" s="16">
        <v>2.02</v>
      </c>
      <c r="E102" s="16">
        <v>4.5999999999999996</v>
      </c>
      <c r="F102" s="30">
        <v>3.7</v>
      </c>
      <c r="G102" s="30">
        <v>2.1</v>
      </c>
      <c r="H102" s="30">
        <v>5.64</v>
      </c>
      <c r="I102" s="16"/>
      <c r="J102" s="16">
        <v>3.43</v>
      </c>
      <c r="K102" s="16">
        <v>10.78</v>
      </c>
      <c r="L102" s="16">
        <v>96.3</v>
      </c>
      <c r="M102" s="16">
        <v>7.49</v>
      </c>
      <c r="N102" s="16">
        <v>64.599999999999994</v>
      </c>
      <c r="O102" s="16">
        <v>3.32</v>
      </c>
      <c r="P102" s="16">
        <v>13.2</v>
      </c>
      <c r="Q102" s="16"/>
      <c r="R102" s="16">
        <v>2.48</v>
      </c>
      <c r="S102">
        <f t="shared" si="2"/>
        <v>2020</v>
      </c>
      <c r="U102">
        <f>G102*About!$B$27</f>
        <v>2.1776999999999997</v>
      </c>
      <c r="V102">
        <f>H102*About!$B$27</f>
        <v>5.848679999999999</v>
      </c>
    </row>
    <row r="103" spans="1:22" x14ac:dyDescent="0.25">
      <c r="A103" s="17">
        <v>44377</v>
      </c>
      <c r="B103" s="16"/>
      <c r="C103" s="16">
        <v>3.78</v>
      </c>
      <c r="D103" s="16">
        <v>3.72</v>
      </c>
      <c r="E103" s="16">
        <v>12.21</v>
      </c>
      <c r="F103" s="30">
        <v>6.38</v>
      </c>
      <c r="G103" s="30">
        <v>4.9400000000000004</v>
      </c>
      <c r="H103" s="30">
        <v>7.62</v>
      </c>
      <c r="I103" s="16"/>
      <c r="J103" s="16">
        <v>6.11</v>
      </c>
      <c r="K103" s="16">
        <v>12.24</v>
      </c>
      <c r="L103" s="16">
        <v>96.6</v>
      </c>
      <c r="M103" s="16">
        <v>8.7799999999999994</v>
      </c>
      <c r="N103" s="16">
        <v>65.099999999999994</v>
      </c>
      <c r="O103" s="16">
        <v>5.5</v>
      </c>
      <c r="P103" s="16">
        <v>13.4</v>
      </c>
      <c r="Q103" s="16"/>
      <c r="R103" s="16">
        <v>5.16</v>
      </c>
      <c r="S103">
        <f t="shared" si="2"/>
        <v>2021</v>
      </c>
      <c r="U103">
        <f>G103*About!$B$27</f>
        <v>5.1227799999999997</v>
      </c>
      <c r="V103">
        <f>H103*About!$B$27</f>
        <v>7.9019399999999997</v>
      </c>
    </row>
  </sheetData>
  <hyperlinks>
    <hyperlink ref="A1" location="Contents!A1" display="Back to Contents" xr:uid="{4BE9D40F-2FDE-455B-B4AB-55589D86053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044E-6069-409A-82B6-E7EAA03DB369}">
  <dimension ref="A1:F32"/>
  <sheetViews>
    <sheetView workbookViewId="0">
      <selection activeCell="J28" sqref="J28"/>
    </sheetView>
  </sheetViews>
  <sheetFormatPr defaultRowHeight="15" x14ac:dyDescent="0.25"/>
  <cols>
    <col min="1" max="1" width="28.7109375" customWidth="1"/>
    <col min="2" max="2" width="29.85546875" customWidth="1"/>
  </cols>
  <sheetData>
    <row r="1" spans="1:6" x14ac:dyDescent="0.25">
      <c r="A1" t="s">
        <v>1630</v>
      </c>
    </row>
    <row r="2" spans="1:6" x14ac:dyDescent="0.25">
      <c r="A2">
        <v>1</v>
      </c>
      <c r="B2" cm="1">
        <f t="array" ref="B2">SUMPRODUCT(IF('Historical Monthly Gas Cons'!$C$4:$C$257='NG Calcs'!A2,IF('Historical Monthly Gas Cons'!$D$4:$D$257&gt;2015,'Historical Monthly Gas Cons'!$B$4:$B$257))/SUMPRODUCT(IF('Historical Monthly Gas Cons'!$D$4:$D$257&gt;2015,'Historical Monthly Gas Cons'!$B$4:$B$257)))</f>
        <v>0.1270463460485193</v>
      </c>
    </row>
    <row r="3" spans="1:6" x14ac:dyDescent="0.25">
      <c r="A3">
        <v>2</v>
      </c>
      <c r="B3" cm="1">
        <f t="array" ref="B3">SUMPRODUCT(IF('Historical Monthly Gas Cons'!$C$4:$C$257='NG Calcs'!A3,IF('Historical Monthly Gas Cons'!$D$4:$D$257&gt;2015,'Historical Monthly Gas Cons'!$B$4:$B$257))/SUMPRODUCT(IF('Historical Monthly Gas Cons'!$D$4:$D$257&gt;2015,'Historical Monthly Gas Cons'!$B$4:$B$257)))</f>
        <v>0.1095772406187249</v>
      </c>
    </row>
    <row r="4" spans="1:6" x14ac:dyDescent="0.25">
      <c r="A4">
        <v>3</v>
      </c>
      <c r="B4" cm="1">
        <f t="array" ref="B4">SUMPRODUCT(IF('Historical Monthly Gas Cons'!$C$4:$C$257='NG Calcs'!A4,IF('Historical Monthly Gas Cons'!$D$4:$D$257&gt;2015,'Historical Monthly Gas Cons'!$B$4:$B$257))/SUMPRODUCT(IF('Historical Monthly Gas Cons'!$D$4:$D$257&gt;2015,'Historical Monthly Gas Cons'!$B$4:$B$257)))</f>
        <v>8.7240360280687282E-2</v>
      </c>
    </row>
    <row r="5" spans="1:6" x14ac:dyDescent="0.25">
      <c r="A5">
        <v>4</v>
      </c>
      <c r="B5" cm="1">
        <f t="array" ref="B5">SUMPRODUCT(IF('Historical Monthly Gas Cons'!$C$4:$C$257='NG Calcs'!A5,IF('Historical Monthly Gas Cons'!$D$4:$D$257&gt;2015,'Historical Monthly Gas Cons'!$B$4:$B$257))/SUMPRODUCT(IF('Historical Monthly Gas Cons'!$D$4:$D$257&gt;2015,'Historical Monthly Gas Cons'!$B$4:$B$257)))</f>
        <v>7.0786697063152826E-2</v>
      </c>
    </row>
    <row r="6" spans="1:6" x14ac:dyDescent="0.25">
      <c r="A6">
        <v>5</v>
      </c>
      <c r="B6" cm="1">
        <f t="array" ref="B6">SUMPRODUCT(IF('Historical Monthly Gas Cons'!$C$4:$C$257='NG Calcs'!A6,IF('Historical Monthly Gas Cons'!$D$4:$D$257&gt;2015,'Historical Monthly Gas Cons'!$B$4:$B$257))/SUMPRODUCT(IF('Historical Monthly Gas Cons'!$D$4:$D$257&gt;2015,'Historical Monthly Gas Cons'!$B$4:$B$257)))</f>
        <v>6.5746454474812546E-2</v>
      </c>
    </row>
    <row r="7" spans="1:6" x14ac:dyDescent="0.25">
      <c r="A7">
        <v>6</v>
      </c>
      <c r="B7" cm="1">
        <f t="array" ref="B7">SUMPRODUCT(IF('Historical Monthly Gas Cons'!$C$4:$C$257='NG Calcs'!A7,IF('Historical Monthly Gas Cons'!$D$4:$D$257&gt;2015,'Historical Monthly Gas Cons'!$B$4:$B$257))/SUMPRODUCT(IF('Historical Monthly Gas Cons'!$D$4:$D$257&gt;2015,'Historical Monthly Gas Cons'!$B$4:$B$257)))</f>
        <v>6.7228771759466358E-2</v>
      </c>
    </row>
    <row r="8" spans="1:6" x14ac:dyDescent="0.25">
      <c r="A8">
        <v>7</v>
      </c>
      <c r="B8" cm="1">
        <f t="array" ref="B8">SUMPRODUCT(IF('Historical Monthly Gas Cons'!$C$4:$C$257='NG Calcs'!A8,IF('Historical Monthly Gas Cons'!$D$4:$D$257&gt;2015,'Historical Monthly Gas Cons'!$B$4:$B$257))/SUMPRODUCT(IF('Historical Monthly Gas Cons'!$D$4:$D$257&gt;2015,'Historical Monthly Gas Cons'!$B$4:$B$257)))</f>
        <v>7.5765383374164705E-2</v>
      </c>
    </row>
    <row r="9" spans="1:6" x14ac:dyDescent="0.25">
      <c r="A9">
        <v>8</v>
      </c>
      <c r="B9" cm="1">
        <f t="array" ref="B9">SUMPRODUCT(IF('Historical Monthly Gas Cons'!$C$4:$C$257='NG Calcs'!A9,IF('Historical Monthly Gas Cons'!$D$4:$D$257&gt;2015,'Historical Monthly Gas Cons'!$B$4:$B$257))/SUMPRODUCT(IF('Historical Monthly Gas Cons'!$D$4:$D$257&gt;2015,'Historical Monthly Gas Cons'!$B$4:$B$257)))</f>
        <v>7.5220400584460917E-2</v>
      </c>
    </row>
    <row r="10" spans="1:6" x14ac:dyDescent="0.25">
      <c r="A10">
        <v>9</v>
      </c>
      <c r="B10" cm="1">
        <f t="array" ref="B10">SUMPRODUCT(IF('Historical Monthly Gas Cons'!$C$4:$C$257='NG Calcs'!A10,IF('Historical Monthly Gas Cons'!$D$4:$D$257&gt;2015,'Historical Monthly Gas Cons'!$B$4:$B$257))/SUMPRODUCT(IF('Historical Monthly Gas Cons'!$D$4:$D$257&gt;2015,'Historical Monthly Gas Cons'!$B$4:$B$257)))</f>
        <v>6.7544194573749827E-2</v>
      </c>
    </row>
    <row r="11" spans="1:6" x14ac:dyDescent="0.25">
      <c r="A11">
        <v>10</v>
      </c>
      <c r="B11" cm="1">
        <f t="array" ref="B11">SUMPRODUCT(IF('Historical Monthly Gas Cons'!$C$4:$C$257='NG Calcs'!A11,IF('Historical Monthly Gas Cons'!$D$4:$D$257&gt;2015,'Historical Monthly Gas Cons'!$B$4:$B$257))/SUMPRODUCT(IF('Historical Monthly Gas Cons'!$D$4:$D$257&gt;2015,'Historical Monthly Gas Cons'!$B$4:$B$257)))</f>
        <v>7.0774681411857457E-2</v>
      </c>
    </row>
    <row r="12" spans="1:6" x14ac:dyDescent="0.25">
      <c r="A12">
        <v>11</v>
      </c>
      <c r="B12" cm="1">
        <f t="array" ref="B12">SUMPRODUCT(IF('Historical Monthly Gas Cons'!$C$4:$C$257='NG Calcs'!A12,IF('Historical Monthly Gas Cons'!$D$4:$D$257&gt;2015,'Historical Monthly Gas Cons'!$B$4:$B$257))/SUMPRODUCT(IF('Historical Monthly Gas Cons'!$D$4:$D$257&gt;2015,'Historical Monthly Gas Cons'!$B$4:$B$257)))</f>
        <v>8.2458274678494717E-2</v>
      </c>
    </row>
    <row r="13" spans="1:6" x14ac:dyDescent="0.25">
      <c r="A13">
        <v>12</v>
      </c>
      <c r="B13" cm="1">
        <f t="array" ref="B13">SUMPRODUCT(IF('Historical Monthly Gas Cons'!$C$4:$C$257='NG Calcs'!A13,IF('Historical Monthly Gas Cons'!$D$4:$D$257&gt;2015,'Historical Monthly Gas Cons'!$B$4:$B$257))/SUMPRODUCT(IF('Historical Monthly Gas Cons'!$D$4:$D$257&gt;2015,'Historical Monthly Gas Cons'!$B$4:$B$257)))</f>
        <v>0.10061119513190914</v>
      </c>
    </row>
    <row r="15" spans="1:6" x14ac:dyDescent="0.25">
      <c r="A15" s="9" t="s">
        <v>1639</v>
      </c>
    </row>
    <row r="16" spans="1:6" x14ac:dyDescent="0.25">
      <c r="A16" t="s">
        <v>1629</v>
      </c>
      <c r="B16">
        <v>2021</v>
      </c>
      <c r="C16">
        <v>2022</v>
      </c>
      <c r="D16">
        <v>2023</v>
      </c>
      <c r="E16">
        <v>2024</v>
      </c>
      <c r="F16">
        <v>2025</v>
      </c>
    </row>
    <row r="17" spans="1:6" x14ac:dyDescent="0.25">
      <c r="A17">
        <v>1</v>
      </c>
      <c r="B17">
        <v>2.71</v>
      </c>
      <c r="C17">
        <v>4.38</v>
      </c>
      <c r="D17">
        <v>8.9830000000000005</v>
      </c>
      <c r="E17">
        <v>5.6280000000000001</v>
      </c>
      <c r="F17">
        <v>4.9770000000000003</v>
      </c>
    </row>
    <row r="18" spans="1:6" x14ac:dyDescent="0.25">
      <c r="A18">
        <v>2</v>
      </c>
      <c r="B18">
        <v>5.35</v>
      </c>
      <c r="C18">
        <v>4.6900000000000004</v>
      </c>
      <c r="D18">
        <v>8.625</v>
      </c>
      <c r="E18">
        <v>5.4320000000000004</v>
      </c>
      <c r="F18">
        <v>4.8440000000000003</v>
      </c>
    </row>
    <row r="19" spans="1:6" x14ac:dyDescent="0.25">
      <c r="A19">
        <v>3</v>
      </c>
      <c r="B19">
        <v>2.62</v>
      </c>
      <c r="C19">
        <v>4.9000000000000004</v>
      </c>
      <c r="D19">
        <v>7.1689999999999996</v>
      </c>
      <c r="E19">
        <v>4.9960000000000004</v>
      </c>
      <c r="F19">
        <v>4.5220000000000002</v>
      </c>
    </row>
    <row r="20" spans="1:6" x14ac:dyDescent="0.25">
      <c r="A20">
        <v>4</v>
      </c>
      <c r="B20">
        <v>2.66</v>
      </c>
      <c r="C20">
        <v>6.6</v>
      </c>
      <c r="D20">
        <v>5.173</v>
      </c>
      <c r="E20">
        <v>4.1909999999999998</v>
      </c>
      <c r="F20">
        <v>3.9319999999999999</v>
      </c>
    </row>
    <row r="21" spans="1:6" x14ac:dyDescent="0.25">
      <c r="A21">
        <v>5</v>
      </c>
      <c r="B21">
        <v>2.91</v>
      </c>
      <c r="C21" s="33">
        <v>7.3649999999999993</v>
      </c>
      <c r="D21">
        <v>4.9669999999999996</v>
      </c>
      <c r="E21">
        <v>4.1139999999999999</v>
      </c>
      <c r="F21">
        <v>3.8919999999999999</v>
      </c>
    </row>
    <row r="22" spans="1:6" x14ac:dyDescent="0.25">
      <c r="A22">
        <v>6</v>
      </c>
      <c r="B22">
        <v>3.26</v>
      </c>
      <c r="C22" s="33">
        <v>8.129999999999999</v>
      </c>
      <c r="D22">
        <v>5.0209999999999999</v>
      </c>
      <c r="E22">
        <v>4.1719999999999997</v>
      </c>
      <c r="F22">
        <v>3.952</v>
      </c>
    </row>
    <row r="23" spans="1:6" x14ac:dyDescent="0.25">
      <c r="A23">
        <v>7</v>
      </c>
      <c r="B23">
        <v>3.84</v>
      </c>
      <c r="C23">
        <v>8.8949999999999996</v>
      </c>
      <c r="D23">
        <v>5.0599999999999996</v>
      </c>
      <c r="E23">
        <v>4.2290000000000001</v>
      </c>
      <c r="F23">
        <v>4.0060000000000002</v>
      </c>
    </row>
    <row r="24" spans="1:6" x14ac:dyDescent="0.25">
      <c r="A24">
        <v>8</v>
      </c>
      <c r="B24">
        <v>4.07</v>
      </c>
      <c r="C24">
        <v>8.8800000000000008</v>
      </c>
      <c r="D24">
        <v>5.0419999999999998</v>
      </c>
      <c r="E24">
        <v>4.24</v>
      </c>
      <c r="F24">
        <v>4.0309999999999997</v>
      </c>
    </row>
    <row r="25" spans="1:6" x14ac:dyDescent="0.25">
      <c r="A25">
        <v>9</v>
      </c>
      <c r="B25">
        <v>5.16</v>
      </c>
      <c r="C25">
        <v>8.8369999999999997</v>
      </c>
      <c r="D25">
        <v>5.008</v>
      </c>
      <c r="E25">
        <v>4.2220000000000004</v>
      </c>
      <c r="F25">
        <v>4.0209999999999999</v>
      </c>
    </row>
    <row r="26" spans="1:6" x14ac:dyDescent="0.25">
      <c r="A26">
        <v>10</v>
      </c>
      <c r="B26">
        <v>5.51</v>
      </c>
      <c r="C26">
        <v>8.8019999999999996</v>
      </c>
      <c r="D26">
        <v>5.069</v>
      </c>
      <c r="E26">
        <v>4.2779999999999996</v>
      </c>
      <c r="F26">
        <v>4.0880000000000001</v>
      </c>
    </row>
    <row r="27" spans="1:6" x14ac:dyDescent="0.25">
      <c r="A27">
        <v>11</v>
      </c>
      <c r="B27">
        <v>5.05</v>
      </c>
      <c r="C27">
        <v>8.8339999999999996</v>
      </c>
      <c r="D27">
        <v>5.2190000000000003</v>
      </c>
      <c r="E27">
        <v>4.4550000000000001</v>
      </c>
      <c r="F27">
        <v>4.274</v>
      </c>
    </row>
    <row r="28" spans="1:6" x14ac:dyDescent="0.25">
      <c r="A28">
        <v>12</v>
      </c>
      <c r="B28">
        <v>3.76</v>
      </c>
      <c r="C28">
        <v>8.9049999999999994</v>
      </c>
      <c r="D28">
        <v>5.492</v>
      </c>
      <c r="E28">
        <v>4.8109999999999999</v>
      </c>
      <c r="F28">
        <v>4.641</v>
      </c>
    </row>
    <row r="31" spans="1:6" x14ac:dyDescent="0.25">
      <c r="A31" t="s">
        <v>1628</v>
      </c>
      <c r="B31">
        <v>2021</v>
      </c>
      <c r="C31">
        <v>2022</v>
      </c>
      <c r="D31">
        <v>2023</v>
      </c>
      <c r="E31">
        <v>2024</v>
      </c>
      <c r="F31">
        <v>2025</v>
      </c>
    </row>
    <row r="32" spans="1:6" x14ac:dyDescent="0.25">
      <c r="B32">
        <f>SUMPRODUCT(B17:B28,$B$2:$B$13)</f>
        <v>3.8881791936204264</v>
      </c>
      <c r="C32">
        <f>SUMPRODUCT(C17:C28,$B$2:$B$13)</f>
        <v>7.1819588984960454</v>
      </c>
      <c r="D32">
        <f>SUMPRODUCT(D17:D28,$B$2:$B$13)</f>
        <v>6.1846437613646419</v>
      </c>
      <c r="E32">
        <f>SUMPRODUCT(E17:E28,$B$2:$B$13)</f>
        <v>4.672403698255903</v>
      </c>
      <c r="F32">
        <f>SUMPRODUCT(F17:F28,$B$2:$B$13)</f>
        <v>4.3445242138202138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EA45-00F8-4C48-A8A2-627B59575ADD}">
  <dimension ref="A1:G121"/>
  <sheetViews>
    <sheetView topLeftCell="A59" workbookViewId="0">
      <selection activeCell="D60" sqref="D60"/>
    </sheetView>
  </sheetViews>
  <sheetFormatPr defaultRowHeight="15" x14ac:dyDescent="0.25"/>
  <cols>
    <col min="2" max="2" width="32" customWidth="1"/>
    <col min="3" max="3" width="21.5703125" customWidth="1"/>
    <col min="4" max="4" width="18.85546875" customWidth="1"/>
    <col min="5" max="5" width="17.85546875" customWidth="1"/>
    <col min="6" max="6" width="21.140625" customWidth="1"/>
    <col min="7" max="7" width="25.42578125" customWidth="1"/>
  </cols>
  <sheetData>
    <row r="1" spans="1:7" x14ac:dyDescent="0.25">
      <c r="A1" s="22" t="s">
        <v>1589</v>
      </c>
      <c r="B1" s="23"/>
      <c r="C1" s="23"/>
      <c r="D1" s="23"/>
      <c r="E1" s="23"/>
      <c r="F1" s="23"/>
      <c r="G1" s="23"/>
    </row>
    <row r="2" spans="1:7" x14ac:dyDescent="0.25">
      <c r="B2" t="s">
        <v>1580</v>
      </c>
      <c r="C2" t="s">
        <v>1561</v>
      </c>
      <c r="D2" t="s">
        <v>1581</v>
      </c>
      <c r="E2" t="s">
        <v>1596</v>
      </c>
      <c r="F2" t="s">
        <v>1587</v>
      </c>
      <c r="G2" t="s">
        <v>1588</v>
      </c>
    </row>
    <row r="3" spans="1:7" x14ac:dyDescent="0.25">
      <c r="B3">
        <v>2001</v>
      </c>
      <c r="C3">
        <f>'NG Sector Price Historicals'!U83</f>
        <v>4.2931799999999996</v>
      </c>
      <c r="D3">
        <f>'NG Sector Price Historicals'!V83</f>
        <v>4.5628000000000002</v>
      </c>
      <c r="E3">
        <f>'EIA Henry Hub Nat Gas Spot'!B8</f>
        <v>3.96</v>
      </c>
      <c r="F3">
        <f>C3/E3</f>
        <v>1.0841363636363635</v>
      </c>
      <c r="G3">
        <f>D3/E3</f>
        <v>1.1522222222222223</v>
      </c>
    </row>
    <row r="4" spans="1:7" x14ac:dyDescent="0.25">
      <c r="B4">
        <v>2002</v>
      </c>
      <c r="C4">
        <f>'NG Sector Price Historicals'!U84</f>
        <v>3.4428399999999995</v>
      </c>
      <c r="D4">
        <f>'NG Sector Price Historicals'!V84</f>
        <v>4.2309599999999996</v>
      </c>
      <c r="E4">
        <f>'EIA Henry Hub Nat Gas Spot'!B9</f>
        <v>3.38</v>
      </c>
      <c r="F4">
        <f t="shared" ref="F4:F23" si="0">C4/E4</f>
        <v>1.0185917159763311</v>
      </c>
      <c r="G4">
        <f t="shared" ref="G4:G23" si="1">D4/E4</f>
        <v>1.2517633136094675</v>
      </c>
    </row>
    <row r="5" spans="1:7" x14ac:dyDescent="0.25">
      <c r="B5">
        <v>2003</v>
      </c>
      <c r="C5">
        <f>'NG Sector Price Historicals'!U85</f>
        <v>5.8694199999999999</v>
      </c>
      <c r="D5">
        <f>'NG Sector Price Historicals'!V85</f>
        <v>4.6353899999999992</v>
      </c>
      <c r="E5">
        <f>'EIA Henry Hub Nat Gas Spot'!B10</f>
        <v>5.47</v>
      </c>
      <c r="F5">
        <f t="shared" si="0"/>
        <v>1.073020109689214</v>
      </c>
      <c r="G5">
        <f t="shared" si="1"/>
        <v>0.84742047531992681</v>
      </c>
    </row>
    <row r="6" spans="1:7" x14ac:dyDescent="0.25">
      <c r="B6">
        <v>2004</v>
      </c>
      <c r="C6">
        <f>'NG Sector Price Historicals'!U86</f>
        <v>6.4086599999999994</v>
      </c>
      <c r="D6">
        <f>'NG Sector Price Historicals'!V86</f>
        <v>5.1435199999999996</v>
      </c>
      <c r="E6">
        <f>'EIA Henry Hub Nat Gas Spot'!B11</f>
        <v>5.89</v>
      </c>
      <c r="F6">
        <f t="shared" si="0"/>
        <v>1.0880577249575552</v>
      </c>
      <c r="G6">
        <f t="shared" si="1"/>
        <v>0.87326315789473685</v>
      </c>
    </row>
    <row r="7" spans="1:7" x14ac:dyDescent="0.25">
      <c r="B7">
        <v>2005</v>
      </c>
      <c r="C7">
        <f>'NG Sector Price Historicals'!U87</f>
        <v>8.0574899999999996</v>
      </c>
      <c r="D7">
        <f>'NG Sector Price Historicals'!V87</f>
        <v>6.0042299999999997</v>
      </c>
      <c r="E7">
        <f>'EIA Henry Hub Nat Gas Spot'!B12</f>
        <v>8.69</v>
      </c>
      <c r="F7">
        <f t="shared" si="0"/>
        <v>0.92721403912543154</v>
      </c>
      <c r="G7">
        <f t="shared" si="1"/>
        <v>0.6909355581127733</v>
      </c>
    </row>
    <row r="8" spans="1:7" x14ac:dyDescent="0.25">
      <c r="B8">
        <v>2006</v>
      </c>
      <c r="C8">
        <f>'NG Sector Price Historicals'!U88</f>
        <v>7.1552999999999995</v>
      </c>
      <c r="D8">
        <f>'NG Sector Price Historicals'!V88</f>
        <v>6.2427399999999995</v>
      </c>
      <c r="E8">
        <f>'EIA Henry Hub Nat Gas Spot'!B13</f>
        <v>6.73</v>
      </c>
      <c r="F8">
        <f t="shared" si="0"/>
        <v>1.0631946508172361</v>
      </c>
      <c r="G8">
        <f t="shared" si="1"/>
        <v>0.92759881129271904</v>
      </c>
    </row>
    <row r="9" spans="1:7" x14ac:dyDescent="0.25">
      <c r="B9">
        <v>2007</v>
      </c>
      <c r="C9">
        <f>'NG Sector Price Historicals'!U89</f>
        <v>7.2175199999999995</v>
      </c>
      <c r="D9">
        <f>'NG Sector Price Historicals'!V89</f>
        <v>6.4605100000000002</v>
      </c>
      <c r="E9">
        <f>'EIA Henry Hub Nat Gas Spot'!B14</f>
        <v>6.97</v>
      </c>
      <c r="F9">
        <f t="shared" si="0"/>
        <v>1.0355121951219513</v>
      </c>
      <c r="G9">
        <f t="shared" si="1"/>
        <v>0.92690243902439029</v>
      </c>
    </row>
    <row r="10" spans="1:7" x14ac:dyDescent="0.25">
      <c r="B10">
        <v>2008</v>
      </c>
      <c r="C10">
        <f>'NG Sector Price Historicals'!U90</f>
        <v>8.9389399999999988</v>
      </c>
      <c r="D10">
        <f>'NG Sector Price Historicals'!V90</f>
        <v>7.9745299999999997</v>
      </c>
      <c r="E10">
        <f>'EIA Henry Hub Nat Gas Spot'!B15</f>
        <v>8.86</v>
      </c>
      <c r="F10">
        <f t="shared" si="0"/>
        <v>1.0089097065462753</v>
      </c>
      <c r="G10">
        <f t="shared" si="1"/>
        <v>0.90005981941309254</v>
      </c>
    </row>
    <row r="11" spans="1:7" x14ac:dyDescent="0.25">
      <c r="B11">
        <v>2009</v>
      </c>
      <c r="C11">
        <f>'NG Sector Price Historicals'!U91</f>
        <v>4.5005799999999994</v>
      </c>
      <c r="D11">
        <f>'NG Sector Price Historicals'!V91</f>
        <v>8.710799999999999</v>
      </c>
      <c r="E11">
        <f>'EIA Henry Hub Nat Gas Spot'!B16</f>
        <v>3.94</v>
      </c>
      <c r="F11">
        <f t="shared" si="0"/>
        <v>1.1422791878172587</v>
      </c>
      <c r="G11">
        <f t="shared" si="1"/>
        <v>2.2108629441624363</v>
      </c>
    </row>
    <row r="12" spans="1:7" x14ac:dyDescent="0.25">
      <c r="B12">
        <v>2010</v>
      </c>
      <c r="C12">
        <f>'NG Sector Price Historicals'!U92</f>
        <v>4.9257499999999999</v>
      </c>
      <c r="D12">
        <f>'NG Sector Price Historicals'!V92</f>
        <v>9.8826099999999979</v>
      </c>
      <c r="E12">
        <f>'EIA Henry Hub Nat Gas Spot'!B17</f>
        <v>4.37</v>
      </c>
      <c r="F12">
        <f t="shared" si="0"/>
        <v>1.1271739130434781</v>
      </c>
      <c r="G12">
        <f t="shared" si="1"/>
        <v>2.2614668192219676</v>
      </c>
    </row>
    <row r="13" spans="1:7" x14ac:dyDescent="0.25">
      <c r="B13">
        <v>2011</v>
      </c>
      <c r="C13">
        <f>'NG Sector Price Historicals'!U93</f>
        <v>4.5109499999999993</v>
      </c>
      <c r="D13">
        <f>'NG Sector Price Historicals'!V93</f>
        <v>10.929979999999999</v>
      </c>
      <c r="E13">
        <f>'EIA Henry Hub Nat Gas Spot'!B18</f>
        <v>4</v>
      </c>
      <c r="F13">
        <f t="shared" si="0"/>
        <v>1.1277374999999998</v>
      </c>
      <c r="G13">
        <f t="shared" si="1"/>
        <v>2.7324949999999997</v>
      </c>
    </row>
    <row r="14" spans="1:7" x14ac:dyDescent="0.25">
      <c r="B14">
        <v>2012</v>
      </c>
      <c r="C14">
        <f>'NG Sector Price Historicals'!U94</f>
        <v>3.1939599999999997</v>
      </c>
      <c r="D14">
        <f>'NG Sector Price Historicals'!V94</f>
        <v>13.29434</v>
      </c>
      <c r="E14">
        <f>'EIA Henry Hub Nat Gas Spot'!B19</f>
        <v>2.75</v>
      </c>
      <c r="F14">
        <f t="shared" si="0"/>
        <v>1.1614399999999998</v>
      </c>
      <c r="G14">
        <f t="shared" si="1"/>
        <v>4.8343054545454542</v>
      </c>
    </row>
    <row r="15" spans="1:7" x14ac:dyDescent="0.25">
      <c r="B15">
        <v>2013</v>
      </c>
      <c r="C15">
        <f>'NG Sector Price Historicals'!U95</f>
        <v>4.2102199999999996</v>
      </c>
      <c r="D15">
        <f>'NG Sector Price Historicals'!V95</f>
        <v>13.854319999999998</v>
      </c>
      <c r="E15">
        <f>'EIA Henry Hub Nat Gas Spot'!B20</f>
        <v>3.73</v>
      </c>
      <c r="F15">
        <f t="shared" si="0"/>
        <v>1.128745308310992</v>
      </c>
      <c r="G15">
        <f t="shared" si="1"/>
        <v>3.7142949061662192</v>
      </c>
    </row>
    <row r="16" spans="1:7" x14ac:dyDescent="0.25">
      <c r="B16">
        <v>2014</v>
      </c>
      <c r="C16">
        <f>'NG Sector Price Historicals'!U96</f>
        <v>5.5998000000000001</v>
      </c>
      <c r="D16">
        <f>'NG Sector Price Historicals'!V96</f>
        <v>16.239419999999999</v>
      </c>
      <c r="E16">
        <f>'EIA Henry Hub Nat Gas Spot'!B21</f>
        <v>4.37</v>
      </c>
      <c r="F16">
        <f t="shared" si="0"/>
        <v>1.2814187643020596</v>
      </c>
      <c r="G16">
        <f t="shared" si="1"/>
        <v>3.7161144164759721</v>
      </c>
    </row>
    <row r="17" spans="1:7" x14ac:dyDescent="0.25">
      <c r="B17">
        <v>2015</v>
      </c>
      <c r="C17">
        <f>'NG Sector Price Historicals'!U97</f>
        <v>3.0591499999999998</v>
      </c>
      <c r="D17">
        <f>'NG Sector Price Historicals'!V97</f>
        <v>11.324039999999998</v>
      </c>
      <c r="E17">
        <f>'EIA Henry Hub Nat Gas Spot'!B22</f>
        <v>2.62</v>
      </c>
      <c r="F17">
        <f t="shared" si="0"/>
        <v>1.1676145038167938</v>
      </c>
      <c r="G17">
        <f t="shared" si="1"/>
        <v>4.3221526717557248</v>
      </c>
    </row>
    <row r="18" spans="1:7" x14ac:dyDescent="0.25">
      <c r="B18">
        <v>2016</v>
      </c>
      <c r="C18">
        <f>'NG Sector Price Historicals'!U98</f>
        <v>2.7273099999999997</v>
      </c>
      <c r="D18">
        <f>'NG Sector Price Historicals'!V98</f>
        <v>4.8842699999999999</v>
      </c>
      <c r="E18">
        <f>'EIA Henry Hub Nat Gas Spot'!B23</f>
        <v>2.52</v>
      </c>
      <c r="F18">
        <f t="shared" si="0"/>
        <v>1.082265873015873</v>
      </c>
      <c r="G18">
        <f t="shared" si="1"/>
        <v>1.938202380952381</v>
      </c>
    </row>
    <row r="19" spans="1:7" x14ac:dyDescent="0.25">
      <c r="B19">
        <v>2017</v>
      </c>
      <c r="C19">
        <f>'NG Sector Price Historicals'!U99</f>
        <v>3.3184</v>
      </c>
      <c r="D19">
        <f>'NG Sector Price Historicals'!V99</f>
        <v>4.8635299999999999</v>
      </c>
      <c r="E19">
        <f>'EIA Henry Hub Nat Gas Spot'!B24</f>
        <v>2.99</v>
      </c>
      <c r="F19">
        <f t="shared" si="0"/>
        <v>1.1098327759197324</v>
      </c>
      <c r="G19">
        <f t="shared" si="1"/>
        <v>1.6265986622073576</v>
      </c>
    </row>
    <row r="20" spans="1:7" x14ac:dyDescent="0.25">
      <c r="B20">
        <v>2018</v>
      </c>
      <c r="C20">
        <f>'NG Sector Price Historicals'!U100</f>
        <v>3.4635799999999994</v>
      </c>
      <c r="D20">
        <f>'NG Sector Price Historicals'!V100</f>
        <v>5.3923999999999994</v>
      </c>
      <c r="E20">
        <f>'EIA Henry Hub Nat Gas Spot'!B25</f>
        <v>3.15</v>
      </c>
      <c r="F20">
        <f t="shared" si="0"/>
        <v>1.0995492063492063</v>
      </c>
      <c r="G20">
        <f t="shared" si="1"/>
        <v>1.7118730158730158</v>
      </c>
    </row>
    <row r="21" spans="1:7" x14ac:dyDescent="0.25">
      <c r="B21">
        <v>2019</v>
      </c>
      <c r="C21">
        <f>'NG Sector Price Historicals'!U101</f>
        <v>2.7376800000000001</v>
      </c>
      <c r="D21">
        <f>'NG Sector Price Historicals'!V101</f>
        <v>5.4027699999999994</v>
      </c>
      <c r="E21">
        <f>'EIA Henry Hub Nat Gas Spot'!B26</f>
        <v>2.56</v>
      </c>
      <c r="F21">
        <f t="shared" si="0"/>
        <v>1.0694062500000001</v>
      </c>
      <c r="G21">
        <f t="shared" si="1"/>
        <v>2.1104570312499997</v>
      </c>
    </row>
    <row r="22" spans="1:7" x14ac:dyDescent="0.25">
      <c r="B22">
        <v>2020</v>
      </c>
      <c r="C22">
        <f>'NG Sector Price Historicals'!U102</f>
        <v>2.1776999999999997</v>
      </c>
      <c r="D22">
        <f>'NG Sector Price Historicals'!V102</f>
        <v>5.848679999999999</v>
      </c>
      <c r="E22">
        <f>'EIA Henry Hub Nat Gas Spot'!B27</f>
        <v>2.0299999999999998</v>
      </c>
      <c r="F22">
        <f t="shared" si="0"/>
        <v>1.0727586206896551</v>
      </c>
      <c r="G22">
        <f t="shared" si="1"/>
        <v>2.8811231527093595</v>
      </c>
    </row>
    <row r="23" spans="1:7" x14ac:dyDescent="0.25">
      <c r="B23">
        <v>2021</v>
      </c>
      <c r="C23">
        <f>'NG Sector Price Historicals'!U103</f>
        <v>5.1227799999999997</v>
      </c>
      <c r="D23">
        <f>'NG Sector Price Historicals'!V103</f>
        <v>7.9019399999999997</v>
      </c>
      <c r="E23">
        <f>'EIA Henry Hub Nat Gas Spot'!B28</f>
        <v>3.89</v>
      </c>
      <c r="F23">
        <f t="shared" si="0"/>
        <v>1.3169100257069408</v>
      </c>
      <c r="G23">
        <f t="shared" si="1"/>
        <v>2.0313470437017993</v>
      </c>
    </row>
    <row r="24" spans="1:7" x14ac:dyDescent="0.25">
      <c r="A24" s="24" t="s">
        <v>1474</v>
      </c>
      <c r="B24" s="24"/>
      <c r="C24" s="24"/>
      <c r="D24" s="24"/>
      <c r="E24" s="24">
        <f>AVERAGE(E3:E23)</f>
        <v>4.4223809523809523</v>
      </c>
      <c r="F24" s="24">
        <f>AVERAGE(F3:F23)</f>
        <v>1.104084211182969</v>
      </c>
      <c r="G24" s="24">
        <f>AVERAGE(G3:G23)</f>
        <v>2.0791171093290961</v>
      </c>
    </row>
    <row r="25" spans="1:7" s="25" customFormat="1" x14ac:dyDescent="0.25"/>
    <row r="26" spans="1:7" x14ac:dyDescent="0.25">
      <c r="A26" s="23" t="s">
        <v>1590</v>
      </c>
      <c r="B26" s="23"/>
      <c r="C26" s="23" t="s">
        <v>1561</v>
      </c>
      <c r="D26" s="23" t="s">
        <v>1581</v>
      </c>
      <c r="E26" s="23"/>
      <c r="F26" s="23"/>
      <c r="G26" s="23"/>
    </row>
    <row r="27" spans="1:7" x14ac:dyDescent="0.25">
      <c r="B27">
        <v>2022</v>
      </c>
      <c r="C27" s="26">
        <f t="shared" ref="C27:C55" si="2">$E27*F$24</f>
        <v>7.9294874251945107</v>
      </c>
      <c r="D27" s="26">
        <f t="shared" ref="D27:D55" si="3">$E27*G$24</f>
        <v>14.932133624361477</v>
      </c>
      <c r="E27" s="44" cm="1">
        <f t="array" ref="E27:E30">TRANSPOSE('NG Calcs'!C32:F32)</f>
        <v>7.1819588984960454</v>
      </c>
      <c r="G27" s="45" t="s">
        <v>1633</v>
      </c>
    </row>
    <row r="28" spans="1:7" x14ac:dyDescent="0.25">
      <c r="B28">
        <v>2023</v>
      </c>
      <c r="C28" s="26">
        <f t="shared" si="2"/>
        <v>6.8283675287139509</v>
      </c>
      <c r="D28" s="26">
        <f t="shared" si="3"/>
        <v>12.858598659358682</v>
      </c>
      <c r="E28" s="44">
        <v>6.1846437613646419</v>
      </c>
      <c r="G28" s="35" t="s">
        <v>1634</v>
      </c>
    </row>
    <row r="29" spans="1:7" x14ac:dyDescent="0.25">
      <c r="B29">
        <v>2024</v>
      </c>
      <c r="C29" s="26">
        <f t="shared" si="2"/>
        <v>5.1587271515172555</v>
      </c>
      <c r="D29" s="26">
        <f t="shared" si="3"/>
        <v>9.7144744707363913</v>
      </c>
      <c r="E29" s="44">
        <v>4.672403698255903</v>
      </c>
      <c r="G29" s="14" t="s">
        <v>1635</v>
      </c>
    </row>
    <row r="30" spans="1:7" x14ac:dyDescent="0.25">
      <c r="B30">
        <v>2025</v>
      </c>
      <c r="C30" s="26">
        <f t="shared" si="2"/>
        <v>4.7967205895809988</v>
      </c>
      <c r="D30" s="26">
        <f t="shared" si="3"/>
        <v>9.0327746248481464</v>
      </c>
      <c r="E30" s="44">
        <v>4.3445242138202138</v>
      </c>
    </row>
    <row r="31" spans="1:7" x14ac:dyDescent="0.25">
      <c r="B31">
        <v>2026</v>
      </c>
      <c r="C31" s="26">
        <f t="shared" si="2"/>
        <v>4.5857183463161908</v>
      </c>
      <c r="D31" s="26">
        <f t="shared" si="3"/>
        <v>8.6354332177025448</v>
      </c>
      <c r="E31" s="46">
        <f>E30-(($E$30-$E$35)/5)</f>
        <v>4.1534135710561708</v>
      </c>
      <c r="F31" s="26"/>
    </row>
    <row r="32" spans="1:7" x14ac:dyDescent="0.25">
      <c r="B32">
        <v>2027</v>
      </c>
      <c r="C32" s="26">
        <f t="shared" si="2"/>
        <v>4.3747161030513828</v>
      </c>
      <c r="D32" s="26">
        <f t="shared" si="3"/>
        <v>8.2380918105569432</v>
      </c>
      <c r="E32" s="46">
        <f t="shared" ref="E32:E34" si="4">E31-(($E$30-$E$35)/5)</f>
        <v>3.9623029282921283</v>
      </c>
    </row>
    <row r="33" spans="2:6" x14ac:dyDescent="0.25">
      <c r="B33">
        <v>2028</v>
      </c>
      <c r="C33" s="26">
        <f t="shared" si="2"/>
        <v>4.1637138597865739</v>
      </c>
      <c r="D33" s="26">
        <f t="shared" si="3"/>
        <v>7.8407504034113407</v>
      </c>
      <c r="E33" s="46">
        <f t="shared" si="4"/>
        <v>3.7711922855280857</v>
      </c>
    </row>
    <row r="34" spans="2:6" x14ac:dyDescent="0.25">
      <c r="B34">
        <v>2029</v>
      </c>
      <c r="C34" s="26">
        <f t="shared" si="2"/>
        <v>3.9527116165217664</v>
      </c>
      <c r="D34" s="26">
        <f t="shared" si="3"/>
        <v>7.443408996265739</v>
      </c>
      <c r="E34" s="46">
        <f t="shared" si="4"/>
        <v>3.5800816427640432</v>
      </c>
      <c r="F34" s="26"/>
    </row>
    <row r="35" spans="2:6" x14ac:dyDescent="0.25">
      <c r="B35">
        <v>2030</v>
      </c>
      <c r="C35" s="26">
        <f t="shared" si="2"/>
        <v>3.7417093732569575</v>
      </c>
      <c r="D35" s="26">
        <f t="shared" si="3"/>
        <v>7.0460675891201365</v>
      </c>
      <c r="E35" s="27" cm="1">
        <f t="array" ref="E35:E55">TRANSPOSE('AEO22 Table13'!O29:AI29)</f>
        <v>3.3889710000000002</v>
      </c>
    </row>
    <row r="36" spans="2:6" x14ac:dyDescent="0.25">
      <c r="B36">
        <v>2031</v>
      </c>
      <c r="C36" s="26">
        <f t="shared" si="2"/>
        <v>3.8140014951525849</v>
      </c>
      <c r="D36" s="26">
        <f t="shared" si="3"/>
        <v>7.182201940087678</v>
      </c>
      <c r="E36" s="27">
        <v>3.4544480000000002</v>
      </c>
    </row>
    <row r="37" spans="2:6" x14ac:dyDescent="0.25">
      <c r="B37">
        <v>2032</v>
      </c>
      <c r="C37" s="26">
        <f t="shared" si="2"/>
        <v>3.8553052854929399</v>
      </c>
      <c r="D37" s="26">
        <f t="shared" si="3"/>
        <v>7.2599817111476792</v>
      </c>
      <c r="E37" s="27">
        <v>3.4918580000000001</v>
      </c>
    </row>
    <row r="38" spans="2:6" x14ac:dyDescent="0.25">
      <c r="B38">
        <v>2033</v>
      </c>
      <c r="C38" s="26">
        <f t="shared" si="2"/>
        <v>3.9672947552016504</v>
      </c>
      <c r="D38" s="26">
        <f t="shared" si="3"/>
        <v>7.470870717781148</v>
      </c>
      <c r="E38" s="27">
        <v>3.5932900000000001</v>
      </c>
    </row>
    <row r="39" spans="2:6" x14ac:dyDescent="0.25">
      <c r="B39">
        <v>2034</v>
      </c>
      <c r="C39" s="26">
        <f t="shared" si="2"/>
        <v>3.9682475798759014</v>
      </c>
      <c r="D39" s="26">
        <f t="shared" si="3"/>
        <v>7.4726649958464986</v>
      </c>
      <c r="E39" s="27">
        <v>3.5941529999999999</v>
      </c>
    </row>
    <row r="40" spans="2:6" x14ac:dyDescent="0.25">
      <c r="B40">
        <v>2035</v>
      </c>
      <c r="C40" s="26">
        <f t="shared" si="2"/>
        <v>3.8911946468616532</v>
      </c>
      <c r="D40" s="26">
        <f t="shared" si="3"/>
        <v>7.3275654919035302</v>
      </c>
      <c r="E40" s="27">
        <v>3.5243639999999998</v>
      </c>
    </row>
    <row r="41" spans="2:6" x14ac:dyDescent="0.25">
      <c r="B41">
        <v>2036</v>
      </c>
      <c r="C41" s="26">
        <f t="shared" si="2"/>
        <v>3.8480702216570575</v>
      </c>
      <c r="D41" s="26">
        <f t="shared" si="3"/>
        <v>7.2463572567302448</v>
      </c>
      <c r="E41" s="27">
        <v>3.4853049999999999</v>
      </c>
    </row>
    <row r="42" spans="2:6" x14ac:dyDescent="0.25">
      <c r="B42">
        <v>2037</v>
      </c>
      <c r="C42" s="26">
        <f t="shared" si="2"/>
        <v>3.8498643585002301</v>
      </c>
      <c r="D42" s="26">
        <f t="shared" si="3"/>
        <v>7.2497358220329051</v>
      </c>
      <c r="E42" s="27">
        <v>3.4869300000000001</v>
      </c>
    </row>
    <row r="43" spans="2:6" x14ac:dyDescent="0.25">
      <c r="B43">
        <v>2038</v>
      </c>
      <c r="C43" s="26">
        <f t="shared" si="2"/>
        <v>3.8844663576787037</v>
      </c>
      <c r="D43" s="26">
        <f t="shared" si="3"/>
        <v>7.3148953522392786</v>
      </c>
      <c r="E43" s="27">
        <v>3.5182699999999998</v>
      </c>
    </row>
    <row r="44" spans="2:6" x14ac:dyDescent="0.25">
      <c r="B44">
        <v>2039</v>
      </c>
      <c r="C44" s="26">
        <f t="shared" si="2"/>
        <v>3.9146553322650801</v>
      </c>
      <c r="D44" s="26">
        <f t="shared" si="3"/>
        <v>7.3717446513596645</v>
      </c>
      <c r="E44" s="27">
        <v>3.5456129999999999</v>
      </c>
    </row>
    <row r="45" spans="2:6" x14ac:dyDescent="0.25">
      <c r="B45">
        <v>2040</v>
      </c>
      <c r="C45" s="26">
        <f t="shared" si="2"/>
        <v>3.9500357108124384</v>
      </c>
      <c r="D45" s="26">
        <f t="shared" si="3"/>
        <v>7.4383699591281154</v>
      </c>
      <c r="E45" s="27">
        <v>3.577658</v>
      </c>
    </row>
    <row r="46" spans="2:6" x14ac:dyDescent="0.25">
      <c r="B46">
        <v>2041</v>
      </c>
      <c r="C46" s="26">
        <f t="shared" si="2"/>
        <v>4.0129596781761787</v>
      </c>
      <c r="D46" s="26">
        <f t="shared" si="3"/>
        <v>7.5568630014229994</v>
      </c>
      <c r="E46" s="27">
        <v>3.6346500000000002</v>
      </c>
    </row>
    <row r="47" spans="2:6" x14ac:dyDescent="0.25">
      <c r="B47">
        <v>2042</v>
      </c>
      <c r="C47" s="26">
        <f t="shared" si="2"/>
        <v>4.0321475576823271</v>
      </c>
      <c r="D47" s="26">
        <f t="shared" si="3"/>
        <v>7.5929959776660301</v>
      </c>
      <c r="E47" s="27">
        <v>3.6520290000000002</v>
      </c>
    </row>
    <row r="48" spans="2:6" x14ac:dyDescent="0.25">
      <c r="B48">
        <v>2043</v>
      </c>
      <c r="C48" s="26">
        <f t="shared" si="2"/>
        <v>3.9631787292623604</v>
      </c>
      <c r="D48" s="26">
        <f t="shared" si="3"/>
        <v>7.4631197691975686</v>
      </c>
      <c r="E48" s="27">
        <v>3.5895619999999999</v>
      </c>
    </row>
    <row r="49" spans="1:7" x14ac:dyDescent="0.25">
      <c r="B49">
        <v>2044</v>
      </c>
      <c r="C49" s="26">
        <f t="shared" si="2"/>
        <v>3.9317829906331614</v>
      </c>
      <c r="D49" s="26">
        <f t="shared" si="3"/>
        <v>7.4039979950766863</v>
      </c>
      <c r="E49" s="27">
        <v>3.5611259999999998</v>
      </c>
    </row>
    <row r="50" spans="1:7" x14ac:dyDescent="0.25">
      <c r="B50">
        <v>2045</v>
      </c>
      <c r="C50" s="26">
        <f t="shared" si="2"/>
        <v>3.8308144895204794</v>
      </c>
      <c r="D50" s="26">
        <f t="shared" si="3"/>
        <v>7.213862735428541</v>
      </c>
      <c r="E50" s="27">
        <v>3.4696760000000002</v>
      </c>
    </row>
    <row r="51" spans="1:7" x14ac:dyDescent="0.25">
      <c r="B51">
        <v>2046</v>
      </c>
      <c r="C51" s="26">
        <f t="shared" si="2"/>
        <v>3.7818925181229615</v>
      </c>
      <c r="D51" s="26">
        <f t="shared" si="3"/>
        <v>7.121737056314168</v>
      </c>
      <c r="E51" s="27">
        <v>3.4253659999999999</v>
      </c>
    </row>
    <row r="52" spans="1:7" x14ac:dyDescent="0.25">
      <c r="B52">
        <v>2047</v>
      </c>
      <c r="C52" s="26">
        <f t="shared" si="2"/>
        <v>3.7542341045486172</v>
      </c>
      <c r="D52" s="26">
        <f t="shared" si="3"/>
        <v>7.0696530936083652</v>
      </c>
      <c r="E52" s="27">
        <v>3.400315</v>
      </c>
    </row>
    <row r="53" spans="1:7" x14ac:dyDescent="0.25">
      <c r="B53">
        <v>2048</v>
      </c>
      <c r="C53" s="26">
        <f t="shared" si="2"/>
        <v>3.7455306087118618</v>
      </c>
      <c r="D53" s="26">
        <f t="shared" si="3"/>
        <v>7.0532634134355243</v>
      </c>
      <c r="E53" s="27">
        <v>3.3924319999999999</v>
      </c>
    </row>
    <row r="54" spans="1:7" x14ac:dyDescent="0.25">
      <c r="B54">
        <v>2049</v>
      </c>
      <c r="C54" s="26">
        <f t="shared" si="2"/>
        <v>3.7578256904875951</v>
      </c>
      <c r="D54" s="26">
        <f t="shared" si="3"/>
        <v>7.0764164615650129</v>
      </c>
      <c r="E54" s="27">
        <v>3.4035679999999999</v>
      </c>
    </row>
    <row r="55" spans="1:7" x14ac:dyDescent="0.25">
      <c r="B55">
        <v>2050</v>
      </c>
      <c r="C55" s="26">
        <f t="shared" si="2"/>
        <v>3.7643883670388667</v>
      </c>
      <c r="D55" s="26">
        <f t="shared" si="3"/>
        <v>7.0887747336628646</v>
      </c>
      <c r="E55" s="27">
        <v>3.4095119999999999</v>
      </c>
    </row>
    <row r="57" spans="1:7" x14ac:dyDescent="0.25">
      <c r="A57" s="23" t="s">
        <v>1592</v>
      </c>
      <c r="B57" s="23"/>
      <c r="C57" s="23" t="s">
        <v>1561</v>
      </c>
      <c r="D57" s="23" t="s">
        <v>1581</v>
      </c>
      <c r="E57" s="23" t="s">
        <v>1593</v>
      </c>
      <c r="F57" s="23" t="s">
        <v>1594</v>
      </c>
      <c r="G57" s="23"/>
    </row>
    <row r="58" spans="1:7" s="25" customFormat="1" x14ac:dyDescent="0.25">
      <c r="B58" s="25">
        <v>2020</v>
      </c>
      <c r="C58" s="25">
        <f>SUM('AEO21 Table60'!C23:D23)</f>
        <v>2.9463729999999999</v>
      </c>
      <c r="D58" s="25">
        <f>'AEO21 Table60'!E23</f>
        <v>2.3141799999999999</v>
      </c>
      <c r="E58" s="28">
        <f>C58/SUM(C58:D58)</f>
        <v>0.56008807439065822</v>
      </c>
      <c r="F58" s="28">
        <f>D58/SUM(C58:D58)</f>
        <v>0.43991192560934184</v>
      </c>
    </row>
    <row r="59" spans="1:7" x14ac:dyDescent="0.25">
      <c r="B59">
        <v>2021</v>
      </c>
      <c r="C59" s="25">
        <f>SUM('AEO22 Table60'!C23:D23)</f>
        <v>3.1695950000000002</v>
      </c>
      <c r="D59" s="25">
        <f>'AEO22 Table60'!E23</f>
        <v>3.5793599999999999</v>
      </c>
      <c r="E59" s="28">
        <f t="shared" ref="E59:E88" si="5">C59/SUM(C59:D59)</f>
        <v>0.46964233722109572</v>
      </c>
      <c r="F59" s="28">
        <f t="shared" ref="F59:F87" si="6">D59/SUM(C59:D59)</f>
        <v>0.53035766277890428</v>
      </c>
    </row>
    <row r="60" spans="1:7" x14ac:dyDescent="0.25">
      <c r="B60">
        <v>2022</v>
      </c>
      <c r="C60" s="25">
        <f>SUM('AEO22 Table60'!C24:D24)</f>
        <v>3.315312</v>
      </c>
      <c r="D60" s="25">
        <f>'AEO22 Table60'!E24</f>
        <v>4.1955</v>
      </c>
      <c r="E60" s="28">
        <f t="shared" si="5"/>
        <v>0.44140527016253372</v>
      </c>
      <c r="F60" s="28">
        <f t="shared" si="6"/>
        <v>0.55859472983746639</v>
      </c>
    </row>
    <row r="61" spans="1:7" x14ac:dyDescent="0.25">
      <c r="B61">
        <v>2023</v>
      </c>
      <c r="C61" s="25">
        <f>SUM('AEO22 Table60'!C25:D25)</f>
        <v>3.276408</v>
      </c>
      <c r="D61" s="25">
        <f>'AEO22 Table60'!E25</f>
        <v>4.4365750000000004</v>
      </c>
      <c r="E61" s="28">
        <f t="shared" si="5"/>
        <v>0.42479129021806478</v>
      </c>
      <c r="F61" s="28">
        <f t="shared" si="6"/>
        <v>0.57520870978193528</v>
      </c>
    </row>
    <row r="62" spans="1:7" x14ac:dyDescent="0.25">
      <c r="B62">
        <v>2024</v>
      </c>
      <c r="C62" s="25">
        <f>SUM('AEO22 Table60'!C26:D26)</f>
        <v>3.3142690000000004</v>
      </c>
      <c r="D62" s="25">
        <f>'AEO22 Table60'!E26</f>
        <v>4.4810759999999998</v>
      </c>
      <c r="E62" s="28">
        <f t="shared" si="5"/>
        <v>0.42516001536814602</v>
      </c>
      <c r="F62" s="28">
        <f t="shared" si="6"/>
        <v>0.57483998463185393</v>
      </c>
    </row>
    <row r="63" spans="1:7" x14ac:dyDescent="0.25">
      <c r="B63">
        <v>2025</v>
      </c>
      <c r="C63" s="25">
        <f>SUM('AEO22 Table60'!C27:D27)</f>
        <v>3.3664139999999998</v>
      </c>
      <c r="D63" s="25">
        <f>'AEO22 Table60'!E27</f>
        <v>4.6510009999999999</v>
      </c>
      <c r="E63" s="28">
        <f t="shared" si="5"/>
        <v>0.4198877069479377</v>
      </c>
      <c r="F63" s="28">
        <f t="shared" si="6"/>
        <v>0.58011229305206236</v>
      </c>
    </row>
    <row r="64" spans="1:7" x14ac:dyDescent="0.25">
      <c r="B64">
        <v>2026</v>
      </c>
      <c r="C64" s="25">
        <f>SUM('AEO22 Table60'!C28:D28)</f>
        <v>3.3658000000000001</v>
      </c>
      <c r="D64" s="25">
        <f>'AEO22 Table60'!E28</f>
        <v>4.6630580000000004</v>
      </c>
      <c r="E64" s="28">
        <f t="shared" si="5"/>
        <v>0.4192127946465114</v>
      </c>
      <c r="F64" s="28">
        <f t="shared" si="6"/>
        <v>0.58078720535348871</v>
      </c>
    </row>
    <row r="65" spans="2:6" x14ac:dyDescent="0.25">
      <c r="B65">
        <v>2027</v>
      </c>
      <c r="C65" s="25">
        <f>SUM('AEO22 Table60'!C29:D29)</f>
        <v>3.3924820000000002</v>
      </c>
      <c r="D65" s="25">
        <f>'AEO22 Table60'!E29</f>
        <v>4.763058</v>
      </c>
      <c r="E65" s="28">
        <f t="shared" si="5"/>
        <v>0.4159727007653693</v>
      </c>
      <c r="F65" s="28">
        <f t="shared" si="6"/>
        <v>0.5840272992346307</v>
      </c>
    </row>
    <row r="66" spans="2:6" x14ac:dyDescent="0.25">
      <c r="B66">
        <v>2028</v>
      </c>
      <c r="C66" s="25">
        <f>SUM('AEO22 Table60'!C30:D30)</f>
        <v>3.4725910000000004</v>
      </c>
      <c r="D66" s="25">
        <f>'AEO22 Table60'!E30</f>
        <v>4.9758329999999997</v>
      </c>
      <c r="E66" s="28">
        <f t="shared" si="5"/>
        <v>0.4110341763150146</v>
      </c>
      <c r="F66" s="28">
        <f t="shared" si="6"/>
        <v>0.58896582368498551</v>
      </c>
    </row>
    <row r="67" spans="2:6" x14ac:dyDescent="0.25">
      <c r="B67">
        <v>2029</v>
      </c>
      <c r="C67" s="25">
        <f>SUM('AEO22 Table60'!C31:D31)</f>
        <v>3.5399240000000001</v>
      </c>
      <c r="D67" s="25">
        <f>'AEO22 Table60'!E31</f>
        <v>5.1630580000000004</v>
      </c>
      <c r="E67" s="28">
        <f t="shared" si="5"/>
        <v>0.40674839957154912</v>
      </c>
      <c r="F67" s="28">
        <f t="shared" si="6"/>
        <v>0.59325160042845082</v>
      </c>
    </row>
    <row r="68" spans="2:6" x14ac:dyDescent="0.25">
      <c r="B68">
        <v>2030</v>
      </c>
      <c r="C68" s="25">
        <f>SUM('AEO22 Table60'!C32:D32)</f>
        <v>3.5634980000000001</v>
      </c>
      <c r="D68" s="25">
        <f>'AEO22 Table60'!E32</f>
        <v>5.3630579999999997</v>
      </c>
      <c r="E68" s="28">
        <f t="shared" si="5"/>
        <v>0.39920188704355858</v>
      </c>
      <c r="F68" s="28">
        <f t="shared" si="6"/>
        <v>0.60079811295644137</v>
      </c>
    </row>
    <row r="69" spans="2:6" x14ac:dyDescent="0.25">
      <c r="B69">
        <v>2031</v>
      </c>
      <c r="C69" s="25">
        <f>SUM('AEO22 Table60'!C33:D33)</f>
        <v>3.6336200000000001</v>
      </c>
      <c r="D69" s="25">
        <f>'AEO22 Table60'!E33</f>
        <v>5.5630579999999998</v>
      </c>
      <c r="E69" s="28">
        <f t="shared" si="5"/>
        <v>0.39510136160035175</v>
      </c>
      <c r="F69" s="28">
        <f t="shared" si="6"/>
        <v>0.60489863839964819</v>
      </c>
    </row>
    <row r="70" spans="2:6" x14ac:dyDescent="0.25">
      <c r="B70">
        <v>2032</v>
      </c>
      <c r="C70" s="25">
        <f>SUM('AEO22 Table60'!C34:D34)</f>
        <v>3.6734929999999997</v>
      </c>
      <c r="D70" s="25">
        <f>'AEO22 Table60'!E34</f>
        <v>5.7758330000000004</v>
      </c>
      <c r="E70" s="28">
        <f t="shared" si="5"/>
        <v>0.38875714521861138</v>
      </c>
      <c r="F70" s="28">
        <f t="shared" si="6"/>
        <v>0.61124285478138873</v>
      </c>
    </row>
    <row r="71" spans="2:6" x14ac:dyDescent="0.25">
      <c r="B71">
        <v>2033</v>
      </c>
      <c r="C71" s="25">
        <f>SUM('AEO22 Table60'!C35:D35)</f>
        <v>3.7062370000000002</v>
      </c>
      <c r="D71" s="25">
        <f>'AEO22 Table60'!E35</f>
        <v>5.8630579999999997</v>
      </c>
      <c r="E71" s="28">
        <f t="shared" si="5"/>
        <v>0.3873051254037001</v>
      </c>
      <c r="F71" s="28">
        <f t="shared" si="6"/>
        <v>0.6126948745962999</v>
      </c>
    </row>
    <row r="72" spans="2:6" x14ac:dyDescent="0.25">
      <c r="B72">
        <v>2034</v>
      </c>
      <c r="C72" s="25">
        <f>SUM('AEO22 Table60'!C36:D36)</f>
        <v>3.750356</v>
      </c>
      <c r="D72" s="25">
        <f>'AEO22 Table60'!E36</f>
        <v>5.8630579999999997</v>
      </c>
      <c r="E72" s="28">
        <f t="shared" si="5"/>
        <v>0.39011697613355678</v>
      </c>
      <c r="F72" s="28">
        <f t="shared" si="6"/>
        <v>0.60988302386644333</v>
      </c>
    </row>
    <row r="73" spans="2:6" x14ac:dyDescent="0.25">
      <c r="B73">
        <v>2035</v>
      </c>
      <c r="C73" s="25">
        <f>SUM('AEO22 Table60'!C37:D37)</f>
        <v>3.8006479999999998</v>
      </c>
      <c r="D73" s="25">
        <f>'AEO22 Table60'!E37</f>
        <v>5.8630579999999997</v>
      </c>
      <c r="E73" s="28">
        <f t="shared" si="5"/>
        <v>0.39329093827978623</v>
      </c>
      <c r="F73" s="28">
        <f t="shared" si="6"/>
        <v>0.60670906172021377</v>
      </c>
    </row>
    <row r="74" spans="2:6" x14ac:dyDescent="0.25">
      <c r="B74">
        <v>2036</v>
      </c>
      <c r="C74" s="25">
        <f>SUM('AEO22 Table60'!C38:D38)</f>
        <v>3.8115070000000002</v>
      </c>
      <c r="D74" s="25">
        <f>'AEO22 Table60'!E38</f>
        <v>5.8758340000000002</v>
      </c>
      <c r="E74" s="28">
        <f t="shared" si="5"/>
        <v>0.39345234156617387</v>
      </c>
      <c r="F74" s="28">
        <f t="shared" si="6"/>
        <v>0.60654765843382619</v>
      </c>
    </row>
    <row r="75" spans="2:6" x14ac:dyDescent="0.25">
      <c r="B75">
        <v>2037</v>
      </c>
      <c r="C75" s="25">
        <f>SUM('AEO22 Table60'!C39:D39)</f>
        <v>3.818203</v>
      </c>
      <c r="D75" s="25">
        <f>'AEO22 Table60'!E39</f>
        <v>5.8630579999999997</v>
      </c>
      <c r="E75" s="28">
        <f t="shared" si="5"/>
        <v>0.39439108190554933</v>
      </c>
      <c r="F75" s="28">
        <f t="shared" si="6"/>
        <v>0.60560891809445072</v>
      </c>
    </row>
    <row r="76" spans="2:6" x14ac:dyDescent="0.25">
      <c r="B76">
        <v>2038</v>
      </c>
      <c r="C76" s="25">
        <f>SUM('AEO22 Table60'!C40:D40)</f>
        <v>3.8383419999999999</v>
      </c>
      <c r="D76" s="25">
        <f>'AEO22 Table60'!E40</f>
        <v>5.8630579999999997</v>
      </c>
      <c r="E76" s="28">
        <f t="shared" si="5"/>
        <v>0.3956482569526048</v>
      </c>
      <c r="F76" s="28">
        <f t="shared" si="6"/>
        <v>0.60435174304739525</v>
      </c>
    </row>
    <row r="77" spans="2:6" x14ac:dyDescent="0.25">
      <c r="B77">
        <v>2039</v>
      </c>
      <c r="C77" s="25">
        <f>SUM('AEO22 Table60'!C41:D41)</f>
        <v>3.8642839999999996</v>
      </c>
      <c r="D77" s="25">
        <f>'AEO22 Table60'!E41</f>
        <v>5.8630579999999997</v>
      </c>
      <c r="E77" s="28">
        <f t="shared" si="5"/>
        <v>0.39726001203617595</v>
      </c>
      <c r="F77" s="28">
        <f t="shared" si="6"/>
        <v>0.602739987963824</v>
      </c>
    </row>
    <row r="78" spans="2:6" x14ac:dyDescent="0.25">
      <c r="B78">
        <v>2040</v>
      </c>
      <c r="C78" s="25">
        <f>SUM('AEO22 Table60'!C42:D42)</f>
        <v>3.8802690000000002</v>
      </c>
      <c r="D78" s="25">
        <f>'AEO22 Table60'!E42</f>
        <v>5.8758340000000002</v>
      </c>
      <c r="E78" s="28">
        <f t="shared" si="5"/>
        <v>0.397727350767002</v>
      </c>
      <c r="F78" s="28">
        <f t="shared" si="6"/>
        <v>0.60227264923299806</v>
      </c>
    </row>
    <row r="79" spans="2:6" x14ac:dyDescent="0.25">
      <c r="B79">
        <v>2041</v>
      </c>
      <c r="C79" s="25">
        <f>SUM('AEO22 Table60'!C43:D43)</f>
        <v>3.8937850000000003</v>
      </c>
      <c r="D79" s="25">
        <f>'AEO22 Table60'!E43</f>
        <v>5.8630579999999997</v>
      </c>
      <c r="E79" s="28">
        <f t="shared" si="5"/>
        <v>0.39908246960620358</v>
      </c>
      <c r="F79" s="28">
        <f t="shared" si="6"/>
        <v>0.60091753039379636</v>
      </c>
    </row>
    <row r="80" spans="2:6" x14ac:dyDescent="0.25">
      <c r="B80">
        <v>2042</v>
      </c>
      <c r="C80" s="25">
        <f>SUM('AEO22 Table60'!C44:D44)</f>
        <v>3.898647</v>
      </c>
      <c r="D80" s="25">
        <f>'AEO22 Table60'!E44</f>
        <v>5.8630579999999997</v>
      </c>
      <c r="E80" s="28">
        <f t="shared" si="5"/>
        <v>0.39938176783666379</v>
      </c>
      <c r="F80" s="28">
        <f t="shared" si="6"/>
        <v>0.60061823216333621</v>
      </c>
    </row>
    <row r="81" spans="1:6" x14ac:dyDescent="0.25">
      <c r="B81">
        <v>2043</v>
      </c>
      <c r="C81" s="25">
        <f>SUM('AEO22 Table60'!C45:D45)</f>
        <v>3.9081699999999997</v>
      </c>
      <c r="D81" s="25">
        <f>'AEO22 Table60'!E45</f>
        <v>5.8630579999999997</v>
      </c>
      <c r="E81" s="28">
        <f t="shared" si="5"/>
        <v>0.39996712798022932</v>
      </c>
      <c r="F81" s="28">
        <f t="shared" si="6"/>
        <v>0.60003287201977074</v>
      </c>
    </row>
    <row r="82" spans="1:6" x14ac:dyDescent="0.25">
      <c r="B82">
        <v>2044</v>
      </c>
      <c r="C82" s="25">
        <f>SUM('AEO22 Table60'!C46:D46)</f>
        <v>3.9381530000000002</v>
      </c>
      <c r="D82" s="25">
        <f>'AEO22 Table60'!E46</f>
        <v>5.8758340000000002</v>
      </c>
      <c r="E82" s="28">
        <f t="shared" si="5"/>
        <v>0.40127962264470085</v>
      </c>
      <c r="F82" s="28">
        <f t="shared" si="6"/>
        <v>0.59872037735529904</v>
      </c>
    </row>
    <row r="83" spans="1:6" x14ac:dyDescent="0.25">
      <c r="B83">
        <v>2045</v>
      </c>
      <c r="C83" s="25">
        <f>SUM('AEO22 Table60'!C47:D47)</f>
        <v>3.9412219999999998</v>
      </c>
      <c r="D83" s="25">
        <f>'AEO22 Table60'!E47</f>
        <v>5.8630579999999997</v>
      </c>
      <c r="E83" s="28">
        <f t="shared" si="5"/>
        <v>0.40198994724752868</v>
      </c>
      <c r="F83" s="28">
        <f t="shared" si="6"/>
        <v>0.59801005275247143</v>
      </c>
    </row>
    <row r="84" spans="1:6" x14ac:dyDescent="0.25">
      <c r="B84">
        <v>2046</v>
      </c>
      <c r="C84" s="25">
        <f>SUM('AEO22 Table60'!C48:D48)</f>
        <v>3.92889</v>
      </c>
      <c r="D84" s="25">
        <f>'AEO22 Table60'!E48</f>
        <v>5.8630579999999997</v>
      </c>
      <c r="E84" s="28">
        <f t="shared" si="5"/>
        <v>0.4012368121235938</v>
      </c>
      <c r="F84" s="28">
        <f t="shared" si="6"/>
        <v>0.59876318787640614</v>
      </c>
    </row>
    <row r="85" spans="1:6" x14ac:dyDescent="0.25">
      <c r="B85">
        <v>2047</v>
      </c>
      <c r="C85" s="25">
        <f>SUM('AEO22 Table60'!C49:D49)</f>
        <v>3.9186170000000002</v>
      </c>
      <c r="D85" s="25">
        <f>'AEO22 Table60'!E49</f>
        <v>5.8630579999999997</v>
      </c>
      <c r="E85" s="28">
        <f t="shared" si="5"/>
        <v>0.40060797358325645</v>
      </c>
      <c r="F85" s="28">
        <f t="shared" si="6"/>
        <v>0.5993920264167435</v>
      </c>
    </row>
    <row r="86" spans="1:6" x14ac:dyDescent="0.25">
      <c r="B86">
        <v>2048</v>
      </c>
      <c r="C86" s="25">
        <f>SUM('AEO22 Table60'!C50:D50)</f>
        <v>3.9068899999999998</v>
      </c>
      <c r="D86" s="25">
        <f>'AEO22 Table60'!E50</f>
        <v>5.8758340000000002</v>
      </c>
      <c r="E86" s="28">
        <f t="shared" si="5"/>
        <v>0.39936627058066854</v>
      </c>
      <c r="F86" s="28">
        <f t="shared" si="6"/>
        <v>0.60063372941933146</v>
      </c>
    </row>
    <row r="87" spans="1:6" x14ac:dyDescent="0.25">
      <c r="B87">
        <v>2049</v>
      </c>
      <c r="C87" s="25">
        <f>SUM('AEO22 Table60'!C51:D51)</f>
        <v>3.8935820000000003</v>
      </c>
      <c r="D87" s="25">
        <f>'AEO22 Table60'!E51</f>
        <v>5.8630579999999997</v>
      </c>
      <c r="E87" s="28">
        <f t="shared" si="5"/>
        <v>0.39906996670985095</v>
      </c>
      <c r="F87" s="28">
        <f t="shared" si="6"/>
        <v>0.60093003329014893</v>
      </c>
    </row>
    <row r="88" spans="1:6" x14ac:dyDescent="0.25">
      <c r="B88">
        <v>2050</v>
      </c>
      <c r="C88" s="25">
        <f>SUM('AEO22 Table60'!C52:D52)</f>
        <v>3.8848979999999997</v>
      </c>
      <c r="D88" s="25">
        <f>'AEO22 Table60'!E52</f>
        <v>5.8630579999999997</v>
      </c>
      <c r="E88" s="28">
        <f t="shared" si="5"/>
        <v>0.3985346261308525</v>
      </c>
      <c r="F88" s="28">
        <f>D88/SUM(C88:D88)</f>
        <v>0.60146537386914756</v>
      </c>
    </row>
    <row r="90" spans="1:6" x14ac:dyDescent="0.25">
      <c r="A90" s="22" t="s">
        <v>1595</v>
      </c>
      <c r="B90" s="23" t="s">
        <v>1631</v>
      </c>
      <c r="C90" s="23"/>
      <c r="D90" s="23" t="s">
        <v>1606</v>
      </c>
    </row>
    <row r="91" spans="1:6" x14ac:dyDescent="0.25">
      <c r="B91" s="25">
        <v>2020</v>
      </c>
      <c r="C91" s="31">
        <f>E58*C22+F58*D22</f>
        <v>3.7926078806733816</v>
      </c>
      <c r="D91" s="5">
        <f>C91*About!$B$28/10^6</f>
        <v>3.3640431901572894E-6</v>
      </c>
    </row>
    <row r="92" spans="1:6" x14ac:dyDescent="0.25">
      <c r="B92">
        <v>2021</v>
      </c>
      <c r="C92" s="31">
        <f>E59*C23+F59*D23</f>
        <v>6.5967288020886192</v>
      </c>
      <c r="D92" s="5">
        <f>C92*About!$B$29/10^6</f>
        <v>5.58742929536906E-6</v>
      </c>
    </row>
    <row r="93" spans="1:6" x14ac:dyDescent="0.25">
      <c r="B93">
        <v>2022</v>
      </c>
      <c r="C93" s="31">
        <f t="shared" ref="C93:C120" si="7">E60*C27+D27*F60</f>
        <v>11.841128686965543</v>
      </c>
      <c r="D93" s="5">
        <f>C93*About!$B$29/10^6</f>
        <v>1.0029435997859815E-5</v>
      </c>
    </row>
    <row r="94" spans="1:6" x14ac:dyDescent="0.25">
      <c r="B94">
        <v>2023</v>
      </c>
      <c r="C94" s="31">
        <f t="shared" si="7"/>
        <v>10.297008997058969</v>
      </c>
      <c r="D94" s="5">
        <f>C94*About!$B$29/10^6</f>
        <v>8.7215666205089458E-6</v>
      </c>
    </row>
    <row r="95" spans="1:6" x14ac:dyDescent="0.25">
      <c r="B95">
        <v>2024</v>
      </c>
      <c r="C95" s="31">
        <f t="shared" si="7"/>
        <v>7.7775528704837926</v>
      </c>
      <c r="D95" s="5">
        <f>C95*About!$B$29/10^6</f>
        <v>6.5875872812997719E-6</v>
      </c>
    </row>
    <row r="96" spans="1:6" x14ac:dyDescent="0.25">
      <c r="B96">
        <v>2025</v>
      </c>
      <c r="C96" s="31">
        <f t="shared" si="7"/>
        <v>7.2541076094722658</v>
      </c>
      <c r="D96" s="5">
        <f>C96*About!$B$29/10^6</f>
        <v>6.1442291452230091E-6</v>
      </c>
    </row>
    <row r="97" spans="2:4" x14ac:dyDescent="0.25">
      <c r="B97">
        <v>2026</v>
      </c>
      <c r="C97" s="31">
        <f t="shared" si="7"/>
        <v>6.9377409289471341</v>
      </c>
      <c r="D97" s="5">
        <f>C97*About!$B$29/10^6</f>
        <v>5.8762665668182228E-6</v>
      </c>
    </row>
    <row r="98" spans="2:4" x14ac:dyDescent="0.25">
      <c r="B98">
        <v>2027</v>
      </c>
      <c r="C98" s="31">
        <f t="shared" si="7"/>
        <v>6.6310329834345358</v>
      </c>
      <c r="D98" s="5">
        <f>C98*About!$B$29/10^6</f>
        <v>5.6164849369690513E-6</v>
      </c>
    </row>
    <row r="99" spans="2:4" x14ac:dyDescent="0.25">
      <c r="B99">
        <v>2028</v>
      </c>
      <c r="C99" s="31">
        <f t="shared" si="7"/>
        <v>6.3293627164223274</v>
      </c>
      <c r="D99" s="5">
        <f>C99*About!$B$29/10^6</f>
        <v>5.360970220809711E-6</v>
      </c>
    </row>
    <row r="100" spans="2:4" x14ac:dyDescent="0.25">
      <c r="B100">
        <v>2029</v>
      </c>
      <c r="C100" s="31">
        <f t="shared" si="7"/>
        <v>6.0235734236662779</v>
      </c>
      <c r="D100" s="5">
        <f>C100*About!$B$29/10^6</f>
        <v>5.1019666898453374E-6</v>
      </c>
    </row>
    <row r="101" spans="2:4" x14ac:dyDescent="0.25">
      <c r="B101">
        <v>2030</v>
      </c>
      <c r="C101" s="31">
        <f t="shared" si="7"/>
        <v>5.7269615538796685</v>
      </c>
      <c r="D101" s="5">
        <f>C101*About!$B$29/10^6</f>
        <v>4.8507364361360788E-6</v>
      </c>
    </row>
    <row r="102" spans="2:4" x14ac:dyDescent="0.25">
      <c r="B102">
        <v>2031</v>
      </c>
      <c r="C102" s="31">
        <f t="shared" si="7"/>
        <v>5.8514213581509118</v>
      </c>
      <c r="D102" s="5">
        <f>C102*About!$B$29/10^6</f>
        <v>4.9561538903538221E-6</v>
      </c>
    </row>
    <row r="103" spans="2:4" x14ac:dyDescent="0.25">
      <c r="B103">
        <v>2032</v>
      </c>
      <c r="C103" s="31">
        <f t="shared" si="7"/>
        <v>5.9363894235170376</v>
      </c>
      <c r="D103" s="5">
        <f>C103*About!$B$29/10^6</f>
        <v>5.0281218417189303E-6</v>
      </c>
    </row>
    <row r="104" spans="2:4" x14ac:dyDescent="0.25">
      <c r="B104">
        <v>2033</v>
      </c>
      <c r="C104" s="31">
        <f t="shared" si="7"/>
        <v>6.1139177902329056</v>
      </c>
      <c r="D104" s="5">
        <f>C104*About!$B$29/10^6</f>
        <v>5.1784883683272704E-6</v>
      </c>
    </row>
    <row r="105" spans="2:4" x14ac:dyDescent="0.25">
      <c r="B105">
        <v>2034</v>
      </c>
      <c r="C105" s="31">
        <f t="shared" si="7"/>
        <v>6.1055322704182773</v>
      </c>
      <c r="D105" s="5">
        <f>C105*About!$B$29/10^6</f>
        <v>5.1713858330442802E-6</v>
      </c>
    </row>
    <row r="106" spans="2:4" x14ac:dyDescent="0.25">
      <c r="B106">
        <v>2035</v>
      </c>
      <c r="C106" s="31">
        <f t="shared" si="7"/>
        <v>5.9760719779797089</v>
      </c>
      <c r="D106" s="5">
        <f>C106*About!$B$29/10^6</f>
        <v>5.0617329653488135E-6</v>
      </c>
    </row>
    <row r="107" spans="2:4" x14ac:dyDescent="0.25">
      <c r="B107">
        <v>2036</v>
      </c>
      <c r="C107" s="31">
        <f t="shared" si="7"/>
        <v>5.9092932654667294</v>
      </c>
      <c r="D107" s="5">
        <f>C107*About!$B$29/10^6</f>
        <v>5.0051713958503191E-6</v>
      </c>
    </row>
    <row r="108" spans="2:4" x14ac:dyDescent="0.25">
      <c r="B108">
        <v>2037</v>
      </c>
      <c r="C108" s="31">
        <f t="shared" si="7"/>
        <v>5.9088568371904504</v>
      </c>
      <c r="D108" s="5">
        <f>C108*About!$B$29/10^6</f>
        <v>5.0048017411003118E-6</v>
      </c>
    </row>
    <row r="109" spans="2:4" x14ac:dyDescent="0.25">
      <c r="B109">
        <v>2038</v>
      </c>
      <c r="C109" s="31">
        <f t="shared" si="7"/>
        <v>5.9576520999417113</v>
      </c>
      <c r="D109" s="5">
        <f>C109*About!$B$29/10^6</f>
        <v>5.0461313286506297E-6</v>
      </c>
    </row>
    <row r="110" spans="2:4" x14ac:dyDescent="0.25">
      <c r="B110">
        <v>2039</v>
      </c>
      <c r="C110" s="31">
        <f t="shared" si="7"/>
        <v>5.9983813068460146</v>
      </c>
      <c r="D110" s="5">
        <f>C110*About!$B$29/10^6</f>
        <v>5.0806289668985744E-6</v>
      </c>
    </row>
    <row r="111" spans="2:4" x14ac:dyDescent="0.25">
      <c r="B111">
        <v>2040</v>
      </c>
      <c r="C111" s="31">
        <f t="shared" si="7"/>
        <v>6.0509640199557202</v>
      </c>
      <c r="D111" s="5">
        <f>C111*About!$B$29/10^6</f>
        <v>5.1251665249024947E-6</v>
      </c>
    </row>
    <row r="112" spans="2:4" x14ac:dyDescent="0.25">
      <c r="B112">
        <v>2041</v>
      </c>
      <c r="C112" s="31">
        <f t="shared" si="7"/>
        <v>6.1425533111360258</v>
      </c>
      <c r="D112" s="5">
        <f>C112*About!$B$29/10^6</f>
        <v>5.2027426545322138E-6</v>
      </c>
    </row>
    <row r="113" spans="2:4" x14ac:dyDescent="0.25">
      <c r="B113">
        <v>2042</v>
      </c>
      <c r="C113" s="31">
        <f t="shared" si="7"/>
        <v>6.1708580406945472</v>
      </c>
      <c r="D113" s="5">
        <f>C113*About!$B$29/10^6</f>
        <v>5.2267167604682806E-6</v>
      </c>
    </row>
    <row r="114" spans="2:4" x14ac:dyDescent="0.25">
      <c r="B114">
        <v>2043</v>
      </c>
      <c r="C114" s="31">
        <f t="shared" si="7"/>
        <v>6.0632584033545465</v>
      </c>
      <c r="D114" s="5">
        <f>C114*About!$B$29/10^6</f>
        <v>5.1355798676413009E-6</v>
      </c>
    </row>
    <row r="115" spans="2:4" x14ac:dyDescent="0.25">
      <c r="B115">
        <v>2044</v>
      </c>
      <c r="C115" s="31">
        <f t="shared" si="7"/>
        <v>6.0106688683523188</v>
      </c>
      <c r="D115" s="5">
        <f>C115*About!$B$29/10^6</f>
        <v>5.0910365314944137E-6</v>
      </c>
    </row>
    <row r="116" spans="2:4" x14ac:dyDescent="0.25">
      <c r="B116">
        <v>2045</v>
      </c>
      <c r="C116" s="31">
        <f t="shared" si="7"/>
        <v>5.853911349520116</v>
      </c>
      <c r="D116" s="5">
        <f>C116*About!$B$29/10^6</f>
        <v>4.9582629130435384E-6</v>
      </c>
    </row>
    <row r="117" spans="2:4" x14ac:dyDescent="0.25">
      <c r="B117">
        <v>2046</v>
      </c>
      <c r="C117" s="31">
        <f t="shared" si="7"/>
        <v>5.7816684808219314</v>
      </c>
      <c r="D117" s="5">
        <f>C117*About!$B$29/10^6</f>
        <v>4.8970732032561762E-6</v>
      </c>
    </row>
    <row r="118" spans="2:4" x14ac:dyDescent="0.25">
      <c r="B118">
        <v>2047</v>
      </c>
      <c r="C118" s="31">
        <f t="shared" si="7"/>
        <v>5.7414698108216902</v>
      </c>
      <c r="D118" s="5">
        <f>C118*About!$B$29/10^6</f>
        <v>4.863024929765971E-6</v>
      </c>
    </row>
    <row r="119" spans="2:4" x14ac:dyDescent="0.25">
      <c r="B119">
        <v>2048</v>
      </c>
      <c r="C119" s="31">
        <f t="shared" si="7"/>
        <v>5.7322664991357009</v>
      </c>
      <c r="D119" s="5">
        <f>C119*About!$B$29/10^6</f>
        <v>4.8552297247679382E-6</v>
      </c>
    </row>
    <row r="120" spans="2:4" x14ac:dyDescent="0.25">
      <c r="B120">
        <v>2049</v>
      </c>
      <c r="C120" s="31">
        <f t="shared" si="7"/>
        <v>5.7520665530275279</v>
      </c>
      <c r="D120" s="5">
        <f>C120*About!$B$29/10^6</f>
        <v>4.8720003704143164E-6</v>
      </c>
    </row>
    <row r="121" spans="2:4" x14ac:dyDescent="0.25">
      <c r="B121">
        <v>2050</v>
      </c>
      <c r="C121" s="31">
        <f>E88*C55+D55*F88</f>
        <v>5.7638916559258666</v>
      </c>
      <c r="D121" s="5">
        <f>C121*About!$B$29/10^6</f>
        <v>4.8820162325692083E-6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1"/>
  <sheetViews>
    <sheetView workbookViewId="0">
      <selection activeCell="M145" sqref="M145"/>
    </sheetView>
  </sheetViews>
  <sheetFormatPr defaultRowHeight="15" x14ac:dyDescent="0.25"/>
  <cols>
    <col min="1" max="1" width="39.5703125" customWidth="1"/>
  </cols>
  <sheetData>
    <row r="1" spans="1:3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s="4" customFormat="1" x14ac:dyDescent="0.25">
      <c r="A2" s="6" t="s">
        <v>22</v>
      </c>
    </row>
    <row r="3" spans="1:32" s="7" customFormat="1" x14ac:dyDescent="0.25">
      <c r="A3" s="7" t="s">
        <v>30</v>
      </c>
      <c r="B3" s="7">
        <v>2020</v>
      </c>
      <c r="C3" s="7">
        <v>2021</v>
      </c>
      <c r="D3" s="7">
        <v>2022</v>
      </c>
      <c r="E3" s="7">
        <v>2023</v>
      </c>
      <c r="F3" s="7">
        <v>2024</v>
      </c>
      <c r="G3" s="7">
        <v>2025</v>
      </c>
      <c r="H3" s="7">
        <v>2026</v>
      </c>
      <c r="I3" s="7">
        <v>2027</v>
      </c>
      <c r="J3" s="7">
        <v>2028</v>
      </c>
      <c r="K3" s="7">
        <v>2029</v>
      </c>
      <c r="L3" s="7">
        <v>2030</v>
      </c>
      <c r="M3" s="7">
        <v>2031</v>
      </c>
      <c r="N3" s="7">
        <v>2032</v>
      </c>
      <c r="O3" s="7">
        <v>2033</v>
      </c>
      <c r="P3" s="7">
        <v>2034</v>
      </c>
      <c r="Q3" s="7">
        <v>2035</v>
      </c>
      <c r="R3" s="7">
        <v>2036</v>
      </c>
      <c r="S3" s="7">
        <v>2037</v>
      </c>
      <c r="T3" s="7">
        <v>2038</v>
      </c>
      <c r="U3" s="7">
        <v>2039</v>
      </c>
      <c r="V3" s="7">
        <v>2040</v>
      </c>
      <c r="W3" s="7">
        <v>2041</v>
      </c>
      <c r="X3" s="7">
        <v>2042</v>
      </c>
      <c r="Y3" s="7">
        <v>2043</v>
      </c>
      <c r="Z3" s="7">
        <v>2044</v>
      </c>
      <c r="AA3" s="7">
        <v>2045</v>
      </c>
      <c r="AB3" s="7">
        <v>2046</v>
      </c>
      <c r="AC3" s="7">
        <v>2047</v>
      </c>
      <c r="AD3" s="7">
        <v>2048</v>
      </c>
      <c r="AE3" s="7">
        <v>2049</v>
      </c>
      <c r="AF3" s="7">
        <v>2050</v>
      </c>
    </row>
    <row r="4" spans="1:32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53</v>
      </c>
      <c r="B5">
        <v>1.6291065511515873E-6</v>
      </c>
      <c r="C5">
        <v>1.6305050647442705E-6</v>
      </c>
      <c r="D5">
        <v>1.6084036948467081E-6</v>
      </c>
      <c r="E5">
        <v>1.5947890734560347E-6</v>
      </c>
      <c r="F5">
        <v>1.5940765606704825E-6</v>
      </c>
      <c r="G5">
        <v>1.5547972128929893E-6</v>
      </c>
      <c r="H5">
        <v>1.5291015766077971E-6</v>
      </c>
      <c r="I5">
        <v>1.5279777244054466E-6</v>
      </c>
      <c r="J5">
        <v>1.5198991450693695E-6</v>
      </c>
      <c r="K5">
        <v>1.5256222316371919E-6</v>
      </c>
      <c r="L5">
        <v>1.5233388619651389E-6</v>
      </c>
      <c r="M5">
        <v>1.522352122901721E-6</v>
      </c>
      <c r="N5">
        <v>1.5135015886678372E-6</v>
      </c>
      <c r="O5">
        <v>1.5107212829373403E-6</v>
      </c>
      <c r="P5">
        <v>1.5052423053105075E-6</v>
      </c>
      <c r="Q5">
        <v>1.4944317664952331E-6</v>
      </c>
      <c r="R5">
        <v>1.4823610549001721E-6</v>
      </c>
      <c r="S5">
        <v>1.4798375390946126E-6</v>
      </c>
      <c r="T5">
        <v>1.4793033526458227E-6</v>
      </c>
      <c r="U5">
        <v>1.4772054423640021E-6</v>
      </c>
      <c r="V5">
        <v>1.4811531911791693E-6</v>
      </c>
      <c r="W5">
        <v>1.4778545502298167E-6</v>
      </c>
      <c r="X5">
        <v>1.4693701794074182E-6</v>
      </c>
      <c r="Y5">
        <v>1.4604126493714772E-6</v>
      </c>
      <c r="Z5">
        <v>1.4562223767383133E-6</v>
      </c>
      <c r="AA5">
        <v>1.4537868352588896E-6</v>
      </c>
      <c r="AB5">
        <v>1.451543886223169E-6</v>
      </c>
      <c r="AC5">
        <v>1.4471840054297068E-6</v>
      </c>
      <c r="AD5">
        <v>1.4403616360659324E-6</v>
      </c>
      <c r="AE5">
        <v>1.4414086098031008E-6</v>
      </c>
      <c r="AF5">
        <v>1.4392607681469868E-6</v>
      </c>
    </row>
    <row r="6" spans="1:32" x14ac:dyDescent="0.25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56</v>
      </c>
      <c r="B8">
        <v>2.8308895399118561E-6</v>
      </c>
      <c r="C8">
        <v>2.616174539137715E-6</v>
      </c>
      <c r="D8">
        <v>2.4732866897626558E-6</v>
      </c>
      <c r="E8">
        <v>2.4145631966839381E-6</v>
      </c>
      <c r="F8">
        <v>2.3432790009973459E-6</v>
      </c>
      <c r="G8">
        <v>2.3026125453788493E-6</v>
      </c>
      <c r="H8">
        <v>2.2736441848061817E-6</v>
      </c>
      <c r="I8">
        <v>2.2572891502468129E-6</v>
      </c>
      <c r="J8">
        <v>2.256428920854533E-6</v>
      </c>
      <c r="K8">
        <v>2.260021060615561E-6</v>
      </c>
      <c r="L8">
        <v>2.2709220574620628E-6</v>
      </c>
      <c r="M8">
        <v>2.2801664305857967E-6</v>
      </c>
      <c r="N8">
        <v>2.2940978357610456E-6</v>
      </c>
      <c r="O8">
        <v>2.3052552914508709E-6</v>
      </c>
      <c r="P8">
        <v>2.3164661642579769E-6</v>
      </c>
      <c r="Q8">
        <v>2.3263273296808544E-6</v>
      </c>
      <c r="R8">
        <v>2.3366028703408624E-6</v>
      </c>
      <c r="S8">
        <v>2.3490500919117098E-6</v>
      </c>
      <c r="T8">
        <v>2.3621242212297881E-6</v>
      </c>
      <c r="U8">
        <v>2.3720450262589519E-6</v>
      </c>
      <c r="V8">
        <v>2.3830872802298497E-6</v>
      </c>
      <c r="W8">
        <v>2.3956624985365389E-6</v>
      </c>
      <c r="X8">
        <v>2.4042074857747723E-6</v>
      </c>
      <c r="Y8">
        <v>2.4153949815643934E-6</v>
      </c>
      <c r="Z8">
        <v>2.4280849864002845E-6</v>
      </c>
      <c r="AA8">
        <v>2.4411161702037764E-6</v>
      </c>
      <c r="AB8">
        <v>2.4546342246534684E-6</v>
      </c>
      <c r="AC8">
        <v>2.4651949401485543E-6</v>
      </c>
      <c r="AD8">
        <v>2.4721520677437124E-6</v>
      </c>
      <c r="AE8">
        <v>2.4821588910396485E-6</v>
      </c>
      <c r="AF8">
        <v>2.4959149440424242E-6</v>
      </c>
    </row>
    <row r="9" spans="1:32" x14ac:dyDescent="0.25">
      <c r="A9" t="s">
        <v>57</v>
      </c>
      <c r="B9">
        <v>1.6291065511515873E-6</v>
      </c>
      <c r="C9">
        <v>1.6305050647442705E-6</v>
      </c>
      <c r="D9">
        <v>1.6084036948467081E-6</v>
      </c>
      <c r="E9">
        <v>1.5947890734560347E-6</v>
      </c>
      <c r="F9">
        <v>1.5940765606704825E-6</v>
      </c>
      <c r="G9">
        <v>1.5547972128929893E-6</v>
      </c>
      <c r="H9">
        <v>1.5291015766077971E-6</v>
      </c>
      <c r="I9">
        <v>1.5279777244054466E-6</v>
      </c>
      <c r="J9">
        <v>1.5198991450693695E-6</v>
      </c>
      <c r="K9">
        <v>1.5256222316371919E-6</v>
      </c>
      <c r="L9">
        <v>1.5233388619651389E-6</v>
      </c>
      <c r="M9">
        <v>1.522352122901721E-6</v>
      </c>
      <c r="N9">
        <v>1.5135015886678372E-6</v>
      </c>
      <c r="O9">
        <v>1.5107212829373403E-6</v>
      </c>
      <c r="P9">
        <v>1.5052423053105075E-6</v>
      </c>
      <c r="Q9">
        <v>1.4944317664952331E-6</v>
      </c>
      <c r="R9">
        <v>1.4823610549001721E-6</v>
      </c>
      <c r="S9">
        <v>1.4798375390946126E-6</v>
      </c>
      <c r="T9">
        <v>1.4793033526458227E-6</v>
      </c>
      <c r="U9">
        <v>1.4772054423640021E-6</v>
      </c>
      <c r="V9">
        <v>1.4811531911791693E-6</v>
      </c>
      <c r="W9">
        <v>1.4778545502298167E-6</v>
      </c>
      <c r="X9">
        <v>1.4693701794074182E-6</v>
      </c>
      <c r="Y9">
        <v>1.4604126493714772E-6</v>
      </c>
      <c r="Z9">
        <v>1.4562223767383133E-6</v>
      </c>
      <c r="AA9">
        <v>1.4537868352588896E-6</v>
      </c>
      <c r="AB9">
        <v>1.451543886223169E-6</v>
      </c>
      <c r="AC9">
        <v>1.4471840054297068E-6</v>
      </c>
      <c r="AD9">
        <v>1.4403616360659324E-6</v>
      </c>
      <c r="AE9">
        <v>1.4414086098031008E-6</v>
      </c>
      <c r="AF9">
        <v>1.4392607681469868E-6</v>
      </c>
    </row>
    <row r="10" spans="1:32" x14ac:dyDescent="0.25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59</v>
      </c>
      <c r="B11">
        <v>2.8308895399118561E-6</v>
      </c>
      <c r="C11">
        <v>2.616174539137715E-6</v>
      </c>
      <c r="D11">
        <v>2.4732866897626558E-6</v>
      </c>
      <c r="E11">
        <v>2.4145631966839381E-6</v>
      </c>
      <c r="F11">
        <v>2.3432790009973459E-6</v>
      </c>
      <c r="G11">
        <v>2.3026125453788493E-6</v>
      </c>
      <c r="H11">
        <v>2.2736441848061817E-6</v>
      </c>
      <c r="I11">
        <v>2.2572891502468129E-6</v>
      </c>
      <c r="J11">
        <v>2.256428920854533E-6</v>
      </c>
      <c r="K11">
        <v>2.260021060615561E-6</v>
      </c>
      <c r="L11">
        <v>2.2709220574620628E-6</v>
      </c>
      <c r="M11">
        <v>2.2801664305857967E-6</v>
      </c>
      <c r="N11">
        <v>2.2940978357610456E-6</v>
      </c>
      <c r="O11">
        <v>2.3052552914508709E-6</v>
      </c>
      <c r="P11">
        <v>2.3164661642579769E-6</v>
      </c>
      <c r="Q11">
        <v>2.3263273296808544E-6</v>
      </c>
      <c r="R11">
        <v>2.3366028703408624E-6</v>
      </c>
      <c r="S11">
        <v>2.3490500919117098E-6</v>
      </c>
      <c r="T11">
        <v>2.3621242212297881E-6</v>
      </c>
      <c r="U11">
        <v>2.3720450262589519E-6</v>
      </c>
      <c r="V11">
        <v>2.3830872802298497E-6</v>
      </c>
      <c r="W11">
        <v>2.3956624985365389E-6</v>
      </c>
      <c r="X11">
        <v>2.4042074857747723E-6</v>
      </c>
      <c r="Y11">
        <v>2.4153949815643934E-6</v>
      </c>
      <c r="Z11">
        <v>2.4280849864002845E-6</v>
      </c>
      <c r="AA11">
        <v>2.4411161702037764E-6</v>
      </c>
      <c r="AB11">
        <v>2.4546342246534684E-6</v>
      </c>
      <c r="AC11">
        <v>2.4651949401485543E-6</v>
      </c>
      <c r="AD11">
        <v>2.4721520677437124E-6</v>
      </c>
      <c r="AE11">
        <v>2.4821588910396485E-6</v>
      </c>
      <c r="AF11">
        <v>2.4959149440424242E-6</v>
      </c>
    </row>
    <row r="12" spans="1:32" s="4" customFormat="1" x14ac:dyDescent="0.25">
      <c r="A12" s="6" t="s">
        <v>31</v>
      </c>
    </row>
    <row r="13" spans="1:32" x14ac:dyDescent="0.25">
      <c r="A13" t="s">
        <v>30</v>
      </c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</row>
    <row r="14" spans="1:32" x14ac:dyDescent="0.25">
      <c r="A14" t="s">
        <v>52</v>
      </c>
      <c r="B14">
        <v>1.0759342434698278E-5</v>
      </c>
      <c r="C14">
        <v>1.1803273900137211E-5</v>
      </c>
      <c r="D14">
        <v>2.1802140229947455E-5</v>
      </c>
      <c r="E14">
        <v>1.8774609053496225E-5</v>
      </c>
      <c r="F14">
        <v>1.4183929771810905E-5</v>
      </c>
      <c r="G14">
        <v>1.3188592065313209E-5</v>
      </c>
      <c r="H14">
        <v>1.2660100096071635E-5</v>
      </c>
      <c r="I14">
        <v>1.2131608126830061E-5</v>
      </c>
      <c r="J14">
        <v>1.1603116157588487E-5</v>
      </c>
      <c r="K14">
        <v>1.1074624188346913E-5</v>
      </c>
      <c r="L14">
        <v>1.0546132219105339E-5</v>
      </c>
      <c r="M14">
        <v>1.0323734744747912E-5</v>
      </c>
      <c r="N14">
        <v>1.0259291647453161E-5</v>
      </c>
      <c r="O14">
        <v>1.0155611712578647E-5</v>
      </c>
      <c r="P14">
        <v>1.004057668304327E-5</v>
      </c>
      <c r="Q14">
        <v>9.9308645091527666E-6</v>
      </c>
      <c r="R14">
        <v>9.8287918484897493E-6</v>
      </c>
      <c r="S14">
        <v>9.7313731726706216E-6</v>
      </c>
      <c r="T14">
        <v>9.6877890882780725E-6</v>
      </c>
      <c r="U14">
        <v>9.6109135926714404E-6</v>
      </c>
      <c r="V14">
        <v>9.5745151153633181E-6</v>
      </c>
      <c r="W14">
        <v>9.5137404726346262E-6</v>
      </c>
      <c r="X14">
        <v>9.4628368416400244E-6</v>
      </c>
      <c r="Y14">
        <v>9.4110311858693168E-6</v>
      </c>
      <c r="Z14">
        <v>9.3715942658002641E-6</v>
      </c>
      <c r="AA14">
        <v>9.3467534460037328E-6</v>
      </c>
      <c r="AB14">
        <v>9.3312015797906278E-6</v>
      </c>
      <c r="AC14">
        <v>9.3299539579875652E-6</v>
      </c>
      <c r="AD14">
        <v>9.3377489071984734E-6</v>
      </c>
      <c r="AE14">
        <v>9.3652668637732086E-6</v>
      </c>
      <c r="AF14">
        <v>9.3821035572109371E-6</v>
      </c>
    </row>
    <row r="15" spans="1:32" x14ac:dyDescent="0.25">
      <c r="A15" t="s">
        <v>53</v>
      </c>
      <c r="B15">
        <v>2.0235855162517513E-6</v>
      </c>
      <c r="C15">
        <v>3.711762470007917E-6</v>
      </c>
      <c r="D15">
        <v>6.8560948899464271E-6</v>
      </c>
      <c r="E15">
        <v>5.9040305141972571E-6</v>
      </c>
      <c r="F15">
        <v>4.4604046851461831E-6</v>
      </c>
      <c r="G15">
        <v>4.1474019390251296E-6</v>
      </c>
      <c r="H15">
        <v>3.9148397126155069E-6</v>
      </c>
      <c r="I15">
        <v>3.6822774862058838E-6</v>
      </c>
      <c r="J15">
        <v>3.4497152597962607E-6</v>
      </c>
      <c r="K15">
        <v>3.2171530333866376E-6</v>
      </c>
      <c r="L15">
        <v>2.984590806977014E-6</v>
      </c>
      <c r="M15">
        <v>2.9831373151746411E-6</v>
      </c>
      <c r="N15">
        <v>3.0280963465907089E-6</v>
      </c>
      <c r="O15">
        <v>3.0838664467256805E-6</v>
      </c>
      <c r="P15">
        <v>3.111546453580999E-6</v>
      </c>
      <c r="Q15">
        <v>3.1117432289217077E-6</v>
      </c>
      <c r="R15">
        <v>3.113605153574122E-6</v>
      </c>
      <c r="S15">
        <v>3.0969685426256844E-6</v>
      </c>
      <c r="T15">
        <v>3.1209156055175712E-6</v>
      </c>
      <c r="U15">
        <v>3.1195613281726978E-6</v>
      </c>
      <c r="V15">
        <v>3.1185088281360531E-6</v>
      </c>
      <c r="W15">
        <v>3.1103054460751053E-6</v>
      </c>
      <c r="X15">
        <v>3.0985427453513493E-6</v>
      </c>
      <c r="Y15">
        <v>3.0855258085273656E-6</v>
      </c>
      <c r="Z15">
        <v>3.085268677725012E-6</v>
      </c>
      <c r="AA15">
        <v>3.0912901685081087E-6</v>
      </c>
      <c r="AB15">
        <v>3.0947957460064371E-6</v>
      </c>
      <c r="AC15">
        <v>3.1109619150688959E-6</v>
      </c>
      <c r="AD15">
        <v>3.1506741552575125E-6</v>
      </c>
      <c r="AE15">
        <v>3.1919696928303971E-6</v>
      </c>
      <c r="AF15">
        <v>3.2257406405890635E-6</v>
      </c>
    </row>
    <row r="16" spans="1:32" x14ac:dyDescent="0.25">
      <c r="A16" t="s">
        <v>54</v>
      </c>
      <c r="B16">
        <v>8.3850404254816371E-6</v>
      </c>
      <c r="C16">
        <v>1.1803273900137211E-5</v>
      </c>
      <c r="D16">
        <v>2.1802140229947455E-5</v>
      </c>
      <c r="E16">
        <v>1.8774609053496225E-5</v>
      </c>
      <c r="F16">
        <v>1.4183929771810905E-5</v>
      </c>
      <c r="G16">
        <v>1.3188592065313209E-5</v>
      </c>
      <c r="H16">
        <v>1.2368350723777221E-5</v>
      </c>
      <c r="I16">
        <v>1.1548109382241232E-5</v>
      </c>
      <c r="J16">
        <v>1.0727868040705244E-5</v>
      </c>
      <c r="K16">
        <v>9.907626699169256E-6</v>
      </c>
      <c r="L16">
        <v>9.0873853576332695E-6</v>
      </c>
      <c r="M16">
        <v>9.125841708147366E-6</v>
      </c>
      <c r="N16">
        <v>9.2021053812660805E-6</v>
      </c>
      <c r="O16">
        <v>9.292139194298635E-6</v>
      </c>
      <c r="P16">
        <v>9.3463830453623999E-6</v>
      </c>
      <c r="Q16">
        <v>9.3753453990809059E-6</v>
      </c>
      <c r="R16">
        <v>9.3883838323706815E-6</v>
      </c>
      <c r="S16">
        <v>9.4106996442238407E-6</v>
      </c>
      <c r="T16">
        <v>9.4362159491185174E-6</v>
      </c>
      <c r="U16">
        <v>9.4532543786198249E-6</v>
      </c>
      <c r="V16">
        <v>9.4589368866731324E-6</v>
      </c>
      <c r="W16">
        <v>9.4794205382111272E-6</v>
      </c>
      <c r="X16">
        <v>9.4863101554973479E-6</v>
      </c>
      <c r="Y16">
        <v>9.4976644233710639E-6</v>
      </c>
      <c r="Z16">
        <v>9.5017851305058916E-6</v>
      </c>
      <c r="AA16">
        <v>9.5297826236252077E-6</v>
      </c>
      <c r="AB16">
        <v>9.545121178754691E-6</v>
      </c>
      <c r="AC16">
        <v>9.580760665462938E-6</v>
      </c>
      <c r="AD16">
        <v>9.6187639366211172E-6</v>
      </c>
      <c r="AE16">
        <v>9.6722273006192173E-6</v>
      </c>
      <c r="AF16">
        <v>9.7213698749931965E-6</v>
      </c>
    </row>
    <row r="17" spans="1:32" x14ac:dyDescent="0.25">
      <c r="A17" t="s">
        <v>55</v>
      </c>
      <c r="B17">
        <v>5.9755759857398948E-6</v>
      </c>
      <c r="C17">
        <v>8.6732305889665559E-6</v>
      </c>
      <c r="D17">
        <v>1.602055422480033E-5</v>
      </c>
      <c r="E17">
        <v>1.3795876882665489E-5</v>
      </c>
      <c r="F17">
        <v>1.0422573822267537E-5</v>
      </c>
      <c r="G17">
        <v>9.6911840811341681E-6</v>
      </c>
      <c r="H17">
        <v>9.1082498258414528E-6</v>
      </c>
      <c r="I17">
        <v>8.5253155705487375E-6</v>
      </c>
      <c r="J17">
        <v>7.9423813152560221E-6</v>
      </c>
      <c r="K17">
        <v>7.3594470599633068E-6</v>
      </c>
      <c r="L17">
        <v>6.7765128046705897E-6</v>
      </c>
      <c r="M17">
        <v>6.7851609982159951E-6</v>
      </c>
      <c r="N17">
        <v>6.8299844365401467E-6</v>
      </c>
      <c r="O17">
        <v>6.8999479916076215E-6</v>
      </c>
      <c r="P17">
        <v>6.9382026060581355E-6</v>
      </c>
      <c r="Q17">
        <v>6.9538561670901789E-6</v>
      </c>
      <c r="R17">
        <v>6.9552154051579257E-6</v>
      </c>
      <c r="S17">
        <v>6.9659785202223714E-6</v>
      </c>
      <c r="T17">
        <v>6.9803042610982067E-6</v>
      </c>
      <c r="U17">
        <v>6.9883224428384885E-6</v>
      </c>
      <c r="V17">
        <v>6.9866622542496579E-6</v>
      </c>
      <c r="W17">
        <v>6.9998569503099958E-6</v>
      </c>
      <c r="X17">
        <v>6.9991500473003075E-6</v>
      </c>
      <c r="Y17">
        <v>7.0048598393294265E-6</v>
      </c>
      <c r="Z17">
        <v>7.0022877045187418E-6</v>
      </c>
      <c r="AA17">
        <v>7.0235940092668388E-6</v>
      </c>
      <c r="AB17">
        <v>7.0332252527286393E-6</v>
      </c>
      <c r="AC17">
        <v>7.0621735510656664E-6</v>
      </c>
      <c r="AD17">
        <v>7.0938270969438554E-6</v>
      </c>
      <c r="AE17">
        <v>7.139412833016463E-6</v>
      </c>
      <c r="AF17">
        <v>7.1809464852873484E-6</v>
      </c>
    </row>
    <row r="18" spans="1:32" x14ac:dyDescent="0.25">
      <c r="A18" t="s">
        <v>56</v>
      </c>
      <c r="B18">
        <v>2.5308053748383799E-6</v>
      </c>
      <c r="C18">
        <v>4.4088164650050991E-6</v>
      </c>
      <c r="D18">
        <v>8.1436418091615247E-6</v>
      </c>
      <c r="E18">
        <v>7.012783590332994E-6</v>
      </c>
      <c r="F18">
        <v>5.2980506633595083E-6</v>
      </c>
      <c r="G18">
        <v>4.9262672661618513E-6</v>
      </c>
      <c r="H18">
        <v>4.6351556937350232E-6</v>
      </c>
      <c r="I18">
        <v>4.3440441213081952E-6</v>
      </c>
      <c r="J18">
        <v>4.0529325488813671E-6</v>
      </c>
      <c r="K18">
        <v>3.761820976454539E-6</v>
      </c>
      <c r="L18">
        <v>3.4707094040277118E-6</v>
      </c>
      <c r="M18">
        <v>3.4777362679801405E-6</v>
      </c>
      <c r="N18">
        <v>3.5206738048246483E-6</v>
      </c>
      <c r="O18">
        <v>3.5800900362727405E-6</v>
      </c>
      <c r="P18">
        <v>3.6071945992745593E-6</v>
      </c>
      <c r="Q18">
        <v>3.6161222468752569E-6</v>
      </c>
      <c r="R18">
        <v>3.616529852938152E-6</v>
      </c>
      <c r="S18">
        <v>3.6074219657396634E-6</v>
      </c>
      <c r="T18">
        <v>3.6222942129188946E-6</v>
      </c>
      <c r="U18">
        <v>3.6164711510507983E-6</v>
      </c>
      <c r="V18">
        <v>3.6088283306747237E-6</v>
      </c>
      <c r="W18">
        <v>3.6060387508446859E-6</v>
      </c>
      <c r="X18">
        <v>3.5906117294906011E-6</v>
      </c>
      <c r="Y18">
        <v>3.5766340660031606E-6</v>
      </c>
      <c r="Z18">
        <v>3.5692624318109202E-6</v>
      </c>
      <c r="AA18">
        <v>3.575218606409496E-6</v>
      </c>
      <c r="AB18">
        <v>3.5776733374454726E-6</v>
      </c>
      <c r="AC18">
        <v>3.5959693101955945E-6</v>
      </c>
      <c r="AD18">
        <v>3.6288770921740111E-6</v>
      </c>
      <c r="AE18">
        <v>3.6730391007814969E-6</v>
      </c>
      <c r="AF18">
        <v>3.7045826839692903E-6</v>
      </c>
    </row>
    <row r="19" spans="1:32" x14ac:dyDescent="0.25">
      <c r="A19" t="s">
        <v>57</v>
      </c>
      <c r="B19">
        <v>2.0235855162517513E-6</v>
      </c>
      <c r="C19">
        <v>3.711762470007917E-6</v>
      </c>
      <c r="D19">
        <v>6.8560948899464271E-6</v>
      </c>
      <c r="E19">
        <v>5.9040305141972571E-6</v>
      </c>
      <c r="F19">
        <v>4.4604046851461831E-6</v>
      </c>
      <c r="G19">
        <v>4.1474019390251296E-6</v>
      </c>
      <c r="H19">
        <v>3.9148397126155069E-6</v>
      </c>
      <c r="I19">
        <v>3.6822774862058838E-6</v>
      </c>
      <c r="J19">
        <v>3.4497152597962607E-6</v>
      </c>
      <c r="K19">
        <v>3.2171530333866376E-6</v>
      </c>
      <c r="L19">
        <v>2.984590806977014E-6</v>
      </c>
      <c r="M19">
        <v>2.9831373151746411E-6</v>
      </c>
      <c r="N19">
        <v>3.0280963465907089E-6</v>
      </c>
      <c r="O19">
        <v>3.0838664467256805E-6</v>
      </c>
      <c r="P19">
        <v>3.111546453580999E-6</v>
      </c>
      <c r="Q19">
        <v>3.1117432289217077E-6</v>
      </c>
      <c r="R19">
        <v>3.113605153574122E-6</v>
      </c>
      <c r="S19">
        <v>3.0969685426256844E-6</v>
      </c>
      <c r="T19">
        <v>3.1209156055175712E-6</v>
      </c>
      <c r="U19">
        <v>3.1195613281726978E-6</v>
      </c>
      <c r="V19">
        <v>3.1185088281360531E-6</v>
      </c>
      <c r="W19">
        <v>3.1103054460751053E-6</v>
      </c>
      <c r="X19">
        <v>3.0985427453513493E-6</v>
      </c>
      <c r="Y19">
        <v>3.0855258085273656E-6</v>
      </c>
      <c r="Z19">
        <v>3.085268677725012E-6</v>
      </c>
      <c r="AA19">
        <v>3.0912901685081087E-6</v>
      </c>
      <c r="AB19">
        <v>3.0947957460064371E-6</v>
      </c>
      <c r="AC19">
        <v>3.1109619150688959E-6</v>
      </c>
      <c r="AD19">
        <v>3.1506741552575125E-6</v>
      </c>
      <c r="AE19">
        <v>3.1919696928303971E-6</v>
      </c>
      <c r="AF19">
        <v>3.2257406405890635E-6</v>
      </c>
    </row>
    <row r="20" spans="1:32" x14ac:dyDescent="0.25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59</v>
      </c>
      <c r="B21">
        <v>2.5308053748383799E-6</v>
      </c>
      <c r="C21">
        <v>4.4088164650050991E-6</v>
      </c>
      <c r="D21">
        <v>8.1436418091615247E-6</v>
      </c>
      <c r="E21">
        <v>7.012783590332994E-6</v>
      </c>
      <c r="F21">
        <v>5.2980506633595083E-6</v>
      </c>
      <c r="G21">
        <v>4.9262672661618513E-6</v>
      </c>
      <c r="H21">
        <v>4.6351556937350232E-6</v>
      </c>
      <c r="I21">
        <v>4.3440441213081952E-6</v>
      </c>
      <c r="J21">
        <v>4.0529325488813671E-6</v>
      </c>
      <c r="K21">
        <v>3.761820976454539E-6</v>
      </c>
      <c r="L21">
        <v>3.4707094040277118E-6</v>
      </c>
      <c r="M21">
        <v>3.4777362679801405E-6</v>
      </c>
      <c r="N21">
        <v>3.5206738048246483E-6</v>
      </c>
      <c r="O21">
        <v>3.5800900362727405E-6</v>
      </c>
      <c r="P21">
        <v>3.6071945992745593E-6</v>
      </c>
      <c r="Q21">
        <v>3.6161222468752569E-6</v>
      </c>
      <c r="R21">
        <v>3.616529852938152E-6</v>
      </c>
      <c r="S21">
        <v>3.6074219657396634E-6</v>
      </c>
      <c r="T21">
        <v>3.6222942129188946E-6</v>
      </c>
      <c r="U21">
        <v>3.6164711510507983E-6</v>
      </c>
      <c r="V21">
        <v>3.6088283306747237E-6</v>
      </c>
      <c r="W21">
        <v>3.6060387508446859E-6</v>
      </c>
      <c r="X21">
        <v>3.5906117294906011E-6</v>
      </c>
      <c r="Y21">
        <v>3.5766340660031606E-6</v>
      </c>
      <c r="Z21">
        <v>3.5692624318109202E-6</v>
      </c>
      <c r="AA21">
        <v>3.575218606409496E-6</v>
      </c>
      <c r="AB21">
        <v>3.5776733374454726E-6</v>
      </c>
      <c r="AC21">
        <v>3.5959693101955945E-6</v>
      </c>
      <c r="AD21">
        <v>3.6288770921740111E-6</v>
      </c>
      <c r="AE21">
        <v>3.6730391007814969E-6</v>
      </c>
      <c r="AF21">
        <v>3.7045826839692903E-6</v>
      </c>
    </row>
    <row r="22" spans="1:32" s="4" customFormat="1" x14ac:dyDescent="0.25">
      <c r="A22" s="6" t="s">
        <v>32</v>
      </c>
    </row>
    <row r="23" spans="1:32" x14ac:dyDescent="0.25">
      <c r="A23" t="s">
        <v>30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2" x14ac:dyDescent="0.25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53</v>
      </c>
      <c r="B25">
        <v>5.6727767685988622E-7</v>
      </c>
      <c r="C25">
        <v>5.6594056580326965E-7</v>
      </c>
      <c r="D25">
        <v>5.6676894793705564E-7</v>
      </c>
      <c r="E25">
        <v>5.6842650189207649E-7</v>
      </c>
      <c r="F25">
        <v>5.6925488402586248E-7</v>
      </c>
      <c r="G25">
        <v>5.7091164829343457E-7</v>
      </c>
      <c r="H25">
        <v>5.7174082011466943E-7</v>
      </c>
      <c r="I25">
        <v>5.7339758438224142E-7</v>
      </c>
      <c r="J25">
        <v>5.7422596651602751E-7</v>
      </c>
      <c r="K25">
        <v>5.7588352047104826E-7</v>
      </c>
      <c r="L25">
        <v>5.7754107442606911E-7</v>
      </c>
      <c r="M25">
        <v>5.7836945655985532E-7</v>
      </c>
      <c r="N25">
        <v>5.8002701051487606E-7</v>
      </c>
      <c r="O25">
        <v>5.8168377478244826E-7</v>
      </c>
      <c r="P25">
        <v>5.8251215691623414E-7</v>
      </c>
      <c r="Q25">
        <v>5.8416971087125489E-7</v>
      </c>
      <c r="R25">
        <v>5.8582726482627585E-7</v>
      </c>
      <c r="S25">
        <v>5.8665564696006184E-7</v>
      </c>
      <c r="T25">
        <v>5.8831241122763393E-7</v>
      </c>
      <c r="U25">
        <v>5.8996996518265478E-7</v>
      </c>
      <c r="V25">
        <v>5.9162751913767553E-7</v>
      </c>
      <c r="W25">
        <v>5.9328428340524772E-7</v>
      </c>
      <c r="X25">
        <v>5.9494183736026847E-7</v>
      </c>
      <c r="Y25">
        <v>5.9659860162784056E-7</v>
      </c>
      <c r="Z25">
        <v>5.9825615558286141E-7</v>
      </c>
      <c r="AA25">
        <v>5.9991370953788226E-7</v>
      </c>
      <c r="AB25">
        <v>6.0157047380545435E-7</v>
      </c>
      <c r="AC25">
        <v>6.032280277604751E-7</v>
      </c>
      <c r="AD25">
        <v>6.0488479202804729E-7</v>
      </c>
      <c r="AE25">
        <v>6.0654234598306804E-7</v>
      </c>
      <c r="AF25">
        <v>6.0819911025064013E-7</v>
      </c>
    </row>
    <row r="26" spans="1:32" x14ac:dyDescent="0.25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s="4" customFormat="1" x14ac:dyDescent="0.25">
      <c r="A32" s="6" t="s">
        <v>33</v>
      </c>
    </row>
    <row r="33" spans="1:32" x14ac:dyDescent="0.25">
      <c r="A33" t="s">
        <v>30</v>
      </c>
      <c r="B33">
        <v>2020</v>
      </c>
      <c r="C33">
        <v>2021</v>
      </c>
      <c r="D33">
        <v>2022</v>
      </c>
      <c r="E33">
        <v>2023</v>
      </c>
      <c r="F33">
        <v>2024</v>
      </c>
      <c r="G33">
        <v>2025</v>
      </c>
      <c r="H33">
        <v>2026</v>
      </c>
      <c r="I33">
        <v>2027</v>
      </c>
      <c r="J33">
        <v>2028</v>
      </c>
      <c r="K33">
        <v>2029</v>
      </c>
      <c r="L33">
        <v>2030</v>
      </c>
      <c r="M33">
        <v>2031</v>
      </c>
      <c r="N33">
        <v>2032</v>
      </c>
      <c r="O33">
        <v>2033</v>
      </c>
      <c r="P33">
        <v>2034</v>
      </c>
      <c r="Q33">
        <v>2035</v>
      </c>
      <c r="R33">
        <v>2036</v>
      </c>
      <c r="S33">
        <v>2037</v>
      </c>
      <c r="T33">
        <v>2038</v>
      </c>
      <c r="U33">
        <v>2039</v>
      </c>
      <c r="V33">
        <v>2040</v>
      </c>
      <c r="W33">
        <v>2041</v>
      </c>
      <c r="X33">
        <v>2042</v>
      </c>
      <c r="Y33">
        <v>2043</v>
      </c>
      <c r="Z33">
        <v>2044</v>
      </c>
      <c r="AA33">
        <v>2045</v>
      </c>
      <c r="AB33">
        <v>2046</v>
      </c>
      <c r="AC33">
        <v>2047</v>
      </c>
      <c r="AD33">
        <v>2048</v>
      </c>
      <c r="AE33">
        <v>2049</v>
      </c>
      <c r="AF33">
        <v>2050</v>
      </c>
    </row>
    <row r="34" spans="1:32" x14ac:dyDescent="0.25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53</v>
      </c>
      <c r="B35">
        <v>1.8911025600000004E-6</v>
      </c>
      <c r="C35">
        <v>1.8911025600000004E-6</v>
      </c>
      <c r="D35">
        <v>1.8911025600000004E-6</v>
      </c>
      <c r="E35">
        <v>1.8911025600000004E-6</v>
      </c>
      <c r="F35">
        <v>1.8911025600000004E-6</v>
      </c>
      <c r="G35">
        <v>1.8911025600000004E-6</v>
      </c>
      <c r="H35">
        <v>1.8911025600000004E-6</v>
      </c>
      <c r="I35">
        <v>1.8911025600000004E-6</v>
      </c>
      <c r="J35">
        <v>1.8911025600000004E-6</v>
      </c>
      <c r="K35">
        <v>1.8911025600000004E-6</v>
      </c>
      <c r="L35">
        <v>1.8911025600000004E-6</v>
      </c>
      <c r="M35">
        <v>1.8911025600000004E-6</v>
      </c>
      <c r="N35">
        <v>1.8911025600000004E-6</v>
      </c>
      <c r="O35">
        <v>1.8911025600000004E-6</v>
      </c>
      <c r="P35">
        <v>1.8911025600000004E-6</v>
      </c>
      <c r="Q35">
        <v>1.8911025600000004E-6</v>
      </c>
      <c r="R35">
        <v>1.8911025600000004E-6</v>
      </c>
      <c r="S35">
        <v>1.8911025600000004E-6</v>
      </c>
      <c r="T35">
        <v>1.8911025600000004E-6</v>
      </c>
      <c r="U35">
        <v>1.8911025600000004E-6</v>
      </c>
      <c r="V35">
        <v>1.8911025600000004E-6</v>
      </c>
      <c r="W35">
        <v>1.8911025600000004E-6</v>
      </c>
      <c r="X35">
        <v>1.8911025600000004E-6</v>
      </c>
      <c r="Y35">
        <v>1.8911025600000004E-6</v>
      </c>
      <c r="Z35">
        <v>1.8911025600000004E-6</v>
      </c>
      <c r="AA35">
        <v>1.8911025600000004E-6</v>
      </c>
      <c r="AB35">
        <v>1.8911025600000004E-6</v>
      </c>
      <c r="AC35">
        <v>1.8911025600000004E-6</v>
      </c>
      <c r="AD35">
        <v>1.8911025600000004E-6</v>
      </c>
      <c r="AE35">
        <v>1.8911025600000004E-6</v>
      </c>
      <c r="AF35">
        <v>1.8911025600000004E-6</v>
      </c>
    </row>
    <row r="36" spans="1:32" x14ac:dyDescent="0.25">
      <c r="A36" t="s">
        <v>54</v>
      </c>
      <c r="B36">
        <v>7.5388547999999995E-6</v>
      </c>
      <c r="C36">
        <v>7.5388547999999995E-6</v>
      </c>
      <c r="D36">
        <v>7.5388547999999995E-6</v>
      </c>
      <c r="E36">
        <v>7.5388547999999995E-6</v>
      </c>
      <c r="F36">
        <v>7.5388547999999995E-6</v>
      </c>
      <c r="G36">
        <v>7.5388547999999995E-6</v>
      </c>
      <c r="H36">
        <v>7.5388547999999995E-6</v>
      </c>
      <c r="I36">
        <v>7.5388547999999995E-6</v>
      </c>
      <c r="J36">
        <v>7.5388547999999995E-6</v>
      </c>
      <c r="K36">
        <v>7.5388547999999995E-6</v>
      </c>
      <c r="L36">
        <v>7.5388547999999995E-6</v>
      </c>
      <c r="M36">
        <v>7.5388547999999995E-6</v>
      </c>
      <c r="N36">
        <v>7.5388547999999995E-6</v>
      </c>
      <c r="O36">
        <v>7.5388547999999995E-6</v>
      </c>
      <c r="P36">
        <v>7.5388547999999995E-6</v>
      </c>
      <c r="Q36">
        <v>7.5388547999999995E-6</v>
      </c>
      <c r="R36">
        <v>7.5388547999999995E-6</v>
      </c>
      <c r="S36">
        <v>7.5388547999999995E-6</v>
      </c>
      <c r="T36">
        <v>7.5388547999999995E-6</v>
      </c>
      <c r="U36">
        <v>7.5388547999999995E-6</v>
      </c>
      <c r="V36">
        <v>7.5388547999999995E-6</v>
      </c>
      <c r="W36">
        <v>7.5388547999999995E-6</v>
      </c>
      <c r="X36">
        <v>7.5388547999999995E-6</v>
      </c>
      <c r="Y36">
        <v>7.5388547999999995E-6</v>
      </c>
      <c r="Z36">
        <v>7.5388547999999995E-6</v>
      </c>
      <c r="AA36">
        <v>7.5388547999999995E-6</v>
      </c>
      <c r="AB36">
        <v>7.5388547999999995E-6</v>
      </c>
      <c r="AC36">
        <v>7.5388547999999995E-6</v>
      </c>
      <c r="AD36">
        <v>7.5388547999999995E-6</v>
      </c>
      <c r="AE36">
        <v>7.5388547999999995E-6</v>
      </c>
      <c r="AF36">
        <v>7.5388547999999995E-6</v>
      </c>
    </row>
    <row r="37" spans="1:32" x14ac:dyDescent="0.25">
      <c r="A37" t="s">
        <v>55</v>
      </c>
      <c r="B37">
        <v>3.5010952800000005E-6</v>
      </c>
      <c r="C37">
        <v>3.5010952800000005E-6</v>
      </c>
      <c r="D37">
        <v>3.5010952800000005E-6</v>
      </c>
      <c r="E37">
        <v>3.5010952800000005E-6</v>
      </c>
      <c r="F37">
        <v>3.5010952800000005E-6</v>
      </c>
      <c r="G37">
        <v>3.5010952800000005E-6</v>
      </c>
      <c r="H37">
        <v>3.5010952800000005E-6</v>
      </c>
      <c r="I37">
        <v>3.5010952800000005E-6</v>
      </c>
      <c r="J37">
        <v>3.5010952800000005E-6</v>
      </c>
      <c r="K37">
        <v>3.5010952800000005E-6</v>
      </c>
      <c r="L37">
        <v>3.5010952800000005E-6</v>
      </c>
      <c r="M37">
        <v>3.5010952800000005E-6</v>
      </c>
      <c r="N37">
        <v>3.5010952800000005E-6</v>
      </c>
      <c r="O37">
        <v>3.5010952800000005E-6</v>
      </c>
      <c r="P37">
        <v>3.5010952800000005E-6</v>
      </c>
      <c r="Q37">
        <v>3.5010952800000005E-6</v>
      </c>
      <c r="R37">
        <v>3.5010952800000005E-6</v>
      </c>
      <c r="S37">
        <v>3.5010952800000005E-6</v>
      </c>
      <c r="T37">
        <v>3.5010952800000005E-6</v>
      </c>
      <c r="U37">
        <v>3.5010952800000005E-6</v>
      </c>
      <c r="V37">
        <v>3.5010952800000005E-6</v>
      </c>
      <c r="W37">
        <v>3.5010952800000005E-6</v>
      </c>
      <c r="X37">
        <v>3.5010952800000005E-6</v>
      </c>
      <c r="Y37">
        <v>3.5010952800000005E-6</v>
      </c>
      <c r="Z37">
        <v>3.5010952800000005E-6</v>
      </c>
      <c r="AA37">
        <v>3.5010952800000005E-6</v>
      </c>
      <c r="AB37">
        <v>3.5010952800000005E-6</v>
      </c>
      <c r="AC37">
        <v>3.5010952800000005E-6</v>
      </c>
      <c r="AD37">
        <v>3.5010952800000005E-6</v>
      </c>
      <c r="AE37">
        <v>3.5010952800000005E-6</v>
      </c>
      <c r="AF37">
        <v>3.5010952800000005E-6</v>
      </c>
    </row>
    <row r="38" spans="1:32" x14ac:dyDescent="0.25">
      <c r="A38" t="s">
        <v>56</v>
      </c>
      <c r="B38">
        <v>2.2403602399999999E-6</v>
      </c>
      <c r="C38">
        <v>2.2403602399999999E-6</v>
      </c>
      <c r="D38">
        <v>2.2403602399999999E-6</v>
      </c>
      <c r="E38">
        <v>2.2403602399999999E-6</v>
      </c>
      <c r="F38">
        <v>2.2403602399999999E-6</v>
      </c>
      <c r="G38">
        <v>2.2403602399999999E-6</v>
      </c>
      <c r="H38">
        <v>2.2403602399999999E-6</v>
      </c>
      <c r="I38">
        <v>2.2403602399999999E-6</v>
      </c>
      <c r="J38">
        <v>2.2403602399999999E-6</v>
      </c>
      <c r="K38">
        <v>2.2403602399999999E-6</v>
      </c>
      <c r="L38">
        <v>2.2403602399999999E-6</v>
      </c>
      <c r="M38">
        <v>2.2403602399999999E-6</v>
      </c>
      <c r="N38">
        <v>2.2403602399999999E-6</v>
      </c>
      <c r="O38">
        <v>2.2403602399999999E-6</v>
      </c>
      <c r="P38">
        <v>2.2403602399999999E-6</v>
      </c>
      <c r="Q38">
        <v>2.2403602399999999E-6</v>
      </c>
      <c r="R38">
        <v>2.2403602399999999E-6</v>
      </c>
      <c r="S38">
        <v>2.2403602399999999E-6</v>
      </c>
      <c r="T38">
        <v>2.2403602399999999E-6</v>
      </c>
      <c r="U38">
        <v>2.2403602399999999E-6</v>
      </c>
      <c r="V38">
        <v>2.2403602399999999E-6</v>
      </c>
      <c r="W38">
        <v>2.2403602399999999E-6</v>
      </c>
      <c r="X38">
        <v>2.2403602399999999E-6</v>
      </c>
      <c r="Y38">
        <v>2.2403602399999999E-6</v>
      </c>
      <c r="Z38">
        <v>2.2403602399999999E-6</v>
      </c>
      <c r="AA38">
        <v>2.2403602399999999E-6</v>
      </c>
      <c r="AB38">
        <v>2.2403602399999999E-6</v>
      </c>
      <c r="AC38">
        <v>2.2403602399999999E-6</v>
      </c>
      <c r="AD38">
        <v>2.2403602399999999E-6</v>
      </c>
      <c r="AE38">
        <v>2.2403602399999999E-6</v>
      </c>
      <c r="AF38">
        <v>2.2403602399999999E-6</v>
      </c>
    </row>
    <row r="39" spans="1:32" x14ac:dyDescent="0.25">
      <c r="A39" t="s">
        <v>57</v>
      </c>
      <c r="B39">
        <v>1.8911025600000004E-6</v>
      </c>
      <c r="C39">
        <v>1.8911025600000004E-6</v>
      </c>
      <c r="D39">
        <v>1.8911025600000004E-6</v>
      </c>
      <c r="E39">
        <v>1.8911025600000004E-6</v>
      </c>
      <c r="F39">
        <v>1.8911025600000004E-6</v>
      </c>
      <c r="G39">
        <v>1.8911025600000004E-6</v>
      </c>
      <c r="H39">
        <v>1.8911025600000004E-6</v>
      </c>
      <c r="I39">
        <v>1.8911025600000004E-6</v>
      </c>
      <c r="J39">
        <v>1.8911025600000004E-6</v>
      </c>
      <c r="K39">
        <v>1.8911025600000004E-6</v>
      </c>
      <c r="L39">
        <v>1.8911025600000004E-6</v>
      </c>
      <c r="M39">
        <v>1.8911025600000004E-6</v>
      </c>
      <c r="N39">
        <v>1.8911025600000004E-6</v>
      </c>
      <c r="O39">
        <v>1.8911025600000004E-6</v>
      </c>
      <c r="P39">
        <v>1.8911025600000004E-6</v>
      </c>
      <c r="Q39">
        <v>1.8911025600000004E-6</v>
      </c>
      <c r="R39">
        <v>1.8911025600000004E-6</v>
      </c>
      <c r="S39">
        <v>1.8911025600000004E-6</v>
      </c>
      <c r="T39">
        <v>1.8911025600000004E-6</v>
      </c>
      <c r="U39">
        <v>1.8911025600000004E-6</v>
      </c>
      <c r="V39">
        <v>1.8911025600000004E-6</v>
      </c>
      <c r="W39">
        <v>1.8911025600000004E-6</v>
      </c>
      <c r="X39">
        <v>1.8911025600000004E-6</v>
      </c>
      <c r="Y39">
        <v>1.8911025600000004E-6</v>
      </c>
      <c r="Z39">
        <v>1.8911025600000004E-6</v>
      </c>
      <c r="AA39">
        <v>1.8911025600000004E-6</v>
      </c>
      <c r="AB39">
        <v>1.8911025600000004E-6</v>
      </c>
      <c r="AC39">
        <v>1.8911025600000004E-6</v>
      </c>
      <c r="AD39">
        <v>1.8911025600000004E-6</v>
      </c>
      <c r="AE39">
        <v>1.8911025600000004E-6</v>
      </c>
      <c r="AF39">
        <v>1.8911025600000004E-6</v>
      </c>
    </row>
    <row r="40" spans="1:32" x14ac:dyDescent="0.25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59</v>
      </c>
      <c r="B41">
        <v>2.2403602399999999E-6</v>
      </c>
      <c r="C41">
        <v>2.2403602399999999E-6</v>
      </c>
      <c r="D41">
        <v>2.2403602399999999E-6</v>
      </c>
      <c r="E41">
        <v>2.2403602399999999E-6</v>
      </c>
      <c r="F41">
        <v>2.2403602399999999E-6</v>
      </c>
      <c r="G41">
        <v>2.2403602399999999E-6</v>
      </c>
      <c r="H41">
        <v>2.2403602399999999E-6</v>
      </c>
      <c r="I41">
        <v>2.2403602399999999E-6</v>
      </c>
      <c r="J41">
        <v>2.2403602399999999E-6</v>
      </c>
      <c r="K41">
        <v>2.2403602399999999E-6</v>
      </c>
      <c r="L41">
        <v>2.2403602399999999E-6</v>
      </c>
      <c r="M41">
        <v>2.2403602399999999E-6</v>
      </c>
      <c r="N41">
        <v>2.2403602399999999E-6</v>
      </c>
      <c r="O41">
        <v>2.2403602399999999E-6</v>
      </c>
      <c r="P41">
        <v>2.2403602399999999E-6</v>
      </c>
      <c r="Q41">
        <v>2.2403602399999999E-6</v>
      </c>
      <c r="R41">
        <v>2.2403602399999999E-6</v>
      </c>
      <c r="S41">
        <v>2.2403602399999999E-6</v>
      </c>
      <c r="T41">
        <v>2.2403602399999999E-6</v>
      </c>
      <c r="U41">
        <v>2.2403602399999999E-6</v>
      </c>
      <c r="V41">
        <v>2.2403602399999999E-6</v>
      </c>
      <c r="W41">
        <v>2.2403602399999999E-6</v>
      </c>
      <c r="X41">
        <v>2.2403602399999999E-6</v>
      </c>
      <c r="Y41">
        <v>2.2403602399999999E-6</v>
      </c>
      <c r="Z41">
        <v>2.2403602399999999E-6</v>
      </c>
      <c r="AA41">
        <v>2.2403602399999999E-6</v>
      </c>
      <c r="AB41">
        <v>2.2403602399999999E-6</v>
      </c>
      <c r="AC41">
        <v>2.2403602399999999E-6</v>
      </c>
      <c r="AD41">
        <v>2.2403602399999999E-6</v>
      </c>
      <c r="AE41">
        <v>2.2403602399999999E-6</v>
      </c>
      <c r="AF41">
        <v>2.2403602399999999E-6</v>
      </c>
    </row>
    <row r="42" spans="1:32" s="4" customFormat="1" x14ac:dyDescent="0.25">
      <c r="A42" s="6" t="s">
        <v>34</v>
      </c>
    </row>
    <row r="43" spans="1:32" x14ac:dyDescent="0.25">
      <c r="A43" t="s">
        <v>30</v>
      </c>
      <c r="B43">
        <v>2020</v>
      </c>
      <c r="C43">
        <v>2021</v>
      </c>
      <c r="D43">
        <v>2022</v>
      </c>
      <c r="E43">
        <v>2023</v>
      </c>
      <c r="F43">
        <v>2024</v>
      </c>
      <c r="G43">
        <v>2025</v>
      </c>
      <c r="H43">
        <v>2026</v>
      </c>
      <c r="I43">
        <v>2027</v>
      </c>
      <c r="J43">
        <v>2028</v>
      </c>
      <c r="K43">
        <v>2029</v>
      </c>
      <c r="L43">
        <v>2030</v>
      </c>
      <c r="M43">
        <v>2031</v>
      </c>
      <c r="N43">
        <v>2032</v>
      </c>
      <c r="O43">
        <v>2033</v>
      </c>
      <c r="P43">
        <v>2034</v>
      </c>
      <c r="Q43">
        <v>2035</v>
      </c>
      <c r="R43">
        <v>2036</v>
      </c>
      <c r="S43">
        <v>2037</v>
      </c>
      <c r="T43">
        <v>2038</v>
      </c>
      <c r="U43">
        <v>2039</v>
      </c>
      <c r="V43">
        <v>2040</v>
      </c>
      <c r="W43">
        <v>2041</v>
      </c>
      <c r="X43">
        <v>2042</v>
      </c>
      <c r="Y43">
        <v>2043</v>
      </c>
      <c r="Z43">
        <v>2044</v>
      </c>
      <c r="AA43">
        <v>2045</v>
      </c>
      <c r="AB43">
        <v>2046</v>
      </c>
      <c r="AC43">
        <v>2047</v>
      </c>
      <c r="AD43">
        <v>2048</v>
      </c>
      <c r="AE43">
        <v>2049</v>
      </c>
      <c r="AF43">
        <v>2050</v>
      </c>
    </row>
    <row r="44" spans="1:32" x14ac:dyDescent="0.25">
      <c r="A44" t="s">
        <v>52</v>
      </c>
      <c r="B44">
        <v>1.1538520409509203E-5</v>
      </c>
      <c r="C44">
        <v>1.621556899973665E-5</v>
      </c>
      <c r="D44">
        <v>2.0531291333561059E-5</v>
      </c>
      <c r="E44">
        <v>1.918277110658681E-5</v>
      </c>
      <c r="F44">
        <v>1.8075816038038418E-5</v>
      </c>
      <c r="G44">
        <v>1.6968860969490025E-5</v>
      </c>
      <c r="H44">
        <v>1.5861905900941632E-5</v>
      </c>
      <c r="I44">
        <v>1.475495083239324E-5</v>
      </c>
      <c r="J44">
        <v>1.3647995763844845E-5</v>
      </c>
      <c r="K44">
        <v>1.3907132078374234E-5</v>
      </c>
      <c r="L44">
        <v>1.4617966432023768E-5</v>
      </c>
      <c r="M44">
        <v>1.5115772777832597E-5</v>
      </c>
      <c r="N44">
        <v>1.5402922890635467E-5</v>
      </c>
      <c r="O44">
        <v>1.5625271207981139E-5</v>
      </c>
      <c r="P44">
        <v>1.5908000478445172E-5</v>
      </c>
      <c r="Q44">
        <v>1.593481864998826E-5</v>
      </c>
      <c r="R44">
        <v>1.610277253864747E-5</v>
      </c>
      <c r="S44">
        <v>1.6305217476982272E-5</v>
      </c>
      <c r="T44">
        <v>1.6576196795111388E-5</v>
      </c>
      <c r="U44">
        <v>1.6628326045283045E-5</v>
      </c>
      <c r="V44">
        <v>1.6830835314081796E-5</v>
      </c>
      <c r="W44">
        <v>1.7009761394359371E-5</v>
      </c>
      <c r="X44">
        <v>1.7063714012295112E-5</v>
      </c>
      <c r="Y44">
        <v>1.7291077900185937E-5</v>
      </c>
      <c r="Z44">
        <v>1.7527339342058407E-5</v>
      </c>
      <c r="AA44">
        <v>1.7666186668914094E-5</v>
      </c>
      <c r="AB44">
        <v>1.7860354769387775E-5</v>
      </c>
      <c r="AC44">
        <v>1.7971446239091422E-5</v>
      </c>
      <c r="AD44">
        <v>1.7976061687680299E-5</v>
      </c>
      <c r="AE44">
        <v>1.8054796189943165E-5</v>
      </c>
      <c r="AF44">
        <v>1.8119589914378401E-5</v>
      </c>
    </row>
    <row r="45" spans="1:32" x14ac:dyDescent="0.25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s="4" customFormat="1" x14ac:dyDescent="0.25">
      <c r="A52" s="6" t="s">
        <v>35</v>
      </c>
    </row>
    <row r="53" spans="1:32" x14ac:dyDescent="0.25">
      <c r="A53" t="s">
        <v>30</v>
      </c>
      <c r="B53">
        <v>2020</v>
      </c>
      <c r="C53">
        <v>2021</v>
      </c>
      <c r="D53">
        <v>2022</v>
      </c>
      <c r="E53">
        <v>2023</v>
      </c>
      <c r="F53">
        <v>2024</v>
      </c>
      <c r="G53">
        <v>2025</v>
      </c>
      <c r="H53">
        <v>2026</v>
      </c>
      <c r="I53">
        <v>2027</v>
      </c>
      <c r="J53">
        <v>2028</v>
      </c>
      <c r="K53">
        <v>2029</v>
      </c>
      <c r="L53">
        <v>2030</v>
      </c>
      <c r="M53">
        <v>2031</v>
      </c>
      <c r="N53">
        <v>2032</v>
      </c>
      <c r="O53">
        <v>2033</v>
      </c>
      <c r="P53">
        <v>2034</v>
      </c>
      <c r="Q53">
        <v>2035</v>
      </c>
      <c r="R53">
        <v>2036</v>
      </c>
      <c r="S53">
        <v>2037</v>
      </c>
      <c r="T53">
        <v>2038</v>
      </c>
      <c r="U53">
        <v>2039</v>
      </c>
      <c r="V53">
        <v>2040</v>
      </c>
      <c r="W53">
        <v>2041</v>
      </c>
      <c r="X53">
        <v>2042</v>
      </c>
      <c r="Y53">
        <v>2043</v>
      </c>
      <c r="Z53">
        <v>2044</v>
      </c>
      <c r="AA53">
        <v>2045</v>
      </c>
      <c r="AB53">
        <v>2046</v>
      </c>
      <c r="AC53">
        <v>2047</v>
      </c>
      <c r="AD53">
        <v>2048</v>
      </c>
      <c r="AE53">
        <v>2049</v>
      </c>
      <c r="AF53">
        <v>2050</v>
      </c>
    </row>
    <row r="54" spans="1:32" x14ac:dyDescent="0.25">
      <c r="A54" t="s">
        <v>52</v>
      </c>
      <c r="B54">
        <v>1.2089986144400414E-5</v>
      </c>
      <c r="C54">
        <v>1.5656387990389512E-5</v>
      </c>
      <c r="D54">
        <v>2.2795693309215541E-5</v>
      </c>
      <c r="E54">
        <v>1.9719121554485351E-5</v>
      </c>
      <c r="F54">
        <v>1.8757336732544412E-5</v>
      </c>
      <c r="G54">
        <v>1.7795551910603473E-5</v>
      </c>
      <c r="H54">
        <v>1.6833767088662534E-5</v>
      </c>
      <c r="I54">
        <v>1.5871982266721595E-5</v>
      </c>
      <c r="J54">
        <v>1.491019744478065E-5</v>
      </c>
      <c r="K54">
        <v>1.5112213156919839E-5</v>
      </c>
      <c r="L54">
        <v>1.5312719489971391E-5</v>
      </c>
      <c r="M54">
        <v>1.5808790298430923E-5</v>
      </c>
      <c r="N54">
        <v>1.5983321644990559E-5</v>
      </c>
      <c r="O54">
        <v>1.6151427688207927E-5</v>
      </c>
      <c r="P54">
        <v>1.6243406784198743E-5</v>
      </c>
      <c r="Q54">
        <v>1.6295298744258514E-5</v>
      </c>
      <c r="R54">
        <v>1.6438007333173573E-5</v>
      </c>
      <c r="S54">
        <v>1.6650180990269502E-5</v>
      </c>
      <c r="T54">
        <v>1.6813376634207203E-5</v>
      </c>
      <c r="U54">
        <v>1.6876561194799892E-5</v>
      </c>
      <c r="V54">
        <v>1.7118274020748642E-5</v>
      </c>
      <c r="W54">
        <v>1.7253423997271946E-5</v>
      </c>
      <c r="X54">
        <v>1.7307135218630074E-5</v>
      </c>
      <c r="Y54">
        <v>1.7541562459406721E-5</v>
      </c>
      <c r="Z54">
        <v>1.7803518532365268E-5</v>
      </c>
      <c r="AA54">
        <v>1.7946475759288211E-5</v>
      </c>
      <c r="AB54">
        <v>1.8131511975039057E-5</v>
      </c>
      <c r="AC54">
        <v>1.8224218016198675E-5</v>
      </c>
      <c r="AD54">
        <v>1.8232474553467371E-5</v>
      </c>
      <c r="AE54">
        <v>1.8273567522002384E-5</v>
      </c>
      <c r="AF54">
        <v>1.8284554481473502E-5</v>
      </c>
    </row>
    <row r="55" spans="1:32" x14ac:dyDescent="0.25">
      <c r="A55" t="s">
        <v>53</v>
      </c>
      <c r="B55">
        <v>1.1681180377119835E-5</v>
      </c>
      <c r="C55">
        <v>1.4337336593734998E-5</v>
      </c>
      <c r="D55">
        <v>2.2018840131940414E-5</v>
      </c>
      <c r="E55">
        <v>1.8279625992933165E-5</v>
      </c>
      <c r="F55">
        <v>1.7129578100886319E-5</v>
      </c>
      <c r="G55">
        <v>1.5979530208839474E-5</v>
      </c>
      <c r="H55">
        <v>1.482948231679263E-5</v>
      </c>
      <c r="I55">
        <v>1.3679434424745786E-5</v>
      </c>
      <c r="J55">
        <v>1.2529386532698943E-5</v>
      </c>
      <c r="K55">
        <v>1.2718014954359839E-5</v>
      </c>
      <c r="L55">
        <v>1.2914210386656861E-5</v>
      </c>
      <c r="M55">
        <v>1.3112992603893181E-5</v>
      </c>
      <c r="N55">
        <v>1.3292261345024253E-5</v>
      </c>
      <c r="O55">
        <v>1.3385306096850057E-5</v>
      </c>
      <c r="P55">
        <v>1.3522711192647859E-5</v>
      </c>
      <c r="Q55">
        <v>1.357644373851999E-5</v>
      </c>
      <c r="R55">
        <v>1.3718557963672505E-5</v>
      </c>
      <c r="S55">
        <v>1.392284072393663E-5</v>
      </c>
      <c r="T55">
        <v>1.4051099599502695E-5</v>
      </c>
      <c r="U55">
        <v>1.4099776659663362E-5</v>
      </c>
      <c r="V55">
        <v>1.4333270512821636E-5</v>
      </c>
      <c r="W55">
        <v>1.4442315498080699E-5</v>
      </c>
      <c r="X55">
        <v>1.4505155834099279E-5</v>
      </c>
      <c r="Y55">
        <v>1.4711250921575053E-5</v>
      </c>
      <c r="Z55">
        <v>1.4951807660524916E-5</v>
      </c>
      <c r="AA55">
        <v>1.5083351448819072E-5</v>
      </c>
      <c r="AB55">
        <v>1.5300768970953417E-5</v>
      </c>
      <c r="AC55">
        <v>1.5390797350710956E-5</v>
      </c>
      <c r="AD55">
        <v>1.5390760216986597E-5</v>
      </c>
      <c r="AE55">
        <v>1.5433488088815617E-5</v>
      </c>
      <c r="AF55">
        <v>1.5440183964755424E-5</v>
      </c>
    </row>
    <row r="56" spans="1:32" x14ac:dyDescent="0.25">
      <c r="A56" t="s">
        <v>54</v>
      </c>
      <c r="B56">
        <v>1.1706844147787918E-5</v>
      </c>
      <c r="C56">
        <v>1.4334381248199957E-5</v>
      </c>
      <c r="D56">
        <v>2.2022128532625969E-5</v>
      </c>
      <c r="E56">
        <v>1.9460449478989063E-5</v>
      </c>
      <c r="F56">
        <v>1.8817701296296123E-5</v>
      </c>
      <c r="G56">
        <v>1.8174953113603184E-5</v>
      </c>
      <c r="H56">
        <v>1.7532204930910245E-5</v>
      </c>
      <c r="I56">
        <v>1.6889456748217306E-5</v>
      </c>
      <c r="J56">
        <v>1.6246708565524373E-5</v>
      </c>
      <c r="K56">
        <v>1.645027361168567E-5</v>
      </c>
      <c r="L56">
        <v>1.6671052773268442E-5</v>
      </c>
      <c r="M56">
        <v>1.6948502546072242E-5</v>
      </c>
      <c r="N56">
        <v>1.7135932944189768E-5</v>
      </c>
      <c r="O56">
        <v>1.7263537261075212E-5</v>
      </c>
      <c r="P56">
        <v>1.7366366382078877E-5</v>
      </c>
      <c r="Q56">
        <v>1.7403554018831319E-5</v>
      </c>
      <c r="R56">
        <v>1.7539201054133258E-5</v>
      </c>
      <c r="S56">
        <v>1.7767300927573466E-5</v>
      </c>
      <c r="T56">
        <v>1.7930644402334424E-5</v>
      </c>
      <c r="U56">
        <v>1.7980289774030052E-5</v>
      </c>
      <c r="V56">
        <v>1.8242560106522163E-5</v>
      </c>
      <c r="W56">
        <v>1.8369183860624388E-5</v>
      </c>
      <c r="X56">
        <v>1.8426138095264607E-5</v>
      </c>
      <c r="Y56">
        <v>1.8640135847908858E-5</v>
      </c>
      <c r="Z56">
        <v>1.8886527104174695E-5</v>
      </c>
      <c r="AA56">
        <v>1.9030793730238737E-5</v>
      </c>
      <c r="AB56">
        <v>1.9236184839440913E-5</v>
      </c>
      <c r="AC56">
        <v>1.9310358648490914E-5</v>
      </c>
      <c r="AD56">
        <v>1.9301862794639333E-5</v>
      </c>
      <c r="AE56">
        <v>1.9350499742420805E-5</v>
      </c>
      <c r="AF56">
        <v>1.937049680373371E-5</v>
      </c>
    </row>
    <row r="57" spans="1:32" x14ac:dyDescent="0.25">
      <c r="A57" t="s">
        <v>55</v>
      </c>
      <c r="B57">
        <v>1.1757431616370677E-5</v>
      </c>
      <c r="C57">
        <v>1.4386042352019904E-5</v>
      </c>
      <c r="D57">
        <v>2.2105069194415666E-5</v>
      </c>
      <c r="E57">
        <v>1.8497440343169398E-5</v>
      </c>
      <c r="F57">
        <v>1.7356168393678116E-5</v>
      </c>
      <c r="G57">
        <v>1.6214896444186834E-5</v>
      </c>
      <c r="H57">
        <v>1.5073624494695552E-5</v>
      </c>
      <c r="I57">
        <v>1.393235254520427E-5</v>
      </c>
      <c r="J57">
        <v>1.279108059571299E-5</v>
      </c>
      <c r="K57">
        <v>1.2964663800134996E-5</v>
      </c>
      <c r="L57">
        <v>1.3135487385498802E-5</v>
      </c>
      <c r="M57">
        <v>1.3602247068520739E-5</v>
      </c>
      <c r="N57">
        <v>1.3770092599127715E-5</v>
      </c>
      <c r="O57">
        <v>1.3915193678694074E-5</v>
      </c>
      <c r="P57">
        <v>1.4007466430927713E-5</v>
      </c>
      <c r="Q57">
        <v>1.4057366116514909E-5</v>
      </c>
      <c r="R57">
        <v>1.4191150885665587E-5</v>
      </c>
      <c r="S57">
        <v>1.4405462103596696E-5</v>
      </c>
      <c r="T57">
        <v>1.4557177685910671E-5</v>
      </c>
      <c r="U57">
        <v>1.4606365353643898E-5</v>
      </c>
      <c r="V57">
        <v>1.4836662240912686E-5</v>
      </c>
      <c r="W57">
        <v>1.4956919739854466E-5</v>
      </c>
      <c r="X57">
        <v>1.5007380573142223E-5</v>
      </c>
      <c r="Y57">
        <v>1.5224081898021946E-5</v>
      </c>
      <c r="Z57">
        <v>1.5470671234203419E-5</v>
      </c>
      <c r="AA57">
        <v>1.5607054244215434E-5</v>
      </c>
      <c r="AB57">
        <v>1.5790854275840625E-5</v>
      </c>
      <c r="AC57">
        <v>1.586686031893979E-5</v>
      </c>
      <c r="AD57">
        <v>1.5863356314866017E-5</v>
      </c>
      <c r="AE57">
        <v>1.5897203506306462E-5</v>
      </c>
      <c r="AF57">
        <v>1.589278240498782E-5</v>
      </c>
    </row>
    <row r="58" spans="1:32" x14ac:dyDescent="0.25">
      <c r="A58" t="s">
        <v>56</v>
      </c>
      <c r="B58">
        <v>1.1708484576431165E-5</v>
      </c>
      <c r="C58">
        <v>1.4339362946605199E-5</v>
      </c>
      <c r="D58">
        <v>2.202882527566342E-5</v>
      </c>
      <c r="E58">
        <v>1.8501723040914008E-5</v>
      </c>
      <c r="F58">
        <v>1.7349895524304993E-5</v>
      </c>
      <c r="G58">
        <v>1.6198068007695978E-5</v>
      </c>
      <c r="H58">
        <v>1.5046240491086963E-5</v>
      </c>
      <c r="I58">
        <v>1.3894412974477948E-5</v>
      </c>
      <c r="J58">
        <v>1.2742585457868936E-5</v>
      </c>
      <c r="K58">
        <v>1.2922081636026248E-5</v>
      </c>
      <c r="L58">
        <v>1.3095463950652918E-5</v>
      </c>
      <c r="M58">
        <v>1.3360099281288879E-5</v>
      </c>
      <c r="N58">
        <v>1.3526108120676326E-5</v>
      </c>
      <c r="O58">
        <v>1.3650187060539484E-5</v>
      </c>
      <c r="P58">
        <v>1.3739639100732975E-5</v>
      </c>
      <c r="Q58">
        <v>1.379635123830746E-5</v>
      </c>
      <c r="R58">
        <v>1.3935824192362565E-5</v>
      </c>
      <c r="S58">
        <v>1.4153293794143927E-5</v>
      </c>
      <c r="T58">
        <v>1.4307850972170812E-5</v>
      </c>
      <c r="U58">
        <v>1.4361700716121022E-5</v>
      </c>
      <c r="V58">
        <v>1.4587846917205858E-5</v>
      </c>
      <c r="W58">
        <v>1.4714272131587291E-5</v>
      </c>
      <c r="X58">
        <v>1.4767564205798099E-5</v>
      </c>
      <c r="Y58">
        <v>1.4995033822744791E-5</v>
      </c>
      <c r="Z58">
        <v>1.5247741933994607E-5</v>
      </c>
      <c r="AA58">
        <v>1.5386494370865061E-5</v>
      </c>
      <c r="AB58">
        <v>1.5567029911045895E-5</v>
      </c>
      <c r="AC58">
        <v>1.5649888437961832E-5</v>
      </c>
      <c r="AD58">
        <v>1.5655022339891959E-5</v>
      </c>
      <c r="AE58">
        <v>1.5688497325746411E-5</v>
      </c>
      <c r="AF58">
        <v>1.5683758040234864E-5</v>
      </c>
    </row>
    <row r="59" spans="1:32" x14ac:dyDescent="0.25">
      <c r="A59" t="s">
        <v>57</v>
      </c>
      <c r="B59">
        <v>1.1681180377119835E-5</v>
      </c>
      <c r="C59">
        <v>1.4337336593734998E-5</v>
      </c>
      <c r="D59">
        <v>2.2018840131940414E-5</v>
      </c>
      <c r="E59">
        <v>1.8279625992933165E-5</v>
      </c>
      <c r="F59">
        <v>1.7129578100886319E-5</v>
      </c>
      <c r="G59">
        <v>1.5979530208839474E-5</v>
      </c>
      <c r="H59">
        <v>1.482948231679263E-5</v>
      </c>
      <c r="I59">
        <v>1.3679434424745786E-5</v>
      </c>
      <c r="J59">
        <v>1.2529386532698943E-5</v>
      </c>
      <c r="K59">
        <v>1.2718014954359839E-5</v>
      </c>
      <c r="L59">
        <v>1.2914210386656861E-5</v>
      </c>
      <c r="M59">
        <v>1.3112992603893181E-5</v>
      </c>
      <c r="N59">
        <v>1.3292261345024253E-5</v>
      </c>
      <c r="O59">
        <v>1.3385306096850057E-5</v>
      </c>
      <c r="P59">
        <v>1.3522711192647859E-5</v>
      </c>
      <c r="Q59">
        <v>1.357644373851999E-5</v>
      </c>
      <c r="R59">
        <v>1.3718557963672505E-5</v>
      </c>
      <c r="S59">
        <v>1.392284072393663E-5</v>
      </c>
      <c r="T59">
        <v>1.4051099599502695E-5</v>
      </c>
      <c r="U59">
        <v>1.4099776659663362E-5</v>
      </c>
      <c r="V59">
        <v>1.4333270512821636E-5</v>
      </c>
      <c r="W59">
        <v>1.4442315498080699E-5</v>
      </c>
      <c r="X59">
        <v>1.4505155834099279E-5</v>
      </c>
      <c r="Y59">
        <v>1.4711250921575053E-5</v>
      </c>
      <c r="Z59">
        <v>1.4951807660524916E-5</v>
      </c>
      <c r="AA59">
        <v>1.5083351448819072E-5</v>
      </c>
      <c r="AB59">
        <v>1.5300768970953417E-5</v>
      </c>
      <c r="AC59">
        <v>1.5390797350710956E-5</v>
      </c>
      <c r="AD59">
        <v>1.5390760216986597E-5</v>
      </c>
      <c r="AE59">
        <v>1.5433488088815617E-5</v>
      </c>
      <c r="AF59">
        <v>1.5440183964755424E-5</v>
      </c>
    </row>
    <row r="60" spans="1:32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59</v>
      </c>
      <c r="B61">
        <v>1.1708484576431165E-5</v>
      </c>
      <c r="C61">
        <v>1.4339362946605199E-5</v>
      </c>
      <c r="D61">
        <v>2.202882527566342E-5</v>
      </c>
      <c r="E61">
        <v>1.8501723040914008E-5</v>
      </c>
      <c r="F61">
        <v>1.7349895524304993E-5</v>
      </c>
      <c r="G61">
        <v>1.6198068007695978E-5</v>
      </c>
      <c r="H61">
        <v>1.5046240491086963E-5</v>
      </c>
      <c r="I61">
        <v>1.3894412974477948E-5</v>
      </c>
      <c r="J61">
        <v>1.2742585457868936E-5</v>
      </c>
      <c r="K61">
        <v>1.2922081636026248E-5</v>
      </c>
      <c r="L61">
        <v>1.3095463950652918E-5</v>
      </c>
      <c r="M61">
        <v>1.3360099281288879E-5</v>
      </c>
      <c r="N61">
        <v>1.3526108120676326E-5</v>
      </c>
      <c r="O61">
        <v>1.3650187060539484E-5</v>
      </c>
      <c r="P61">
        <v>1.3739639100732975E-5</v>
      </c>
      <c r="Q61">
        <v>1.379635123830746E-5</v>
      </c>
      <c r="R61">
        <v>1.3935824192362565E-5</v>
      </c>
      <c r="S61">
        <v>1.4153293794143927E-5</v>
      </c>
      <c r="T61">
        <v>1.4307850972170812E-5</v>
      </c>
      <c r="U61">
        <v>1.4361700716121022E-5</v>
      </c>
      <c r="V61">
        <v>1.4587846917205858E-5</v>
      </c>
      <c r="W61">
        <v>1.4714272131587291E-5</v>
      </c>
      <c r="X61">
        <v>1.4767564205798099E-5</v>
      </c>
      <c r="Y61">
        <v>1.4995033822744791E-5</v>
      </c>
      <c r="Z61">
        <v>1.5247741933994607E-5</v>
      </c>
      <c r="AA61">
        <v>1.5386494370865061E-5</v>
      </c>
      <c r="AB61">
        <v>1.5567029911045895E-5</v>
      </c>
      <c r="AC61">
        <v>1.5649888437961832E-5</v>
      </c>
      <c r="AD61">
        <v>1.5655022339891959E-5</v>
      </c>
      <c r="AE61">
        <v>1.5688497325746411E-5</v>
      </c>
      <c r="AF61">
        <v>1.5683758040234864E-5</v>
      </c>
    </row>
    <row r="62" spans="1:32" s="4" customFormat="1" x14ac:dyDescent="0.25">
      <c r="A62" s="6" t="s">
        <v>36</v>
      </c>
    </row>
    <row r="63" spans="1:32" x14ac:dyDescent="0.25">
      <c r="A63" t="s">
        <v>30</v>
      </c>
      <c r="B63">
        <v>2020</v>
      </c>
      <c r="C63">
        <v>2021</v>
      </c>
      <c r="D63">
        <v>2022</v>
      </c>
      <c r="E63">
        <v>2023</v>
      </c>
      <c r="F63">
        <v>2024</v>
      </c>
      <c r="G63">
        <v>2025</v>
      </c>
      <c r="H63">
        <v>2026</v>
      </c>
      <c r="I63">
        <v>2027</v>
      </c>
      <c r="J63">
        <v>2028</v>
      </c>
      <c r="K63">
        <v>2029</v>
      </c>
      <c r="L63">
        <v>2030</v>
      </c>
      <c r="M63">
        <v>2031</v>
      </c>
      <c r="N63">
        <v>2032</v>
      </c>
      <c r="O63">
        <v>2033</v>
      </c>
      <c r="P63">
        <v>2034</v>
      </c>
      <c r="Q63">
        <v>2035</v>
      </c>
      <c r="R63">
        <v>2036</v>
      </c>
      <c r="S63">
        <v>2037</v>
      </c>
      <c r="T63">
        <v>2038</v>
      </c>
      <c r="U63">
        <v>2039</v>
      </c>
      <c r="V63">
        <v>2040</v>
      </c>
      <c r="W63">
        <v>2041</v>
      </c>
      <c r="X63">
        <v>2042</v>
      </c>
      <c r="Y63">
        <v>2043</v>
      </c>
      <c r="Z63">
        <v>2044</v>
      </c>
      <c r="AA63">
        <v>2045</v>
      </c>
      <c r="AB63">
        <v>2046</v>
      </c>
      <c r="AC63">
        <v>2047</v>
      </c>
      <c r="AD63">
        <v>2048</v>
      </c>
      <c r="AE63">
        <v>2049</v>
      </c>
      <c r="AF63">
        <v>2050</v>
      </c>
    </row>
    <row r="64" spans="1:32" x14ac:dyDescent="0.25">
      <c r="A64" t="s">
        <v>52</v>
      </c>
      <c r="B64">
        <v>1.2558725728370854E-5</v>
      </c>
      <c r="C64">
        <v>1.5006498254255334E-5</v>
      </c>
      <c r="D64">
        <v>1.5129904704291136E-5</v>
      </c>
      <c r="E64">
        <v>1.5209110620176186E-5</v>
      </c>
      <c r="F64">
        <v>1.5051184317411577E-5</v>
      </c>
      <c r="G64">
        <v>1.4872986909549891E-5</v>
      </c>
      <c r="H64">
        <v>1.5096538101376765E-5</v>
      </c>
      <c r="I64">
        <v>1.5547915324987475E-5</v>
      </c>
      <c r="J64">
        <v>1.588729555539356E-5</v>
      </c>
      <c r="K64">
        <v>1.621022342593818E-5</v>
      </c>
      <c r="L64">
        <v>1.7061355874304907E-5</v>
      </c>
      <c r="M64">
        <v>1.7558506154838257E-5</v>
      </c>
      <c r="N64">
        <v>1.7941594434980395E-5</v>
      </c>
      <c r="O64">
        <v>1.8157524461695073E-5</v>
      </c>
      <c r="P64">
        <v>1.8652222116580683E-5</v>
      </c>
      <c r="Q64">
        <v>1.8724323690528844E-5</v>
      </c>
      <c r="R64">
        <v>1.8814968996582941E-5</v>
      </c>
      <c r="S64">
        <v>1.9020213654043687E-5</v>
      </c>
      <c r="T64">
        <v>1.9372610575710339E-5</v>
      </c>
      <c r="U64">
        <v>1.9416320962054926E-5</v>
      </c>
      <c r="V64">
        <v>1.965307179610352E-5</v>
      </c>
      <c r="W64">
        <v>1.9878433081159986E-5</v>
      </c>
      <c r="X64">
        <v>1.9922620819078616E-5</v>
      </c>
      <c r="Y64">
        <v>2.0184501189935774E-5</v>
      </c>
      <c r="Z64">
        <v>2.0465893029487298E-5</v>
      </c>
      <c r="AA64">
        <v>2.0631456238151563E-5</v>
      </c>
      <c r="AB64">
        <v>2.086977073454565E-5</v>
      </c>
      <c r="AC64">
        <v>2.1006863074355756E-5</v>
      </c>
      <c r="AD64">
        <v>2.1016654064095643E-5</v>
      </c>
      <c r="AE64">
        <v>2.1116624331062454E-5</v>
      </c>
      <c r="AF64">
        <v>2.1194441853198995E-5</v>
      </c>
    </row>
    <row r="65" spans="1:32" x14ac:dyDescent="0.25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s="4" customFormat="1" x14ac:dyDescent="0.25">
      <c r="A72" s="6" t="s">
        <v>37</v>
      </c>
    </row>
    <row r="73" spans="1:32" x14ac:dyDescent="0.25">
      <c r="A73" t="s">
        <v>30</v>
      </c>
      <c r="B73">
        <v>2020</v>
      </c>
      <c r="C73">
        <v>2021</v>
      </c>
      <c r="D73">
        <v>2022</v>
      </c>
      <c r="E73">
        <v>2023</v>
      </c>
      <c r="F73">
        <v>2024</v>
      </c>
      <c r="G73">
        <v>2025</v>
      </c>
      <c r="H73">
        <v>2026</v>
      </c>
      <c r="I73">
        <v>2027</v>
      </c>
      <c r="J73">
        <v>2028</v>
      </c>
      <c r="K73">
        <v>2029</v>
      </c>
      <c r="L73">
        <v>2030</v>
      </c>
      <c r="M73">
        <v>2031</v>
      </c>
      <c r="N73">
        <v>2032</v>
      </c>
      <c r="O73">
        <v>2033</v>
      </c>
      <c r="P73">
        <v>2034</v>
      </c>
      <c r="Q73">
        <v>2035</v>
      </c>
      <c r="R73">
        <v>2036</v>
      </c>
      <c r="S73">
        <v>2037</v>
      </c>
      <c r="T73">
        <v>2038</v>
      </c>
      <c r="U73">
        <v>2039</v>
      </c>
      <c r="V73">
        <v>2040</v>
      </c>
      <c r="W73">
        <v>2041</v>
      </c>
      <c r="X73">
        <v>2042</v>
      </c>
      <c r="Y73">
        <v>2043</v>
      </c>
      <c r="Z73">
        <v>2044</v>
      </c>
      <c r="AA73">
        <v>2045</v>
      </c>
      <c r="AB73">
        <v>2046</v>
      </c>
      <c r="AC73">
        <v>2047</v>
      </c>
      <c r="AD73">
        <v>2048</v>
      </c>
      <c r="AE73">
        <v>2049</v>
      </c>
      <c r="AF73">
        <v>2050</v>
      </c>
    </row>
    <row r="74" spans="1:32" x14ac:dyDescent="0.25">
      <c r="A74" t="s">
        <v>52</v>
      </c>
      <c r="B74">
        <v>1.2380099441309819E-5</v>
      </c>
      <c r="C74">
        <v>1.2337062947907578E-5</v>
      </c>
      <c r="D74">
        <v>1.3174898380693747E-5</v>
      </c>
      <c r="E74">
        <v>1.4731359036091205E-5</v>
      </c>
      <c r="F74">
        <v>1.5347416098360005E-5</v>
      </c>
      <c r="G74">
        <v>1.582663574007371E-5</v>
      </c>
      <c r="H74">
        <v>1.6238321508993249E-5</v>
      </c>
      <c r="I74">
        <v>1.6757255618865476E-5</v>
      </c>
      <c r="J74">
        <v>1.7179849589253481E-5</v>
      </c>
      <c r="K74">
        <v>1.7480585987609126E-5</v>
      </c>
      <c r="L74">
        <v>1.8315366825779804E-5</v>
      </c>
      <c r="M74">
        <v>1.8613106820403579E-5</v>
      </c>
      <c r="N74">
        <v>1.8970277233726725E-5</v>
      </c>
      <c r="O74">
        <v>1.9168767521296353E-5</v>
      </c>
      <c r="P74">
        <v>1.9325044225951537E-5</v>
      </c>
      <c r="Q74">
        <v>1.9408194519999342E-5</v>
      </c>
      <c r="R74">
        <v>1.9472842446125195E-5</v>
      </c>
      <c r="S74">
        <v>1.9769625630142761E-5</v>
      </c>
      <c r="T74">
        <v>2.0005702814384272E-5</v>
      </c>
      <c r="U74">
        <v>2.0007525253093736E-5</v>
      </c>
      <c r="V74">
        <v>2.0433225753776603E-5</v>
      </c>
      <c r="W74">
        <v>2.0682229605157684E-5</v>
      </c>
      <c r="X74">
        <v>2.084653795873998E-5</v>
      </c>
      <c r="Y74">
        <v>2.110694281221116E-5</v>
      </c>
      <c r="Z74">
        <v>2.1227992481062515E-5</v>
      </c>
      <c r="AA74">
        <v>2.1277615454982103E-5</v>
      </c>
      <c r="AB74">
        <v>2.1591310232459297E-5</v>
      </c>
      <c r="AC74">
        <v>2.1740854653066087E-5</v>
      </c>
      <c r="AD74">
        <v>2.180379415356793E-5</v>
      </c>
      <c r="AE74">
        <v>2.1971006759154658E-5</v>
      </c>
      <c r="AF74">
        <v>2.2014281898334207E-5</v>
      </c>
    </row>
    <row r="75" spans="1:32" x14ac:dyDescent="0.25">
      <c r="A75" t="s">
        <v>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s="4" customFormat="1" x14ac:dyDescent="0.25">
      <c r="A82" s="6" t="s">
        <v>38</v>
      </c>
    </row>
    <row r="83" spans="1:32" x14ac:dyDescent="0.25">
      <c r="A83" t="s">
        <v>30</v>
      </c>
      <c r="B83">
        <v>2020</v>
      </c>
      <c r="C83">
        <v>2021</v>
      </c>
      <c r="D83">
        <v>2022</v>
      </c>
      <c r="E83">
        <v>2023</v>
      </c>
      <c r="F83">
        <v>2024</v>
      </c>
      <c r="G83">
        <v>2025</v>
      </c>
      <c r="H83">
        <v>2026</v>
      </c>
      <c r="I83">
        <v>2027</v>
      </c>
      <c r="J83">
        <v>2028</v>
      </c>
      <c r="K83">
        <v>2029</v>
      </c>
      <c r="L83">
        <v>2030</v>
      </c>
      <c r="M83">
        <v>2031</v>
      </c>
      <c r="N83">
        <v>2032</v>
      </c>
      <c r="O83">
        <v>2033</v>
      </c>
      <c r="P83">
        <v>2034</v>
      </c>
      <c r="Q83">
        <v>2035</v>
      </c>
      <c r="R83">
        <v>2036</v>
      </c>
      <c r="S83">
        <v>2037</v>
      </c>
      <c r="T83">
        <v>2038</v>
      </c>
      <c r="U83">
        <v>2039</v>
      </c>
      <c r="V83">
        <v>2040</v>
      </c>
      <c r="W83">
        <v>2041</v>
      </c>
      <c r="X83">
        <v>2042</v>
      </c>
      <c r="Y83">
        <v>2043</v>
      </c>
      <c r="Z83">
        <v>2044</v>
      </c>
      <c r="AA83">
        <v>2045</v>
      </c>
      <c r="AB83">
        <v>2046</v>
      </c>
      <c r="AC83">
        <v>2047</v>
      </c>
      <c r="AD83">
        <v>2048</v>
      </c>
      <c r="AE83">
        <v>2049</v>
      </c>
      <c r="AF83">
        <v>2050</v>
      </c>
    </row>
    <row r="84" spans="1:32" x14ac:dyDescent="0.25">
      <c r="A84" t="s">
        <v>52</v>
      </c>
      <c r="B84">
        <v>7.7566702768554118E-6</v>
      </c>
      <c r="C84">
        <v>1.1563325367505712E-5</v>
      </c>
      <c r="D84">
        <v>2.0850153636704157E-5</v>
      </c>
      <c r="E84">
        <v>1.6712543942759333E-5</v>
      </c>
      <c r="F84">
        <v>1.5961729258328236E-5</v>
      </c>
      <c r="G84">
        <v>1.5210914573897138E-5</v>
      </c>
      <c r="H84">
        <v>1.446009988946604E-5</v>
      </c>
      <c r="I84">
        <v>1.3709285205034942E-5</v>
      </c>
      <c r="J84">
        <v>1.2958470520603842E-5</v>
      </c>
      <c r="K84">
        <v>1.3119339800300022E-5</v>
      </c>
      <c r="L84">
        <v>1.3104677482824361E-5</v>
      </c>
      <c r="M84">
        <v>1.3512690059818322E-5</v>
      </c>
      <c r="N84">
        <v>1.3683818701912327E-5</v>
      </c>
      <c r="O84">
        <v>1.3789924111725242E-5</v>
      </c>
      <c r="P84">
        <v>1.3937847836035047E-5</v>
      </c>
      <c r="Q84">
        <v>1.4028470260606635E-5</v>
      </c>
      <c r="R84">
        <v>1.4189464025166537E-5</v>
      </c>
      <c r="S84">
        <v>1.4412170981069599E-5</v>
      </c>
      <c r="T84">
        <v>1.4572836089776774E-5</v>
      </c>
      <c r="U84">
        <v>1.465680701115449E-5</v>
      </c>
      <c r="V84">
        <v>1.4832436905342686E-5</v>
      </c>
      <c r="W84">
        <v>1.4959520419415289E-5</v>
      </c>
      <c r="X84">
        <v>1.5002667773961288E-5</v>
      </c>
      <c r="Y84">
        <v>1.5250785984634583E-5</v>
      </c>
      <c r="Z84">
        <v>1.5517655217014096E-5</v>
      </c>
      <c r="AA84">
        <v>1.5621484251696896E-5</v>
      </c>
      <c r="AB84">
        <v>1.5802554054294193E-5</v>
      </c>
      <c r="AC84">
        <v>1.5886319349000606E-5</v>
      </c>
      <c r="AD84">
        <v>1.5870792544814223E-5</v>
      </c>
      <c r="AE84">
        <v>1.5916647026154607E-5</v>
      </c>
      <c r="AF84">
        <v>1.5879606630002834E-5</v>
      </c>
    </row>
    <row r="85" spans="1:32" x14ac:dyDescent="0.25">
      <c r="A85" t="s">
        <v>53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54</v>
      </c>
      <c r="B86">
        <v>1.4387414571398449E-5</v>
      </c>
      <c r="C86">
        <v>1.7080750746760737E-5</v>
      </c>
      <c r="D86">
        <v>2.9901056321133914E-5</v>
      </c>
      <c r="E86">
        <v>2.5300227396468814E-5</v>
      </c>
      <c r="F86">
        <v>2.4224032230703573E-5</v>
      </c>
      <c r="G86">
        <v>2.3147837064938333E-5</v>
      </c>
      <c r="H86">
        <v>2.2071641899173093E-5</v>
      </c>
      <c r="I86">
        <v>2.0995446733407853E-5</v>
      </c>
      <c r="J86">
        <v>1.9919251567642613E-5</v>
      </c>
      <c r="K86">
        <v>2.0055847614996366E-5</v>
      </c>
      <c r="L86">
        <v>2.0074232952467613E-5</v>
      </c>
      <c r="M86">
        <v>2.0323600153945998E-5</v>
      </c>
      <c r="N86">
        <v>2.0442511481023966E-5</v>
      </c>
      <c r="O86">
        <v>2.0517990079575139E-5</v>
      </c>
      <c r="P86">
        <v>2.057559109535969E-5</v>
      </c>
      <c r="Q86">
        <v>2.0639857078002073E-5</v>
      </c>
      <c r="R86">
        <v>2.0779952553107246E-5</v>
      </c>
      <c r="S86">
        <v>2.0977396635513827E-5</v>
      </c>
      <c r="T86">
        <v>2.110336025698059E-5</v>
      </c>
      <c r="U86">
        <v>2.1158751050884699E-5</v>
      </c>
      <c r="V86">
        <v>2.1374781630171766E-5</v>
      </c>
      <c r="W86">
        <v>2.1470949718932803E-5</v>
      </c>
      <c r="X86">
        <v>2.1495519886772257E-5</v>
      </c>
      <c r="Y86">
        <v>2.1696125741846352E-5</v>
      </c>
      <c r="Z86">
        <v>2.1926300547589664E-5</v>
      </c>
      <c r="AA86">
        <v>2.2028202474224446E-5</v>
      </c>
      <c r="AB86">
        <v>2.2211013007252574E-5</v>
      </c>
      <c r="AC86">
        <v>2.2247961751421733E-5</v>
      </c>
      <c r="AD86">
        <v>2.2194762155804439E-5</v>
      </c>
      <c r="AE86">
        <v>2.2199463151887385E-5</v>
      </c>
      <c r="AF86">
        <v>2.2170829572445439E-5</v>
      </c>
    </row>
    <row r="87" spans="1:32" x14ac:dyDescent="0.25">
      <c r="A87" t="s">
        <v>55</v>
      </c>
      <c r="B87">
        <v>1.4449585287385582E-5</v>
      </c>
      <c r="C87">
        <v>1.7142309765065899E-5</v>
      </c>
      <c r="D87">
        <v>3.0013670930380774E-5</v>
      </c>
      <c r="E87">
        <v>2.4048234211654656E-5</v>
      </c>
      <c r="F87">
        <v>2.2375084231816382E-5</v>
      </c>
      <c r="G87">
        <v>2.0701934251978108E-5</v>
      </c>
      <c r="H87">
        <v>1.9028784272139834E-5</v>
      </c>
      <c r="I87">
        <v>1.735563429230156E-5</v>
      </c>
      <c r="J87">
        <v>1.5682484312463292E-5</v>
      </c>
      <c r="K87">
        <v>1.5806261202273282E-5</v>
      </c>
      <c r="L87">
        <v>1.5816927539424135E-5</v>
      </c>
      <c r="M87">
        <v>1.6310976728729652E-5</v>
      </c>
      <c r="N87">
        <v>1.6427192903312411E-5</v>
      </c>
      <c r="O87">
        <v>1.6538430191740981E-5</v>
      </c>
      <c r="P87">
        <v>1.6595981866544327E-5</v>
      </c>
      <c r="Q87">
        <v>1.6671423964557573E-5</v>
      </c>
      <c r="R87">
        <v>1.6813276794533532E-5</v>
      </c>
      <c r="S87">
        <v>1.7008159736633792E-5</v>
      </c>
      <c r="T87">
        <v>1.7132979615091595E-5</v>
      </c>
      <c r="U87">
        <v>1.7188401975723468E-5</v>
      </c>
      <c r="V87">
        <v>1.7384095963961859E-5</v>
      </c>
      <c r="W87">
        <v>1.7482500807938064E-5</v>
      </c>
      <c r="X87">
        <v>1.7507273954559261E-5</v>
      </c>
      <c r="Y87">
        <v>1.772002081201066E-5</v>
      </c>
      <c r="Z87">
        <v>1.7960665043554448E-5</v>
      </c>
      <c r="AA87">
        <v>1.8065213453052787E-5</v>
      </c>
      <c r="AB87">
        <v>1.8232870636447879E-5</v>
      </c>
      <c r="AC87">
        <v>1.8280618600447939E-5</v>
      </c>
      <c r="AD87">
        <v>1.8240903696559951E-5</v>
      </c>
      <c r="AE87">
        <v>1.8237740014674954E-5</v>
      </c>
      <c r="AF87">
        <v>1.8190352767050713E-5</v>
      </c>
    </row>
    <row r="88" spans="1:32" x14ac:dyDescent="0.25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s="4" customFormat="1" x14ac:dyDescent="0.25">
      <c r="A92" s="6" t="s">
        <v>39</v>
      </c>
    </row>
    <row r="93" spans="1:32" x14ac:dyDescent="0.25">
      <c r="A93" t="s">
        <v>30</v>
      </c>
      <c r="B93">
        <v>2020</v>
      </c>
      <c r="C93">
        <v>2021</v>
      </c>
      <c r="D93">
        <v>2022</v>
      </c>
      <c r="E93">
        <v>2023</v>
      </c>
      <c r="F93">
        <v>2024</v>
      </c>
      <c r="G93">
        <v>2025</v>
      </c>
      <c r="H93">
        <v>2026</v>
      </c>
      <c r="I93">
        <v>2027</v>
      </c>
      <c r="J93">
        <v>2028</v>
      </c>
      <c r="K93">
        <v>2029</v>
      </c>
      <c r="L93">
        <v>2030</v>
      </c>
      <c r="M93">
        <v>2031</v>
      </c>
      <c r="N93">
        <v>2032</v>
      </c>
      <c r="O93">
        <v>2033</v>
      </c>
      <c r="P93">
        <v>2034</v>
      </c>
      <c r="Q93">
        <v>2035</v>
      </c>
      <c r="R93">
        <v>2036</v>
      </c>
      <c r="S93">
        <v>2037</v>
      </c>
      <c r="T93">
        <v>2038</v>
      </c>
      <c r="U93">
        <v>2039</v>
      </c>
      <c r="V93">
        <v>2040</v>
      </c>
      <c r="W93">
        <v>2041</v>
      </c>
      <c r="X93">
        <v>2042</v>
      </c>
      <c r="Y93">
        <v>2043</v>
      </c>
      <c r="Z93">
        <v>2044</v>
      </c>
      <c r="AA93">
        <v>2045</v>
      </c>
      <c r="AB93">
        <v>2046</v>
      </c>
      <c r="AC93">
        <v>2047</v>
      </c>
      <c r="AD93">
        <v>2048</v>
      </c>
      <c r="AE93">
        <v>2049</v>
      </c>
      <c r="AF93">
        <v>2050</v>
      </c>
    </row>
    <row r="94" spans="1:32" x14ac:dyDescent="0.25">
      <c r="A94" t="s">
        <v>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53</v>
      </c>
      <c r="B95">
        <v>1.4943636952997554E-6</v>
      </c>
      <c r="C95">
        <v>1.4956465383027569E-6</v>
      </c>
      <c r="D95">
        <v>1.4753731652885967E-6</v>
      </c>
      <c r="E95">
        <v>1.4628846046618583E-6</v>
      </c>
      <c r="F95">
        <v>1.4622310235695633E-6</v>
      </c>
      <c r="G95">
        <v>1.4262004574581898E-6</v>
      </c>
      <c r="H95">
        <v>1.4026300986224987E-6</v>
      </c>
      <c r="I95">
        <v>1.4015991998584565E-6</v>
      </c>
      <c r="J95">
        <v>1.394188797106777E-6</v>
      </c>
      <c r="K95">
        <v>1.3994385291061764E-6</v>
      </c>
      <c r="L95">
        <v>1.3973440161730276E-6</v>
      </c>
      <c r="M95">
        <v>1.3964388899662344E-6</v>
      </c>
      <c r="N95">
        <v>1.3883203804471522E-6</v>
      </c>
      <c r="O95">
        <v>1.3857700328701005E-6</v>
      </c>
      <c r="P95">
        <v>1.3807442196431445E-6</v>
      </c>
      <c r="Q95">
        <v>1.3708278168635009E-6</v>
      </c>
      <c r="R95">
        <v>1.3597554697715674E-6</v>
      </c>
      <c r="S95">
        <v>1.3574406731109822E-6</v>
      </c>
      <c r="T95">
        <v>1.3569506690440114E-6</v>
      </c>
      <c r="U95">
        <v>1.3550262762171993E-6</v>
      </c>
      <c r="V95">
        <v>1.3586475080533728E-6</v>
      </c>
      <c r="W95">
        <v>1.355621696589379E-6</v>
      </c>
      <c r="X95">
        <v>1.3478390652289621E-6</v>
      </c>
      <c r="Y95">
        <v>1.3396224094946856E-6</v>
      </c>
      <c r="Z95">
        <v>1.3357787129040716E-6</v>
      </c>
      <c r="AA95">
        <v>1.333544614242646E-6</v>
      </c>
      <c r="AB95">
        <v>1.3314871787685701E-6</v>
      </c>
      <c r="AC95">
        <v>1.3274879022516477E-6</v>
      </c>
      <c r="AD95">
        <v>1.3212298087672514E-6</v>
      </c>
      <c r="AE95">
        <v>1.3221901876581538E-6</v>
      </c>
      <c r="AF95">
        <v>1.3202199932642509E-6</v>
      </c>
    </row>
    <row r="96" spans="1:32" x14ac:dyDescent="0.25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s="4" customFormat="1" x14ac:dyDescent="0.25">
      <c r="A102" s="6" t="s">
        <v>46</v>
      </c>
    </row>
    <row r="103" spans="1:32" x14ac:dyDescent="0.25">
      <c r="A103" t="s">
        <v>30</v>
      </c>
      <c r="B103">
        <v>2020</v>
      </c>
      <c r="C103">
        <v>2021</v>
      </c>
      <c r="D103">
        <v>2022</v>
      </c>
      <c r="E103">
        <v>2023</v>
      </c>
      <c r="F103">
        <v>2024</v>
      </c>
      <c r="G103">
        <v>2025</v>
      </c>
      <c r="H103">
        <v>2026</v>
      </c>
      <c r="I103">
        <v>2027</v>
      </c>
      <c r="J103">
        <v>2028</v>
      </c>
      <c r="K103">
        <v>2029</v>
      </c>
      <c r="L103">
        <v>2030</v>
      </c>
      <c r="M103">
        <v>2031</v>
      </c>
      <c r="N103">
        <v>2032</v>
      </c>
      <c r="O103">
        <v>2033</v>
      </c>
      <c r="P103">
        <v>2034</v>
      </c>
      <c r="Q103">
        <v>2035</v>
      </c>
      <c r="R103">
        <v>2036</v>
      </c>
      <c r="S103">
        <v>2037</v>
      </c>
      <c r="T103">
        <v>2038</v>
      </c>
      <c r="U103">
        <v>2039</v>
      </c>
      <c r="V103">
        <v>2040</v>
      </c>
      <c r="W103">
        <v>2041</v>
      </c>
      <c r="X103">
        <v>2042</v>
      </c>
      <c r="Y103">
        <v>2043</v>
      </c>
      <c r="Z103">
        <v>2044</v>
      </c>
      <c r="AA103">
        <v>2045</v>
      </c>
      <c r="AB103">
        <v>2046</v>
      </c>
      <c r="AC103">
        <v>2047</v>
      </c>
      <c r="AD103">
        <v>2048</v>
      </c>
      <c r="AE103">
        <v>2049</v>
      </c>
      <c r="AF103">
        <v>2050</v>
      </c>
    </row>
    <row r="104" spans="1:32" x14ac:dyDescent="0.25">
      <c r="A104" t="s">
        <v>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53</v>
      </c>
      <c r="B105">
        <v>5.8032702844488082E-6</v>
      </c>
      <c r="C105">
        <v>1.010572034981499E-5</v>
      </c>
      <c r="D105">
        <v>1.4548918609468291E-5</v>
      </c>
      <c r="E105">
        <v>1.3814064879295553E-5</v>
      </c>
      <c r="F105">
        <v>1.3102705815542782E-5</v>
      </c>
      <c r="G105">
        <v>1.2391346751790012E-5</v>
      </c>
      <c r="H105">
        <v>1.1679987688037241E-5</v>
      </c>
      <c r="I105">
        <v>1.096862862428447E-5</v>
      </c>
      <c r="J105">
        <v>1.0257269560531699E-5</v>
      </c>
      <c r="K105">
        <v>1.0408034285260253E-5</v>
      </c>
      <c r="L105">
        <v>1.0568057722521E-5</v>
      </c>
      <c r="M105">
        <v>1.0789191951557296E-5</v>
      </c>
      <c r="N105">
        <v>1.0962604245994599E-5</v>
      </c>
      <c r="O105">
        <v>1.1079859048003297E-5</v>
      </c>
      <c r="P105">
        <v>1.1139624583353451E-5</v>
      </c>
      <c r="Q105">
        <v>1.1245470781201217E-5</v>
      </c>
      <c r="R105">
        <v>1.1425356603639763E-5</v>
      </c>
      <c r="S105">
        <v>1.1557046984922532E-5</v>
      </c>
      <c r="T105">
        <v>1.1709809000606015E-5</v>
      </c>
      <c r="U105">
        <v>1.1748037247266352E-5</v>
      </c>
      <c r="V105">
        <v>1.1971575603617068E-5</v>
      </c>
      <c r="W105">
        <v>1.2108322993442573E-5</v>
      </c>
      <c r="X105">
        <v>1.2166028123384359E-5</v>
      </c>
      <c r="Y105">
        <v>1.2377163304386512E-5</v>
      </c>
      <c r="Z105">
        <v>1.2631320319234431E-5</v>
      </c>
      <c r="AA105">
        <v>1.2700802369138198E-5</v>
      </c>
      <c r="AB105">
        <v>1.2885034347660337E-5</v>
      </c>
      <c r="AC105">
        <v>1.2877523135077211E-5</v>
      </c>
      <c r="AD105">
        <v>1.2895332818958327E-5</v>
      </c>
      <c r="AE105">
        <v>1.2940666330778267E-5</v>
      </c>
      <c r="AF105">
        <v>1.2899894838325157E-5</v>
      </c>
    </row>
    <row r="106" spans="1:32" x14ac:dyDescent="0.25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56</v>
      </c>
      <c r="B108">
        <v>5.8032702844488082E-6</v>
      </c>
      <c r="C108">
        <v>1.010572034981499E-5</v>
      </c>
      <c r="D108">
        <v>1.4548918609468291E-5</v>
      </c>
      <c r="E108">
        <v>1.3814064879295553E-5</v>
      </c>
      <c r="F108">
        <v>1.3102705815542782E-5</v>
      </c>
      <c r="G108">
        <v>1.2391346751790012E-5</v>
      </c>
      <c r="H108">
        <v>1.1679987688037241E-5</v>
      </c>
      <c r="I108">
        <v>1.096862862428447E-5</v>
      </c>
      <c r="J108">
        <v>1.0257269560531699E-5</v>
      </c>
      <c r="K108">
        <v>1.0408034285260253E-5</v>
      </c>
      <c r="L108">
        <v>1.0568057722521E-5</v>
      </c>
      <c r="M108">
        <v>1.0789191951557296E-5</v>
      </c>
      <c r="N108">
        <v>1.0962604245994599E-5</v>
      </c>
      <c r="O108">
        <v>1.1079859048003297E-5</v>
      </c>
      <c r="P108">
        <v>1.1139624583353451E-5</v>
      </c>
      <c r="Q108">
        <v>1.1245470781201217E-5</v>
      </c>
      <c r="R108">
        <v>1.1425356603639763E-5</v>
      </c>
      <c r="S108">
        <v>1.1557046984922532E-5</v>
      </c>
      <c r="T108">
        <v>1.1709809000606015E-5</v>
      </c>
      <c r="U108">
        <v>1.1748037247266352E-5</v>
      </c>
      <c r="V108">
        <v>1.1971575603617068E-5</v>
      </c>
      <c r="W108">
        <v>1.2108322993442573E-5</v>
      </c>
      <c r="X108">
        <v>1.2166028123384359E-5</v>
      </c>
      <c r="Y108">
        <v>1.2377163304386512E-5</v>
      </c>
      <c r="Z108">
        <v>1.2631320319234431E-5</v>
      </c>
      <c r="AA108">
        <v>1.2700802369138198E-5</v>
      </c>
      <c r="AB108">
        <v>1.2885034347660337E-5</v>
      </c>
      <c r="AC108">
        <v>1.2877523135077211E-5</v>
      </c>
      <c r="AD108">
        <v>1.2895332818958327E-5</v>
      </c>
      <c r="AE108">
        <v>1.2940666330778267E-5</v>
      </c>
      <c r="AF108">
        <v>1.2899894838325157E-5</v>
      </c>
    </row>
    <row r="109" spans="1:32" x14ac:dyDescent="0.25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59</v>
      </c>
      <c r="B111">
        <v>5.8032702844488082E-6</v>
      </c>
      <c r="C111">
        <v>1.010572034981499E-5</v>
      </c>
      <c r="D111">
        <v>1.4548918609468291E-5</v>
      </c>
      <c r="E111">
        <v>1.3814064879295553E-5</v>
      </c>
      <c r="F111">
        <v>1.3102705815542782E-5</v>
      </c>
      <c r="G111">
        <v>1.2391346751790012E-5</v>
      </c>
      <c r="H111">
        <v>1.1679987688037241E-5</v>
      </c>
      <c r="I111">
        <v>1.096862862428447E-5</v>
      </c>
      <c r="J111">
        <v>1.0257269560531699E-5</v>
      </c>
      <c r="K111">
        <v>1.0408034285260253E-5</v>
      </c>
      <c r="L111">
        <v>1.0568057722521E-5</v>
      </c>
      <c r="M111">
        <v>1.0789191951557296E-5</v>
      </c>
      <c r="N111">
        <v>1.0962604245994599E-5</v>
      </c>
      <c r="O111">
        <v>1.1079859048003297E-5</v>
      </c>
      <c r="P111">
        <v>1.1139624583353451E-5</v>
      </c>
      <c r="Q111">
        <v>1.1245470781201217E-5</v>
      </c>
      <c r="R111">
        <v>1.1425356603639763E-5</v>
      </c>
      <c r="S111">
        <v>1.1557046984922532E-5</v>
      </c>
      <c r="T111">
        <v>1.1709809000606015E-5</v>
      </c>
      <c r="U111">
        <v>1.1748037247266352E-5</v>
      </c>
      <c r="V111">
        <v>1.1971575603617068E-5</v>
      </c>
      <c r="W111">
        <v>1.2108322993442573E-5</v>
      </c>
      <c r="X111">
        <v>1.2166028123384359E-5</v>
      </c>
      <c r="Y111">
        <v>1.2377163304386512E-5</v>
      </c>
      <c r="Z111">
        <v>1.2631320319234431E-5</v>
      </c>
      <c r="AA111">
        <v>1.2700802369138198E-5</v>
      </c>
      <c r="AB111">
        <v>1.2885034347660337E-5</v>
      </c>
      <c r="AC111">
        <v>1.2877523135077211E-5</v>
      </c>
      <c r="AD111">
        <v>1.2895332818958327E-5</v>
      </c>
      <c r="AE111">
        <v>1.2940666330778267E-5</v>
      </c>
      <c r="AF111">
        <v>1.2899894838325157E-5</v>
      </c>
    </row>
    <row r="112" spans="1:32" s="4" customFormat="1" x14ac:dyDescent="0.25">
      <c r="A112" s="6" t="s">
        <v>47</v>
      </c>
    </row>
    <row r="113" spans="1:32" x14ac:dyDescent="0.25">
      <c r="A113" t="s">
        <v>30</v>
      </c>
      <c r="B113">
        <v>2020</v>
      </c>
      <c r="C113">
        <v>2021</v>
      </c>
      <c r="D113">
        <v>2022</v>
      </c>
      <c r="E113">
        <v>2023</v>
      </c>
      <c r="F113">
        <v>2024</v>
      </c>
      <c r="G113">
        <v>2025</v>
      </c>
      <c r="H113">
        <v>2026</v>
      </c>
      <c r="I113">
        <v>2027</v>
      </c>
      <c r="J113">
        <v>2028</v>
      </c>
      <c r="K113">
        <v>2029</v>
      </c>
      <c r="L113">
        <v>2030</v>
      </c>
      <c r="M113">
        <v>2031</v>
      </c>
      <c r="N113">
        <v>2032</v>
      </c>
      <c r="O113">
        <v>2033</v>
      </c>
      <c r="P113">
        <v>2034</v>
      </c>
      <c r="Q113">
        <v>2035</v>
      </c>
      <c r="R113">
        <v>2036</v>
      </c>
      <c r="S113">
        <v>2037</v>
      </c>
      <c r="T113">
        <v>2038</v>
      </c>
      <c r="U113">
        <v>2039</v>
      </c>
      <c r="V113">
        <v>2040</v>
      </c>
      <c r="W113">
        <v>2041</v>
      </c>
      <c r="X113">
        <v>2042</v>
      </c>
      <c r="Y113">
        <v>2043</v>
      </c>
      <c r="Z113">
        <v>2044</v>
      </c>
      <c r="AA113">
        <v>2045</v>
      </c>
      <c r="AB113">
        <v>2046</v>
      </c>
      <c r="AC113">
        <v>2047</v>
      </c>
      <c r="AD113">
        <v>2048</v>
      </c>
      <c r="AE113">
        <v>2049</v>
      </c>
      <c r="AF113">
        <v>2050</v>
      </c>
    </row>
    <row r="114" spans="1:32" x14ac:dyDescent="0.25">
      <c r="A114" t="s">
        <v>52</v>
      </c>
      <c r="B114">
        <v>1.4927235207542256E-5</v>
      </c>
      <c r="C114">
        <v>1.835315804206015E-5</v>
      </c>
      <c r="D114">
        <v>2.6795610741407819E-5</v>
      </c>
      <c r="E114">
        <v>2.3369687906889925E-5</v>
      </c>
      <c r="F114">
        <v>2.117401763410256E-5</v>
      </c>
      <c r="G114">
        <v>1.8978347361315195E-5</v>
      </c>
      <c r="H114">
        <v>1.678267708852783E-5</v>
      </c>
      <c r="I114">
        <v>1.4587006815740463E-5</v>
      </c>
      <c r="J114">
        <v>1.2391336542953093E-5</v>
      </c>
      <c r="K114">
        <v>1.2477675986456064E-5</v>
      </c>
      <c r="L114">
        <v>1.2579748173037605E-5</v>
      </c>
      <c r="M114">
        <v>1.2772463260796397E-5</v>
      </c>
      <c r="N114">
        <v>1.2863922115850461E-5</v>
      </c>
      <c r="O114">
        <v>1.2974373292969698E-5</v>
      </c>
      <c r="P114">
        <v>1.2986282999815475E-5</v>
      </c>
      <c r="Q114">
        <v>1.3015132858124513E-5</v>
      </c>
      <c r="R114">
        <v>1.3002682571244048E-5</v>
      </c>
      <c r="S114">
        <v>1.3031510399645716E-5</v>
      </c>
      <c r="T114">
        <v>1.3191422955330845E-5</v>
      </c>
      <c r="U114">
        <v>1.3147735107104103E-5</v>
      </c>
      <c r="V114">
        <v>1.3424564617721518E-5</v>
      </c>
      <c r="W114">
        <v>1.3535538581488725E-5</v>
      </c>
      <c r="X114">
        <v>1.360756621093848E-5</v>
      </c>
      <c r="Y114">
        <v>1.3866842969206922E-5</v>
      </c>
      <c r="Z114">
        <v>1.4050525794944086E-5</v>
      </c>
      <c r="AA114">
        <v>1.413115017209285E-5</v>
      </c>
      <c r="AB114">
        <v>1.4257588283529538E-5</v>
      </c>
      <c r="AC114">
        <v>1.4303693490438054E-5</v>
      </c>
      <c r="AD114">
        <v>1.427933264940768E-5</v>
      </c>
      <c r="AE114">
        <v>1.4307708017404141E-5</v>
      </c>
      <c r="AF114">
        <v>1.4275271520714466E-5</v>
      </c>
    </row>
    <row r="115" spans="1:32" x14ac:dyDescent="0.25">
      <c r="A115" t="s">
        <v>53</v>
      </c>
      <c r="B115">
        <v>1.3440227052039288E-5</v>
      </c>
      <c r="C115">
        <v>1.9314501239121262E-5</v>
      </c>
      <c r="D115">
        <v>3.4260821340317909E-5</v>
      </c>
      <c r="E115">
        <v>2.3289665132092304E-5</v>
      </c>
      <c r="F115">
        <v>2.1121113671993361E-5</v>
      </c>
      <c r="G115">
        <v>1.8952562211894418E-5</v>
      </c>
      <c r="H115">
        <v>1.6784010751795474E-5</v>
      </c>
      <c r="I115">
        <v>1.4615459291696531E-5</v>
      </c>
      <c r="J115">
        <v>1.2446907831597591E-5</v>
      </c>
      <c r="K115">
        <v>1.2529524220755063E-5</v>
      </c>
      <c r="L115">
        <v>1.2607007641495365E-5</v>
      </c>
      <c r="M115">
        <v>1.28450789193121E-5</v>
      </c>
      <c r="N115">
        <v>1.2923944293087793E-5</v>
      </c>
      <c r="O115">
        <v>1.3038766712211682E-5</v>
      </c>
      <c r="P115">
        <v>1.3061193157914159E-5</v>
      </c>
      <c r="Q115">
        <v>1.3094616763914823E-5</v>
      </c>
      <c r="R115">
        <v>1.3079316993246483E-5</v>
      </c>
      <c r="S115">
        <v>1.3118923377480901E-5</v>
      </c>
      <c r="T115">
        <v>1.3262904920921133E-5</v>
      </c>
      <c r="U115">
        <v>1.3248684615713915E-5</v>
      </c>
      <c r="V115">
        <v>1.3432568252529797E-5</v>
      </c>
      <c r="W115">
        <v>1.3464638713835477E-5</v>
      </c>
      <c r="X115">
        <v>1.3417280344119274E-5</v>
      </c>
      <c r="Y115">
        <v>1.3534054104653649E-5</v>
      </c>
      <c r="Z115">
        <v>1.3544019248521975E-5</v>
      </c>
      <c r="AA115">
        <v>1.3389006652618371E-5</v>
      </c>
      <c r="AB115">
        <v>1.3578085111052882E-5</v>
      </c>
      <c r="AC115">
        <v>1.3650717715651176E-5</v>
      </c>
      <c r="AD115">
        <v>1.368319403563494E-5</v>
      </c>
      <c r="AE115">
        <v>1.37311692427575E-5</v>
      </c>
      <c r="AF115">
        <v>1.3726539572993318E-5</v>
      </c>
    </row>
    <row r="116" spans="1:32" x14ac:dyDescent="0.25">
      <c r="A116" t="s">
        <v>54</v>
      </c>
      <c r="B116">
        <v>8.5051560296238753E-6</v>
      </c>
      <c r="C116">
        <v>9.6681985880672616E-6</v>
      </c>
      <c r="D116">
        <v>1.9380993332185943E-5</v>
      </c>
      <c r="E116">
        <v>1.3941376221413941E-5</v>
      </c>
      <c r="F116">
        <v>1.3034456083278697E-5</v>
      </c>
      <c r="G116">
        <v>1.2127535945143453E-5</v>
      </c>
      <c r="H116">
        <v>1.1220615807008209E-5</v>
      </c>
      <c r="I116">
        <v>1.0313695668872966E-5</v>
      </c>
      <c r="J116">
        <v>9.4067755307377185E-6</v>
      </c>
      <c r="K116">
        <v>9.4895249466435392E-6</v>
      </c>
      <c r="L116">
        <v>9.620852850212199E-6</v>
      </c>
      <c r="M116">
        <v>9.7740496733660521E-6</v>
      </c>
      <c r="N116">
        <v>9.8933348433405903E-6</v>
      </c>
      <c r="O116">
        <v>9.9951545332915061E-6</v>
      </c>
      <c r="P116">
        <v>1.0004276609550872E-5</v>
      </c>
      <c r="Q116">
        <v>1.0019889035443037E-5</v>
      </c>
      <c r="R116">
        <v>9.9776890532678871E-6</v>
      </c>
      <c r="S116">
        <v>9.959061919282575E-6</v>
      </c>
      <c r="T116">
        <v>1.0128836247732221E-5</v>
      </c>
      <c r="U116">
        <v>9.9825957914824492E-6</v>
      </c>
      <c r="V116">
        <v>1.0427620255651916E-5</v>
      </c>
      <c r="W116">
        <v>1.0573672610384912E-5</v>
      </c>
      <c r="X116">
        <v>1.0693172995608367E-5</v>
      </c>
      <c r="Y116">
        <v>1.100867092478872E-5</v>
      </c>
      <c r="Z116">
        <v>1.1241573647414841E-5</v>
      </c>
      <c r="AA116">
        <v>1.1319719659984498E-5</v>
      </c>
      <c r="AB116">
        <v>1.1444550435487321E-5</v>
      </c>
      <c r="AC116">
        <v>1.1542895331202714E-5</v>
      </c>
      <c r="AD116">
        <v>1.1463989286828799E-5</v>
      </c>
      <c r="AE116">
        <v>1.1512050071668448E-5</v>
      </c>
      <c r="AF116">
        <v>1.1440579121031846E-5</v>
      </c>
    </row>
    <row r="117" spans="1:32" x14ac:dyDescent="0.25">
      <c r="A117" t="s">
        <v>55</v>
      </c>
      <c r="B117">
        <v>8.5051560296238753E-6</v>
      </c>
      <c r="C117">
        <v>9.6681985880672616E-6</v>
      </c>
      <c r="D117">
        <v>1.9380993332185943E-5</v>
      </c>
      <c r="E117">
        <v>1.3941376221413941E-5</v>
      </c>
      <c r="F117">
        <v>1.3034456083278697E-5</v>
      </c>
      <c r="G117">
        <v>1.2127535945143453E-5</v>
      </c>
      <c r="H117">
        <v>1.1220615807008209E-5</v>
      </c>
      <c r="I117">
        <v>1.0313695668872966E-5</v>
      </c>
      <c r="J117">
        <v>9.4067755307377185E-6</v>
      </c>
      <c r="K117">
        <v>9.4895249466435392E-6</v>
      </c>
      <c r="L117">
        <v>9.620852850212199E-6</v>
      </c>
      <c r="M117">
        <v>9.7740496733660521E-6</v>
      </c>
      <c r="N117">
        <v>9.8933348433405903E-6</v>
      </c>
      <c r="O117">
        <v>9.9951545332915061E-6</v>
      </c>
      <c r="P117">
        <v>1.0004276609550872E-5</v>
      </c>
      <c r="Q117">
        <v>1.0019889035443037E-5</v>
      </c>
      <c r="R117">
        <v>9.9776890532678871E-6</v>
      </c>
      <c r="S117">
        <v>9.959061919282575E-6</v>
      </c>
      <c r="T117">
        <v>1.0128836247732221E-5</v>
      </c>
      <c r="U117">
        <v>9.9825957914824492E-6</v>
      </c>
      <c r="V117">
        <v>1.0427620255651916E-5</v>
      </c>
      <c r="W117">
        <v>1.0573672610384912E-5</v>
      </c>
      <c r="X117">
        <v>1.0693172995608367E-5</v>
      </c>
      <c r="Y117">
        <v>1.100867092478872E-5</v>
      </c>
      <c r="Z117">
        <v>1.1241573647414841E-5</v>
      </c>
      <c r="AA117">
        <v>1.1319719659984498E-5</v>
      </c>
      <c r="AB117">
        <v>1.1444550435487321E-5</v>
      </c>
      <c r="AC117">
        <v>1.1542895331202714E-5</v>
      </c>
      <c r="AD117">
        <v>1.1463989286828799E-5</v>
      </c>
      <c r="AE117">
        <v>1.1512050071668448E-5</v>
      </c>
      <c r="AF117">
        <v>1.1440579121031846E-5</v>
      </c>
    </row>
    <row r="118" spans="1:32" x14ac:dyDescent="0.25">
      <c r="A118" t="s">
        <v>56</v>
      </c>
      <c r="B118">
        <v>8.7907978460530088E-6</v>
      </c>
      <c r="C118">
        <v>1.0532853075767043E-5</v>
      </c>
      <c r="D118">
        <v>2.127032890654978E-5</v>
      </c>
      <c r="E118">
        <v>1.5683538562914313E-5</v>
      </c>
      <c r="F118">
        <v>1.4738694620022559E-5</v>
      </c>
      <c r="G118">
        <v>1.3793850677130806E-5</v>
      </c>
      <c r="H118">
        <v>1.2849006734239053E-5</v>
      </c>
      <c r="I118">
        <v>1.19041627913473E-5</v>
      </c>
      <c r="J118">
        <v>1.0959318848455545E-5</v>
      </c>
      <c r="K118">
        <v>1.1060770808414214E-5</v>
      </c>
      <c r="L118">
        <v>1.120498197127357E-5</v>
      </c>
      <c r="M118">
        <v>1.1375702738435987E-5</v>
      </c>
      <c r="N118">
        <v>1.1506722223301469E-5</v>
      </c>
      <c r="O118">
        <v>1.1620780374100452E-5</v>
      </c>
      <c r="P118">
        <v>1.164121396049009E-5</v>
      </c>
      <c r="Q118">
        <v>1.1671604217706756E-5</v>
      </c>
      <c r="R118">
        <v>1.1636764766505515E-5</v>
      </c>
      <c r="S118">
        <v>1.1608711374078309E-5</v>
      </c>
      <c r="T118">
        <v>1.1809786811683947E-5</v>
      </c>
      <c r="U118">
        <v>1.1701001434483519E-5</v>
      </c>
      <c r="V118">
        <v>1.2136292916116174E-5</v>
      </c>
      <c r="W118">
        <v>1.2288257759065575E-5</v>
      </c>
      <c r="X118">
        <v>1.2410101787511531E-5</v>
      </c>
      <c r="Y118">
        <v>1.2723622956157506E-5</v>
      </c>
      <c r="Z118">
        <v>1.2937252051747422E-5</v>
      </c>
      <c r="AA118">
        <v>1.3010755684990955E-5</v>
      </c>
      <c r="AB118">
        <v>1.3156353884710482E-5</v>
      </c>
      <c r="AC118">
        <v>1.3221510724973242E-5</v>
      </c>
      <c r="AD118">
        <v>1.3194303789371515E-5</v>
      </c>
      <c r="AE118">
        <v>1.3219168776359003E-5</v>
      </c>
      <c r="AF118">
        <v>1.3178508345787353E-5</v>
      </c>
    </row>
    <row r="119" spans="1:32" x14ac:dyDescent="0.25">
      <c r="A119" t="s">
        <v>57</v>
      </c>
      <c r="B119">
        <v>8.7907978460530088E-6</v>
      </c>
      <c r="C119">
        <v>1.0532853075767043E-5</v>
      </c>
      <c r="D119">
        <v>2.127032890654978E-5</v>
      </c>
      <c r="E119">
        <v>1.5683538562914313E-5</v>
      </c>
      <c r="F119">
        <v>1.4738694620022559E-5</v>
      </c>
      <c r="G119">
        <v>1.3793850677130806E-5</v>
      </c>
      <c r="H119">
        <v>1.2849006734239053E-5</v>
      </c>
      <c r="I119">
        <v>1.19041627913473E-5</v>
      </c>
      <c r="J119">
        <v>1.0959318848455545E-5</v>
      </c>
      <c r="K119">
        <v>1.1060770808414214E-5</v>
      </c>
      <c r="L119">
        <v>1.120498197127357E-5</v>
      </c>
      <c r="M119">
        <v>1.1375702738435987E-5</v>
      </c>
      <c r="N119">
        <v>1.1506722223301469E-5</v>
      </c>
      <c r="O119">
        <v>1.1620780374100452E-5</v>
      </c>
      <c r="P119">
        <v>1.164121396049009E-5</v>
      </c>
      <c r="Q119">
        <v>1.1671604217706756E-5</v>
      </c>
      <c r="R119">
        <v>1.1636764766505515E-5</v>
      </c>
      <c r="S119">
        <v>1.1608711374078309E-5</v>
      </c>
      <c r="T119">
        <v>1.1809786811683947E-5</v>
      </c>
      <c r="U119">
        <v>1.1701001434483519E-5</v>
      </c>
      <c r="V119">
        <v>1.2136292916116174E-5</v>
      </c>
      <c r="W119">
        <v>1.2288257759065575E-5</v>
      </c>
      <c r="X119">
        <v>1.2410101787511531E-5</v>
      </c>
      <c r="Y119">
        <v>1.2723622956157506E-5</v>
      </c>
      <c r="Z119">
        <v>1.2937252051747422E-5</v>
      </c>
      <c r="AA119">
        <v>1.3010755684990955E-5</v>
      </c>
      <c r="AB119">
        <v>1.3156353884710482E-5</v>
      </c>
      <c r="AC119">
        <v>1.3221510724973242E-5</v>
      </c>
      <c r="AD119">
        <v>1.3194303789371515E-5</v>
      </c>
      <c r="AE119">
        <v>1.3219168776359003E-5</v>
      </c>
      <c r="AF119">
        <v>1.3178508345787353E-5</v>
      </c>
    </row>
    <row r="120" spans="1:32" x14ac:dyDescent="0.25">
      <c r="A120" t="s">
        <v>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59</v>
      </c>
      <c r="B121">
        <v>8.7907978460530088E-6</v>
      </c>
      <c r="C121">
        <v>1.0532853075767043E-5</v>
      </c>
      <c r="D121">
        <v>2.127032890654978E-5</v>
      </c>
      <c r="E121">
        <v>1.5683538562914313E-5</v>
      </c>
      <c r="F121">
        <v>1.4738694620022559E-5</v>
      </c>
      <c r="G121">
        <v>1.3793850677130806E-5</v>
      </c>
      <c r="H121">
        <v>1.2849006734239053E-5</v>
      </c>
      <c r="I121">
        <v>1.19041627913473E-5</v>
      </c>
      <c r="J121">
        <v>1.0959318848455545E-5</v>
      </c>
      <c r="K121">
        <v>1.1060770808414214E-5</v>
      </c>
      <c r="L121">
        <v>1.120498197127357E-5</v>
      </c>
      <c r="M121">
        <v>1.1375702738435987E-5</v>
      </c>
      <c r="N121">
        <v>1.1506722223301469E-5</v>
      </c>
      <c r="O121">
        <v>1.1620780374100452E-5</v>
      </c>
      <c r="P121">
        <v>1.164121396049009E-5</v>
      </c>
      <c r="Q121">
        <v>1.1671604217706756E-5</v>
      </c>
      <c r="R121">
        <v>1.1636764766505515E-5</v>
      </c>
      <c r="S121">
        <v>1.1608711374078309E-5</v>
      </c>
      <c r="T121">
        <v>1.1809786811683947E-5</v>
      </c>
      <c r="U121">
        <v>1.1701001434483519E-5</v>
      </c>
      <c r="V121">
        <v>1.2136292916116174E-5</v>
      </c>
      <c r="W121">
        <v>1.2288257759065575E-5</v>
      </c>
      <c r="X121">
        <v>1.2410101787511531E-5</v>
      </c>
      <c r="Y121">
        <v>1.2723622956157506E-5</v>
      </c>
      <c r="Z121">
        <v>1.2937252051747422E-5</v>
      </c>
      <c r="AA121">
        <v>1.3010755684990955E-5</v>
      </c>
      <c r="AB121">
        <v>1.3156353884710482E-5</v>
      </c>
      <c r="AC121">
        <v>1.3221510724973242E-5</v>
      </c>
      <c r="AD121">
        <v>1.3194303789371515E-5</v>
      </c>
      <c r="AE121">
        <v>1.3219168776359003E-5</v>
      </c>
      <c r="AF121">
        <v>1.3178508345787353E-5</v>
      </c>
    </row>
    <row r="122" spans="1:32" s="4" customFormat="1" x14ac:dyDescent="0.25">
      <c r="A122" s="6" t="s">
        <v>48</v>
      </c>
    </row>
    <row r="123" spans="1:32" x14ac:dyDescent="0.25">
      <c r="A123" t="s">
        <v>30</v>
      </c>
      <c r="B123">
        <v>2020</v>
      </c>
      <c r="C123">
        <v>2021</v>
      </c>
      <c r="D123">
        <v>2022</v>
      </c>
      <c r="E123">
        <v>2023</v>
      </c>
      <c r="F123">
        <v>2024</v>
      </c>
      <c r="G123">
        <v>2025</v>
      </c>
      <c r="H123">
        <v>2026</v>
      </c>
      <c r="I123">
        <v>2027</v>
      </c>
      <c r="J123">
        <v>2028</v>
      </c>
      <c r="K123">
        <v>2029</v>
      </c>
      <c r="L123">
        <v>2030</v>
      </c>
      <c r="M123">
        <v>2031</v>
      </c>
      <c r="N123">
        <v>2032</v>
      </c>
      <c r="O123">
        <v>2033</v>
      </c>
      <c r="P123">
        <v>2034</v>
      </c>
      <c r="Q123">
        <v>2035</v>
      </c>
      <c r="R123">
        <v>2036</v>
      </c>
      <c r="S123">
        <v>2037</v>
      </c>
      <c r="T123">
        <v>2038</v>
      </c>
      <c r="U123">
        <v>2039</v>
      </c>
      <c r="V123">
        <v>2040</v>
      </c>
      <c r="W123">
        <v>2041</v>
      </c>
      <c r="X123">
        <v>2042</v>
      </c>
      <c r="Y123">
        <v>2043</v>
      </c>
      <c r="Z123">
        <v>2044</v>
      </c>
      <c r="AA123">
        <v>2045</v>
      </c>
      <c r="AB123">
        <v>2046</v>
      </c>
      <c r="AC123">
        <v>2047</v>
      </c>
      <c r="AD123">
        <v>2048</v>
      </c>
      <c r="AE123">
        <v>2049</v>
      </c>
      <c r="AF123">
        <v>2050</v>
      </c>
    </row>
    <row r="124" spans="1:32" x14ac:dyDescent="0.25">
      <c r="A124" t="s">
        <v>52</v>
      </c>
      <c r="B124">
        <v>9.9107148796216842E-6</v>
      </c>
      <c r="C124">
        <v>1.4011475733655088E-5</v>
      </c>
      <c r="D124">
        <v>1.4493301161475053E-5</v>
      </c>
      <c r="E124">
        <v>1.3301760722486943E-5</v>
      </c>
      <c r="F124">
        <v>1.3303683611424759E-5</v>
      </c>
      <c r="G124">
        <v>1.3224997574651922E-5</v>
      </c>
      <c r="H124">
        <v>1.3327638780183958E-5</v>
      </c>
      <c r="I124">
        <v>1.3600587929360382E-5</v>
      </c>
      <c r="J124">
        <v>1.3972472280871652E-5</v>
      </c>
      <c r="K124">
        <v>1.4211769689105122E-5</v>
      </c>
      <c r="L124">
        <v>1.4464344902102633E-5</v>
      </c>
      <c r="M124">
        <v>1.4954987979975845E-5</v>
      </c>
      <c r="N124">
        <v>1.5136065681046902E-5</v>
      </c>
      <c r="O124">
        <v>1.5348171781356012E-5</v>
      </c>
      <c r="P124">
        <v>1.5451034889061165E-5</v>
      </c>
      <c r="Q124">
        <v>1.5519958019904548E-5</v>
      </c>
      <c r="R124">
        <v>1.5616900051118631E-5</v>
      </c>
      <c r="S124">
        <v>1.5741861772390858E-5</v>
      </c>
      <c r="T124">
        <v>1.5855494637522676E-5</v>
      </c>
      <c r="U124">
        <v>1.5909538477455862E-5</v>
      </c>
      <c r="V124">
        <v>1.6096654918447852E-5</v>
      </c>
      <c r="W124">
        <v>1.6204583871137022E-5</v>
      </c>
      <c r="X124">
        <v>1.6211067205091631E-5</v>
      </c>
      <c r="Y124">
        <v>1.6326813273836421E-5</v>
      </c>
      <c r="Z124">
        <v>1.646516572517787E-5</v>
      </c>
      <c r="AA124">
        <v>1.6482301942816723E-5</v>
      </c>
      <c r="AB124">
        <v>1.6549843120624718E-5</v>
      </c>
      <c r="AC124">
        <v>1.6593910839017276E-5</v>
      </c>
      <c r="AD124">
        <v>1.6615312158567071E-5</v>
      </c>
      <c r="AE124">
        <v>1.6599111720555043E-5</v>
      </c>
      <c r="AF124">
        <v>1.6581392713578974E-5</v>
      </c>
    </row>
    <row r="125" spans="1:32" x14ac:dyDescent="0.25">
      <c r="A125" t="s">
        <v>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54</v>
      </c>
      <c r="B126">
        <v>1.4300496583912337E-5</v>
      </c>
      <c r="C126">
        <v>1.696653591735551E-5</v>
      </c>
      <c r="D126">
        <v>1.8337049540363637E-5</v>
      </c>
      <c r="E126">
        <v>1.8162567308864917E-5</v>
      </c>
      <c r="F126">
        <v>1.819759547503112E-5</v>
      </c>
      <c r="G126">
        <v>1.8153341390400646E-5</v>
      </c>
      <c r="H126">
        <v>1.8220933108205363E-5</v>
      </c>
      <c r="I126">
        <v>1.8469086861177074E-5</v>
      </c>
      <c r="J126">
        <v>1.8880875698850851E-5</v>
      </c>
      <c r="K126">
        <v>1.9270231885166708E-5</v>
      </c>
      <c r="L126">
        <v>1.9673045135297483E-5</v>
      </c>
      <c r="M126">
        <v>2.0200269694548676E-5</v>
      </c>
      <c r="N126">
        <v>2.0546116471498271E-5</v>
      </c>
      <c r="O126">
        <v>2.0888879518960324E-5</v>
      </c>
      <c r="P126">
        <v>2.1140793763563194E-5</v>
      </c>
      <c r="Q126">
        <v>2.1331874435548137E-5</v>
      </c>
      <c r="R126">
        <v>2.1515018748672692E-5</v>
      </c>
      <c r="S126">
        <v>2.1713738857037276E-5</v>
      </c>
      <c r="T126">
        <v>2.1908747434392527E-5</v>
      </c>
      <c r="U126">
        <v>2.2053468715008508E-5</v>
      </c>
      <c r="V126">
        <v>2.2287246207974901E-5</v>
      </c>
      <c r="W126">
        <v>2.2490763667590915E-5</v>
      </c>
      <c r="X126">
        <v>2.2601539443532994E-5</v>
      </c>
      <c r="Y126">
        <v>2.2762585932777913E-5</v>
      </c>
      <c r="Z126">
        <v>2.2958297331962588E-5</v>
      </c>
      <c r="AA126">
        <v>2.3069699330051559E-5</v>
      </c>
      <c r="AB126">
        <v>2.3189585730090381E-5</v>
      </c>
      <c r="AC126">
        <v>2.3288522511800122E-5</v>
      </c>
      <c r="AD126">
        <v>2.3359028176290895E-5</v>
      </c>
      <c r="AE126">
        <v>2.3384356611523543E-5</v>
      </c>
      <c r="AF126">
        <v>2.3387160001966766E-5</v>
      </c>
    </row>
    <row r="127" spans="1:32" x14ac:dyDescent="0.25">
      <c r="A127" t="s">
        <v>55</v>
      </c>
      <c r="B127">
        <v>1.05582215007517E-5</v>
      </c>
      <c r="C127">
        <v>1.4839957368059664E-5</v>
      </c>
      <c r="D127">
        <v>1.5643337207529392E-5</v>
      </c>
      <c r="E127">
        <v>1.4417846525742683E-5</v>
      </c>
      <c r="F127">
        <v>1.4359015600494901E-5</v>
      </c>
      <c r="G127">
        <v>1.4259742411931975E-5</v>
      </c>
      <c r="H127">
        <v>1.4364065651729946E-5</v>
      </c>
      <c r="I127">
        <v>1.4669353291621975E-5</v>
      </c>
      <c r="J127">
        <v>1.5098745052216847E-5</v>
      </c>
      <c r="K127">
        <v>1.5392952587514838E-5</v>
      </c>
      <c r="L127">
        <v>1.5695023040740473E-5</v>
      </c>
      <c r="M127">
        <v>1.6158999952842775E-5</v>
      </c>
      <c r="N127">
        <v>1.6380053211946733E-5</v>
      </c>
      <c r="O127">
        <v>1.6617850214027501E-5</v>
      </c>
      <c r="P127">
        <v>1.6748105999956448E-5</v>
      </c>
      <c r="Q127">
        <v>1.683561205584488E-5</v>
      </c>
      <c r="R127">
        <v>1.695095143555354E-5</v>
      </c>
      <c r="S127">
        <v>1.7098971240643135E-5</v>
      </c>
      <c r="T127">
        <v>1.7236582965157615E-5</v>
      </c>
      <c r="U127">
        <v>1.7307501636184105E-5</v>
      </c>
      <c r="V127">
        <v>1.7522805180973385E-5</v>
      </c>
      <c r="W127">
        <v>1.7658449794052918E-5</v>
      </c>
      <c r="X127">
        <v>1.767693716691666E-5</v>
      </c>
      <c r="Y127">
        <v>1.7809766544241231E-5</v>
      </c>
      <c r="Z127">
        <v>1.7974063387025393E-5</v>
      </c>
      <c r="AA127">
        <v>1.8005406081868071E-5</v>
      </c>
      <c r="AB127">
        <v>1.8085250590128292E-5</v>
      </c>
      <c r="AC127">
        <v>1.8140688228408602E-5</v>
      </c>
      <c r="AD127">
        <v>1.816944153810668E-5</v>
      </c>
      <c r="AE127">
        <v>1.8154284277214506E-5</v>
      </c>
      <c r="AF127">
        <v>1.8134594210366254E-5</v>
      </c>
    </row>
    <row r="128" spans="1:32" x14ac:dyDescent="0.25">
      <c r="A128" t="s">
        <v>56</v>
      </c>
      <c r="B128">
        <v>6.3021246636449609E-6</v>
      </c>
      <c r="C128">
        <v>1.0772901172400809E-5</v>
      </c>
      <c r="D128">
        <v>1.1429823998242104E-5</v>
      </c>
      <c r="E128">
        <v>1.0021684927048689E-5</v>
      </c>
      <c r="F128">
        <v>1.0008330522602116E-5</v>
      </c>
      <c r="G128">
        <v>9.9142155724547204E-6</v>
      </c>
      <c r="H128">
        <v>1.0032586562279306E-5</v>
      </c>
      <c r="I128">
        <v>1.0355389469785614E-5</v>
      </c>
      <c r="J128">
        <v>1.0804045655693837E-5</v>
      </c>
      <c r="K128">
        <v>1.1100795984576948E-5</v>
      </c>
      <c r="L128">
        <v>1.1414534859545984E-5</v>
      </c>
      <c r="M128">
        <v>1.1695547507262056E-5</v>
      </c>
      <c r="N128">
        <v>1.1926641642277444E-5</v>
      </c>
      <c r="O128">
        <v>1.2150280338088759E-5</v>
      </c>
      <c r="P128">
        <v>1.2285194490278153E-5</v>
      </c>
      <c r="Q128">
        <v>1.2376464196547542E-5</v>
      </c>
      <c r="R128">
        <v>1.2502660199302238E-5</v>
      </c>
      <c r="S128">
        <v>1.2665495330618678E-5</v>
      </c>
      <c r="T128">
        <v>1.2815072399357302E-5</v>
      </c>
      <c r="U128">
        <v>1.288873681364325E-5</v>
      </c>
      <c r="V128">
        <v>1.3132743917821337E-5</v>
      </c>
      <c r="W128">
        <v>1.3278155385267564E-5</v>
      </c>
      <c r="X128">
        <v>1.329134948316203E-5</v>
      </c>
      <c r="Y128">
        <v>1.3444332473867302E-5</v>
      </c>
      <c r="Z128">
        <v>1.3629118547197901E-5</v>
      </c>
      <c r="AA128">
        <v>1.3656523860420886E-5</v>
      </c>
      <c r="AB128">
        <v>1.3747824364500772E-5</v>
      </c>
      <c r="AC128">
        <v>1.3808980919285259E-5</v>
      </c>
      <c r="AD128">
        <v>1.3839969834150877E-5</v>
      </c>
      <c r="AE128">
        <v>1.3821161848182926E-5</v>
      </c>
      <c r="AF128">
        <v>1.3799770004882514E-5</v>
      </c>
    </row>
    <row r="129" spans="1:32" x14ac:dyDescent="0.25">
      <c r="A129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59</v>
      </c>
      <c r="B131">
        <v>6.3021246636449609E-6</v>
      </c>
      <c r="C131">
        <v>1.0772901172400809E-5</v>
      </c>
      <c r="D131">
        <v>1.1429823998242104E-5</v>
      </c>
      <c r="E131">
        <v>1.0021684927048689E-5</v>
      </c>
      <c r="F131">
        <v>1.0008330522602116E-5</v>
      </c>
      <c r="G131">
        <v>9.9142155724547204E-6</v>
      </c>
      <c r="H131">
        <v>1.0032586562279306E-5</v>
      </c>
      <c r="I131">
        <v>1.0355389469785614E-5</v>
      </c>
      <c r="J131">
        <v>1.0804045655693837E-5</v>
      </c>
      <c r="K131">
        <v>1.1100795984576948E-5</v>
      </c>
      <c r="L131">
        <v>1.1414534859545984E-5</v>
      </c>
      <c r="M131">
        <v>1.1695547507262056E-5</v>
      </c>
      <c r="N131">
        <v>1.1926641642277444E-5</v>
      </c>
      <c r="O131">
        <v>1.2150280338088759E-5</v>
      </c>
      <c r="P131">
        <v>1.2285194490278153E-5</v>
      </c>
      <c r="Q131">
        <v>1.2376464196547542E-5</v>
      </c>
      <c r="R131">
        <v>1.2502660199302238E-5</v>
      </c>
      <c r="S131">
        <v>1.2665495330618678E-5</v>
      </c>
      <c r="T131">
        <v>1.2815072399357302E-5</v>
      </c>
      <c r="U131">
        <v>1.288873681364325E-5</v>
      </c>
      <c r="V131">
        <v>1.3132743917821337E-5</v>
      </c>
      <c r="W131">
        <v>1.3278155385267564E-5</v>
      </c>
      <c r="X131">
        <v>1.329134948316203E-5</v>
      </c>
      <c r="Y131">
        <v>1.3444332473867302E-5</v>
      </c>
      <c r="Z131">
        <v>1.3629118547197901E-5</v>
      </c>
      <c r="AA131">
        <v>1.3656523860420886E-5</v>
      </c>
      <c r="AB131">
        <v>1.3747824364500772E-5</v>
      </c>
      <c r="AC131">
        <v>1.3808980919285259E-5</v>
      </c>
      <c r="AD131">
        <v>1.3839969834150877E-5</v>
      </c>
      <c r="AE131">
        <v>1.3821161848182926E-5</v>
      </c>
      <c r="AF131">
        <v>1.3799770004882514E-5</v>
      </c>
    </row>
    <row r="132" spans="1:32" s="4" customFormat="1" x14ac:dyDescent="0.25">
      <c r="A132" s="6" t="s">
        <v>49</v>
      </c>
    </row>
    <row r="133" spans="1:32" x14ac:dyDescent="0.25">
      <c r="A133" t="s">
        <v>30</v>
      </c>
      <c r="B133">
        <v>2020</v>
      </c>
      <c r="C133">
        <v>2021</v>
      </c>
      <c r="D133">
        <v>2022</v>
      </c>
      <c r="E133">
        <v>2023</v>
      </c>
      <c r="F133">
        <v>2024</v>
      </c>
      <c r="G133">
        <v>2025</v>
      </c>
      <c r="H133">
        <v>2026</v>
      </c>
      <c r="I133">
        <v>2027</v>
      </c>
      <c r="J133">
        <v>2028</v>
      </c>
      <c r="K133">
        <v>2029</v>
      </c>
      <c r="L133">
        <v>2030</v>
      </c>
      <c r="M133">
        <v>2031</v>
      </c>
      <c r="N133">
        <v>2032</v>
      </c>
      <c r="O133">
        <v>2033</v>
      </c>
      <c r="P133">
        <v>2034</v>
      </c>
      <c r="Q133">
        <v>2035</v>
      </c>
      <c r="R133">
        <v>2036</v>
      </c>
      <c r="S133">
        <v>2037</v>
      </c>
      <c r="T133">
        <v>2038</v>
      </c>
      <c r="U133">
        <v>2039</v>
      </c>
      <c r="V133">
        <v>2040</v>
      </c>
      <c r="W133">
        <v>2041</v>
      </c>
      <c r="X133">
        <v>2042</v>
      </c>
      <c r="Y133">
        <v>2043</v>
      </c>
      <c r="Z133">
        <v>2044</v>
      </c>
      <c r="AA133">
        <v>2045</v>
      </c>
      <c r="AB133">
        <v>2046</v>
      </c>
      <c r="AC133">
        <v>2047</v>
      </c>
      <c r="AD133">
        <v>2048</v>
      </c>
      <c r="AE133">
        <v>2049</v>
      </c>
      <c r="AF133">
        <v>2050</v>
      </c>
    </row>
    <row r="134" spans="1:32" x14ac:dyDescent="0.25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s="4" customFormat="1" x14ac:dyDescent="0.25">
      <c r="A142" s="6" t="s">
        <v>50</v>
      </c>
    </row>
    <row r="143" spans="1:32" x14ac:dyDescent="0.25">
      <c r="A143" t="s">
        <v>30</v>
      </c>
      <c r="B143">
        <v>2020</v>
      </c>
      <c r="C143">
        <v>2021</v>
      </c>
      <c r="D143">
        <v>2022</v>
      </c>
      <c r="E143">
        <v>2023</v>
      </c>
      <c r="F143">
        <v>2024</v>
      </c>
      <c r="G143">
        <v>2025</v>
      </c>
      <c r="H143">
        <v>2026</v>
      </c>
      <c r="I143">
        <v>2027</v>
      </c>
      <c r="J143">
        <v>2028</v>
      </c>
      <c r="K143">
        <v>2029</v>
      </c>
      <c r="L143">
        <v>2030</v>
      </c>
      <c r="M143">
        <v>2031</v>
      </c>
      <c r="N143">
        <v>2032</v>
      </c>
      <c r="O143">
        <v>2033</v>
      </c>
      <c r="P143">
        <v>2034</v>
      </c>
      <c r="Q143">
        <v>2035</v>
      </c>
      <c r="R143">
        <v>2036</v>
      </c>
      <c r="S143">
        <v>2037</v>
      </c>
      <c r="T143">
        <v>2038</v>
      </c>
      <c r="U143">
        <v>2039</v>
      </c>
      <c r="V143">
        <v>2040</v>
      </c>
      <c r="W143">
        <v>2041</v>
      </c>
      <c r="X143">
        <v>2042</v>
      </c>
      <c r="Y143">
        <v>2043</v>
      </c>
      <c r="Z143">
        <v>2044</v>
      </c>
      <c r="AA143">
        <v>2045</v>
      </c>
      <c r="AB143">
        <v>2046</v>
      </c>
      <c r="AC143">
        <v>2047</v>
      </c>
      <c r="AD143">
        <v>2048</v>
      </c>
      <c r="AE143">
        <v>2049</v>
      </c>
      <c r="AF143">
        <v>2050</v>
      </c>
    </row>
    <row r="144" spans="1:32" x14ac:dyDescent="0.25">
      <c r="A144" t="s">
        <v>52</v>
      </c>
      <c r="B144">
        <v>7.2323913984774236E-5</v>
      </c>
      <c r="C144">
        <v>6.6407640789389056E-5</v>
      </c>
      <c r="D144">
        <v>6.049136759400544E-5</v>
      </c>
      <c r="E144">
        <v>5.457509439862026E-5</v>
      </c>
      <c r="F144">
        <v>4.8658821203235079E-5</v>
      </c>
      <c r="G144">
        <v>4.2742548007849899E-5</v>
      </c>
      <c r="H144">
        <v>3.6826274812466284E-5</v>
      </c>
      <c r="I144">
        <v>3.091000161708111E-5</v>
      </c>
      <c r="J144">
        <v>2.499372842169593E-5</v>
      </c>
      <c r="K144">
        <v>1.9077455226312314E-5</v>
      </c>
      <c r="L144">
        <v>1.3161182030927136E-5</v>
      </c>
      <c r="M144">
        <v>1.284050348397962E-5</v>
      </c>
      <c r="N144">
        <v>1.251982493703318E-5</v>
      </c>
      <c r="O144">
        <v>1.219914639008674E-5</v>
      </c>
      <c r="P144">
        <v>1.1878467843140302E-5</v>
      </c>
      <c r="Q144">
        <v>1.1557789296193959E-5</v>
      </c>
      <c r="R144">
        <v>1.1237110749247519E-5</v>
      </c>
      <c r="S144">
        <v>1.0916432202301079E-5</v>
      </c>
      <c r="T144">
        <v>1.059575365535464E-5</v>
      </c>
      <c r="U144">
        <v>1.02750751084082E-5</v>
      </c>
      <c r="V144">
        <v>9.9543965614618587E-6</v>
      </c>
      <c r="W144">
        <v>9.6337180145154188E-6</v>
      </c>
      <c r="X144">
        <v>9.3130394675689806E-6</v>
      </c>
      <c r="Y144">
        <v>8.9923609206225406E-6</v>
      </c>
      <c r="Z144">
        <v>8.6716823736761007E-6</v>
      </c>
      <c r="AA144">
        <v>8.3510038267296607E-6</v>
      </c>
      <c r="AB144">
        <v>8.0303252797833207E-6</v>
      </c>
      <c r="AC144">
        <v>7.7096467328368808E-6</v>
      </c>
      <c r="AD144">
        <v>7.3889681858904408E-6</v>
      </c>
      <c r="AE144">
        <v>7.0682896389440018E-6</v>
      </c>
      <c r="AF144">
        <v>6.7476110919975618E-6</v>
      </c>
    </row>
    <row r="145" spans="1:32" x14ac:dyDescent="0.25">
      <c r="A145" t="s">
        <v>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54</v>
      </c>
      <c r="B146">
        <v>7.2323913984774236E-5</v>
      </c>
      <c r="C146">
        <v>6.6407640789389056E-5</v>
      </c>
      <c r="D146">
        <v>6.049136759400544E-5</v>
      </c>
      <c r="E146">
        <v>5.457509439862026E-5</v>
      </c>
      <c r="F146">
        <v>4.8658821203235079E-5</v>
      </c>
      <c r="G146">
        <v>4.2742548007849899E-5</v>
      </c>
      <c r="H146">
        <v>3.6826274812466284E-5</v>
      </c>
      <c r="I146">
        <v>3.091000161708111E-5</v>
      </c>
      <c r="J146">
        <v>2.499372842169593E-5</v>
      </c>
      <c r="K146">
        <v>1.9077455226312314E-5</v>
      </c>
      <c r="L146">
        <v>1.3161182030927136E-5</v>
      </c>
      <c r="M146">
        <v>1.284050348397962E-5</v>
      </c>
      <c r="N146">
        <v>1.251982493703318E-5</v>
      </c>
      <c r="O146">
        <v>1.219914639008674E-5</v>
      </c>
      <c r="P146">
        <v>1.1878467843140302E-5</v>
      </c>
      <c r="Q146">
        <v>1.1557789296193959E-5</v>
      </c>
      <c r="R146">
        <v>1.1237110749247519E-5</v>
      </c>
      <c r="S146">
        <v>1.0916432202301079E-5</v>
      </c>
      <c r="T146">
        <v>1.059575365535464E-5</v>
      </c>
      <c r="U146">
        <v>1.02750751084082E-5</v>
      </c>
      <c r="V146">
        <v>9.9543965614618587E-6</v>
      </c>
      <c r="W146">
        <v>9.6337180145154188E-6</v>
      </c>
      <c r="X146">
        <v>9.3130394675689806E-6</v>
      </c>
      <c r="Y146">
        <v>8.9923609206225406E-6</v>
      </c>
      <c r="Z146">
        <v>8.6716823736761007E-6</v>
      </c>
      <c r="AA146">
        <v>8.3510038267296607E-6</v>
      </c>
      <c r="AB146">
        <v>8.0303252797833207E-6</v>
      </c>
      <c r="AC146">
        <v>7.7096467328368808E-6</v>
      </c>
      <c r="AD146">
        <v>7.3889681858904408E-6</v>
      </c>
      <c r="AE146">
        <v>7.0682896389440018E-6</v>
      </c>
      <c r="AF146">
        <v>6.7476110919975618E-6</v>
      </c>
    </row>
    <row r="147" spans="1:32" x14ac:dyDescent="0.25">
      <c r="A147" t="s">
        <v>55</v>
      </c>
      <c r="B147">
        <v>7.2323913984774236E-5</v>
      </c>
      <c r="C147">
        <v>6.6407640789389056E-5</v>
      </c>
      <c r="D147">
        <v>6.049136759400544E-5</v>
      </c>
      <c r="E147">
        <v>5.457509439862026E-5</v>
      </c>
      <c r="F147">
        <v>4.8658821203235079E-5</v>
      </c>
      <c r="G147">
        <v>4.2742548007849899E-5</v>
      </c>
      <c r="H147">
        <v>3.6826274812466284E-5</v>
      </c>
      <c r="I147">
        <v>3.091000161708111E-5</v>
      </c>
      <c r="J147">
        <v>2.499372842169593E-5</v>
      </c>
      <c r="K147">
        <v>1.9077455226312314E-5</v>
      </c>
      <c r="L147">
        <v>1.3161182030927136E-5</v>
      </c>
      <c r="M147">
        <v>1.284050348397962E-5</v>
      </c>
      <c r="N147">
        <v>1.251982493703318E-5</v>
      </c>
      <c r="O147">
        <v>1.219914639008674E-5</v>
      </c>
      <c r="P147">
        <v>1.1878467843140302E-5</v>
      </c>
      <c r="Q147">
        <v>1.1557789296193959E-5</v>
      </c>
      <c r="R147">
        <v>1.1237110749247519E-5</v>
      </c>
      <c r="S147">
        <v>1.0916432202301079E-5</v>
      </c>
      <c r="T147">
        <v>1.059575365535464E-5</v>
      </c>
      <c r="U147">
        <v>1.02750751084082E-5</v>
      </c>
      <c r="V147">
        <v>9.9543965614618587E-6</v>
      </c>
      <c r="W147">
        <v>9.6337180145154188E-6</v>
      </c>
      <c r="X147">
        <v>9.3130394675689806E-6</v>
      </c>
      <c r="Y147">
        <v>8.9923609206225406E-6</v>
      </c>
      <c r="Z147">
        <v>8.6716823736761007E-6</v>
      </c>
      <c r="AA147">
        <v>8.3510038267296607E-6</v>
      </c>
      <c r="AB147">
        <v>8.0303252797833207E-6</v>
      </c>
      <c r="AC147">
        <v>7.7096467328368808E-6</v>
      </c>
      <c r="AD147">
        <v>7.3889681858904408E-6</v>
      </c>
      <c r="AE147">
        <v>7.0682896389440018E-6</v>
      </c>
      <c r="AF147">
        <v>6.7476110919975618E-6</v>
      </c>
    </row>
    <row r="148" spans="1:32" x14ac:dyDescent="0.25">
      <c r="A148" t="s">
        <v>56</v>
      </c>
      <c r="B148">
        <v>7.2323913984774236E-5</v>
      </c>
      <c r="C148">
        <v>6.6407640789389056E-5</v>
      </c>
      <c r="D148">
        <v>6.049136759400544E-5</v>
      </c>
      <c r="E148">
        <v>5.457509439862026E-5</v>
      </c>
      <c r="F148">
        <v>4.8658821203235079E-5</v>
      </c>
      <c r="G148">
        <v>4.2742548007849899E-5</v>
      </c>
      <c r="H148">
        <v>3.6826274812466284E-5</v>
      </c>
      <c r="I148">
        <v>3.091000161708111E-5</v>
      </c>
      <c r="J148">
        <v>2.499372842169593E-5</v>
      </c>
      <c r="K148">
        <v>1.9077455226312314E-5</v>
      </c>
      <c r="L148">
        <v>1.3161182030927136E-5</v>
      </c>
      <c r="M148">
        <v>1.284050348397962E-5</v>
      </c>
      <c r="N148">
        <v>1.251982493703318E-5</v>
      </c>
      <c r="O148">
        <v>1.219914639008674E-5</v>
      </c>
      <c r="P148">
        <v>1.1878467843140302E-5</v>
      </c>
      <c r="Q148">
        <v>1.1557789296193959E-5</v>
      </c>
      <c r="R148">
        <v>1.1237110749247519E-5</v>
      </c>
      <c r="S148">
        <v>1.0916432202301079E-5</v>
      </c>
      <c r="T148">
        <v>1.059575365535464E-5</v>
      </c>
      <c r="U148">
        <v>1.02750751084082E-5</v>
      </c>
      <c r="V148">
        <v>9.9543965614618587E-6</v>
      </c>
      <c r="W148">
        <v>9.6337180145154188E-6</v>
      </c>
      <c r="X148">
        <v>9.3130394675689806E-6</v>
      </c>
      <c r="Y148">
        <v>8.9923609206225406E-6</v>
      </c>
      <c r="Z148">
        <v>8.6716823736761007E-6</v>
      </c>
      <c r="AA148">
        <v>8.3510038267296607E-6</v>
      </c>
      <c r="AB148">
        <v>8.0303252797833207E-6</v>
      </c>
      <c r="AC148">
        <v>7.7096467328368808E-6</v>
      </c>
      <c r="AD148">
        <v>7.3889681858904408E-6</v>
      </c>
      <c r="AE148">
        <v>7.0682896389440018E-6</v>
      </c>
      <c r="AF148">
        <v>6.7476110919975618E-6</v>
      </c>
    </row>
    <row r="149" spans="1:32" x14ac:dyDescent="0.25">
      <c r="A149" t="s">
        <v>57</v>
      </c>
      <c r="B149">
        <v>7.2323913984774236E-5</v>
      </c>
      <c r="C149">
        <v>6.6407640789389056E-5</v>
      </c>
      <c r="D149">
        <v>6.049136759400544E-5</v>
      </c>
      <c r="E149">
        <v>5.457509439862026E-5</v>
      </c>
      <c r="F149">
        <v>4.8658821203235079E-5</v>
      </c>
      <c r="G149">
        <v>4.2742548007849899E-5</v>
      </c>
      <c r="H149">
        <v>3.6826274812466284E-5</v>
      </c>
      <c r="I149">
        <v>3.091000161708111E-5</v>
      </c>
      <c r="J149">
        <v>2.499372842169593E-5</v>
      </c>
      <c r="K149">
        <v>1.9077455226312314E-5</v>
      </c>
      <c r="L149">
        <v>1.3161182030927136E-5</v>
      </c>
      <c r="M149">
        <v>1.284050348397962E-5</v>
      </c>
      <c r="N149">
        <v>1.251982493703318E-5</v>
      </c>
      <c r="O149">
        <v>1.219914639008674E-5</v>
      </c>
      <c r="P149">
        <v>1.1878467843140302E-5</v>
      </c>
      <c r="Q149">
        <v>1.1557789296193959E-5</v>
      </c>
      <c r="R149">
        <v>1.1237110749247519E-5</v>
      </c>
      <c r="S149">
        <v>1.0916432202301079E-5</v>
      </c>
      <c r="T149">
        <v>1.059575365535464E-5</v>
      </c>
      <c r="U149">
        <v>1.02750751084082E-5</v>
      </c>
      <c r="V149">
        <v>9.9543965614618587E-6</v>
      </c>
      <c r="W149">
        <v>9.6337180145154188E-6</v>
      </c>
      <c r="X149">
        <v>9.3130394675689806E-6</v>
      </c>
      <c r="Y149">
        <v>8.9923609206225406E-6</v>
      </c>
      <c r="Z149">
        <v>8.6716823736761007E-6</v>
      </c>
      <c r="AA149">
        <v>8.3510038267296607E-6</v>
      </c>
      <c r="AB149">
        <v>8.0303252797833207E-6</v>
      </c>
      <c r="AC149">
        <v>7.7096467328368808E-6</v>
      </c>
      <c r="AD149">
        <v>7.3889681858904408E-6</v>
      </c>
      <c r="AE149">
        <v>7.0682896389440018E-6</v>
      </c>
      <c r="AF149">
        <v>6.7476110919975618E-6</v>
      </c>
    </row>
    <row r="150" spans="1:32" x14ac:dyDescent="0.25">
      <c r="A150" t="s">
        <v>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59</v>
      </c>
      <c r="B151">
        <v>7.2323913984774236E-5</v>
      </c>
      <c r="C151">
        <v>6.6407640789389056E-5</v>
      </c>
      <c r="D151">
        <v>6.049136759400544E-5</v>
      </c>
      <c r="E151">
        <v>5.457509439862026E-5</v>
      </c>
      <c r="F151">
        <v>4.8658821203235079E-5</v>
      </c>
      <c r="G151">
        <v>4.2742548007849899E-5</v>
      </c>
      <c r="H151">
        <v>3.6826274812466284E-5</v>
      </c>
      <c r="I151">
        <v>3.091000161708111E-5</v>
      </c>
      <c r="J151">
        <v>2.499372842169593E-5</v>
      </c>
      <c r="K151">
        <v>1.9077455226312314E-5</v>
      </c>
      <c r="L151">
        <v>1.3161182030927136E-5</v>
      </c>
      <c r="M151">
        <v>1.284050348397962E-5</v>
      </c>
      <c r="N151">
        <v>1.251982493703318E-5</v>
      </c>
      <c r="O151">
        <v>1.219914639008674E-5</v>
      </c>
      <c r="P151">
        <v>1.1878467843140302E-5</v>
      </c>
      <c r="Q151">
        <v>1.1557789296193959E-5</v>
      </c>
      <c r="R151">
        <v>1.1237110749247519E-5</v>
      </c>
      <c r="S151">
        <v>1.0916432202301079E-5</v>
      </c>
      <c r="T151">
        <v>1.059575365535464E-5</v>
      </c>
      <c r="U151">
        <v>1.02750751084082E-5</v>
      </c>
      <c r="V151">
        <v>9.9543965614618587E-6</v>
      </c>
      <c r="W151">
        <v>9.6337180145154188E-6</v>
      </c>
      <c r="X151">
        <v>9.3130394675689806E-6</v>
      </c>
      <c r="Y151">
        <v>8.9923609206225406E-6</v>
      </c>
      <c r="Z151">
        <v>8.6716823736761007E-6</v>
      </c>
      <c r="AA151">
        <v>8.3510038267296607E-6</v>
      </c>
      <c r="AB151">
        <v>8.0303252797833207E-6</v>
      </c>
      <c r="AC151">
        <v>7.7096467328368808E-6</v>
      </c>
      <c r="AD151">
        <v>7.3889681858904408E-6</v>
      </c>
      <c r="AE151">
        <v>7.0682896389440018E-6</v>
      </c>
      <c r="AF151">
        <v>6.7476110919975618E-6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1"/>
  <sheetViews>
    <sheetView workbookViewId="0">
      <selection activeCell="I14" sqref="I14"/>
    </sheetView>
  </sheetViews>
  <sheetFormatPr defaultRowHeight="15" x14ac:dyDescent="0.25"/>
  <cols>
    <col min="1" max="1" width="39.5703125" customWidth="1"/>
  </cols>
  <sheetData>
    <row r="1" spans="1:3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s="4" customFormat="1" x14ac:dyDescent="0.25">
      <c r="A2" s="6" t="s">
        <v>22</v>
      </c>
    </row>
    <row r="3" spans="1:32" s="7" customFormat="1" x14ac:dyDescent="0.25">
      <c r="A3" s="7" t="s">
        <v>30</v>
      </c>
      <c r="B3" s="7">
        <v>2020</v>
      </c>
      <c r="C3" s="7">
        <v>2021</v>
      </c>
      <c r="D3" s="7">
        <v>2022</v>
      </c>
      <c r="E3" s="7">
        <v>2023</v>
      </c>
      <c r="F3" s="7">
        <v>2024</v>
      </c>
      <c r="G3" s="7">
        <v>2025</v>
      </c>
      <c r="H3" s="7">
        <v>2026</v>
      </c>
      <c r="I3" s="7">
        <v>2027</v>
      </c>
      <c r="J3" s="7">
        <v>2028</v>
      </c>
      <c r="K3" s="7">
        <v>2029</v>
      </c>
      <c r="L3" s="7">
        <v>2030</v>
      </c>
      <c r="M3" s="7">
        <v>2031</v>
      </c>
      <c r="N3" s="7">
        <v>2032</v>
      </c>
      <c r="O3" s="7">
        <v>2033</v>
      </c>
      <c r="P3" s="7">
        <v>2034</v>
      </c>
      <c r="Q3" s="7">
        <v>2035</v>
      </c>
      <c r="R3" s="7">
        <v>2036</v>
      </c>
      <c r="S3" s="7">
        <v>2037</v>
      </c>
      <c r="T3" s="7">
        <v>2038</v>
      </c>
      <c r="U3" s="7">
        <v>2039</v>
      </c>
      <c r="V3" s="7">
        <v>2040</v>
      </c>
      <c r="W3" s="7">
        <v>2041</v>
      </c>
      <c r="X3" s="7">
        <v>2042</v>
      </c>
      <c r="Y3" s="7">
        <v>2043</v>
      </c>
      <c r="Z3" s="7">
        <v>2044</v>
      </c>
      <c r="AA3" s="7">
        <v>2045</v>
      </c>
      <c r="AB3" s="7">
        <v>2046</v>
      </c>
      <c r="AC3" s="7">
        <v>2047</v>
      </c>
      <c r="AD3" s="7">
        <v>2048</v>
      </c>
      <c r="AE3" s="7">
        <v>2049</v>
      </c>
      <c r="AF3" s="7">
        <v>2050</v>
      </c>
    </row>
    <row r="4" spans="1:32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53</v>
      </c>
      <c r="B5">
        <v>1.1886185137157506E-7</v>
      </c>
      <c r="C5">
        <v>1.1896388884400258E-7</v>
      </c>
      <c r="D5">
        <v>1.173513425424637E-7</v>
      </c>
      <c r="E5">
        <v>1.1635800106760769E-7</v>
      </c>
      <c r="F5">
        <v>1.1630601515621546E-7</v>
      </c>
      <c r="G5">
        <v>1.1344013999648422E-7</v>
      </c>
      <c r="H5">
        <v>1.1156535108297234E-7</v>
      </c>
      <c r="I5">
        <v>1.1148335328280084E-7</v>
      </c>
      <c r="J5">
        <v>1.1089392903939607E-7</v>
      </c>
      <c r="K5">
        <v>1.1131149329541744E-7</v>
      </c>
      <c r="L5">
        <v>1.1114489550818612E-7</v>
      </c>
      <c r="M5">
        <v>1.1107290167094103E-7</v>
      </c>
      <c r="N5">
        <v>1.1042715453799672E-7</v>
      </c>
      <c r="O5">
        <v>1.1022429961345402E-7</v>
      </c>
      <c r="P5">
        <v>1.0982454588102418E-7</v>
      </c>
      <c r="Q5">
        <v>1.0903579412196982E-7</v>
      </c>
      <c r="R5">
        <v>1.0815509842619284E-7</v>
      </c>
      <c r="S5">
        <v>1.0797097924724643E-7</v>
      </c>
      <c r="T5">
        <v>1.0793200427029609E-7</v>
      </c>
      <c r="U5">
        <v>1.0777893785488428E-7</v>
      </c>
      <c r="V5">
        <v>1.0806697103023984E-7</v>
      </c>
      <c r="W5">
        <v>1.0782629765625273E-7</v>
      </c>
      <c r="X5">
        <v>1.0720726630869576E-7</v>
      </c>
      <c r="Y5">
        <v>1.0655371261508633E-7</v>
      </c>
      <c r="Z5">
        <v>1.0624798456888982E-7</v>
      </c>
      <c r="AA5">
        <v>1.0607028411760141E-7</v>
      </c>
      <c r="AB5">
        <v>1.059066354755102E-7</v>
      </c>
      <c r="AC5">
        <v>1.0558853258500008E-7</v>
      </c>
      <c r="AD5">
        <v>1.0509076314644143E-7</v>
      </c>
      <c r="AE5">
        <v>1.0516715178820909E-7</v>
      </c>
      <c r="AF5">
        <v>1.0501044231115356E-7</v>
      </c>
    </row>
    <row r="6" spans="1:32" x14ac:dyDescent="0.25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56</v>
      </c>
      <c r="B8">
        <v>2.0654558874893374E-7</v>
      </c>
      <c r="C8">
        <v>1.9087968740489769E-7</v>
      </c>
      <c r="D8">
        <v>1.8045439367367019E-7</v>
      </c>
      <c r="E8">
        <v>1.7616984696835604E-7</v>
      </c>
      <c r="F8">
        <v>1.7096885415002097E-7</v>
      </c>
      <c r="G8">
        <v>1.6800177369716928E-7</v>
      </c>
      <c r="H8">
        <v>1.6588820232491459E-7</v>
      </c>
      <c r="I8">
        <v>1.64694916541613E-7</v>
      </c>
      <c r="J8">
        <v>1.646321530237213E-7</v>
      </c>
      <c r="K8">
        <v>1.6489424047409675E-7</v>
      </c>
      <c r="L8">
        <v>1.6568959217534365E-7</v>
      </c>
      <c r="M8">
        <v>1.6636407433458606E-7</v>
      </c>
      <c r="N8">
        <v>1.6738052878943253E-7</v>
      </c>
      <c r="O8">
        <v>1.6819459208010648E-7</v>
      </c>
      <c r="P8">
        <v>1.6901255275701978E-7</v>
      </c>
      <c r="Q8">
        <v>1.6973203692950444E-7</v>
      </c>
      <c r="R8">
        <v>1.7048175448838912E-7</v>
      </c>
      <c r="S8">
        <v>1.7138992086909472E-7</v>
      </c>
      <c r="T8">
        <v>1.7234382730002747E-7</v>
      </c>
      <c r="U8">
        <v>1.7306766286009522E-7</v>
      </c>
      <c r="V8">
        <v>1.7387332087513928E-7</v>
      </c>
      <c r="W8">
        <v>1.7479082607348143E-7</v>
      </c>
      <c r="X8">
        <v>1.7541428007798769E-7</v>
      </c>
      <c r="Y8">
        <v>1.7623053513559956E-7</v>
      </c>
      <c r="Z8">
        <v>1.7715641531675898E-7</v>
      </c>
      <c r="AA8">
        <v>1.7810718838396654E-7</v>
      </c>
      <c r="AB8">
        <v>1.7909348420218439E-7</v>
      </c>
      <c r="AC8">
        <v>1.7986400850869281E-7</v>
      </c>
      <c r="AD8">
        <v>1.8037161009288893E-7</v>
      </c>
      <c r="AE8">
        <v>1.8110172166383703E-7</v>
      </c>
      <c r="AF8">
        <v>1.8210538218335287E-7</v>
      </c>
    </row>
    <row r="9" spans="1:32" x14ac:dyDescent="0.25">
      <c r="A9" t="s">
        <v>57</v>
      </c>
      <c r="B9">
        <v>1.1886185137157506E-7</v>
      </c>
      <c r="C9">
        <v>1.1896388884400258E-7</v>
      </c>
      <c r="D9">
        <v>1.173513425424637E-7</v>
      </c>
      <c r="E9">
        <v>1.1635800106760769E-7</v>
      </c>
      <c r="F9">
        <v>1.1630601515621546E-7</v>
      </c>
      <c r="G9">
        <v>1.1344013999648422E-7</v>
      </c>
      <c r="H9">
        <v>1.1156535108297234E-7</v>
      </c>
      <c r="I9">
        <v>1.1148335328280084E-7</v>
      </c>
      <c r="J9">
        <v>1.1089392903939607E-7</v>
      </c>
      <c r="K9">
        <v>1.1131149329541744E-7</v>
      </c>
      <c r="L9">
        <v>1.1114489550818612E-7</v>
      </c>
      <c r="M9">
        <v>1.1107290167094103E-7</v>
      </c>
      <c r="N9">
        <v>1.1042715453799672E-7</v>
      </c>
      <c r="O9">
        <v>1.1022429961345402E-7</v>
      </c>
      <c r="P9">
        <v>1.0982454588102418E-7</v>
      </c>
      <c r="Q9">
        <v>1.0903579412196982E-7</v>
      </c>
      <c r="R9">
        <v>1.0815509842619284E-7</v>
      </c>
      <c r="S9">
        <v>1.0797097924724643E-7</v>
      </c>
      <c r="T9">
        <v>1.0793200427029609E-7</v>
      </c>
      <c r="U9">
        <v>1.0777893785488428E-7</v>
      </c>
      <c r="V9">
        <v>1.0806697103023984E-7</v>
      </c>
      <c r="W9">
        <v>1.0782629765625273E-7</v>
      </c>
      <c r="X9">
        <v>1.0720726630869576E-7</v>
      </c>
      <c r="Y9">
        <v>1.0655371261508633E-7</v>
      </c>
      <c r="Z9">
        <v>1.0624798456888982E-7</v>
      </c>
      <c r="AA9">
        <v>1.0607028411760141E-7</v>
      </c>
      <c r="AB9">
        <v>1.059066354755102E-7</v>
      </c>
      <c r="AC9">
        <v>1.0558853258500008E-7</v>
      </c>
      <c r="AD9">
        <v>1.0509076314644143E-7</v>
      </c>
      <c r="AE9">
        <v>1.0516715178820909E-7</v>
      </c>
      <c r="AF9">
        <v>1.0501044231115356E-7</v>
      </c>
    </row>
    <row r="10" spans="1:32" x14ac:dyDescent="0.25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59</v>
      </c>
      <c r="B11">
        <v>2.0654558874893374E-7</v>
      </c>
      <c r="C11">
        <v>1.9087968740489769E-7</v>
      </c>
      <c r="D11">
        <v>1.8045439367367019E-7</v>
      </c>
      <c r="E11">
        <v>1.7616984696835604E-7</v>
      </c>
      <c r="F11">
        <v>1.7096885415002097E-7</v>
      </c>
      <c r="G11">
        <v>1.6800177369716928E-7</v>
      </c>
      <c r="H11">
        <v>1.6588820232491459E-7</v>
      </c>
      <c r="I11">
        <v>1.64694916541613E-7</v>
      </c>
      <c r="J11">
        <v>1.646321530237213E-7</v>
      </c>
      <c r="K11">
        <v>1.6489424047409675E-7</v>
      </c>
      <c r="L11">
        <v>1.6568959217534365E-7</v>
      </c>
      <c r="M11">
        <v>1.6636407433458606E-7</v>
      </c>
      <c r="N11">
        <v>1.6738052878943253E-7</v>
      </c>
      <c r="O11">
        <v>1.6819459208010648E-7</v>
      </c>
      <c r="P11">
        <v>1.6901255275701978E-7</v>
      </c>
      <c r="Q11">
        <v>1.6973203692950444E-7</v>
      </c>
      <c r="R11">
        <v>1.7048175448838912E-7</v>
      </c>
      <c r="S11">
        <v>1.7138992086909472E-7</v>
      </c>
      <c r="T11">
        <v>1.7234382730002747E-7</v>
      </c>
      <c r="U11">
        <v>1.7306766286009522E-7</v>
      </c>
      <c r="V11">
        <v>1.7387332087513928E-7</v>
      </c>
      <c r="W11">
        <v>1.7479082607348143E-7</v>
      </c>
      <c r="X11">
        <v>1.7541428007798769E-7</v>
      </c>
      <c r="Y11">
        <v>1.7623053513559956E-7</v>
      </c>
      <c r="Z11">
        <v>1.7715641531675898E-7</v>
      </c>
      <c r="AA11">
        <v>1.7810718838396654E-7</v>
      </c>
      <c r="AB11">
        <v>1.7909348420218439E-7</v>
      </c>
      <c r="AC11">
        <v>1.7986400850869281E-7</v>
      </c>
      <c r="AD11">
        <v>1.8037161009288893E-7</v>
      </c>
      <c r="AE11">
        <v>1.8110172166383703E-7</v>
      </c>
      <c r="AF11">
        <v>1.8210538218335287E-7</v>
      </c>
    </row>
    <row r="12" spans="1:32" s="4" customFormat="1" x14ac:dyDescent="0.25">
      <c r="A12" s="6" t="s">
        <v>31</v>
      </c>
    </row>
    <row r="13" spans="1:32" x14ac:dyDescent="0.25">
      <c r="A13" t="s">
        <v>30</v>
      </c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</row>
    <row r="14" spans="1:32" x14ac:dyDescent="0.25">
      <c r="A14" t="s">
        <v>52</v>
      </c>
      <c r="B14">
        <v>7.8501640081489598E-7</v>
      </c>
      <c r="C14">
        <v>8.6118307425893831E-7</v>
      </c>
      <c r="D14">
        <v>1.5907140940305012E-6</v>
      </c>
      <c r="E14">
        <v>1.369821261413888E-6</v>
      </c>
      <c r="F14">
        <v>1.0348789962265469E-6</v>
      </c>
      <c r="G14">
        <v>9.622577901730669E-7</v>
      </c>
      <c r="H14">
        <v>9.2369829027132115E-7</v>
      </c>
      <c r="I14">
        <v>8.8513879036957541E-7</v>
      </c>
      <c r="J14">
        <v>8.4657929046782966E-7</v>
      </c>
      <c r="K14">
        <v>8.0801979056608391E-7</v>
      </c>
      <c r="L14">
        <v>7.6946029066433816E-7</v>
      </c>
      <c r="M14">
        <v>7.5323386549662883E-7</v>
      </c>
      <c r="N14">
        <v>7.485320086124625E-7</v>
      </c>
      <c r="O14">
        <v>7.4096737817097436E-7</v>
      </c>
      <c r="P14">
        <v>7.3257426442804991E-7</v>
      </c>
      <c r="Q14">
        <v>7.2456951354333496E-7</v>
      </c>
      <c r="R14">
        <v>7.171221520357328E-7</v>
      </c>
      <c r="S14">
        <v>7.1001435165407974E-7</v>
      </c>
      <c r="T14">
        <v>7.068343969988294E-7</v>
      </c>
      <c r="U14">
        <v>7.0122545525928977E-7</v>
      </c>
      <c r="V14">
        <v>6.9856977236556418E-7</v>
      </c>
      <c r="W14">
        <v>6.9413557096475826E-7</v>
      </c>
      <c r="X14">
        <v>6.9042157213682589E-7</v>
      </c>
      <c r="Y14">
        <v>6.8664176034239665E-7</v>
      </c>
      <c r="Z14">
        <v>6.8376438849186484E-7</v>
      </c>
      <c r="AA14">
        <v>6.8195196816336262E-7</v>
      </c>
      <c r="AB14">
        <v>6.8081728264566825E-7</v>
      </c>
      <c r="AC14">
        <v>6.8072625444544483E-7</v>
      </c>
      <c r="AD14">
        <v>6.812949846453822E-7</v>
      </c>
      <c r="AE14">
        <v>6.8330273254997674E-7</v>
      </c>
      <c r="AF14">
        <v>6.8453116082654918E-7</v>
      </c>
    </row>
    <row r="15" spans="1:32" x14ac:dyDescent="0.25">
      <c r="A15" t="s">
        <v>53</v>
      </c>
      <c r="B15">
        <v>1.47643578438969E-7</v>
      </c>
      <c r="C15">
        <v>2.708152875113073E-7</v>
      </c>
      <c r="D15">
        <v>5.0023009926647764E-7</v>
      </c>
      <c r="E15">
        <v>4.3076617485559394E-7</v>
      </c>
      <c r="F15">
        <v>3.2543725170594475E-7</v>
      </c>
      <c r="G15">
        <v>3.0260014147393654E-7</v>
      </c>
      <c r="H15">
        <v>2.8563208203632456E-7</v>
      </c>
      <c r="I15">
        <v>2.6866402259871259E-7</v>
      </c>
      <c r="J15">
        <v>2.5169596316110061E-7</v>
      </c>
      <c r="K15">
        <v>2.3472790372348861E-7</v>
      </c>
      <c r="L15">
        <v>2.1775984428587659E-7</v>
      </c>
      <c r="M15">
        <v>2.1765379552776354E-7</v>
      </c>
      <c r="N15">
        <v>2.2093406820618909E-7</v>
      </c>
      <c r="O15">
        <v>2.2500313130616556E-7</v>
      </c>
      <c r="P15">
        <v>2.2702270262178967E-7</v>
      </c>
      <c r="Q15">
        <v>2.2703705962089715E-7</v>
      </c>
      <c r="R15">
        <v>2.2717290820068704E-7</v>
      </c>
      <c r="S15">
        <v>2.2595907821732466E-7</v>
      </c>
      <c r="T15">
        <v>2.2770628881458677E-7</v>
      </c>
      <c r="U15">
        <v>2.2760747887955308E-7</v>
      </c>
      <c r="V15">
        <v>2.2753068703138588E-7</v>
      </c>
      <c r="W15">
        <v>2.2693215700977166E-7</v>
      </c>
      <c r="X15">
        <v>2.2607393421018431E-7</v>
      </c>
      <c r="Y15">
        <v>2.2512420062216834E-7</v>
      </c>
      <c r="Z15">
        <v>2.251054400056876E-7</v>
      </c>
      <c r="AA15">
        <v>2.2554477624308091E-7</v>
      </c>
      <c r="AB15">
        <v>2.2580054799188601E-7</v>
      </c>
      <c r="AC15">
        <v>2.2698005388914694E-7</v>
      </c>
      <c r="AD15">
        <v>2.2987751347372411E-7</v>
      </c>
      <c r="AE15">
        <v>2.3289049260994319E-7</v>
      </c>
      <c r="AF15">
        <v>2.3535446733911626E-7</v>
      </c>
    </row>
    <row r="16" spans="1:32" x14ac:dyDescent="0.25">
      <c r="A16" t="s">
        <v>54</v>
      </c>
      <c r="B16">
        <v>6.1178406537848864E-7</v>
      </c>
      <c r="C16">
        <v>8.6118307425893831E-7</v>
      </c>
      <c r="D16">
        <v>1.5907140940305012E-6</v>
      </c>
      <c r="E16">
        <v>1.369821261413888E-6</v>
      </c>
      <c r="F16">
        <v>1.0348789962265469E-6</v>
      </c>
      <c r="G16">
        <v>9.622577901730669E-7</v>
      </c>
      <c r="H16">
        <v>9.0241185538288753E-7</v>
      </c>
      <c r="I16">
        <v>8.4256592059270816E-7</v>
      </c>
      <c r="J16">
        <v>7.8271998580252879E-7</v>
      </c>
      <c r="K16">
        <v>7.2287405101234941E-7</v>
      </c>
      <c r="L16">
        <v>6.6302811622216994E-7</v>
      </c>
      <c r="M16">
        <v>6.6583394437126718E-7</v>
      </c>
      <c r="N16">
        <v>6.7139824670181712E-7</v>
      </c>
      <c r="O16">
        <v>6.7796723735226095E-7</v>
      </c>
      <c r="P16">
        <v>6.8192494322386619E-7</v>
      </c>
      <c r="Q16">
        <v>6.8403807632779147E-7</v>
      </c>
      <c r="R16">
        <v>6.849893783274747E-7</v>
      </c>
      <c r="S16">
        <v>6.8661757060860642E-7</v>
      </c>
      <c r="T16">
        <v>6.884792752575743E-7</v>
      </c>
      <c r="U16">
        <v>6.8972242247440797E-7</v>
      </c>
      <c r="V16">
        <v>6.9013702606628014E-7</v>
      </c>
      <c r="W16">
        <v>6.916315414145458E-7</v>
      </c>
      <c r="X16">
        <v>6.9213421735388384E-7</v>
      </c>
      <c r="Y16">
        <v>6.9296264033179443E-7</v>
      </c>
      <c r="Z16">
        <v>6.9326329278369175E-7</v>
      </c>
      <c r="AA16">
        <v>6.9530602833316981E-7</v>
      </c>
      <c r="AB16">
        <v>6.9642515038124369E-7</v>
      </c>
      <c r="AC16">
        <v>6.990254562784118E-7</v>
      </c>
      <c r="AD16">
        <v>7.0179822713544642E-7</v>
      </c>
      <c r="AE16">
        <v>7.056989875988271E-7</v>
      </c>
      <c r="AF16">
        <v>7.0928449731710025E-7</v>
      </c>
    </row>
    <row r="17" spans="1:32" x14ac:dyDescent="0.25">
      <c r="A17" t="s">
        <v>55</v>
      </c>
      <c r="B17">
        <v>4.3598623071921982E-7</v>
      </c>
      <c r="C17">
        <v>6.3281081550399768E-7</v>
      </c>
      <c r="D17">
        <v>1.1688816387193375E-6</v>
      </c>
      <c r="E17">
        <v>1.0065661244863235E-6</v>
      </c>
      <c r="F17">
        <v>7.6044530033711653E-7</v>
      </c>
      <c r="G17">
        <v>7.0708210034026123E-7</v>
      </c>
      <c r="H17">
        <v>6.6455041647770263E-7</v>
      </c>
      <c r="I17">
        <v>6.2201873261514403E-7</v>
      </c>
      <c r="J17">
        <v>5.7948704875258543E-7</v>
      </c>
      <c r="K17">
        <v>5.3695536489002683E-7</v>
      </c>
      <c r="L17">
        <v>4.9442368102746802E-7</v>
      </c>
      <c r="M17">
        <v>4.9505466510588813E-7</v>
      </c>
      <c r="N17">
        <v>4.9832504472610519E-7</v>
      </c>
      <c r="O17">
        <v>5.0342968179111407E-7</v>
      </c>
      <c r="P17">
        <v>5.0622079099994987E-7</v>
      </c>
      <c r="Q17">
        <v>5.0736289631130068E-7</v>
      </c>
      <c r="R17">
        <v>5.0746206818748826E-7</v>
      </c>
      <c r="S17">
        <v>5.0824735984455073E-7</v>
      </c>
      <c r="T17">
        <v>5.0929258557368899E-7</v>
      </c>
      <c r="U17">
        <v>5.09877603125555E-7</v>
      </c>
      <c r="V17">
        <v>5.097564734860266E-7</v>
      </c>
      <c r="W17">
        <v>5.1071917663205984E-7</v>
      </c>
      <c r="X17">
        <v>5.1066760001761906E-7</v>
      </c>
      <c r="Y17">
        <v>5.1108419428583806E-7</v>
      </c>
      <c r="Z17">
        <v>5.1089652779750487E-7</v>
      </c>
      <c r="AA17">
        <v>5.1245106505380376E-7</v>
      </c>
      <c r="AB17">
        <v>5.1315377380423559E-7</v>
      </c>
      <c r="AC17">
        <v>5.1526588140822464E-7</v>
      </c>
      <c r="AD17">
        <v>5.1757536758817834E-7</v>
      </c>
      <c r="AE17">
        <v>5.2090136549905534E-7</v>
      </c>
      <c r="AF17">
        <v>5.2393171781066499E-7</v>
      </c>
    </row>
    <row r="18" spans="1:32" x14ac:dyDescent="0.25">
      <c r="A18" t="s">
        <v>56</v>
      </c>
      <c r="B18">
        <v>1.8465103593241403E-7</v>
      </c>
      <c r="C18">
        <v>3.216733043136768E-7</v>
      </c>
      <c r="D18">
        <v>5.9417129079719279E-7</v>
      </c>
      <c r="E18">
        <v>5.1166232204146313E-7</v>
      </c>
      <c r="F18">
        <v>3.8655305269146628E-7</v>
      </c>
      <c r="G18">
        <v>3.5942722542811801E-7</v>
      </c>
      <c r="H18">
        <v>3.3818732529397175E-7</v>
      </c>
      <c r="I18">
        <v>3.169474251598255E-7</v>
      </c>
      <c r="J18">
        <v>2.9570752502567925E-7</v>
      </c>
      <c r="K18">
        <v>2.7446762489153299E-7</v>
      </c>
      <c r="L18">
        <v>2.5322772475738674E-7</v>
      </c>
      <c r="M18">
        <v>2.5374041440198454E-7</v>
      </c>
      <c r="N18">
        <v>2.568731960601675E-7</v>
      </c>
      <c r="O18">
        <v>2.6120828590831157E-7</v>
      </c>
      <c r="P18">
        <v>2.6318587205007518E-7</v>
      </c>
      <c r="Q18">
        <v>2.6383724548016897E-7</v>
      </c>
      <c r="R18">
        <v>2.6386698497832015E-7</v>
      </c>
      <c r="S18">
        <v>2.6320246101963211E-7</v>
      </c>
      <c r="T18">
        <v>2.642875605992327E-7</v>
      </c>
      <c r="U18">
        <v>2.638627020079982E-7</v>
      </c>
      <c r="V18">
        <v>2.6330507133678248E-7</v>
      </c>
      <c r="W18">
        <v>2.6310153976120028E-7</v>
      </c>
      <c r="X18">
        <v>2.6197596309588084E-7</v>
      </c>
      <c r="Y18">
        <v>2.6095613357104608E-7</v>
      </c>
      <c r="Z18">
        <v>2.6041828901624745E-7</v>
      </c>
      <c r="AA18">
        <v>2.6085285969511346E-7</v>
      </c>
      <c r="AB18">
        <v>2.6103196024280275E-7</v>
      </c>
      <c r="AC18">
        <v>2.6236685954216787E-7</v>
      </c>
      <c r="AD18">
        <v>2.6476785651055018E-7</v>
      </c>
      <c r="AE18">
        <v>2.6798997731023802E-7</v>
      </c>
      <c r="AF18">
        <v>2.7029144046127874E-7</v>
      </c>
    </row>
    <row r="19" spans="1:32" x14ac:dyDescent="0.25">
      <c r="A19" t="s">
        <v>57</v>
      </c>
      <c r="B19">
        <v>1.47643578438969E-7</v>
      </c>
      <c r="C19">
        <v>2.708152875113073E-7</v>
      </c>
      <c r="D19">
        <v>5.0023009926647764E-7</v>
      </c>
      <c r="E19">
        <v>4.3076617485559394E-7</v>
      </c>
      <c r="F19">
        <v>3.2543725170594475E-7</v>
      </c>
      <c r="G19">
        <v>3.0260014147393654E-7</v>
      </c>
      <c r="H19">
        <v>2.8563208203632456E-7</v>
      </c>
      <c r="I19">
        <v>2.6866402259871259E-7</v>
      </c>
      <c r="J19">
        <v>2.5169596316110061E-7</v>
      </c>
      <c r="K19">
        <v>2.3472790372348861E-7</v>
      </c>
      <c r="L19">
        <v>2.1775984428587659E-7</v>
      </c>
      <c r="M19">
        <v>2.1765379552776354E-7</v>
      </c>
      <c r="N19">
        <v>2.2093406820618909E-7</v>
      </c>
      <c r="O19">
        <v>2.2500313130616556E-7</v>
      </c>
      <c r="P19">
        <v>2.2702270262178967E-7</v>
      </c>
      <c r="Q19">
        <v>2.2703705962089715E-7</v>
      </c>
      <c r="R19">
        <v>2.2717290820068704E-7</v>
      </c>
      <c r="S19">
        <v>2.2595907821732466E-7</v>
      </c>
      <c r="T19">
        <v>2.2770628881458677E-7</v>
      </c>
      <c r="U19">
        <v>2.2760747887955308E-7</v>
      </c>
      <c r="V19">
        <v>2.2753068703138588E-7</v>
      </c>
      <c r="W19">
        <v>2.2693215700977166E-7</v>
      </c>
      <c r="X19">
        <v>2.2607393421018431E-7</v>
      </c>
      <c r="Y19">
        <v>2.2512420062216834E-7</v>
      </c>
      <c r="Z19">
        <v>2.251054400056876E-7</v>
      </c>
      <c r="AA19">
        <v>2.2554477624308091E-7</v>
      </c>
      <c r="AB19">
        <v>2.2580054799188601E-7</v>
      </c>
      <c r="AC19">
        <v>2.2698005388914694E-7</v>
      </c>
      <c r="AD19">
        <v>2.2987751347372411E-7</v>
      </c>
      <c r="AE19">
        <v>2.3289049260994319E-7</v>
      </c>
      <c r="AF19">
        <v>2.3535446733911626E-7</v>
      </c>
    </row>
    <row r="20" spans="1:32" x14ac:dyDescent="0.25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59</v>
      </c>
      <c r="B21">
        <v>1.8465103593241403E-7</v>
      </c>
      <c r="C21">
        <v>3.216733043136768E-7</v>
      </c>
      <c r="D21">
        <v>5.9417129079719279E-7</v>
      </c>
      <c r="E21">
        <v>5.1166232204146313E-7</v>
      </c>
      <c r="F21">
        <v>3.8655305269146628E-7</v>
      </c>
      <c r="G21">
        <v>3.5942722542811801E-7</v>
      </c>
      <c r="H21">
        <v>3.3818732529397175E-7</v>
      </c>
      <c r="I21">
        <v>3.169474251598255E-7</v>
      </c>
      <c r="J21">
        <v>2.9570752502567925E-7</v>
      </c>
      <c r="K21">
        <v>2.7446762489153299E-7</v>
      </c>
      <c r="L21">
        <v>2.5322772475738674E-7</v>
      </c>
      <c r="M21">
        <v>2.5374041440198454E-7</v>
      </c>
      <c r="N21">
        <v>2.568731960601675E-7</v>
      </c>
      <c r="O21">
        <v>2.6120828590831157E-7</v>
      </c>
      <c r="P21">
        <v>2.6318587205007518E-7</v>
      </c>
      <c r="Q21">
        <v>2.6383724548016897E-7</v>
      </c>
      <c r="R21">
        <v>2.6386698497832015E-7</v>
      </c>
      <c r="S21">
        <v>2.6320246101963211E-7</v>
      </c>
      <c r="T21">
        <v>2.642875605992327E-7</v>
      </c>
      <c r="U21">
        <v>2.638627020079982E-7</v>
      </c>
      <c r="V21">
        <v>2.6330507133678248E-7</v>
      </c>
      <c r="W21">
        <v>2.6310153976120028E-7</v>
      </c>
      <c r="X21">
        <v>2.6197596309588084E-7</v>
      </c>
      <c r="Y21">
        <v>2.6095613357104608E-7</v>
      </c>
      <c r="Z21">
        <v>2.6041828901624745E-7</v>
      </c>
      <c r="AA21">
        <v>2.6085285969511346E-7</v>
      </c>
      <c r="AB21">
        <v>2.6103196024280275E-7</v>
      </c>
      <c r="AC21">
        <v>2.6236685954216787E-7</v>
      </c>
      <c r="AD21">
        <v>2.6476785651055018E-7</v>
      </c>
      <c r="AE21">
        <v>2.6798997731023802E-7</v>
      </c>
      <c r="AF21">
        <v>2.7029144046127874E-7</v>
      </c>
    </row>
    <row r="22" spans="1:32" s="4" customFormat="1" x14ac:dyDescent="0.25">
      <c r="A22" s="6" t="s">
        <v>32</v>
      </c>
    </row>
    <row r="23" spans="1:32" x14ac:dyDescent="0.25">
      <c r="A23" t="s">
        <v>30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2" x14ac:dyDescent="0.25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53</v>
      </c>
      <c r="B25">
        <v>4.1389358397502433E-8</v>
      </c>
      <c r="C25">
        <v>4.1291800938435987E-8</v>
      </c>
      <c r="D25">
        <v>4.1352240836609217E-8</v>
      </c>
      <c r="E25">
        <v>4.1473178249636492E-8</v>
      </c>
      <c r="F25">
        <v>4.1533618147809715E-8</v>
      </c>
      <c r="G25">
        <v>4.165449794415618E-8</v>
      </c>
      <c r="H25">
        <v>4.171499545901022E-8</v>
      </c>
      <c r="I25">
        <v>4.1835875255356672E-8</v>
      </c>
      <c r="J25">
        <v>4.1896315153529914E-8</v>
      </c>
      <c r="K25">
        <v>4.2017252566557177E-8</v>
      </c>
      <c r="L25">
        <v>4.2138189979584452E-8</v>
      </c>
      <c r="M25">
        <v>4.2198629877757688E-8</v>
      </c>
      <c r="N25">
        <v>4.231956729078495E-8</v>
      </c>
      <c r="O25">
        <v>4.2440447087131422E-8</v>
      </c>
      <c r="P25">
        <v>4.2500886985304645E-8</v>
      </c>
      <c r="Q25">
        <v>4.2621824398331907E-8</v>
      </c>
      <c r="R25">
        <v>4.2742761811359189E-8</v>
      </c>
      <c r="S25">
        <v>4.2803201709532419E-8</v>
      </c>
      <c r="T25">
        <v>4.2924081505878877E-8</v>
      </c>
      <c r="U25">
        <v>4.3045018918906153E-8</v>
      </c>
      <c r="V25">
        <v>4.3165956331933415E-8</v>
      </c>
      <c r="W25">
        <v>4.3286836128279881E-8</v>
      </c>
      <c r="X25">
        <v>4.3407773541307149E-8</v>
      </c>
      <c r="Y25">
        <v>4.3528653337653608E-8</v>
      </c>
      <c r="Z25">
        <v>4.3649590750680884E-8</v>
      </c>
      <c r="AA25">
        <v>4.3770528163708153E-8</v>
      </c>
      <c r="AB25">
        <v>4.3891407960054618E-8</v>
      </c>
      <c r="AC25">
        <v>4.401234537308188E-8</v>
      </c>
      <c r="AD25">
        <v>4.4133225169428345E-8</v>
      </c>
      <c r="AE25">
        <v>4.4254162582455614E-8</v>
      </c>
      <c r="AF25">
        <v>4.4375042378802073E-8</v>
      </c>
    </row>
    <row r="26" spans="1:32" x14ac:dyDescent="0.25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s="4" customFormat="1" x14ac:dyDescent="0.25">
      <c r="A32" s="6" t="s">
        <v>33</v>
      </c>
    </row>
    <row r="33" spans="1:32" x14ac:dyDescent="0.25">
      <c r="A33" t="s">
        <v>30</v>
      </c>
      <c r="B33">
        <v>2020</v>
      </c>
      <c r="C33">
        <v>2021</v>
      </c>
      <c r="D33">
        <v>2022</v>
      </c>
      <c r="E33">
        <v>2023</v>
      </c>
      <c r="F33">
        <v>2024</v>
      </c>
      <c r="G33">
        <v>2025</v>
      </c>
      <c r="H33">
        <v>2026</v>
      </c>
      <c r="I33">
        <v>2027</v>
      </c>
      <c r="J33">
        <v>2028</v>
      </c>
      <c r="K33">
        <v>2029</v>
      </c>
      <c r="L33">
        <v>2030</v>
      </c>
      <c r="M33">
        <v>2031</v>
      </c>
      <c r="N33">
        <v>2032</v>
      </c>
      <c r="O33">
        <v>2033</v>
      </c>
      <c r="P33">
        <v>2034</v>
      </c>
      <c r="Q33">
        <v>2035</v>
      </c>
      <c r="R33">
        <v>2036</v>
      </c>
      <c r="S33">
        <v>2037</v>
      </c>
      <c r="T33">
        <v>2038</v>
      </c>
      <c r="U33">
        <v>2039</v>
      </c>
      <c r="V33">
        <v>2040</v>
      </c>
      <c r="W33">
        <v>2041</v>
      </c>
      <c r="X33">
        <v>2042</v>
      </c>
      <c r="Y33">
        <v>2043</v>
      </c>
      <c r="Z33">
        <v>2044</v>
      </c>
      <c r="AA33">
        <v>2045</v>
      </c>
      <c r="AB33">
        <v>2046</v>
      </c>
      <c r="AC33">
        <v>2047</v>
      </c>
      <c r="AD33">
        <v>2048</v>
      </c>
      <c r="AE33">
        <v>2049</v>
      </c>
      <c r="AF33">
        <v>2050</v>
      </c>
    </row>
    <row r="34" spans="1:32" x14ac:dyDescent="0.25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53</v>
      </c>
      <c r="B35">
        <v>1.3797744000000005E-7</v>
      </c>
      <c r="C35">
        <v>1.3797744000000005E-7</v>
      </c>
      <c r="D35">
        <v>1.3797744000000005E-7</v>
      </c>
      <c r="E35">
        <v>1.3797744000000005E-7</v>
      </c>
      <c r="F35">
        <v>1.3797744000000005E-7</v>
      </c>
      <c r="G35">
        <v>1.3797744000000005E-7</v>
      </c>
      <c r="H35">
        <v>1.3797744000000005E-7</v>
      </c>
      <c r="I35">
        <v>1.3797744000000005E-7</v>
      </c>
      <c r="J35">
        <v>1.3797744000000005E-7</v>
      </c>
      <c r="K35">
        <v>1.3797744000000005E-7</v>
      </c>
      <c r="L35">
        <v>1.3797744000000005E-7</v>
      </c>
      <c r="M35">
        <v>1.3797744000000005E-7</v>
      </c>
      <c r="N35">
        <v>1.3797744000000005E-7</v>
      </c>
      <c r="O35">
        <v>1.3797744000000005E-7</v>
      </c>
      <c r="P35">
        <v>1.3797744000000005E-7</v>
      </c>
      <c r="Q35">
        <v>1.3797744000000005E-7</v>
      </c>
      <c r="R35">
        <v>1.3797744000000005E-7</v>
      </c>
      <c r="S35">
        <v>1.3797744000000005E-7</v>
      </c>
      <c r="T35">
        <v>1.3797744000000005E-7</v>
      </c>
      <c r="U35">
        <v>1.3797744000000005E-7</v>
      </c>
      <c r="V35">
        <v>1.3797744000000005E-7</v>
      </c>
      <c r="W35">
        <v>1.3797744000000005E-7</v>
      </c>
      <c r="X35">
        <v>1.3797744000000005E-7</v>
      </c>
      <c r="Y35">
        <v>1.3797744000000005E-7</v>
      </c>
      <c r="Z35">
        <v>1.3797744000000005E-7</v>
      </c>
      <c r="AA35">
        <v>1.3797744000000005E-7</v>
      </c>
      <c r="AB35">
        <v>1.3797744000000005E-7</v>
      </c>
      <c r="AC35">
        <v>1.3797744000000005E-7</v>
      </c>
      <c r="AD35">
        <v>1.3797744000000005E-7</v>
      </c>
      <c r="AE35">
        <v>1.3797744000000005E-7</v>
      </c>
      <c r="AF35">
        <v>1.3797744000000005E-7</v>
      </c>
    </row>
    <row r="36" spans="1:32" x14ac:dyDescent="0.25">
      <c r="A36" t="s">
        <v>54</v>
      </c>
      <c r="B36">
        <v>5.5004519999999998E-7</v>
      </c>
      <c r="C36">
        <v>5.5004519999999998E-7</v>
      </c>
      <c r="D36">
        <v>5.5004519999999998E-7</v>
      </c>
      <c r="E36">
        <v>5.5004519999999998E-7</v>
      </c>
      <c r="F36">
        <v>5.5004519999999998E-7</v>
      </c>
      <c r="G36">
        <v>5.5004519999999998E-7</v>
      </c>
      <c r="H36">
        <v>5.5004519999999998E-7</v>
      </c>
      <c r="I36">
        <v>5.5004519999999998E-7</v>
      </c>
      <c r="J36">
        <v>5.5004519999999998E-7</v>
      </c>
      <c r="K36">
        <v>5.5004519999999998E-7</v>
      </c>
      <c r="L36">
        <v>5.5004519999999998E-7</v>
      </c>
      <c r="M36">
        <v>5.5004519999999998E-7</v>
      </c>
      <c r="N36">
        <v>5.5004519999999998E-7</v>
      </c>
      <c r="O36">
        <v>5.5004519999999998E-7</v>
      </c>
      <c r="P36">
        <v>5.5004519999999998E-7</v>
      </c>
      <c r="Q36">
        <v>5.5004519999999998E-7</v>
      </c>
      <c r="R36">
        <v>5.5004519999999998E-7</v>
      </c>
      <c r="S36">
        <v>5.5004519999999998E-7</v>
      </c>
      <c r="T36">
        <v>5.5004519999999998E-7</v>
      </c>
      <c r="U36">
        <v>5.5004519999999998E-7</v>
      </c>
      <c r="V36">
        <v>5.5004519999999998E-7</v>
      </c>
      <c r="W36">
        <v>5.5004519999999998E-7</v>
      </c>
      <c r="X36">
        <v>5.5004519999999998E-7</v>
      </c>
      <c r="Y36">
        <v>5.5004519999999998E-7</v>
      </c>
      <c r="Z36">
        <v>5.5004519999999998E-7</v>
      </c>
      <c r="AA36">
        <v>5.5004519999999998E-7</v>
      </c>
      <c r="AB36">
        <v>5.5004519999999998E-7</v>
      </c>
      <c r="AC36">
        <v>5.5004519999999998E-7</v>
      </c>
      <c r="AD36">
        <v>5.5004519999999998E-7</v>
      </c>
      <c r="AE36">
        <v>5.5004519999999998E-7</v>
      </c>
      <c r="AF36">
        <v>5.5004519999999998E-7</v>
      </c>
    </row>
    <row r="37" spans="1:32" x14ac:dyDescent="0.25">
      <c r="A37" t="s">
        <v>55</v>
      </c>
      <c r="B37">
        <v>2.5544472000000004E-7</v>
      </c>
      <c r="C37">
        <v>2.5544472000000004E-7</v>
      </c>
      <c r="D37">
        <v>2.5544472000000004E-7</v>
      </c>
      <c r="E37">
        <v>2.5544472000000004E-7</v>
      </c>
      <c r="F37">
        <v>2.5544472000000004E-7</v>
      </c>
      <c r="G37">
        <v>2.5544472000000004E-7</v>
      </c>
      <c r="H37">
        <v>2.5544472000000004E-7</v>
      </c>
      <c r="I37">
        <v>2.5544472000000004E-7</v>
      </c>
      <c r="J37">
        <v>2.5544472000000004E-7</v>
      </c>
      <c r="K37">
        <v>2.5544472000000004E-7</v>
      </c>
      <c r="L37">
        <v>2.5544472000000004E-7</v>
      </c>
      <c r="M37">
        <v>2.5544472000000004E-7</v>
      </c>
      <c r="N37">
        <v>2.5544472000000004E-7</v>
      </c>
      <c r="O37">
        <v>2.5544472000000004E-7</v>
      </c>
      <c r="P37">
        <v>2.5544472000000004E-7</v>
      </c>
      <c r="Q37">
        <v>2.5544472000000004E-7</v>
      </c>
      <c r="R37">
        <v>2.5544472000000004E-7</v>
      </c>
      <c r="S37">
        <v>2.5544472000000004E-7</v>
      </c>
      <c r="T37">
        <v>2.5544472000000004E-7</v>
      </c>
      <c r="U37">
        <v>2.5544472000000004E-7</v>
      </c>
      <c r="V37">
        <v>2.5544472000000004E-7</v>
      </c>
      <c r="W37">
        <v>2.5544472000000004E-7</v>
      </c>
      <c r="X37">
        <v>2.5544472000000004E-7</v>
      </c>
      <c r="Y37">
        <v>2.5544472000000004E-7</v>
      </c>
      <c r="Z37">
        <v>2.5544472000000004E-7</v>
      </c>
      <c r="AA37">
        <v>2.5544472000000004E-7</v>
      </c>
      <c r="AB37">
        <v>2.5544472000000004E-7</v>
      </c>
      <c r="AC37">
        <v>2.5544472000000004E-7</v>
      </c>
      <c r="AD37">
        <v>2.5544472000000004E-7</v>
      </c>
      <c r="AE37">
        <v>2.5544472000000004E-7</v>
      </c>
      <c r="AF37">
        <v>2.5544472000000004E-7</v>
      </c>
    </row>
    <row r="38" spans="1:32" x14ac:dyDescent="0.25">
      <c r="A38" t="s">
        <v>56</v>
      </c>
      <c r="B38">
        <v>1.6345976000000001E-7</v>
      </c>
      <c r="C38">
        <v>1.6345976000000001E-7</v>
      </c>
      <c r="D38">
        <v>1.6345976000000001E-7</v>
      </c>
      <c r="E38">
        <v>1.6345976000000001E-7</v>
      </c>
      <c r="F38">
        <v>1.6345976000000001E-7</v>
      </c>
      <c r="G38">
        <v>1.6345976000000001E-7</v>
      </c>
      <c r="H38">
        <v>1.6345976000000001E-7</v>
      </c>
      <c r="I38">
        <v>1.6345976000000001E-7</v>
      </c>
      <c r="J38">
        <v>1.6345976000000001E-7</v>
      </c>
      <c r="K38">
        <v>1.6345976000000001E-7</v>
      </c>
      <c r="L38">
        <v>1.6345976000000001E-7</v>
      </c>
      <c r="M38">
        <v>1.6345976000000001E-7</v>
      </c>
      <c r="N38">
        <v>1.6345976000000001E-7</v>
      </c>
      <c r="O38">
        <v>1.6345976000000001E-7</v>
      </c>
      <c r="P38">
        <v>1.6345976000000001E-7</v>
      </c>
      <c r="Q38">
        <v>1.6345976000000001E-7</v>
      </c>
      <c r="R38">
        <v>1.6345976000000001E-7</v>
      </c>
      <c r="S38">
        <v>1.6345976000000001E-7</v>
      </c>
      <c r="T38">
        <v>1.6345976000000001E-7</v>
      </c>
      <c r="U38">
        <v>1.6345976000000001E-7</v>
      </c>
      <c r="V38">
        <v>1.6345976000000001E-7</v>
      </c>
      <c r="W38">
        <v>1.6345976000000001E-7</v>
      </c>
      <c r="X38">
        <v>1.6345976000000001E-7</v>
      </c>
      <c r="Y38">
        <v>1.6345976000000001E-7</v>
      </c>
      <c r="Z38">
        <v>1.6345976000000001E-7</v>
      </c>
      <c r="AA38">
        <v>1.6345976000000001E-7</v>
      </c>
      <c r="AB38">
        <v>1.6345976000000001E-7</v>
      </c>
      <c r="AC38">
        <v>1.6345976000000001E-7</v>
      </c>
      <c r="AD38">
        <v>1.6345976000000001E-7</v>
      </c>
      <c r="AE38">
        <v>1.6345976000000001E-7</v>
      </c>
      <c r="AF38">
        <v>1.6345976000000001E-7</v>
      </c>
    </row>
    <row r="39" spans="1:32" x14ac:dyDescent="0.25">
      <c r="A39" t="s">
        <v>57</v>
      </c>
      <c r="B39">
        <v>1.3797744000000005E-7</v>
      </c>
      <c r="C39">
        <v>1.3797744000000005E-7</v>
      </c>
      <c r="D39">
        <v>1.3797744000000005E-7</v>
      </c>
      <c r="E39">
        <v>1.3797744000000005E-7</v>
      </c>
      <c r="F39">
        <v>1.3797744000000005E-7</v>
      </c>
      <c r="G39">
        <v>1.3797744000000005E-7</v>
      </c>
      <c r="H39">
        <v>1.3797744000000005E-7</v>
      </c>
      <c r="I39">
        <v>1.3797744000000005E-7</v>
      </c>
      <c r="J39">
        <v>1.3797744000000005E-7</v>
      </c>
      <c r="K39">
        <v>1.3797744000000005E-7</v>
      </c>
      <c r="L39">
        <v>1.3797744000000005E-7</v>
      </c>
      <c r="M39">
        <v>1.3797744000000005E-7</v>
      </c>
      <c r="N39">
        <v>1.3797744000000005E-7</v>
      </c>
      <c r="O39">
        <v>1.3797744000000005E-7</v>
      </c>
      <c r="P39">
        <v>1.3797744000000005E-7</v>
      </c>
      <c r="Q39">
        <v>1.3797744000000005E-7</v>
      </c>
      <c r="R39">
        <v>1.3797744000000005E-7</v>
      </c>
      <c r="S39">
        <v>1.3797744000000005E-7</v>
      </c>
      <c r="T39">
        <v>1.3797744000000005E-7</v>
      </c>
      <c r="U39">
        <v>1.3797744000000005E-7</v>
      </c>
      <c r="V39">
        <v>1.3797744000000005E-7</v>
      </c>
      <c r="W39">
        <v>1.3797744000000005E-7</v>
      </c>
      <c r="X39">
        <v>1.3797744000000005E-7</v>
      </c>
      <c r="Y39">
        <v>1.3797744000000005E-7</v>
      </c>
      <c r="Z39">
        <v>1.3797744000000005E-7</v>
      </c>
      <c r="AA39">
        <v>1.3797744000000005E-7</v>
      </c>
      <c r="AB39">
        <v>1.3797744000000005E-7</v>
      </c>
      <c r="AC39">
        <v>1.3797744000000005E-7</v>
      </c>
      <c r="AD39">
        <v>1.3797744000000005E-7</v>
      </c>
      <c r="AE39">
        <v>1.3797744000000005E-7</v>
      </c>
      <c r="AF39">
        <v>1.3797744000000005E-7</v>
      </c>
    </row>
    <row r="40" spans="1:32" x14ac:dyDescent="0.25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59</v>
      </c>
      <c r="B41">
        <v>1.6345976000000001E-7</v>
      </c>
      <c r="C41">
        <v>1.6345976000000001E-7</v>
      </c>
      <c r="D41">
        <v>1.6345976000000001E-7</v>
      </c>
      <c r="E41">
        <v>1.6345976000000001E-7</v>
      </c>
      <c r="F41">
        <v>1.6345976000000001E-7</v>
      </c>
      <c r="G41">
        <v>1.6345976000000001E-7</v>
      </c>
      <c r="H41">
        <v>1.6345976000000001E-7</v>
      </c>
      <c r="I41">
        <v>1.6345976000000001E-7</v>
      </c>
      <c r="J41">
        <v>1.6345976000000001E-7</v>
      </c>
      <c r="K41">
        <v>1.6345976000000001E-7</v>
      </c>
      <c r="L41">
        <v>1.6345976000000001E-7</v>
      </c>
      <c r="M41">
        <v>1.6345976000000001E-7</v>
      </c>
      <c r="N41">
        <v>1.6345976000000001E-7</v>
      </c>
      <c r="O41">
        <v>1.6345976000000001E-7</v>
      </c>
      <c r="P41">
        <v>1.6345976000000001E-7</v>
      </c>
      <c r="Q41">
        <v>1.6345976000000001E-7</v>
      </c>
      <c r="R41">
        <v>1.6345976000000001E-7</v>
      </c>
      <c r="S41">
        <v>1.6345976000000001E-7</v>
      </c>
      <c r="T41">
        <v>1.6345976000000001E-7</v>
      </c>
      <c r="U41">
        <v>1.6345976000000001E-7</v>
      </c>
      <c r="V41">
        <v>1.6345976000000001E-7</v>
      </c>
      <c r="W41">
        <v>1.6345976000000001E-7</v>
      </c>
      <c r="X41">
        <v>1.6345976000000001E-7</v>
      </c>
      <c r="Y41">
        <v>1.6345976000000001E-7</v>
      </c>
      <c r="Z41">
        <v>1.6345976000000001E-7</v>
      </c>
      <c r="AA41">
        <v>1.6345976000000001E-7</v>
      </c>
      <c r="AB41">
        <v>1.6345976000000001E-7</v>
      </c>
      <c r="AC41">
        <v>1.6345976000000001E-7</v>
      </c>
      <c r="AD41">
        <v>1.6345976000000001E-7</v>
      </c>
      <c r="AE41">
        <v>1.6345976000000001E-7</v>
      </c>
      <c r="AF41">
        <v>1.6345976000000001E-7</v>
      </c>
    </row>
    <row r="42" spans="1:32" s="4" customFormat="1" x14ac:dyDescent="0.25">
      <c r="A42" s="6" t="s">
        <v>34</v>
      </c>
    </row>
    <row r="43" spans="1:32" x14ac:dyDescent="0.25">
      <c r="A43" t="s">
        <v>30</v>
      </c>
      <c r="B43">
        <v>2020</v>
      </c>
      <c r="C43">
        <v>2021</v>
      </c>
      <c r="D43">
        <v>2022</v>
      </c>
      <c r="E43">
        <v>2023</v>
      </c>
      <c r="F43">
        <v>2024</v>
      </c>
      <c r="G43">
        <v>2025</v>
      </c>
      <c r="H43">
        <v>2026</v>
      </c>
      <c r="I43">
        <v>2027</v>
      </c>
      <c r="J43">
        <v>2028</v>
      </c>
      <c r="K43">
        <v>2029</v>
      </c>
      <c r="L43">
        <v>2030</v>
      </c>
      <c r="M43">
        <v>2031</v>
      </c>
      <c r="N43">
        <v>2032</v>
      </c>
      <c r="O43">
        <v>2033</v>
      </c>
      <c r="P43">
        <v>2034</v>
      </c>
      <c r="Q43">
        <v>2035</v>
      </c>
      <c r="R43">
        <v>2036</v>
      </c>
      <c r="S43">
        <v>2037</v>
      </c>
      <c r="T43">
        <v>2038</v>
      </c>
      <c r="U43">
        <v>2039</v>
      </c>
      <c r="V43">
        <v>2040</v>
      </c>
      <c r="W43">
        <v>2041</v>
      </c>
      <c r="X43">
        <v>2042</v>
      </c>
      <c r="Y43">
        <v>2043</v>
      </c>
      <c r="Z43">
        <v>2044</v>
      </c>
      <c r="AA43">
        <v>2045</v>
      </c>
      <c r="AB43">
        <v>2046</v>
      </c>
      <c r="AC43">
        <v>2047</v>
      </c>
      <c r="AD43">
        <v>2048</v>
      </c>
      <c r="AE43">
        <v>2049</v>
      </c>
      <c r="AF43">
        <v>2050</v>
      </c>
    </row>
    <row r="44" spans="1:32" x14ac:dyDescent="0.25">
      <c r="A44" t="s">
        <v>52</v>
      </c>
      <c r="B44">
        <v>4.5563409507419039E-6</v>
      </c>
      <c r="C44">
        <v>6.0642563605425108E-6</v>
      </c>
      <c r="D44">
        <v>7.1485166247332709E-6</v>
      </c>
      <c r="E44">
        <v>6.5837522267673565E-6</v>
      </c>
      <c r="F44">
        <v>6.357152338180288E-6</v>
      </c>
      <c r="G44">
        <v>6.1305524495932195E-6</v>
      </c>
      <c r="H44">
        <v>5.903952561006151E-6</v>
      </c>
      <c r="I44">
        <v>5.6773526724190826E-6</v>
      </c>
      <c r="J44">
        <v>5.4507527838320141E-6</v>
      </c>
      <c r="K44">
        <v>5.3349515196919689E-6</v>
      </c>
      <c r="L44">
        <v>5.0996284800993411E-6</v>
      </c>
      <c r="M44">
        <v>5.2333373900826686E-6</v>
      </c>
      <c r="N44">
        <v>5.1527625659907267E-6</v>
      </c>
      <c r="O44">
        <v>5.100688486531166E-6</v>
      </c>
      <c r="P44">
        <v>4.9786216359069646E-6</v>
      </c>
      <c r="Q44">
        <v>5.0304205780295962E-6</v>
      </c>
      <c r="R44">
        <v>5.0115049438561225E-6</v>
      </c>
      <c r="S44">
        <v>4.9413945063959608E-6</v>
      </c>
      <c r="T44">
        <v>4.903443311904148E-6</v>
      </c>
      <c r="U44">
        <v>4.8626899669766098E-6</v>
      </c>
      <c r="V44">
        <v>4.8289484293215302E-6</v>
      </c>
      <c r="W44">
        <v>4.7872424055299115E-6</v>
      </c>
      <c r="X44">
        <v>4.7680182419544261E-6</v>
      </c>
      <c r="Y44">
        <v>4.7573100200044847E-6</v>
      </c>
      <c r="Z44">
        <v>4.7295497891295455E-6</v>
      </c>
      <c r="AA44">
        <v>4.6620403861621113E-6</v>
      </c>
      <c r="AB44">
        <v>4.6466780288555696E-6</v>
      </c>
      <c r="AC44">
        <v>4.6049112884282218E-6</v>
      </c>
      <c r="AD44">
        <v>4.5396237803346076E-6</v>
      </c>
      <c r="AE44">
        <v>4.474209746293313E-6</v>
      </c>
      <c r="AF44">
        <v>4.4050058038634655E-6</v>
      </c>
    </row>
    <row r="45" spans="1:32" x14ac:dyDescent="0.25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s="4" customFormat="1" x14ac:dyDescent="0.25">
      <c r="A52" s="6" t="s">
        <v>35</v>
      </c>
    </row>
    <row r="53" spans="1:32" x14ac:dyDescent="0.25">
      <c r="A53" t="s">
        <v>30</v>
      </c>
      <c r="B53">
        <v>2020</v>
      </c>
      <c r="C53">
        <v>2021</v>
      </c>
      <c r="D53">
        <v>2022</v>
      </c>
      <c r="E53">
        <v>2023</v>
      </c>
      <c r="F53">
        <v>2024</v>
      </c>
      <c r="G53">
        <v>2025</v>
      </c>
      <c r="H53">
        <v>2026</v>
      </c>
      <c r="I53">
        <v>2027</v>
      </c>
      <c r="J53">
        <v>2028</v>
      </c>
      <c r="K53">
        <v>2029</v>
      </c>
      <c r="L53">
        <v>2030</v>
      </c>
      <c r="M53">
        <v>2031</v>
      </c>
      <c r="N53">
        <v>2032</v>
      </c>
      <c r="O53">
        <v>2033</v>
      </c>
      <c r="P53">
        <v>2034</v>
      </c>
      <c r="Q53">
        <v>2035</v>
      </c>
      <c r="R53">
        <v>2036</v>
      </c>
      <c r="S53">
        <v>2037</v>
      </c>
      <c r="T53">
        <v>2038</v>
      </c>
      <c r="U53">
        <v>2039</v>
      </c>
      <c r="V53">
        <v>2040</v>
      </c>
      <c r="W53">
        <v>2041</v>
      </c>
      <c r="X53">
        <v>2042</v>
      </c>
      <c r="Y53">
        <v>2043</v>
      </c>
      <c r="Z53">
        <v>2044</v>
      </c>
      <c r="AA53">
        <v>2045</v>
      </c>
      <c r="AB53">
        <v>2046</v>
      </c>
      <c r="AC53">
        <v>2047</v>
      </c>
      <c r="AD53">
        <v>2048</v>
      </c>
      <c r="AE53">
        <v>2049</v>
      </c>
      <c r="AF53">
        <v>2050</v>
      </c>
    </row>
    <row r="54" spans="1:32" x14ac:dyDescent="0.25">
      <c r="A54" t="s">
        <v>52</v>
      </c>
      <c r="B54">
        <v>3.6907851197326333E-6</v>
      </c>
      <c r="C54">
        <v>4.6243688295314764E-6</v>
      </c>
      <c r="D54">
        <v>6.3001037090297612E-6</v>
      </c>
      <c r="E54">
        <v>5.3081953722256521E-6</v>
      </c>
      <c r="F54">
        <v>5.1569020037920998E-6</v>
      </c>
      <c r="G54">
        <v>5.0056086353585474E-6</v>
      </c>
      <c r="H54">
        <v>4.8543152669249951E-6</v>
      </c>
      <c r="I54">
        <v>4.7030218984914427E-6</v>
      </c>
      <c r="J54">
        <v>4.5517285300578895E-6</v>
      </c>
      <c r="K54">
        <v>4.4636379419693303E-6</v>
      </c>
      <c r="L54">
        <v>4.2320152120620418E-6</v>
      </c>
      <c r="M54">
        <v>4.2555723017757388E-6</v>
      </c>
      <c r="N54">
        <v>4.1630549111374231E-6</v>
      </c>
      <c r="O54">
        <v>4.1060448434819265E-6</v>
      </c>
      <c r="P54">
        <v>4.0478053979321161E-6</v>
      </c>
      <c r="Q54">
        <v>4.0800829354993866E-6</v>
      </c>
      <c r="R54">
        <v>4.0914405037751651E-6</v>
      </c>
      <c r="S54">
        <v>4.0489954207058779E-6</v>
      </c>
      <c r="T54">
        <v>3.9992741350218601E-6</v>
      </c>
      <c r="U54">
        <v>4.0109734660998342E-6</v>
      </c>
      <c r="V54">
        <v>3.941867506306011E-6</v>
      </c>
      <c r="W54">
        <v>3.904031256372366E-6</v>
      </c>
      <c r="X54">
        <v>3.860574109590758E-6</v>
      </c>
      <c r="Y54">
        <v>3.8470517649649754E-6</v>
      </c>
      <c r="Z54">
        <v>3.8275102507915344E-6</v>
      </c>
      <c r="AA54">
        <v>3.771625385443676E-6</v>
      </c>
      <c r="AB54">
        <v>3.7406731202703826E-6</v>
      </c>
      <c r="AC54">
        <v>3.6985155488749464E-6</v>
      </c>
      <c r="AD54">
        <v>3.6474328716793178E-6</v>
      </c>
      <c r="AE54">
        <v>3.588502456607789E-6</v>
      </c>
      <c r="AF54">
        <v>3.5258604481792196E-6</v>
      </c>
    </row>
    <row r="55" spans="1:32" x14ac:dyDescent="0.25">
      <c r="A55" t="s">
        <v>53</v>
      </c>
      <c r="B55">
        <v>3.5659864454646011E-6</v>
      </c>
      <c r="C55">
        <v>4.2347655463870261E-6</v>
      </c>
      <c r="D55">
        <v>6.0854028215799374E-6</v>
      </c>
      <c r="E55">
        <v>4.9206971940204143E-6</v>
      </c>
      <c r="F55">
        <v>4.7015424759917424E-6</v>
      </c>
      <c r="G55">
        <v>4.4823877579630705E-6</v>
      </c>
      <c r="H55">
        <v>4.2632330399343987E-6</v>
      </c>
      <c r="I55">
        <v>4.0440783219057268E-6</v>
      </c>
      <c r="J55">
        <v>3.8249236038770558E-6</v>
      </c>
      <c r="K55">
        <v>3.7564725634391769E-6</v>
      </c>
      <c r="L55">
        <v>3.569133153904824E-6</v>
      </c>
      <c r="M55">
        <v>3.5298898312324766E-6</v>
      </c>
      <c r="N55">
        <v>3.4621347865991742E-6</v>
      </c>
      <c r="O55">
        <v>3.4028364636474128E-6</v>
      </c>
      <c r="P55">
        <v>3.3698166947049793E-6</v>
      </c>
      <c r="Q55">
        <v>3.3993250011338445E-6</v>
      </c>
      <c r="R55">
        <v>3.4145661678033003E-6</v>
      </c>
      <c r="S55">
        <v>3.3857600927810854E-6</v>
      </c>
      <c r="T55">
        <v>3.3422316301758658E-6</v>
      </c>
      <c r="U55">
        <v>3.3510280564306674E-6</v>
      </c>
      <c r="V55">
        <v>3.3005578263967273E-6</v>
      </c>
      <c r="W55">
        <v>3.2679456047572478E-6</v>
      </c>
      <c r="X55">
        <v>3.235557379156796E-6</v>
      </c>
      <c r="Y55">
        <v>3.2263342534996757E-6</v>
      </c>
      <c r="Z55">
        <v>3.2144318542700729E-6</v>
      </c>
      <c r="AA55">
        <v>3.1699121312156148E-6</v>
      </c>
      <c r="AB55">
        <v>3.1566686378888864E-6</v>
      </c>
      <c r="AC55">
        <v>3.1234867394909053E-6</v>
      </c>
      <c r="AD55">
        <v>3.0789438137400487E-6</v>
      </c>
      <c r="AE55">
        <v>3.0307770967030697E-6</v>
      </c>
      <c r="AF55">
        <v>2.9773727333144726E-6</v>
      </c>
    </row>
    <row r="56" spans="1:32" x14ac:dyDescent="0.25">
      <c r="A56" t="s">
        <v>54</v>
      </c>
      <c r="B56">
        <v>3.5738209840460912E-6</v>
      </c>
      <c r="C56">
        <v>4.2338926370173088E-6</v>
      </c>
      <c r="D56">
        <v>6.0863116452368815E-6</v>
      </c>
      <c r="E56">
        <v>5.2385633700961721E-6</v>
      </c>
      <c r="F56">
        <v>5.1827974113515871E-6</v>
      </c>
      <c r="G56">
        <v>5.127031452607002E-6</v>
      </c>
      <c r="H56">
        <v>5.0712654938624169E-6</v>
      </c>
      <c r="I56">
        <v>5.0154995351178318E-6</v>
      </c>
      <c r="J56">
        <v>4.9597335763732467E-6</v>
      </c>
      <c r="K56">
        <v>4.8588558595915859E-6</v>
      </c>
      <c r="L56">
        <v>4.6074212345995865E-6</v>
      </c>
      <c r="M56">
        <v>4.5623717330730451E-6</v>
      </c>
      <c r="N56">
        <v>4.4632668593382934E-6</v>
      </c>
      <c r="O56">
        <v>4.3887673287760587E-6</v>
      </c>
      <c r="P56">
        <v>4.3276433643358545E-6</v>
      </c>
      <c r="Q56">
        <v>4.3575723822979544E-6</v>
      </c>
      <c r="R56">
        <v>4.3655289927944425E-6</v>
      </c>
      <c r="S56">
        <v>4.3206569427738E-6</v>
      </c>
      <c r="T56">
        <v>4.2650303947058323E-6</v>
      </c>
      <c r="U56">
        <v>4.2732914818359031E-6</v>
      </c>
      <c r="V56">
        <v>4.2007596576952778E-6</v>
      </c>
      <c r="W56">
        <v>4.1565006434240279E-6</v>
      </c>
      <c r="X56">
        <v>4.1101817702186503E-6</v>
      </c>
      <c r="Y56">
        <v>4.0879806276566985E-6</v>
      </c>
      <c r="Z56">
        <v>4.0603421150525231E-6</v>
      </c>
      <c r="AA56">
        <v>3.9995052901103734E-6</v>
      </c>
      <c r="AB56">
        <v>3.9685757958028356E-6</v>
      </c>
      <c r="AC56">
        <v>3.9189424562586861E-6</v>
      </c>
      <c r="AD56">
        <v>3.8613655340833994E-6</v>
      </c>
      <c r="AE56">
        <v>3.7999868268008793E-6</v>
      </c>
      <c r="AF56">
        <v>3.7352656643107201E-6</v>
      </c>
    </row>
    <row r="57" spans="1:32" x14ac:dyDescent="0.25">
      <c r="A57" t="s">
        <v>55</v>
      </c>
      <c r="B57">
        <v>3.5892641346055873E-6</v>
      </c>
      <c r="C57">
        <v>4.2491515842502716E-6</v>
      </c>
      <c r="D57">
        <v>6.1092341667799915E-6</v>
      </c>
      <c r="E57">
        <v>4.97933069464232E-6</v>
      </c>
      <c r="F57">
        <v>4.7644270707093535E-6</v>
      </c>
      <c r="G57">
        <v>4.549523446776387E-6</v>
      </c>
      <c r="H57">
        <v>4.3346198228434204E-6</v>
      </c>
      <c r="I57">
        <v>4.1197161989104539E-6</v>
      </c>
      <c r="J57">
        <v>3.9048125749774874E-6</v>
      </c>
      <c r="K57">
        <v>3.8293243115526429E-6</v>
      </c>
      <c r="L57">
        <v>3.6302880405852617E-6</v>
      </c>
      <c r="M57">
        <v>3.661592365638022E-6</v>
      </c>
      <c r="N57">
        <v>3.5865918796411472E-6</v>
      </c>
      <c r="O57">
        <v>3.5375454327278508E-6</v>
      </c>
      <c r="P57">
        <v>3.4906161609902072E-6</v>
      </c>
      <c r="Q57">
        <v>3.5197402950509449E-6</v>
      </c>
      <c r="R57">
        <v>3.532195134845904E-6</v>
      </c>
      <c r="S57">
        <v>3.5031240876421842E-6</v>
      </c>
      <c r="T57">
        <v>3.4626086992980201E-6</v>
      </c>
      <c r="U57">
        <v>3.4714266249736584E-6</v>
      </c>
      <c r="V57">
        <v>3.4164750908066916E-6</v>
      </c>
      <c r="W57">
        <v>3.3843880595919661E-6</v>
      </c>
      <c r="X57">
        <v>3.347584921569366E-6</v>
      </c>
      <c r="Y57">
        <v>3.3388035570542611E-6</v>
      </c>
      <c r="Z57">
        <v>3.3259803464069782E-6</v>
      </c>
      <c r="AA57">
        <v>3.2799733367713884E-6</v>
      </c>
      <c r="AB57">
        <v>3.2577770798740257E-6</v>
      </c>
      <c r="AC57">
        <v>3.2201013809900835E-6</v>
      </c>
      <c r="AD57">
        <v>3.1734873457975204E-6</v>
      </c>
      <c r="AE57">
        <v>3.1218399892022605E-6</v>
      </c>
      <c r="AF57">
        <v>3.064648523432297E-6</v>
      </c>
    </row>
    <row r="58" spans="1:32" x14ac:dyDescent="0.25">
      <c r="A58" t="s">
        <v>56</v>
      </c>
      <c r="B58">
        <v>3.5743217678810906E-6</v>
      </c>
      <c r="C58">
        <v>4.2353640626639819E-6</v>
      </c>
      <c r="D58">
        <v>6.0881624411339989E-6</v>
      </c>
      <c r="E58">
        <v>4.9804835551430145E-6</v>
      </c>
      <c r="F58">
        <v>4.7623884767565889E-6</v>
      </c>
      <c r="G58">
        <v>4.5442933983701634E-6</v>
      </c>
      <c r="H58">
        <v>4.3261983199837378E-6</v>
      </c>
      <c r="I58">
        <v>4.1081032415973123E-6</v>
      </c>
      <c r="J58">
        <v>3.890008163210885E-6</v>
      </c>
      <c r="K58">
        <v>3.8167469768238814E-6</v>
      </c>
      <c r="L58">
        <v>3.6192266621529271E-6</v>
      </c>
      <c r="M58">
        <v>3.5964085408906937E-6</v>
      </c>
      <c r="N58">
        <v>3.5230430877305055E-6</v>
      </c>
      <c r="O58">
        <v>3.4701749761361602E-6</v>
      </c>
      <c r="P58">
        <v>3.4238744406553689E-6</v>
      </c>
      <c r="Q58">
        <v>3.454386332095164E-6</v>
      </c>
      <c r="R58">
        <v>3.4686440027955646E-6</v>
      </c>
      <c r="S58">
        <v>3.4418017313976424E-6</v>
      </c>
      <c r="T58">
        <v>3.4033031892197446E-6</v>
      </c>
      <c r="U58">
        <v>3.4132783234405493E-6</v>
      </c>
      <c r="V58">
        <v>3.3591797677850974E-6</v>
      </c>
      <c r="W58">
        <v>3.3294827928397644E-6</v>
      </c>
      <c r="X58">
        <v>3.2940908656710662E-6</v>
      </c>
      <c r="Y58">
        <v>3.2885708708670464E-6</v>
      </c>
      <c r="Z58">
        <v>3.2780536301121151E-6</v>
      </c>
      <c r="AA58">
        <v>3.2336205470372829E-6</v>
      </c>
      <c r="AB58">
        <v>3.2116003580318617E-6</v>
      </c>
      <c r="AC58">
        <v>3.1760680032752019E-6</v>
      </c>
      <c r="AD58">
        <v>3.1318098331604062E-6</v>
      </c>
      <c r="AE58">
        <v>3.080854963112133E-6</v>
      </c>
      <c r="AF58">
        <v>3.0243417857901537E-6</v>
      </c>
    </row>
    <row r="59" spans="1:32" x14ac:dyDescent="0.25">
      <c r="A59" t="s">
        <v>57</v>
      </c>
      <c r="B59">
        <v>3.5659864454646011E-6</v>
      </c>
      <c r="C59">
        <v>4.2347655463870261E-6</v>
      </c>
      <c r="D59">
        <v>6.0854028215799374E-6</v>
      </c>
      <c r="E59">
        <v>4.9206971940204143E-6</v>
      </c>
      <c r="F59">
        <v>4.7015424759917424E-6</v>
      </c>
      <c r="G59">
        <v>4.4823877579630705E-6</v>
      </c>
      <c r="H59">
        <v>4.2632330399343987E-6</v>
      </c>
      <c r="I59">
        <v>4.0440783219057268E-6</v>
      </c>
      <c r="J59">
        <v>3.8249236038770558E-6</v>
      </c>
      <c r="K59">
        <v>3.7564725634391769E-6</v>
      </c>
      <c r="L59">
        <v>3.569133153904824E-6</v>
      </c>
      <c r="M59">
        <v>3.5298898312324766E-6</v>
      </c>
      <c r="N59">
        <v>3.4621347865991742E-6</v>
      </c>
      <c r="O59">
        <v>3.4028364636474128E-6</v>
      </c>
      <c r="P59">
        <v>3.3698166947049793E-6</v>
      </c>
      <c r="Q59">
        <v>3.3993250011338445E-6</v>
      </c>
      <c r="R59">
        <v>3.4145661678033003E-6</v>
      </c>
      <c r="S59">
        <v>3.3857600927810854E-6</v>
      </c>
      <c r="T59">
        <v>3.3422316301758658E-6</v>
      </c>
      <c r="U59">
        <v>3.3510280564306674E-6</v>
      </c>
      <c r="V59">
        <v>3.3005578263967273E-6</v>
      </c>
      <c r="W59">
        <v>3.2679456047572478E-6</v>
      </c>
      <c r="X59">
        <v>3.235557379156796E-6</v>
      </c>
      <c r="Y59">
        <v>3.2263342534996757E-6</v>
      </c>
      <c r="Z59">
        <v>3.2144318542700729E-6</v>
      </c>
      <c r="AA59">
        <v>3.1699121312156148E-6</v>
      </c>
      <c r="AB59">
        <v>3.1566686378888864E-6</v>
      </c>
      <c r="AC59">
        <v>3.1234867394909053E-6</v>
      </c>
      <c r="AD59">
        <v>3.0789438137400487E-6</v>
      </c>
      <c r="AE59">
        <v>3.0307770967030697E-6</v>
      </c>
      <c r="AF59">
        <v>2.9773727333144726E-6</v>
      </c>
    </row>
    <row r="60" spans="1:32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59</v>
      </c>
      <c r="B61">
        <v>3.5743217678810906E-6</v>
      </c>
      <c r="C61">
        <v>4.2353640626639819E-6</v>
      </c>
      <c r="D61">
        <v>6.0881624411339989E-6</v>
      </c>
      <c r="E61">
        <v>4.9804835551430145E-6</v>
      </c>
      <c r="F61">
        <v>4.7623884767565889E-6</v>
      </c>
      <c r="G61">
        <v>4.5442933983701634E-6</v>
      </c>
      <c r="H61">
        <v>4.3261983199837378E-6</v>
      </c>
      <c r="I61">
        <v>4.1081032415973123E-6</v>
      </c>
      <c r="J61">
        <v>3.890008163210885E-6</v>
      </c>
      <c r="K61">
        <v>3.8167469768238814E-6</v>
      </c>
      <c r="L61">
        <v>3.6192266621529271E-6</v>
      </c>
      <c r="M61">
        <v>3.5964085408906937E-6</v>
      </c>
      <c r="N61">
        <v>3.5230430877305055E-6</v>
      </c>
      <c r="O61">
        <v>3.4701749761361602E-6</v>
      </c>
      <c r="P61">
        <v>3.4238744406553689E-6</v>
      </c>
      <c r="Q61">
        <v>3.454386332095164E-6</v>
      </c>
      <c r="R61">
        <v>3.4686440027955646E-6</v>
      </c>
      <c r="S61">
        <v>3.4418017313976424E-6</v>
      </c>
      <c r="T61">
        <v>3.4033031892197446E-6</v>
      </c>
      <c r="U61">
        <v>3.4132783234405493E-6</v>
      </c>
      <c r="V61">
        <v>3.3591797677850974E-6</v>
      </c>
      <c r="W61">
        <v>3.3294827928397644E-6</v>
      </c>
      <c r="X61">
        <v>3.2940908656710662E-6</v>
      </c>
      <c r="Y61">
        <v>3.2885708708670464E-6</v>
      </c>
      <c r="Z61">
        <v>3.2780536301121151E-6</v>
      </c>
      <c r="AA61">
        <v>3.2336205470372829E-6</v>
      </c>
      <c r="AB61">
        <v>3.2116003580318617E-6</v>
      </c>
      <c r="AC61">
        <v>3.1760680032752019E-6</v>
      </c>
      <c r="AD61">
        <v>3.1318098331604062E-6</v>
      </c>
      <c r="AE61">
        <v>3.080854963112133E-6</v>
      </c>
      <c r="AF61">
        <v>3.0243417857901537E-6</v>
      </c>
    </row>
    <row r="62" spans="1:32" s="4" customFormat="1" x14ac:dyDescent="0.25">
      <c r="A62" s="6" t="s">
        <v>36</v>
      </c>
    </row>
    <row r="63" spans="1:32" x14ac:dyDescent="0.25">
      <c r="A63" t="s">
        <v>30</v>
      </c>
      <c r="B63">
        <v>2020</v>
      </c>
      <c r="C63">
        <v>2021</v>
      </c>
      <c r="D63">
        <v>2022</v>
      </c>
      <c r="E63">
        <v>2023</v>
      </c>
      <c r="F63">
        <v>2024</v>
      </c>
      <c r="G63">
        <v>2025</v>
      </c>
      <c r="H63">
        <v>2026</v>
      </c>
      <c r="I63">
        <v>2027</v>
      </c>
      <c r="J63">
        <v>2028</v>
      </c>
      <c r="K63">
        <v>2029</v>
      </c>
      <c r="L63">
        <v>2030</v>
      </c>
      <c r="M63">
        <v>2031</v>
      </c>
      <c r="N63">
        <v>2032</v>
      </c>
      <c r="O63">
        <v>2033</v>
      </c>
      <c r="P63">
        <v>2034</v>
      </c>
      <c r="Q63">
        <v>2035</v>
      </c>
      <c r="R63">
        <v>2036</v>
      </c>
      <c r="S63">
        <v>2037</v>
      </c>
      <c r="T63">
        <v>2038</v>
      </c>
      <c r="U63">
        <v>2039</v>
      </c>
      <c r="V63">
        <v>2040</v>
      </c>
      <c r="W63">
        <v>2041</v>
      </c>
      <c r="X63">
        <v>2042</v>
      </c>
      <c r="Y63">
        <v>2043</v>
      </c>
      <c r="Z63">
        <v>2044</v>
      </c>
      <c r="AA63">
        <v>2045</v>
      </c>
      <c r="AB63">
        <v>2046</v>
      </c>
      <c r="AC63">
        <v>2047</v>
      </c>
      <c r="AD63">
        <v>2048</v>
      </c>
      <c r="AE63">
        <v>2049</v>
      </c>
      <c r="AF63">
        <v>2050</v>
      </c>
    </row>
    <row r="64" spans="1:32" x14ac:dyDescent="0.25">
      <c r="A64" t="s">
        <v>52</v>
      </c>
      <c r="B64">
        <v>6.124342198811532E-6</v>
      </c>
      <c r="C64">
        <v>6.7653346818556678E-6</v>
      </c>
      <c r="D64">
        <v>6.6363139946570799E-6</v>
      </c>
      <c r="E64">
        <v>6.6821896562972195E-6</v>
      </c>
      <c r="F64">
        <v>6.6502384928330965E-6</v>
      </c>
      <c r="G64">
        <v>6.569545513109439E-6</v>
      </c>
      <c r="H64">
        <v>6.5860881140566752E-6</v>
      </c>
      <c r="I64">
        <v>6.4138992957602047E-6</v>
      </c>
      <c r="J64">
        <v>6.3450869984537243E-6</v>
      </c>
      <c r="K64">
        <v>6.2184464498783265E-6</v>
      </c>
      <c r="L64">
        <v>5.9520301083130882E-6</v>
      </c>
      <c r="M64">
        <v>6.0790531932888373E-6</v>
      </c>
      <c r="N64">
        <v>6.0020281108438659E-6</v>
      </c>
      <c r="O64">
        <v>5.9273131795862438E-6</v>
      </c>
      <c r="P64">
        <v>5.8374625216523267E-6</v>
      </c>
      <c r="Q64">
        <v>5.9110320155788382E-6</v>
      </c>
      <c r="R64">
        <v>5.8555947380223596E-6</v>
      </c>
      <c r="S64">
        <v>5.7641904741992863E-6</v>
      </c>
      <c r="T64">
        <v>5.7306569737157925E-6</v>
      </c>
      <c r="U64">
        <v>5.6779948192418902E-6</v>
      </c>
      <c r="V64">
        <v>5.638678556954012E-6</v>
      </c>
      <c r="W64">
        <v>5.5946039215561711E-6</v>
      </c>
      <c r="X64">
        <v>5.5668665933138946E-6</v>
      </c>
      <c r="Y64">
        <v>5.5533802064844855E-6</v>
      </c>
      <c r="Z64">
        <v>5.5224845125062756E-6</v>
      </c>
      <c r="AA64">
        <v>5.4445639010963243E-6</v>
      </c>
      <c r="AB64">
        <v>5.4296292762156804E-6</v>
      </c>
      <c r="AC64">
        <v>5.3826909431000473E-6</v>
      </c>
      <c r="AD64">
        <v>5.3074863799461267E-6</v>
      </c>
      <c r="AE64">
        <v>5.2329699763368845E-6</v>
      </c>
      <c r="AF64">
        <v>5.1525249640944278E-6</v>
      </c>
    </row>
    <row r="65" spans="1:32" x14ac:dyDescent="0.25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s="4" customFormat="1" x14ac:dyDescent="0.25">
      <c r="A72" s="6" t="s">
        <v>37</v>
      </c>
    </row>
    <row r="73" spans="1:32" x14ac:dyDescent="0.25">
      <c r="A73" t="s">
        <v>30</v>
      </c>
      <c r="B73">
        <v>2020</v>
      </c>
      <c r="C73">
        <v>2021</v>
      </c>
      <c r="D73">
        <v>2022</v>
      </c>
      <c r="E73">
        <v>2023</v>
      </c>
      <c r="F73">
        <v>2024</v>
      </c>
      <c r="G73">
        <v>2025</v>
      </c>
      <c r="H73">
        <v>2026</v>
      </c>
      <c r="I73">
        <v>2027</v>
      </c>
      <c r="J73">
        <v>2028</v>
      </c>
      <c r="K73">
        <v>2029</v>
      </c>
      <c r="L73">
        <v>2030</v>
      </c>
      <c r="M73">
        <v>2031</v>
      </c>
      <c r="N73">
        <v>2032</v>
      </c>
      <c r="O73">
        <v>2033</v>
      </c>
      <c r="P73">
        <v>2034</v>
      </c>
      <c r="Q73">
        <v>2035</v>
      </c>
      <c r="R73">
        <v>2036</v>
      </c>
      <c r="S73">
        <v>2037</v>
      </c>
      <c r="T73">
        <v>2038</v>
      </c>
      <c r="U73">
        <v>2039</v>
      </c>
      <c r="V73">
        <v>2040</v>
      </c>
      <c r="W73">
        <v>2041</v>
      </c>
      <c r="X73">
        <v>2042</v>
      </c>
      <c r="Y73">
        <v>2043</v>
      </c>
      <c r="Z73">
        <v>2044</v>
      </c>
      <c r="AA73">
        <v>2045</v>
      </c>
      <c r="AB73">
        <v>2046</v>
      </c>
      <c r="AC73">
        <v>2047</v>
      </c>
      <c r="AD73">
        <v>2048</v>
      </c>
      <c r="AE73">
        <v>2049</v>
      </c>
      <c r="AF73">
        <v>2050</v>
      </c>
    </row>
    <row r="74" spans="1:32" x14ac:dyDescent="0.25">
      <c r="A74" t="s">
        <v>52</v>
      </c>
      <c r="B74">
        <v>5.5129228027215422E-6</v>
      </c>
      <c r="C74">
        <v>5.5014042769793524E-6</v>
      </c>
      <c r="D74">
        <v>5.4178582435397053E-6</v>
      </c>
      <c r="E74">
        <v>5.4012392389083085E-6</v>
      </c>
      <c r="F74">
        <v>5.4429389174351501E-6</v>
      </c>
      <c r="G74">
        <v>5.4408445775372187E-6</v>
      </c>
      <c r="H74">
        <v>5.4440805527724787E-6</v>
      </c>
      <c r="I74">
        <v>5.2986079344276497E-6</v>
      </c>
      <c r="J74">
        <v>5.2445993292249653E-6</v>
      </c>
      <c r="K74">
        <v>5.1631753768918465E-6</v>
      </c>
      <c r="L74">
        <v>5.0618644893194881E-6</v>
      </c>
      <c r="M74">
        <v>5.0104669832178348E-6</v>
      </c>
      <c r="N74">
        <v>4.9410446437619164E-6</v>
      </c>
      <c r="O74">
        <v>4.8731183741847717E-6</v>
      </c>
      <c r="P74">
        <v>4.8157396642420009E-6</v>
      </c>
      <c r="Q74">
        <v>4.8595023946893144E-6</v>
      </c>
      <c r="R74">
        <v>4.8468147442009434E-6</v>
      </c>
      <c r="S74">
        <v>4.8075827939827065E-6</v>
      </c>
      <c r="T74">
        <v>4.7586092644663859E-6</v>
      </c>
      <c r="U74">
        <v>4.7550950686096146E-6</v>
      </c>
      <c r="V74">
        <v>4.7052096811980246E-6</v>
      </c>
      <c r="W74">
        <v>4.6798867774171939E-6</v>
      </c>
      <c r="X74">
        <v>4.6500823909598362E-6</v>
      </c>
      <c r="Y74">
        <v>4.6289777086070364E-6</v>
      </c>
      <c r="Z74">
        <v>4.5637247871698058E-6</v>
      </c>
      <c r="AA74">
        <v>4.471696597599957E-6</v>
      </c>
      <c r="AB74">
        <v>4.4544566348998797E-6</v>
      </c>
      <c r="AC74">
        <v>4.4121996844376729E-6</v>
      </c>
      <c r="AD74">
        <v>4.3618805165384823E-6</v>
      </c>
      <c r="AE74">
        <v>4.3145932853254566E-6</v>
      </c>
      <c r="AF74">
        <v>4.2450739458295621E-6</v>
      </c>
    </row>
    <row r="75" spans="1:32" x14ac:dyDescent="0.25">
      <c r="A75" t="s">
        <v>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s="4" customFormat="1" x14ac:dyDescent="0.25">
      <c r="A82" s="6" t="s">
        <v>38</v>
      </c>
    </row>
    <row r="83" spans="1:32" x14ac:dyDescent="0.25">
      <c r="A83" t="s">
        <v>30</v>
      </c>
      <c r="B83">
        <v>2020</v>
      </c>
      <c r="C83">
        <v>2021</v>
      </c>
      <c r="D83">
        <v>2022</v>
      </c>
      <c r="E83">
        <v>2023</v>
      </c>
      <c r="F83">
        <v>2024</v>
      </c>
      <c r="G83">
        <v>2025</v>
      </c>
      <c r="H83">
        <v>2026</v>
      </c>
      <c r="I83">
        <v>2027</v>
      </c>
      <c r="J83">
        <v>2028</v>
      </c>
      <c r="K83">
        <v>2029</v>
      </c>
      <c r="L83">
        <v>2030</v>
      </c>
      <c r="M83">
        <v>2031</v>
      </c>
      <c r="N83">
        <v>2032</v>
      </c>
      <c r="O83">
        <v>2033</v>
      </c>
      <c r="P83">
        <v>2034</v>
      </c>
      <c r="Q83">
        <v>2035</v>
      </c>
      <c r="R83">
        <v>2036</v>
      </c>
      <c r="S83">
        <v>2037</v>
      </c>
      <c r="T83">
        <v>2038</v>
      </c>
      <c r="U83">
        <v>2039</v>
      </c>
      <c r="V83">
        <v>2040</v>
      </c>
      <c r="W83">
        <v>2041</v>
      </c>
      <c r="X83">
        <v>2042</v>
      </c>
      <c r="Y83">
        <v>2043</v>
      </c>
      <c r="Z83">
        <v>2044</v>
      </c>
      <c r="AA83">
        <v>2045</v>
      </c>
      <c r="AB83">
        <v>2046</v>
      </c>
      <c r="AC83">
        <v>2047</v>
      </c>
      <c r="AD83">
        <v>2048</v>
      </c>
      <c r="AE83">
        <v>2049</v>
      </c>
      <c r="AF83">
        <v>2050</v>
      </c>
    </row>
    <row r="84" spans="1:32" x14ac:dyDescent="0.25">
      <c r="A84" t="s">
        <v>52</v>
      </c>
      <c r="B84">
        <v>4.8357060636282318E-7</v>
      </c>
      <c r="C84">
        <v>6.9264884762557121E-7</v>
      </c>
      <c r="D84">
        <v>1.2159217083092492E-6</v>
      </c>
      <c r="E84">
        <v>9.4447521084165449E-7</v>
      </c>
      <c r="F84">
        <v>9.2305655255491621E-7</v>
      </c>
      <c r="G84">
        <v>9.0163789426817794E-7</v>
      </c>
      <c r="H84">
        <v>8.8021923598143967E-7</v>
      </c>
      <c r="I84">
        <v>8.5880057769470139E-7</v>
      </c>
      <c r="J84">
        <v>8.3738191940796291E-7</v>
      </c>
      <c r="K84">
        <v>8.1982227097723945E-7</v>
      </c>
      <c r="L84">
        <v>7.8614165133809265E-7</v>
      </c>
      <c r="M84">
        <v>7.8939101086108386E-7</v>
      </c>
      <c r="N84">
        <v>7.742646158940688E-7</v>
      </c>
      <c r="O84">
        <v>7.6236078460276552E-7</v>
      </c>
      <c r="P84">
        <v>7.5761366481006406E-7</v>
      </c>
      <c r="Q84">
        <v>7.6210282339528227E-7</v>
      </c>
      <c r="R84">
        <v>7.6804746036322615E-7</v>
      </c>
      <c r="S84">
        <v>7.6299260005746016E-7</v>
      </c>
      <c r="T84">
        <v>7.5429318160381735E-7</v>
      </c>
      <c r="U84">
        <v>7.5839613528238424E-7</v>
      </c>
      <c r="V84">
        <v>7.4148240334830993E-7</v>
      </c>
      <c r="W84">
        <v>7.3486859042343466E-7</v>
      </c>
      <c r="X84">
        <v>7.2642003459316307E-7</v>
      </c>
      <c r="Y84">
        <v>7.2541383679952306E-7</v>
      </c>
      <c r="Z84">
        <v>7.2227564049780411E-7</v>
      </c>
      <c r="AA84">
        <v>7.106451573742175E-7</v>
      </c>
      <c r="AB84">
        <v>7.070254113366826E-7</v>
      </c>
      <c r="AC84">
        <v>7.0073252241689018E-7</v>
      </c>
      <c r="AD84">
        <v>6.9252040680403348E-7</v>
      </c>
      <c r="AE84">
        <v>6.8186802283236226E-7</v>
      </c>
      <c r="AF84">
        <v>6.6963514193501501E-7</v>
      </c>
    </row>
    <row r="85" spans="1:32" x14ac:dyDescent="0.25">
      <c r="A85" t="s">
        <v>53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54</v>
      </c>
      <c r="B86">
        <v>8.96948115616563E-7</v>
      </c>
      <c r="C86">
        <v>1.0231453276035819E-6</v>
      </c>
      <c r="D86">
        <v>1.743744632089499E-6</v>
      </c>
      <c r="E86">
        <v>1.4297905624938879E-6</v>
      </c>
      <c r="F86">
        <v>1.4012705648461118E-6</v>
      </c>
      <c r="G86">
        <v>1.3727505671983357E-6</v>
      </c>
      <c r="H86">
        <v>1.3442305695505596E-6</v>
      </c>
      <c r="I86">
        <v>1.3157105719027835E-6</v>
      </c>
      <c r="J86">
        <v>1.2871905742550076E-6</v>
      </c>
      <c r="K86">
        <v>1.2532818562808901E-6</v>
      </c>
      <c r="L86">
        <v>1.2042410554004137E-6</v>
      </c>
      <c r="M86">
        <v>1.1872741251992879E-6</v>
      </c>
      <c r="N86">
        <v>1.1566883225040935E-6</v>
      </c>
      <c r="O86">
        <v>1.1343145102761334E-6</v>
      </c>
      <c r="P86">
        <v>1.1184186510550433E-6</v>
      </c>
      <c r="Q86">
        <v>1.1212693231272017E-6</v>
      </c>
      <c r="R86">
        <v>1.1247774938204575E-6</v>
      </c>
      <c r="S86">
        <v>1.1105612348334391E-6</v>
      </c>
      <c r="T86">
        <v>1.0923145400596675E-6</v>
      </c>
      <c r="U86">
        <v>1.0948302049812601E-6</v>
      </c>
      <c r="V86">
        <v>1.0685381340456742E-6</v>
      </c>
      <c r="W86">
        <v>1.0547347851156116E-6</v>
      </c>
      <c r="X86">
        <v>1.0407999787110009E-6</v>
      </c>
      <c r="Y86">
        <v>1.031990733719208E-6</v>
      </c>
      <c r="Z86">
        <v>1.0205686716375566E-6</v>
      </c>
      <c r="AA86">
        <v>1.0020965461246681E-6</v>
      </c>
      <c r="AB86">
        <v>9.937476279911738E-7</v>
      </c>
      <c r="AC86">
        <v>9.8133935332786756E-7</v>
      </c>
      <c r="AD86">
        <v>9.6846617291829618E-7</v>
      </c>
      <c r="AE86">
        <v>9.5102341733429713E-7</v>
      </c>
      <c r="AF86">
        <v>9.3493289559899379E-7</v>
      </c>
    </row>
    <row r="87" spans="1:32" x14ac:dyDescent="0.25">
      <c r="A87" t="s">
        <v>55</v>
      </c>
      <c r="B87">
        <v>9.0082399660090956E-7</v>
      </c>
      <c r="C87">
        <v>1.0268327429218302E-6</v>
      </c>
      <c r="D87">
        <v>1.7503119960735694E-6</v>
      </c>
      <c r="E87">
        <v>1.3590367304471534E-6</v>
      </c>
      <c r="F87">
        <v>1.2899111560031598E-6</v>
      </c>
      <c r="G87">
        <v>1.2207855815591662E-6</v>
      </c>
      <c r="H87">
        <v>1.1516600071151726E-6</v>
      </c>
      <c r="I87">
        <v>1.0825344326711789E-6</v>
      </c>
      <c r="J87">
        <v>1.0134088582271855E-6</v>
      </c>
      <c r="K87">
        <v>9.8772690941435748E-7</v>
      </c>
      <c r="L87">
        <v>9.4884788665992844E-7</v>
      </c>
      <c r="M87">
        <v>9.5286270542910884E-7</v>
      </c>
      <c r="N87">
        <v>9.2949157545645239E-7</v>
      </c>
      <c r="O87">
        <v>9.1430891968094496E-7</v>
      </c>
      <c r="P87">
        <v>9.0210072537359552E-7</v>
      </c>
      <c r="Q87">
        <v>9.0568244700827967E-7</v>
      </c>
      <c r="R87">
        <v>9.1006922597796163E-7</v>
      </c>
      <c r="S87">
        <v>9.0042645460508733E-7</v>
      </c>
      <c r="T87">
        <v>8.8680677011709555E-7</v>
      </c>
      <c r="U87">
        <v>8.893900028940877E-7</v>
      </c>
      <c r="V87">
        <v>8.6904136775751796E-7</v>
      </c>
      <c r="W87">
        <v>8.5880699150836534E-7</v>
      </c>
      <c r="X87">
        <v>8.4769154015232666E-7</v>
      </c>
      <c r="Y87">
        <v>8.4286464306554561E-7</v>
      </c>
      <c r="Z87">
        <v>8.3598653705595001E-7</v>
      </c>
      <c r="AA87">
        <v>8.2181412793403383E-7</v>
      </c>
      <c r="AB87">
        <v>8.1576071926677251E-7</v>
      </c>
      <c r="AC87">
        <v>8.0634309948193631E-7</v>
      </c>
      <c r="AD87">
        <v>7.9593996410358619E-7</v>
      </c>
      <c r="AE87">
        <v>7.8130348083376996E-7</v>
      </c>
      <c r="AF87">
        <v>7.6707816136940558E-7</v>
      </c>
    </row>
    <row r="88" spans="1:32" x14ac:dyDescent="0.25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s="4" customFormat="1" x14ac:dyDescent="0.25">
      <c r="A92" s="6" t="s">
        <v>39</v>
      </c>
    </row>
    <row r="93" spans="1:32" x14ac:dyDescent="0.25">
      <c r="A93" t="s">
        <v>30</v>
      </c>
      <c r="B93">
        <v>2020</v>
      </c>
      <c r="C93">
        <v>2021</v>
      </c>
      <c r="D93">
        <v>2022</v>
      </c>
      <c r="E93">
        <v>2023</v>
      </c>
      <c r="F93">
        <v>2024</v>
      </c>
      <c r="G93">
        <v>2025</v>
      </c>
      <c r="H93">
        <v>2026</v>
      </c>
      <c r="I93">
        <v>2027</v>
      </c>
      <c r="J93">
        <v>2028</v>
      </c>
      <c r="K93">
        <v>2029</v>
      </c>
      <c r="L93">
        <v>2030</v>
      </c>
      <c r="M93">
        <v>2031</v>
      </c>
      <c r="N93">
        <v>2032</v>
      </c>
      <c r="O93">
        <v>2033</v>
      </c>
      <c r="P93">
        <v>2034</v>
      </c>
      <c r="Q93">
        <v>2035</v>
      </c>
      <c r="R93">
        <v>2036</v>
      </c>
      <c r="S93">
        <v>2037</v>
      </c>
      <c r="T93">
        <v>2038</v>
      </c>
      <c r="U93">
        <v>2039</v>
      </c>
      <c r="V93">
        <v>2040</v>
      </c>
      <c r="W93">
        <v>2041</v>
      </c>
      <c r="X93">
        <v>2042</v>
      </c>
      <c r="Y93">
        <v>2043</v>
      </c>
      <c r="Z93">
        <v>2044</v>
      </c>
      <c r="AA93">
        <v>2045</v>
      </c>
      <c r="AB93">
        <v>2046</v>
      </c>
      <c r="AC93">
        <v>2047</v>
      </c>
      <c r="AD93">
        <v>2048</v>
      </c>
      <c r="AE93">
        <v>2049</v>
      </c>
      <c r="AF93">
        <v>2050</v>
      </c>
    </row>
    <row r="94" spans="1:32" x14ac:dyDescent="0.25">
      <c r="A94" t="s">
        <v>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53</v>
      </c>
      <c r="B95">
        <v>1.0903082755405942E-7</v>
      </c>
      <c r="C95">
        <v>1.0912442554140288E-7</v>
      </c>
      <c r="D95">
        <v>1.0764525240303067E-7</v>
      </c>
      <c r="E95">
        <v>1.0673406986803258E-7</v>
      </c>
      <c r="F95">
        <v>1.0668638369391665E-7</v>
      </c>
      <c r="G95">
        <v>1.0405754410639155E-7</v>
      </c>
      <c r="H95">
        <v>1.0233781835443125E-7</v>
      </c>
      <c r="I95">
        <v>1.022626025647801E-7</v>
      </c>
      <c r="J95">
        <v>1.017219294026404E-7</v>
      </c>
      <c r="K95">
        <v>1.0210495705924894E-7</v>
      </c>
      <c r="L95">
        <v>1.0195213851906212E-7</v>
      </c>
      <c r="M95">
        <v>1.0188609926792269E-7</v>
      </c>
      <c r="N95">
        <v>1.0129376166352613E-7</v>
      </c>
      <c r="O95">
        <v>1.0110768480168116E-7</v>
      </c>
      <c r="P95">
        <v>1.0074099456623802E-7</v>
      </c>
      <c r="Q95">
        <v>1.0001748020034127E-7</v>
      </c>
      <c r="R95">
        <v>9.920962654985687E-8</v>
      </c>
      <c r="S95">
        <v>9.9040735806380684E-8</v>
      </c>
      <c r="T95">
        <v>9.9004984436687545E-8</v>
      </c>
      <c r="U95">
        <v>9.8864578093100392E-8</v>
      </c>
      <c r="V95">
        <v>9.9128788141233214E-8</v>
      </c>
      <c r="W95">
        <v>9.8908020781199344E-8</v>
      </c>
      <c r="X95">
        <v>9.8340189308550892E-8</v>
      </c>
      <c r="Y95">
        <v>9.7740690821500676E-8</v>
      </c>
      <c r="Z95">
        <v>9.746024943935287E-8</v>
      </c>
      <c r="AA95">
        <v>9.7297246532725259E-8</v>
      </c>
      <c r="AB95">
        <v>9.7147133214874229E-8</v>
      </c>
      <c r="AC95">
        <v>9.6855340507630967E-8</v>
      </c>
      <c r="AD95">
        <v>9.6398741412202895E-8</v>
      </c>
      <c r="AE95">
        <v>9.6468811975058448E-8</v>
      </c>
      <c r="AF95">
        <v>9.6325063886232905E-8</v>
      </c>
    </row>
    <row r="96" spans="1:32" x14ac:dyDescent="0.25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s="4" customFormat="1" x14ac:dyDescent="0.25">
      <c r="A102" s="6" t="s">
        <v>46</v>
      </c>
    </row>
    <row r="103" spans="1:32" x14ac:dyDescent="0.25">
      <c r="A103" t="s">
        <v>30</v>
      </c>
      <c r="B103">
        <v>2020</v>
      </c>
      <c r="C103">
        <v>2021</v>
      </c>
      <c r="D103">
        <v>2022</v>
      </c>
      <c r="E103">
        <v>2023</v>
      </c>
      <c r="F103">
        <v>2024</v>
      </c>
      <c r="G103">
        <v>2025</v>
      </c>
      <c r="H103">
        <v>2026</v>
      </c>
      <c r="I103">
        <v>2027</v>
      </c>
      <c r="J103">
        <v>2028</v>
      </c>
      <c r="K103">
        <v>2029</v>
      </c>
      <c r="L103">
        <v>2030</v>
      </c>
      <c r="M103">
        <v>2031</v>
      </c>
      <c r="N103">
        <v>2032</v>
      </c>
      <c r="O103">
        <v>2033</v>
      </c>
      <c r="P103">
        <v>2034</v>
      </c>
      <c r="Q103">
        <v>2035</v>
      </c>
      <c r="R103">
        <v>2036</v>
      </c>
      <c r="S103">
        <v>2037</v>
      </c>
      <c r="T103">
        <v>2038</v>
      </c>
      <c r="U103">
        <v>2039</v>
      </c>
      <c r="V103">
        <v>2040</v>
      </c>
      <c r="W103">
        <v>2041</v>
      </c>
      <c r="X103">
        <v>2042</v>
      </c>
      <c r="Y103">
        <v>2043</v>
      </c>
      <c r="Z103">
        <v>2044</v>
      </c>
      <c r="AA103">
        <v>2045</v>
      </c>
      <c r="AB103">
        <v>2046</v>
      </c>
      <c r="AC103">
        <v>2047</v>
      </c>
      <c r="AD103">
        <v>2048</v>
      </c>
      <c r="AE103">
        <v>2049</v>
      </c>
      <c r="AF103">
        <v>2050</v>
      </c>
    </row>
    <row r="104" spans="1:32" x14ac:dyDescent="0.25">
      <c r="A104" t="s">
        <v>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59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s="4" customFormat="1" x14ac:dyDescent="0.25">
      <c r="A112" s="6" t="s">
        <v>47</v>
      </c>
    </row>
    <row r="113" spans="1:32" x14ac:dyDescent="0.25">
      <c r="A113" t="s">
        <v>30</v>
      </c>
      <c r="B113">
        <v>2020</v>
      </c>
      <c r="C113">
        <v>2021</v>
      </c>
      <c r="D113">
        <v>2022</v>
      </c>
      <c r="E113">
        <v>2023</v>
      </c>
      <c r="F113">
        <v>2024</v>
      </c>
      <c r="G113">
        <v>2025</v>
      </c>
      <c r="H113">
        <v>2026</v>
      </c>
      <c r="I113">
        <v>2027</v>
      </c>
      <c r="J113">
        <v>2028</v>
      </c>
      <c r="K113">
        <v>2029</v>
      </c>
      <c r="L113">
        <v>2030</v>
      </c>
      <c r="M113">
        <v>2031</v>
      </c>
      <c r="N113">
        <v>2032</v>
      </c>
      <c r="O113">
        <v>2033</v>
      </c>
      <c r="P113">
        <v>2034</v>
      </c>
      <c r="Q113">
        <v>2035</v>
      </c>
      <c r="R113">
        <v>2036</v>
      </c>
      <c r="S113">
        <v>2037</v>
      </c>
      <c r="T113">
        <v>2038</v>
      </c>
      <c r="U113">
        <v>2039</v>
      </c>
      <c r="V113">
        <v>2040</v>
      </c>
      <c r="W113">
        <v>2041</v>
      </c>
      <c r="X113">
        <v>2042</v>
      </c>
      <c r="Y113">
        <v>2043</v>
      </c>
      <c r="Z113">
        <v>2044</v>
      </c>
      <c r="AA113">
        <v>2045</v>
      </c>
      <c r="AB113">
        <v>2046</v>
      </c>
      <c r="AC113">
        <v>2047</v>
      </c>
      <c r="AD113">
        <v>2048</v>
      </c>
      <c r="AE113">
        <v>2049</v>
      </c>
      <c r="AF113">
        <v>2050</v>
      </c>
    </row>
    <row r="114" spans="1:32" x14ac:dyDescent="0.25">
      <c r="A114" t="s">
        <v>52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55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s="4" customFormat="1" x14ac:dyDescent="0.25">
      <c r="A122" s="6" t="s">
        <v>48</v>
      </c>
    </row>
    <row r="123" spans="1:32" x14ac:dyDescent="0.25">
      <c r="A123" t="s">
        <v>30</v>
      </c>
      <c r="B123">
        <v>2020</v>
      </c>
      <c r="C123">
        <v>2021</v>
      </c>
      <c r="D123">
        <v>2022</v>
      </c>
      <c r="E123">
        <v>2023</v>
      </c>
      <c r="F123">
        <v>2024</v>
      </c>
      <c r="G123">
        <v>2025</v>
      </c>
      <c r="H123">
        <v>2026</v>
      </c>
      <c r="I123">
        <v>2027</v>
      </c>
      <c r="J123">
        <v>2028</v>
      </c>
      <c r="K123">
        <v>2029</v>
      </c>
      <c r="L123">
        <v>2030</v>
      </c>
      <c r="M123">
        <v>2031</v>
      </c>
      <c r="N123">
        <v>2032</v>
      </c>
      <c r="O123">
        <v>2033</v>
      </c>
      <c r="P123">
        <v>2034</v>
      </c>
      <c r="Q123">
        <v>2035</v>
      </c>
      <c r="R123">
        <v>2036</v>
      </c>
      <c r="S123">
        <v>2037</v>
      </c>
      <c r="T123">
        <v>2038</v>
      </c>
      <c r="U123">
        <v>2039</v>
      </c>
      <c r="V123">
        <v>2040</v>
      </c>
      <c r="W123">
        <v>2041</v>
      </c>
      <c r="X123">
        <v>2042</v>
      </c>
      <c r="Y123">
        <v>2043</v>
      </c>
      <c r="Z123">
        <v>2044</v>
      </c>
      <c r="AA123">
        <v>2045</v>
      </c>
      <c r="AB123">
        <v>2046</v>
      </c>
      <c r="AC123">
        <v>2047</v>
      </c>
      <c r="AD123">
        <v>2048</v>
      </c>
      <c r="AE123">
        <v>2049</v>
      </c>
      <c r="AF123">
        <v>2050</v>
      </c>
    </row>
    <row r="124" spans="1:32" x14ac:dyDescent="0.25">
      <c r="A124" t="s">
        <v>52</v>
      </c>
      <c r="B124">
        <v>7.2309936889943628E-7</v>
      </c>
      <c r="C124">
        <v>1.0222965127559506E-6</v>
      </c>
      <c r="D124">
        <v>1.0574511577041885E-6</v>
      </c>
      <c r="E124">
        <v>9.705147308252277E-7</v>
      </c>
      <c r="F124">
        <v>9.7065502744300829E-7</v>
      </c>
      <c r="G124">
        <v>9.6491398613340217E-7</v>
      </c>
      <c r="H124">
        <v>9.7240282945548222E-7</v>
      </c>
      <c r="I124">
        <v>9.9231757424517816E-7</v>
      </c>
      <c r="J124">
        <v>1.0194507672738974E-6</v>
      </c>
      <c r="K124">
        <v>1.0369102348274125E-6</v>
      </c>
      <c r="L124">
        <v>1.0553384692521236E-6</v>
      </c>
      <c r="M124">
        <v>1.0911364620583237E-6</v>
      </c>
      <c r="N124">
        <v>1.1043481398188729E-6</v>
      </c>
      <c r="O124">
        <v>1.1198236922019412E-6</v>
      </c>
      <c r="P124">
        <v>1.1273287258113298E-6</v>
      </c>
      <c r="Q124">
        <v>1.1323574520960402E-6</v>
      </c>
      <c r="R124">
        <v>1.1394304758326899E-6</v>
      </c>
      <c r="S124">
        <v>1.1485478546379599E-6</v>
      </c>
      <c r="T124">
        <v>1.1568386645402812E-6</v>
      </c>
      <c r="U124">
        <v>1.1607817773251059E-6</v>
      </c>
      <c r="V124">
        <v>1.1744340498438349E-6</v>
      </c>
      <c r="W124">
        <v>1.1823086944606412E-6</v>
      </c>
      <c r="X124">
        <v>1.1827817274101192E-6</v>
      </c>
      <c r="Y124">
        <v>1.1912267195502969E-6</v>
      </c>
      <c r="Z124">
        <v>1.2013211044121194E-6</v>
      </c>
      <c r="AA124">
        <v>1.2025713863857696E-6</v>
      </c>
      <c r="AB124">
        <v>1.2074992834790568E-6</v>
      </c>
      <c r="AC124">
        <v>1.2107145247351662E-6</v>
      </c>
      <c r="AD124">
        <v>1.2122759944018896E-6</v>
      </c>
      <c r="AE124">
        <v>1.2110939881950032E-6</v>
      </c>
      <c r="AF124">
        <v>1.2098011851109126E-6</v>
      </c>
    </row>
    <row r="125" spans="1:32" x14ac:dyDescent="0.25">
      <c r="A125" t="s">
        <v>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54</v>
      </c>
      <c r="B126">
        <v>1.0433838709292265E-6</v>
      </c>
      <c r="C126">
        <v>1.237901762210488E-6</v>
      </c>
      <c r="D126">
        <v>1.3378963183956304E-6</v>
      </c>
      <c r="E126">
        <v>1.3251658551532343E-6</v>
      </c>
      <c r="F126">
        <v>1.3277215582640734E-6</v>
      </c>
      <c r="G126">
        <v>1.3244927194712918E-6</v>
      </c>
      <c r="H126">
        <v>1.3294243040321513E-6</v>
      </c>
      <c r="I126">
        <v>1.3475299426609883E-6</v>
      </c>
      <c r="J126">
        <v>1.3775746218045688E-6</v>
      </c>
      <c r="K126">
        <v>1.4059825838962837E-6</v>
      </c>
      <c r="L126">
        <v>1.4353723918457395E-6</v>
      </c>
      <c r="M126">
        <v>1.473839419773938E-6</v>
      </c>
      <c r="N126">
        <v>1.4990728756028782E-6</v>
      </c>
      <c r="O126">
        <v>1.5240813382932426E-6</v>
      </c>
      <c r="P126">
        <v>1.542461347556113E-6</v>
      </c>
      <c r="Q126">
        <v>1.5564028558125252E-6</v>
      </c>
      <c r="R126">
        <v>1.5697653164267631E-6</v>
      </c>
      <c r="S126">
        <v>1.5842642084533636E-6</v>
      </c>
      <c r="T126">
        <v>1.5984923020801417E-6</v>
      </c>
      <c r="U126">
        <v>1.6090513654727238E-6</v>
      </c>
      <c r="V126">
        <v>1.6261080924273534E-6</v>
      </c>
      <c r="W126">
        <v>1.6409570057898953E-6</v>
      </c>
      <c r="X126">
        <v>1.6490393585410341E-6</v>
      </c>
      <c r="Y126">
        <v>1.660789531576071E-6</v>
      </c>
      <c r="Z126">
        <v>1.6750689040487727E-6</v>
      </c>
      <c r="AA126">
        <v>1.6831969468277964E-6</v>
      </c>
      <c r="AB126">
        <v>1.6919440232254787E-6</v>
      </c>
      <c r="AC126">
        <v>1.6991625866978632E-6</v>
      </c>
      <c r="AD126">
        <v>1.7043067768109239E-6</v>
      </c>
      <c r="AE126">
        <v>1.7061547742313318E-6</v>
      </c>
      <c r="AF126">
        <v>1.7063593134482191E-6</v>
      </c>
    </row>
    <row r="127" spans="1:32" x14ac:dyDescent="0.25">
      <c r="A127" t="s">
        <v>55</v>
      </c>
      <c r="B127">
        <v>7.7034234125656186E-7</v>
      </c>
      <c r="C127">
        <v>1.0827436706309627E-6</v>
      </c>
      <c r="D127">
        <v>1.1413593670729599E-6</v>
      </c>
      <c r="E127">
        <v>1.0519458838524706E-6</v>
      </c>
      <c r="F127">
        <v>1.0476534987485552E-6</v>
      </c>
      <c r="G127">
        <v>1.0404103905701443E-6</v>
      </c>
      <c r="H127">
        <v>1.0480219574223568E-6</v>
      </c>
      <c r="I127">
        <v>1.0702961629080413E-6</v>
      </c>
      <c r="J127">
        <v>1.1016251754836329E-6</v>
      </c>
      <c r="K127">
        <v>1.1230909613208252E-6</v>
      </c>
      <c r="L127">
        <v>1.1451304364488759E-6</v>
      </c>
      <c r="M127">
        <v>1.1789828291773701E-6</v>
      </c>
      <c r="N127">
        <v>1.1951111785540537E-6</v>
      </c>
      <c r="O127">
        <v>1.2124611744140238E-6</v>
      </c>
      <c r="P127">
        <v>1.2219648154474664E-6</v>
      </c>
      <c r="Q127">
        <v>1.2283493774650772E-6</v>
      </c>
      <c r="R127">
        <v>1.2367646970146362E-6</v>
      </c>
      <c r="S127">
        <v>1.2475644252829756E-6</v>
      </c>
      <c r="T127">
        <v>1.2576047656981951E-6</v>
      </c>
      <c r="U127">
        <v>1.2627790893353211E-6</v>
      </c>
      <c r="V127">
        <v>1.2784879316590027E-6</v>
      </c>
      <c r="W127">
        <v>1.2883847489223159E-6</v>
      </c>
      <c r="X127">
        <v>1.2897336130368381E-6</v>
      </c>
      <c r="Y127">
        <v>1.2994250268330513E-6</v>
      </c>
      <c r="Z127">
        <v>1.3114123501263165E-6</v>
      </c>
      <c r="AA127">
        <v>1.3136991561877994E-6</v>
      </c>
      <c r="AB127">
        <v>1.3195247211681589E-6</v>
      </c>
      <c r="AC127">
        <v>1.3235695273946191E-6</v>
      </c>
      <c r="AD127">
        <v>1.325667408359715E-6</v>
      </c>
      <c r="AE127">
        <v>1.324561513788183E-6</v>
      </c>
      <c r="AF127">
        <v>1.3231248994687826E-6</v>
      </c>
    </row>
    <row r="128" spans="1:32" x14ac:dyDescent="0.25">
      <c r="A128" t="s">
        <v>56</v>
      </c>
      <c r="B128">
        <v>4.5981167073804443E-7</v>
      </c>
      <c r="C128">
        <v>7.8600566493911493E-7</v>
      </c>
      <c r="D128">
        <v>8.339356565241022E-7</v>
      </c>
      <c r="E128">
        <v>7.3119589596492587E-7</v>
      </c>
      <c r="F128">
        <v>7.3022154027569102E-7</v>
      </c>
      <c r="G128">
        <v>7.2335478425635306E-7</v>
      </c>
      <c r="H128">
        <v>7.319912942435546E-7</v>
      </c>
      <c r="I128">
        <v>7.5554343770968002E-7</v>
      </c>
      <c r="J128">
        <v>7.882780092137136E-7</v>
      </c>
      <c r="K128">
        <v>8.0992932076312504E-7</v>
      </c>
      <c r="L128">
        <v>8.3282013996687444E-7</v>
      </c>
      <c r="M128">
        <v>8.533232086843561E-7</v>
      </c>
      <c r="N128">
        <v>8.7018415415758186E-7</v>
      </c>
      <c r="O128">
        <v>8.8650114054724862E-7</v>
      </c>
      <c r="P128">
        <v>8.9634466238080962E-7</v>
      </c>
      <c r="Q128">
        <v>9.0300382549917693E-7</v>
      </c>
      <c r="R128">
        <v>9.122112591765583E-7</v>
      </c>
      <c r="S128">
        <v>9.2409193399363755E-7</v>
      </c>
      <c r="T128">
        <v>9.3500528235654141E-7</v>
      </c>
      <c r="U128">
        <v>9.4037993919285521E-7</v>
      </c>
      <c r="V128">
        <v>9.5818303263074145E-7</v>
      </c>
      <c r="W128">
        <v>9.6879245300235453E-7</v>
      </c>
      <c r="X128">
        <v>9.6975511250538435E-7</v>
      </c>
      <c r="Y128">
        <v>9.8091696161263586E-7</v>
      </c>
      <c r="Z128">
        <v>9.9439920730628472E-7</v>
      </c>
      <c r="AA128">
        <v>9.963987365972321E-7</v>
      </c>
      <c r="AB128">
        <v>1.0030601467661509E-6</v>
      </c>
      <c r="AC128">
        <v>1.0075222129950619E-6</v>
      </c>
      <c r="AD128">
        <v>1.0097832067835405E-6</v>
      </c>
      <c r="AE128">
        <v>1.0084109502966084E-6</v>
      </c>
      <c r="AF128">
        <v>1.0068501720300548E-6</v>
      </c>
    </row>
    <row r="129" spans="1:32" x14ac:dyDescent="0.25">
      <c r="A129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59</v>
      </c>
      <c r="B131">
        <v>4.5981167073804443E-7</v>
      </c>
      <c r="C131">
        <v>7.8600566493911493E-7</v>
      </c>
      <c r="D131">
        <v>8.339356565241022E-7</v>
      </c>
      <c r="E131">
        <v>7.3119589596492587E-7</v>
      </c>
      <c r="F131">
        <v>7.3022154027569102E-7</v>
      </c>
      <c r="G131">
        <v>7.2335478425635306E-7</v>
      </c>
      <c r="H131">
        <v>7.319912942435546E-7</v>
      </c>
      <c r="I131">
        <v>7.5554343770968002E-7</v>
      </c>
      <c r="J131">
        <v>7.882780092137136E-7</v>
      </c>
      <c r="K131">
        <v>8.0992932076312504E-7</v>
      </c>
      <c r="L131">
        <v>8.3282013996687444E-7</v>
      </c>
      <c r="M131">
        <v>8.533232086843561E-7</v>
      </c>
      <c r="N131">
        <v>8.7018415415758186E-7</v>
      </c>
      <c r="O131">
        <v>8.8650114054724862E-7</v>
      </c>
      <c r="P131">
        <v>8.9634466238080962E-7</v>
      </c>
      <c r="Q131">
        <v>9.0300382549917693E-7</v>
      </c>
      <c r="R131">
        <v>9.122112591765583E-7</v>
      </c>
      <c r="S131">
        <v>9.2409193399363755E-7</v>
      </c>
      <c r="T131">
        <v>9.3500528235654141E-7</v>
      </c>
      <c r="U131">
        <v>9.4037993919285521E-7</v>
      </c>
      <c r="V131">
        <v>9.5818303263074145E-7</v>
      </c>
      <c r="W131">
        <v>9.6879245300235453E-7</v>
      </c>
      <c r="X131">
        <v>9.6975511250538435E-7</v>
      </c>
      <c r="Y131">
        <v>9.8091696161263586E-7</v>
      </c>
      <c r="Z131">
        <v>9.9439920730628472E-7</v>
      </c>
      <c r="AA131">
        <v>9.963987365972321E-7</v>
      </c>
      <c r="AB131">
        <v>1.0030601467661509E-6</v>
      </c>
      <c r="AC131">
        <v>1.0075222129950619E-6</v>
      </c>
      <c r="AD131">
        <v>1.0097832067835405E-6</v>
      </c>
      <c r="AE131">
        <v>1.0084109502966084E-6</v>
      </c>
      <c r="AF131">
        <v>1.0068501720300548E-6</v>
      </c>
    </row>
    <row r="132" spans="1:32" s="4" customFormat="1" x14ac:dyDescent="0.25">
      <c r="A132" s="6" t="s">
        <v>49</v>
      </c>
    </row>
    <row r="133" spans="1:32" x14ac:dyDescent="0.25">
      <c r="A133" t="s">
        <v>30</v>
      </c>
      <c r="B133">
        <v>2020</v>
      </c>
      <c r="C133">
        <v>2021</v>
      </c>
      <c r="D133">
        <v>2022</v>
      </c>
      <c r="E133">
        <v>2023</v>
      </c>
      <c r="F133">
        <v>2024</v>
      </c>
      <c r="G133">
        <v>2025</v>
      </c>
      <c r="H133">
        <v>2026</v>
      </c>
      <c r="I133">
        <v>2027</v>
      </c>
      <c r="J133">
        <v>2028</v>
      </c>
      <c r="K133">
        <v>2029</v>
      </c>
      <c r="L133">
        <v>2030</v>
      </c>
      <c r="M133">
        <v>2031</v>
      </c>
      <c r="N133">
        <v>2032</v>
      </c>
      <c r="O133">
        <v>2033</v>
      </c>
      <c r="P133">
        <v>2034</v>
      </c>
      <c r="Q133">
        <v>2035</v>
      </c>
      <c r="R133">
        <v>2036</v>
      </c>
      <c r="S133">
        <v>2037</v>
      </c>
      <c r="T133">
        <v>2038</v>
      </c>
      <c r="U133">
        <v>2039</v>
      </c>
      <c r="V133">
        <v>2040</v>
      </c>
      <c r="W133">
        <v>2041</v>
      </c>
      <c r="X133">
        <v>2042</v>
      </c>
      <c r="Y133">
        <v>2043</v>
      </c>
      <c r="Z133">
        <v>2044</v>
      </c>
      <c r="AA133">
        <v>2045</v>
      </c>
      <c r="AB133">
        <v>2046</v>
      </c>
      <c r="AC133">
        <v>2047</v>
      </c>
      <c r="AD133">
        <v>2048</v>
      </c>
      <c r="AE133">
        <v>2049</v>
      </c>
      <c r="AF133">
        <v>2050</v>
      </c>
    </row>
    <row r="134" spans="1:32" x14ac:dyDescent="0.25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s="4" customFormat="1" x14ac:dyDescent="0.25">
      <c r="A142" s="6" t="s">
        <v>50</v>
      </c>
    </row>
    <row r="143" spans="1:32" x14ac:dyDescent="0.25">
      <c r="A143" t="s">
        <v>30</v>
      </c>
      <c r="B143">
        <v>2020</v>
      </c>
      <c r="C143">
        <v>2021</v>
      </c>
      <c r="D143">
        <v>2022</v>
      </c>
      <c r="E143">
        <v>2023</v>
      </c>
      <c r="F143">
        <v>2024</v>
      </c>
      <c r="G143">
        <v>2025</v>
      </c>
      <c r="H143">
        <v>2026</v>
      </c>
      <c r="I143">
        <v>2027</v>
      </c>
      <c r="J143">
        <v>2028</v>
      </c>
      <c r="K143">
        <v>2029</v>
      </c>
      <c r="L143">
        <v>2030</v>
      </c>
      <c r="M143">
        <v>2031</v>
      </c>
      <c r="N143">
        <v>2032</v>
      </c>
      <c r="O143">
        <v>2033</v>
      </c>
      <c r="P143">
        <v>2034</v>
      </c>
      <c r="Q143">
        <v>2035</v>
      </c>
      <c r="R143">
        <v>2036</v>
      </c>
      <c r="S143">
        <v>2037</v>
      </c>
      <c r="T143">
        <v>2038</v>
      </c>
      <c r="U143">
        <v>2039</v>
      </c>
      <c r="V143">
        <v>2040</v>
      </c>
      <c r="W143">
        <v>2041</v>
      </c>
      <c r="X143">
        <v>2042</v>
      </c>
      <c r="Y143">
        <v>2043</v>
      </c>
      <c r="Z143">
        <v>2044</v>
      </c>
      <c r="AA143">
        <v>2045</v>
      </c>
      <c r="AB143">
        <v>2046</v>
      </c>
      <c r="AC143">
        <v>2047</v>
      </c>
      <c r="AD143">
        <v>2048</v>
      </c>
      <c r="AE143">
        <v>2049</v>
      </c>
      <c r="AF143">
        <v>2050</v>
      </c>
    </row>
    <row r="144" spans="1:32" x14ac:dyDescent="0.25">
      <c r="A144" t="s">
        <v>52</v>
      </c>
      <c r="B144">
        <v>5.2768520933097091E-6</v>
      </c>
      <c r="C144">
        <v>4.8451926756206613E-6</v>
      </c>
      <c r="D144">
        <v>4.4135332579317278E-6</v>
      </c>
      <c r="E144">
        <v>3.9818738402426808E-6</v>
      </c>
      <c r="F144">
        <v>3.5502144225536329E-6</v>
      </c>
      <c r="G144">
        <v>3.1185550048645855E-6</v>
      </c>
      <c r="H144">
        <v>2.686895587175652E-6</v>
      </c>
      <c r="I144">
        <v>2.255236169486605E-6</v>
      </c>
      <c r="J144">
        <v>1.8235767517975574E-6</v>
      </c>
      <c r="K144">
        <v>1.3919173341086239E-6</v>
      </c>
      <c r="L144">
        <v>9.6025791641957667E-7</v>
      </c>
      <c r="M144">
        <v>9.3686076921739722E-7</v>
      </c>
      <c r="N144">
        <v>9.1346362201529645E-7</v>
      </c>
      <c r="O144">
        <v>8.9006647481319567E-7</v>
      </c>
      <c r="P144">
        <v>8.6666932761109511E-7</v>
      </c>
      <c r="Q144">
        <v>8.4327218040900143E-7</v>
      </c>
      <c r="R144">
        <v>8.1987503320690065E-7</v>
      </c>
      <c r="S144">
        <v>7.9647788600479987E-7</v>
      </c>
      <c r="T144">
        <v>7.730807388026992E-7</v>
      </c>
      <c r="U144">
        <v>7.4968359160059843E-7</v>
      </c>
      <c r="V144">
        <v>7.2628644439850485E-7</v>
      </c>
      <c r="W144">
        <v>7.0288929719640408E-7</v>
      </c>
      <c r="X144">
        <v>6.7949214999430341E-7</v>
      </c>
      <c r="Y144">
        <v>6.5609500279220263E-7</v>
      </c>
      <c r="Z144">
        <v>6.3269785559010186E-7</v>
      </c>
      <c r="AA144">
        <v>6.0930070838800108E-7</v>
      </c>
      <c r="AB144">
        <v>5.8590356118590761E-7</v>
      </c>
      <c r="AC144">
        <v>5.6250641398380684E-7</v>
      </c>
      <c r="AD144">
        <v>5.3910926678170606E-7</v>
      </c>
      <c r="AE144">
        <v>5.1571211957960539E-7</v>
      </c>
      <c r="AF144">
        <v>4.9231497237750461E-7</v>
      </c>
    </row>
    <row r="145" spans="1:32" x14ac:dyDescent="0.25">
      <c r="A145" t="s">
        <v>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54</v>
      </c>
      <c r="B146">
        <v>5.2768520933097091E-6</v>
      </c>
      <c r="C146">
        <v>4.8451926756206613E-6</v>
      </c>
      <c r="D146">
        <v>4.4135332579317278E-6</v>
      </c>
      <c r="E146">
        <v>3.9818738402426808E-6</v>
      </c>
      <c r="F146">
        <v>3.5502144225536329E-6</v>
      </c>
      <c r="G146">
        <v>3.1185550048645855E-6</v>
      </c>
      <c r="H146">
        <v>2.686895587175652E-6</v>
      </c>
      <c r="I146">
        <v>2.255236169486605E-6</v>
      </c>
      <c r="J146">
        <v>1.8235767517975574E-6</v>
      </c>
      <c r="K146">
        <v>1.3919173341086239E-6</v>
      </c>
      <c r="L146">
        <v>9.6025791641957667E-7</v>
      </c>
      <c r="M146">
        <v>9.3686076921739722E-7</v>
      </c>
      <c r="N146">
        <v>9.1346362201529645E-7</v>
      </c>
      <c r="O146">
        <v>8.9006647481319567E-7</v>
      </c>
      <c r="P146">
        <v>8.6666932761109511E-7</v>
      </c>
      <c r="Q146">
        <v>8.4327218040900143E-7</v>
      </c>
      <c r="R146">
        <v>8.1987503320690065E-7</v>
      </c>
      <c r="S146">
        <v>7.9647788600479987E-7</v>
      </c>
      <c r="T146">
        <v>7.730807388026992E-7</v>
      </c>
      <c r="U146">
        <v>7.4968359160059843E-7</v>
      </c>
      <c r="V146">
        <v>7.2628644439850485E-7</v>
      </c>
      <c r="W146">
        <v>7.0288929719640408E-7</v>
      </c>
      <c r="X146">
        <v>6.7949214999430341E-7</v>
      </c>
      <c r="Y146">
        <v>6.5609500279220263E-7</v>
      </c>
      <c r="Z146">
        <v>6.3269785559010186E-7</v>
      </c>
      <c r="AA146">
        <v>6.0930070838800108E-7</v>
      </c>
      <c r="AB146">
        <v>5.8590356118590761E-7</v>
      </c>
      <c r="AC146">
        <v>5.6250641398380684E-7</v>
      </c>
      <c r="AD146">
        <v>5.3910926678170606E-7</v>
      </c>
      <c r="AE146">
        <v>5.1571211957960539E-7</v>
      </c>
      <c r="AF146">
        <v>4.9231497237750461E-7</v>
      </c>
    </row>
    <row r="147" spans="1:32" x14ac:dyDescent="0.25">
      <c r="A147" t="s">
        <v>55</v>
      </c>
      <c r="B147">
        <v>5.2768520933097091E-6</v>
      </c>
      <c r="C147">
        <v>4.8451926756206613E-6</v>
      </c>
      <c r="D147">
        <v>4.4135332579317278E-6</v>
      </c>
      <c r="E147">
        <v>3.9818738402426808E-6</v>
      </c>
      <c r="F147">
        <v>3.5502144225536329E-6</v>
      </c>
      <c r="G147">
        <v>3.1185550048645855E-6</v>
      </c>
      <c r="H147">
        <v>2.686895587175652E-6</v>
      </c>
      <c r="I147">
        <v>2.255236169486605E-6</v>
      </c>
      <c r="J147">
        <v>1.8235767517975574E-6</v>
      </c>
      <c r="K147">
        <v>1.3919173341086239E-6</v>
      </c>
      <c r="L147">
        <v>9.6025791641957667E-7</v>
      </c>
      <c r="M147">
        <v>9.3686076921739722E-7</v>
      </c>
      <c r="N147">
        <v>9.1346362201529645E-7</v>
      </c>
      <c r="O147">
        <v>8.9006647481319567E-7</v>
      </c>
      <c r="P147">
        <v>8.6666932761109511E-7</v>
      </c>
      <c r="Q147">
        <v>8.4327218040900143E-7</v>
      </c>
      <c r="R147">
        <v>8.1987503320690065E-7</v>
      </c>
      <c r="S147">
        <v>7.9647788600479987E-7</v>
      </c>
      <c r="T147">
        <v>7.730807388026992E-7</v>
      </c>
      <c r="U147">
        <v>7.4968359160059843E-7</v>
      </c>
      <c r="V147">
        <v>7.2628644439850485E-7</v>
      </c>
      <c r="W147">
        <v>7.0288929719640408E-7</v>
      </c>
      <c r="X147">
        <v>6.7949214999430341E-7</v>
      </c>
      <c r="Y147">
        <v>6.5609500279220263E-7</v>
      </c>
      <c r="Z147">
        <v>6.3269785559010186E-7</v>
      </c>
      <c r="AA147">
        <v>6.0930070838800108E-7</v>
      </c>
      <c r="AB147">
        <v>5.8590356118590761E-7</v>
      </c>
      <c r="AC147">
        <v>5.6250641398380684E-7</v>
      </c>
      <c r="AD147">
        <v>5.3910926678170606E-7</v>
      </c>
      <c r="AE147">
        <v>5.1571211957960539E-7</v>
      </c>
      <c r="AF147">
        <v>4.9231497237750461E-7</v>
      </c>
    </row>
    <row r="148" spans="1:32" x14ac:dyDescent="0.25">
      <c r="A148" t="s">
        <v>56</v>
      </c>
      <c r="B148">
        <v>5.2768520933097091E-6</v>
      </c>
      <c r="C148">
        <v>4.8451926756206613E-6</v>
      </c>
      <c r="D148">
        <v>4.4135332579317278E-6</v>
      </c>
      <c r="E148">
        <v>3.9818738402426808E-6</v>
      </c>
      <c r="F148">
        <v>3.5502144225536329E-6</v>
      </c>
      <c r="G148">
        <v>3.1185550048645855E-6</v>
      </c>
      <c r="H148">
        <v>2.686895587175652E-6</v>
      </c>
      <c r="I148">
        <v>2.255236169486605E-6</v>
      </c>
      <c r="J148">
        <v>1.8235767517975574E-6</v>
      </c>
      <c r="K148">
        <v>1.3919173341086239E-6</v>
      </c>
      <c r="L148">
        <v>9.6025791641957667E-7</v>
      </c>
      <c r="M148">
        <v>9.3686076921739722E-7</v>
      </c>
      <c r="N148">
        <v>9.1346362201529645E-7</v>
      </c>
      <c r="O148">
        <v>8.9006647481319567E-7</v>
      </c>
      <c r="P148">
        <v>8.6666932761109511E-7</v>
      </c>
      <c r="Q148">
        <v>8.4327218040900143E-7</v>
      </c>
      <c r="R148">
        <v>8.1987503320690065E-7</v>
      </c>
      <c r="S148">
        <v>7.9647788600479987E-7</v>
      </c>
      <c r="T148">
        <v>7.730807388026992E-7</v>
      </c>
      <c r="U148">
        <v>7.4968359160059843E-7</v>
      </c>
      <c r="V148">
        <v>7.2628644439850485E-7</v>
      </c>
      <c r="W148">
        <v>7.0288929719640408E-7</v>
      </c>
      <c r="X148">
        <v>6.7949214999430341E-7</v>
      </c>
      <c r="Y148">
        <v>6.5609500279220263E-7</v>
      </c>
      <c r="Z148">
        <v>6.3269785559010186E-7</v>
      </c>
      <c r="AA148">
        <v>6.0930070838800108E-7</v>
      </c>
      <c r="AB148">
        <v>5.8590356118590761E-7</v>
      </c>
      <c r="AC148">
        <v>5.6250641398380684E-7</v>
      </c>
      <c r="AD148">
        <v>5.3910926678170606E-7</v>
      </c>
      <c r="AE148">
        <v>5.1571211957960539E-7</v>
      </c>
      <c r="AF148">
        <v>4.9231497237750461E-7</v>
      </c>
    </row>
    <row r="149" spans="1:32" x14ac:dyDescent="0.25">
      <c r="A149" t="s">
        <v>57</v>
      </c>
      <c r="B149">
        <v>5.2768520933097091E-6</v>
      </c>
      <c r="C149">
        <v>4.8451926756206613E-6</v>
      </c>
      <c r="D149">
        <v>4.4135332579317278E-6</v>
      </c>
      <c r="E149">
        <v>3.9818738402426808E-6</v>
      </c>
      <c r="F149">
        <v>3.5502144225536329E-6</v>
      </c>
      <c r="G149">
        <v>3.1185550048645855E-6</v>
      </c>
      <c r="H149">
        <v>2.686895587175652E-6</v>
      </c>
      <c r="I149">
        <v>2.255236169486605E-6</v>
      </c>
      <c r="J149">
        <v>1.8235767517975574E-6</v>
      </c>
      <c r="K149">
        <v>1.3919173341086239E-6</v>
      </c>
      <c r="L149">
        <v>9.6025791641957667E-7</v>
      </c>
      <c r="M149">
        <v>9.3686076921739722E-7</v>
      </c>
      <c r="N149">
        <v>9.1346362201529645E-7</v>
      </c>
      <c r="O149">
        <v>8.9006647481319567E-7</v>
      </c>
      <c r="P149">
        <v>8.6666932761109511E-7</v>
      </c>
      <c r="Q149">
        <v>8.4327218040900143E-7</v>
      </c>
      <c r="R149">
        <v>8.1987503320690065E-7</v>
      </c>
      <c r="S149">
        <v>7.9647788600479987E-7</v>
      </c>
      <c r="T149">
        <v>7.730807388026992E-7</v>
      </c>
      <c r="U149">
        <v>7.4968359160059843E-7</v>
      </c>
      <c r="V149">
        <v>7.2628644439850485E-7</v>
      </c>
      <c r="W149">
        <v>7.0288929719640408E-7</v>
      </c>
      <c r="X149">
        <v>6.7949214999430341E-7</v>
      </c>
      <c r="Y149">
        <v>6.5609500279220263E-7</v>
      </c>
      <c r="Z149">
        <v>6.3269785559010186E-7</v>
      </c>
      <c r="AA149">
        <v>6.0930070838800108E-7</v>
      </c>
      <c r="AB149">
        <v>5.8590356118590761E-7</v>
      </c>
      <c r="AC149">
        <v>5.6250641398380684E-7</v>
      </c>
      <c r="AD149">
        <v>5.3910926678170606E-7</v>
      </c>
      <c r="AE149">
        <v>5.1571211957960539E-7</v>
      </c>
      <c r="AF149">
        <v>4.9231497237750461E-7</v>
      </c>
    </row>
    <row r="150" spans="1:32" x14ac:dyDescent="0.25">
      <c r="A150" t="s">
        <v>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59</v>
      </c>
      <c r="B151">
        <v>5.2768520933097091E-6</v>
      </c>
      <c r="C151">
        <v>4.8451926756206613E-6</v>
      </c>
      <c r="D151">
        <v>4.4135332579317278E-6</v>
      </c>
      <c r="E151">
        <v>3.9818738402426808E-6</v>
      </c>
      <c r="F151">
        <v>3.5502144225536329E-6</v>
      </c>
      <c r="G151">
        <v>3.1185550048645855E-6</v>
      </c>
      <c r="H151">
        <v>2.686895587175652E-6</v>
      </c>
      <c r="I151">
        <v>2.255236169486605E-6</v>
      </c>
      <c r="J151">
        <v>1.8235767517975574E-6</v>
      </c>
      <c r="K151">
        <v>1.3919173341086239E-6</v>
      </c>
      <c r="L151">
        <v>9.6025791641957667E-7</v>
      </c>
      <c r="M151">
        <v>9.3686076921739722E-7</v>
      </c>
      <c r="N151">
        <v>9.1346362201529645E-7</v>
      </c>
      <c r="O151">
        <v>8.9006647481319567E-7</v>
      </c>
      <c r="P151">
        <v>8.6666932761109511E-7</v>
      </c>
      <c r="Q151">
        <v>8.4327218040900143E-7</v>
      </c>
      <c r="R151">
        <v>8.1987503320690065E-7</v>
      </c>
      <c r="S151">
        <v>7.9647788600479987E-7</v>
      </c>
      <c r="T151">
        <v>7.730807388026992E-7</v>
      </c>
      <c r="U151">
        <v>7.4968359160059843E-7</v>
      </c>
      <c r="V151">
        <v>7.2628644439850485E-7</v>
      </c>
      <c r="W151">
        <v>7.0288929719640408E-7</v>
      </c>
      <c r="X151">
        <v>6.7949214999430341E-7</v>
      </c>
      <c r="Y151">
        <v>6.5609500279220263E-7</v>
      </c>
      <c r="Z151">
        <v>6.3269785559010186E-7</v>
      </c>
      <c r="AA151">
        <v>6.0930070838800108E-7</v>
      </c>
      <c r="AB151">
        <v>5.8590356118590761E-7</v>
      </c>
      <c r="AC151">
        <v>5.6250641398380684E-7</v>
      </c>
      <c r="AD151">
        <v>5.3910926678170606E-7</v>
      </c>
      <c r="AE151">
        <v>5.1571211957960539E-7</v>
      </c>
      <c r="AF151">
        <v>4.9231497237750461E-7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319"/>
  <sheetViews>
    <sheetView tabSelected="1" workbookViewId="0">
      <selection activeCell="AP24" sqref="AP24"/>
    </sheetView>
  </sheetViews>
  <sheetFormatPr defaultRowHeight="15" x14ac:dyDescent="0.25"/>
  <cols>
    <col min="1" max="1" width="17.28515625" customWidth="1"/>
    <col min="3" max="32" width="8.7109375" hidden="1" customWidth="1"/>
    <col min="35" max="36" width="24.140625" customWidth="1"/>
    <col min="37" max="37" width="10.5703125" bestFit="1" customWidth="1"/>
  </cols>
  <sheetData>
    <row r="1" spans="1:57" x14ac:dyDescent="0.25">
      <c r="A1" t="s">
        <v>70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I1" s="1" t="s">
        <v>67</v>
      </c>
    </row>
    <row r="2" spans="1:57" x14ac:dyDescent="0.25">
      <c r="A2" s="25" t="s">
        <v>71</v>
      </c>
      <c r="B2" s="12">
        <v>7308160000000000</v>
      </c>
      <c r="C2" s="12">
        <v>1.55331E+16</v>
      </c>
      <c r="D2" s="12">
        <v>2.04741E+16</v>
      </c>
      <c r="E2" s="12">
        <v>2.00034E+16</v>
      </c>
      <c r="F2" s="12">
        <v>1.75349E+16</v>
      </c>
      <c r="G2" s="12">
        <v>1.25259E+16</v>
      </c>
      <c r="H2" s="12">
        <v>1.17533E+16</v>
      </c>
      <c r="I2" s="12">
        <v>1.03512E+16</v>
      </c>
      <c r="J2" s="12">
        <v>9307230000000000</v>
      </c>
      <c r="K2" s="12">
        <v>8179110000000000</v>
      </c>
      <c r="L2" s="12">
        <v>7126210000000000</v>
      </c>
      <c r="M2" s="12">
        <v>7037130000000000</v>
      </c>
      <c r="N2" s="12">
        <v>7096680000000000</v>
      </c>
      <c r="O2" s="12">
        <v>7221090000000000</v>
      </c>
      <c r="P2" s="12">
        <v>7238890000000000</v>
      </c>
      <c r="Q2" s="12">
        <v>7196360000000000</v>
      </c>
      <c r="R2" s="12">
        <v>7314080000000000</v>
      </c>
      <c r="S2" s="12">
        <v>7246510000000000</v>
      </c>
      <c r="T2" s="12">
        <v>7189640000000000</v>
      </c>
      <c r="U2" s="12">
        <v>7159550000000000</v>
      </c>
      <c r="V2" s="12">
        <v>7134590000000000</v>
      </c>
      <c r="W2" s="12">
        <v>7103490000000000</v>
      </c>
      <c r="X2" s="12">
        <v>7129400000000000</v>
      </c>
      <c r="Y2" s="12">
        <v>7151900000000000</v>
      </c>
      <c r="Z2" s="12">
        <v>7196920000000000</v>
      </c>
      <c r="AA2" s="12">
        <v>7014440000000000</v>
      </c>
      <c r="AB2" s="12">
        <v>6981500000000000</v>
      </c>
      <c r="AC2" s="12">
        <v>7073550000000000</v>
      </c>
      <c r="AD2" s="12">
        <v>7197710000000000</v>
      </c>
      <c r="AE2" s="12">
        <v>7336890000000000</v>
      </c>
      <c r="AF2" s="12">
        <v>7471080000000000</v>
      </c>
      <c r="AK2" s="3" t="s">
        <v>21</v>
      </c>
      <c r="AL2" s="3" t="s">
        <v>2</v>
      </c>
      <c r="AM2" s="3" t="s">
        <v>3</v>
      </c>
      <c r="AN2" s="3" t="s">
        <v>4</v>
      </c>
      <c r="AO2" t="s">
        <v>12</v>
      </c>
      <c r="AP2" t="s">
        <v>13</v>
      </c>
      <c r="AQ2" t="s">
        <v>14</v>
      </c>
      <c r="AR2" t="s">
        <v>5</v>
      </c>
      <c r="AS2" t="s">
        <v>6</v>
      </c>
      <c r="AT2" t="s">
        <v>7</v>
      </c>
      <c r="AU2" t="s">
        <v>8</v>
      </c>
      <c r="AV2" t="s">
        <v>9</v>
      </c>
      <c r="AW2" t="s">
        <v>10</v>
      </c>
      <c r="AX2" t="s">
        <v>20</v>
      </c>
      <c r="AY2" t="s">
        <v>15</v>
      </c>
      <c r="AZ2" s="3" t="s">
        <v>11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</row>
    <row r="3" spans="1:57" x14ac:dyDescent="0.25">
      <c r="A3" s="25" t="s">
        <v>72</v>
      </c>
      <c r="B3" s="25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I3" t="s">
        <v>65</v>
      </c>
      <c r="AK3">
        <f t="shared" ref="AK3:AT7" si="0">SUMIFS($B:$B,$A:$A,"*"&amp;$AI3&amp;"*",$A:$A,"*"&amp;AK$2&amp;"*")</f>
        <v>0</v>
      </c>
      <c r="AL3">
        <f t="shared" si="0"/>
        <v>0</v>
      </c>
      <c r="AM3">
        <f t="shared" si="0"/>
        <v>65645260000000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1.316963425E+16</v>
      </c>
      <c r="AT3">
        <f t="shared" si="0"/>
        <v>5820111075200000</v>
      </c>
      <c r="AU3">
        <f t="shared" ref="AU3:BE7" si="1">SUMIFS($B:$B,$A:$A,"*"&amp;$AI3&amp;"*",$A:$A,"*"&amp;AU$2&amp;"*")</f>
        <v>1478169627300000</v>
      </c>
      <c r="AV3">
        <f t="shared" si="1"/>
        <v>217499806470000</v>
      </c>
      <c r="AW3">
        <f t="shared" si="1"/>
        <v>1863350000000000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8107617000000</v>
      </c>
      <c r="BD3">
        <f t="shared" si="1"/>
        <v>0</v>
      </c>
      <c r="BE3">
        <f t="shared" si="1"/>
        <v>198700040000</v>
      </c>
    </row>
    <row r="4" spans="1:57" x14ac:dyDescent="0.25">
      <c r="A4" s="25" t="s">
        <v>73</v>
      </c>
      <c r="B4" s="25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I4" t="s">
        <v>60</v>
      </c>
      <c r="AK4">
        <f t="shared" si="0"/>
        <v>0</v>
      </c>
      <c r="AL4">
        <f t="shared" si="0"/>
        <v>7308160000000000</v>
      </c>
      <c r="AM4">
        <f t="shared" si="0"/>
        <v>1.22612559E+16</v>
      </c>
      <c r="AN4">
        <f t="shared" si="0"/>
        <v>8254620000000000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344811000000000</v>
      </c>
      <c r="AS4">
        <f t="shared" si="0"/>
        <v>0</v>
      </c>
      <c r="AT4">
        <f t="shared" si="0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186857000000000</v>
      </c>
      <c r="BA4">
        <f t="shared" si="1"/>
        <v>0</v>
      </c>
      <c r="BB4">
        <f t="shared" si="1"/>
        <v>0</v>
      </c>
      <c r="BC4">
        <f t="shared" si="1"/>
        <v>0</v>
      </c>
      <c r="BD4">
        <f t="shared" si="1"/>
        <v>262173000000000</v>
      </c>
      <c r="BE4">
        <f t="shared" si="1"/>
        <v>0</v>
      </c>
    </row>
    <row r="5" spans="1:57" x14ac:dyDescent="0.25">
      <c r="A5" s="25" t="s">
        <v>74</v>
      </c>
      <c r="B5" s="12">
        <v>1558180000000000</v>
      </c>
      <c r="C5" s="12">
        <v>616608000000000</v>
      </c>
      <c r="D5" s="12">
        <v>124754000000000</v>
      </c>
      <c r="E5" s="12">
        <v>184348000000000</v>
      </c>
      <c r="F5" s="12">
        <v>337998000000000</v>
      </c>
      <c r="G5" s="12">
        <v>417935000000000</v>
      </c>
      <c r="H5" s="12">
        <v>418598000000000</v>
      </c>
      <c r="I5" s="12">
        <v>460248000000000</v>
      </c>
      <c r="J5" s="12">
        <v>487927000000000</v>
      </c>
      <c r="K5" s="12">
        <v>444046000000000</v>
      </c>
      <c r="L5" s="12">
        <v>471781000000000</v>
      </c>
      <c r="M5" s="12">
        <v>444729000000000</v>
      </c>
      <c r="N5" s="12">
        <v>436205000000000</v>
      </c>
      <c r="O5" s="12">
        <v>414000000000000</v>
      </c>
      <c r="P5" s="12">
        <v>400875000000000</v>
      </c>
      <c r="Q5" s="12">
        <v>383633000000000</v>
      </c>
      <c r="R5" s="12">
        <v>365946000000000</v>
      </c>
      <c r="S5" s="12">
        <v>367382000000000</v>
      </c>
      <c r="T5" s="12">
        <v>366828000000000</v>
      </c>
      <c r="U5" s="12">
        <v>355090000000000</v>
      </c>
      <c r="V5" s="12">
        <v>356036000000000</v>
      </c>
      <c r="W5" s="12">
        <v>356424000000000</v>
      </c>
      <c r="X5" s="12">
        <v>348639000000000</v>
      </c>
      <c r="Y5" s="12">
        <v>348066000000000</v>
      </c>
      <c r="Z5" s="12">
        <v>347536000000000</v>
      </c>
      <c r="AA5" s="12">
        <v>347189000000000</v>
      </c>
      <c r="AB5" s="12">
        <v>346878000000000</v>
      </c>
      <c r="AC5" s="12">
        <v>334101000000000</v>
      </c>
      <c r="AD5" s="12">
        <v>329165000000000</v>
      </c>
      <c r="AE5" s="12">
        <v>314946000000000</v>
      </c>
      <c r="AF5" s="12">
        <v>310114000000000</v>
      </c>
      <c r="AI5" t="s">
        <v>61</v>
      </c>
      <c r="AJ5" t="s">
        <v>62</v>
      </c>
      <c r="AK5">
        <f t="shared" si="0"/>
        <v>0</v>
      </c>
      <c r="AL5">
        <f t="shared" si="0"/>
        <v>20540000000000</v>
      </c>
      <c r="AM5">
        <f t="shared" si="0"/>
        <v>8131760000000000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457520000000000</v>
      </c>
      <c r="AS5">
        <f t="shared" si="0"/>
        <v>0</v>
      </c>
      <c r="AT5">
        <f t="shared" si="0"/>
        <v>730599000000000</v>
      </c>
      <c r="AU5">
        <f t="shared" si="1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948280000000000</v>
      </c>
      <c r="BD5">
        <f t="shared" si="1"/>
        <v>0</v>
      </c>
      <c r="BE5">
        <f t="shared" si="1"/>
        <v>0</v>
      </c>
    </row>
    <row r="6" spans="1:57" x14ac:dyDescent="0.25">
      <c r="A6" s="25" t="s">
        <v>75</v>
      </c>
      <c r="B6" s="25">
        <v>9060870000000000</v>
      </c>
      <c r="C6" s="12">
        <v>4220730000000000</v>
      </c>
      <c r="D6" s="12">
        <v>1021550000000000</v>
      </c>
      <c r="E6" s="12">
        <v>1648520000000000</v>
      </c>
      <c r="F6" s="12">
        <v>3279200000000000</v>
      </c>
      <c r="G6" s="12">
        <v>4307340000000000</v>
      </c>
      <c r="H6" s="12">
        <v>4710190000000000</v>
      </c>
      <c r="I6" s="12">
        <v>5246940000000000</v>
      </c>
      <c r="J6" s="12">
        <v>5705060000000000</v>
      </c>
      <c r="K6" s="12">
        <v>6197630000000000</v>
      </c>
      <c r="L6" s="12">
        <v>6689530000000000</v>
      </c>
      <c r="M6" s="12">
        <v>6722230000000000</v>
      </c>
      <c r="N6" s="12">
        <v>6627740000000000</v>
      </c>
      <c r="O6" s="12">
        <v>6515420000000000</v>
      </c>
      <c r="P6" s="12">
        <v>6448260000000000</v>
      </c>
      <c r="Q6" s="12">
        <v>6410930000000000</v>
      </c>
      <c r="R6" s="12">
        <v>6362690000000000</v>
      </c>
      <c r="S6" s="12">
        <v>6372650000000000</v>
      </c>
      <c r="T6" s="12">
        <v>6355880000000000</v>
      </c>
      <c r="U6" s="12">
        <v>6347180000000000</v>
      </c>
      <c r="V6" s="12">
        <v>6373000000000000</v>
      </c>
      <c r="W6" s="12">
        <v>6367720000000000</v>
      </c>
      <c r="X6" s="12">
        <v>6350690000000000</v>
      </c>
      <c r="Y6" s="12">
        <v>6342140000000000</v>
      </c>
      <c r="Z6" s="12">
        <v>6359690000000000</v>
      </c>
      <c r="AA6" s="12">
        <v>6352790000000000</v>
      </c>
      <c r="AB6" s="12">
        <v>6332760000000000</v>
      </c>
      <c r="AC6" s="12">
        <v>6271410000000000</v>
      </c>
      <c r="AD6" s="12">
        <v>6190910000000000</v>
      </c>
      <c r="AE6" s="12">
        <v>6104060000000000</v>
      </c>
      <c r="AF6" s="12">
        <v>6016910000000000</v>
      </c>
      <c r="AI6" t="s">
        <v>61</v>
      </c>
      <c r="AJ6" t="s">
        <v>63</v>
      </c>
      <c r="AK6">
        <f t="shared" si="0"/>
        <v>0</v>
      </c>
      <c r="AL6">
        <f t="shared" si="0"/>
        <v>20540000000000</v>
      </c>
      <c r="AM6">
        <f t="shared" si="0"/>
        <v>8131760000000000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457520000000000</v>
      </c>
      <c r="AS6">
        <f t="shared" si="0"/>
        <v>0</v>
      </c>
      <c r="AT6">
        <f t="shared" si="0"/>
        <v>730599000000000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948280000000000</v>
      </c>
      <c r="BD6">
        <f t="shared" si="1"/>
        <v>0</v>
      </c>
      <c r="BE6">
        <f t="shared" si="1"/>
        <v>0</v>
      </c>
    </row>
    <row r="7" spans="1:57" x14ac:dyDescent="0.25">
      <c r="A7" s="25" t="s">
        <v>76</v>
      </c>
      <c r="B7" s="12">
        <v>270803000000000</v>
      </c>
      <c r="C7" s="12">
        <v>203766000000000</v>
      </c>
      <c r="D7" s="12">
        <v>115894000000000</v>
      </c>
      <c r="E7" s="12">
        <v>252844000000000</v>
      </c>
      <c r="F7" s="12">
        <v>566992000000000</v>
      </c>
      <c r="G7" s="12">
        <v>895018000000000</v>
      </c>
      <c r="H7" s="12">
        <v>1015860000000000</v>
      </c>
      <c r="I7" s="12">
        <v>1192120000000000</v>
      </c>
      <c r="J7" s="12">
        <v>1340050000000000</v>
      </c>
      <c r="K7" s="12">
        <v>1522740000000000</v>
      </c>
      <c r="L7" s="12">
        <v>1686870000000000</v>
      </c>
      <c r="M7" s="12">
        <v>1715720000000000</v>
      </c>
      <c r="N7" s="12">
        <v>1711490000000000</v>
      </c>
      <c r="O7" s="12">
        <v>1700100000000000</v>
      </c>
      <c r="P7" s="12">
        <v>1703920000000000</v>
      </c>
      <c r="Q7" s="12">
        <v>1713710000000000</v>
      </c>
      <c r="R7" s="12">
        <v>1710060000000000</v>
      </c>
      <c r="S7" s="12">
        <v>1728570000000000</v>
      </c>
      <c r="T7" s="12">
        <v>1738250000000000</v>
      </c>
      <c r="U7" s="12">
        <v>1750780000000000</v>
      </c>
      <c r="V7" s="12">
        <v>1761440000000000</v>
      </c>
      <c r="W7" s="12">
        <v>1769270000000000</v>
      </c>
      <c r="X7" s="12">
        <v>1771870000000000</v>
      </c>
      <c r="Y7" s="12">
        <v>1780780000000000</v>
      </c>
      <c r="Z7" s="12">
        <v>1790030000000000</v>
      </c>
      <c r="AA7" s="12">
        <v>1812630000000000</v>
      </c>
      <c r="AB7" s="12">
        <v>1817080000000000</v>
      </c>
      <c r="AC7" s="12">
        <v>1805700000000000</v>
      </c>
      <c r="AD7" s="12">
        <v>1785410000000000</v>
      </c>
      <c r="AE7" s="12">
        <v>1764170000000000</v>
      </c>
      <c r="AF7" s="12">
        <v>1743210000000000</v>
      </c>
      <c r="AI7" t="s">
        <v>64</v>
      </c>
      <c r="AK7">
        <f t="shared" si="0"/>
        <v>0</v>
      </c>
      <c r="AL7">
        <f t="shared" si="0"/>
        <v>989907462900000</v>
      </c>
      <c r="AM7">
        <f t="shared" si="0"/>
        <v>1.14111133E+16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904565000000000</v>
      </c>
      <c r="AS7">
        <f t="shared" si="0"/>
        <v>0</v>
      </c>
      <c r="AT7">
        <f t="shared" si="0"/>
        <v>2256261697000000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3.20722E+16</v>
      </c>
      <c r="BB7">
        <f t="shared" si="1"/>
        <v>0</v>
      </c>
      <c r="BC7">
        <f t="shared" si="1"/>
        <v>3703848115000000</v>
      </c>
      <c r="BD7">
        <f t="shared" si="1"/>
        <v>0</v>
      </c>
      <c r="BE7">
        <f t="shared" si="1"/>
        <v>0</v>
      </c>
    </row>
    <row r="8" spans="1:57" x14ac:dyDescent="0.25">
      <c r="A8" s="25" t="s">
        <v>77</v>
      </c>
      <c r="B8" s="12">
        <v>8254620000000000</v>
      </c>
      <c r="C8" s="12">
        <v>7784730000000000</v>
      </c>
      <c r="D8" s="12">
        <v>7699300000000000</v>
      </c>
      <c r="E8" s="12">
        <v>7699300000000000</v>
      </c>
      <c r="F8" s="12">
        <v>7699300000000000</v>
      </c>
      <c r="G8" s="12">
        <v>7613860000000000</v>
      </c>
      <c r="H8" s="12">
        <v>6460490000000000</v>
      </c>
      <c r="I8" s="12">
        <v>5777010000000000</v>
      </c>
      <c r="J8" s="12">
        <v>5563430000000000</v>
      </c>
      <c r="K8" s="12">
        <v>5008100000000000</v>
      </c>
      <c r="L8" s="12">
        <v>5008100000000000</v>
      </c>
      <c r="M8" s="12">
        <v>4837230000000000</v>
      </c>
      <c r="N8" s="12">
        <v>4709080000000000</v>
      </c>
      <c r="O8" s="12">
        <v>4623640000000000</v>
      </c>
      <c r="P8" s="12">
        <v>4452770000000000</v>
      </c>
      <c r="Q8" s="12">
        <v>4452770000000000</v>
      </c>
      <c r="R8" s="12">
        <v>4367340000000000</v>
      </c>
      <c r="S8" s="12">
        <v>4196470000000000</v>
      </c>
      <c r="T8" s="12">
        <v>4111040000000000</v>
      </c>
      <c r="U8" s="12">
        <v>4111040000000000</v>
      </c>
      <c r="V8" s="12">
        <v>4111040000000000</v>
      </c>
      <c r="W8" s="12">
        <v>4111040000000000</v>
      </c>
      <c r="X8" s="12">
        <v>4111040000000000</v>
      </c>
      <c r="Y8" s="12">
        <v>3897450000000000</v>
      </c>
      <c r="Z8" s="12">
        <v>3427560000000000</v>
      </c>
      <c r="AA8" s="12">
        <v>3427560000000000</v>
      </c>
      <c r="AB8" s="12">
        <v>3427560000000000</v>
      </c>
      <c r="AC8" s="12">
        <v>3342120000000000</v>
      </c>
      <c r="AD8" s="12">
        <v>3171250000000000</v>
      </c>
      <c r="AE8" s="12">
        <v>3171250000000000</v>
      </c>
      <c r="AF8" s="12">
        <v>3171250000000000</v>
      </c>
    </row>
    <row r="9" spans="1:57" x14ac:dyDescent="0.25">
      <c r="A9" s="25" t="s">
        <v>78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I9" s="1"/>
    </row>
    <row r="10" spans="1:57" x14ac:dyDescent="0.25">
      <c r="A10" s="25" t="s">
        <v>79</v>
      </c>
      <c r="B10" s="25">
        <v>0</v>
      </c>
      <c r="C10" s="25">
        <v>85434800000000</v>
      </c>
      <c r="D10" s="12">
        <v>170870000000000</v>
      </c>
      <c r="E10" s="12">
        <v>170870000000000</v>
      </c>
      <c r="F10" s="12">
        <v>170870000000000</v>
      </c>
      <c r="G10" s="12">
        <v>170870000000000</v>
      </c>
      <c r="H10" s="12">
        <v>213587000000000</v>
      </c>
      <c r="I10" s="12">
        <v>213587000000000</v>
      </c>
      <c r="J10" s="12">
        <v>213587000000000</v>
      </c>
      <c r="K10" s="12">
        <v>213587000000000</v>
      </c>
      <c r="L10" s="12">
        <v>213587000000000</v>
      </c>
      <c r="M10" s="12">
        <v>213587000000000</v>
      </c>
      <c r="N10" s="12">
        <v>213587000000000</v>
      </c>
      <c r="O10" s="12">
        <v>213587000000000</v>
      </c>
      <c r="P10" s="12">
        <v>213587000000000</v>
      </c>
      <c r="Q10" s="12">
        <v>213587000000000</v>
      </c>
      <c r="R10" s="12">
        <v>213587000000000</v>
      </c>
      <c r="S10" s="12">
        <v>213587000000000</v>
      </c>
      <c r="T10" s="12">
        <v>213587000000000</v>
      </c>
      <c r="U10" s="12">
        <v>213587000000000</v>
      </c>
      <c r="V10" s="12">
        <v>213587000000000</v>
      </c>
      <c r="W10" s="12">
        <v>213587000000000</v>
      </c>
      <c r="X10" s="12">
        <v>213587000000000</v>
      </c>
      <c r="Y10" s="12">
        <v>213587000000000</v>
      </c>
      <c r="Z10" s="12">
        <v>213587000000000</v>
      </c>
      <c r="AA10" s="12">
        <v>213587000000000</v>
      </c>
      <c r="AB10" s="12">
        <v>213587000000000</v>
      </c>
      <c r="AC10" s="12">
        <v>213587000000000</v>
      </c>
      <c r="AD10" s="12">
        <v>213587000000000</v>
      </c>
      <c r="AE10" s="12">
        <v>213587000000000</v>
      </c>
      <c r="AF10" s="12">
        <v>213587000000000</v>
      </c>
      <c r="AI10" s="3"/>
    </row>
    <row r="11" spans="1:57" x14ac:dyDescent="0.25">
      <c r="A11" s="25" t="s">
        <v>80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I11" s="3"/>
    </row>
    <row r="12" spans="1:57" x14ac:dyDescent="0.25">
      <c r="A12" s="25" t="s">
        <v>81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I12" s="3"/>
      <c r="AJ12" s="3"/>
    </row>
    <row r="13" spans="1:57" x14ac:dyDescent="0.25">
      <c r="A13" s="25" t="s">
        <v>82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I13" s="3"/>
    </row>
    <row r="14" spans="1:57" x14ac:dyDescent="0.25">
      <c r="A14" s="25" t="s">
        <v>83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</row>
    <row r="15" spans="1:57" x14ac:dyDescent="0.25">
      <c r="A15" s="25" t="s">
        <v>84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</row>
    <row r="16" spans="1:57" x14ac:dyDescent="0.25">
      <c r="A16" s="25" t="s">
        <v>85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</row>
    <row r="17" spans="1:35" x14ac:dyDescent="0.25">
      <c r="A17" s="25" t="s">
        <v>86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</row>
    <row r="18" spans="1:35" x14ac:dyDescent="0.25">
      <c r="A18" s="25" t="s">
        <v>87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</row>
    <row r="19" spans="1:35" x14ac:dyDescent="0.25">
      <c r="A19" s="25" t="s">
        <v>88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</row>
    <row r="20" spans="1:35" x14ac:dyDescent="0.25">
      <c r="A20" s="25" t="s">
        <v>89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</row>
    <row r="21" spans="1:35" x14ac:dyDescent="0.25">
      <c r="A21" s="25" t="s">
        <v>90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</row>
    <row r="22" spans="1:35" x14ac:dyDescent="0.25">
      <c r="A22" s="25" t="s">
        <v>91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</row>
    <row r="23" spans="1:35" x14ac:dyDescent="0.25">
      <c r="A23" s="25" t="s">
        <v>92</v>
      </c>
      <c r="B23" s="12">
        <v>344811000000000</v>
      </c>
      <c r="C23" s="12">
        <v>344811000000000</v>
      </c>
      <c r="D23" s="12">
        <v>344811000000000</v>
      </c>
      <c r="E23" s="12">
        <v>344811000000000</v>
      </c>
      <c r="F23" s="12">
        <v>344811000000000</v>
      </c>
      <c r="G23" s="12">
        <v>344811000000000</v>
      </c>
      <c r="H23" s="12">
        <v>344811000000000</v>
      </c>
      <c r="I23" s="12">
        <v>344811000000000</v>
      </c>
      <c r="J23" s="12">
        <v>344811000000000</v>
      </c>
      <c r="K23" s="12">
        <v>344811000000000</v>
      </c>
      <c r="L23" s="12">
        <v>344811000000000</v>
      </c>
      <c r="M23" s="12">
        <v>344811000000000</v>
      </c>
      <c r="N23" s="12">
        <v>344811000000000</v>
      </c>
      <c r="O23" s="12">
        <v>344811000000000</v>
      </c>
      <c r="P23" s="12">
        <v>344811000000000</v>
      </c>
      <c r="Q23" s="12">
        <v>344811000000000</v>
      </c>
      <c r="R23" s="12">
        <v>344811000000000</v>
      </c>
      <c r="S23" s="12">
        <v>344811000000000</v>
      </c>
      <c r="T23" s="12">
        <v>344811000000000</v>
      </c>
      <c r="U23" s="12">
        <v>344811000000000</v>
      </c>
      <c r="V23" s="12">
        <v>344811000000000</v>
      </c>
      <c r="W23" s="12">
        <v>344811000000000</v>
      </c>
      <c r="X23" s="12">
        <v>344811000000000</v>
      </c>
      <c r="Y23" s="12">
        <v>344811000000000</v>
      </c>
      <c r="Z23" s="12">
        <v>344811000000000</v>
      </c>
      <c r="AA23" s="12">
        <v>344811000000000</v>
      </c>
      <c r="AB23" s="12">
        <v>344811000000000</v>
      </c>
      <c r="AC23" s="12">
        <v>344811000000000</v>
      </c>
      <c r="AD23" s="12">
        <v>344811000000000</v>
      </c>
      <c r="AE23" s="12">
        <v>344811000000000</v>
      </c>
      <c r="AF23" s="12">
        <v>344811000000000</v>
      </c>
    </row>
    <row r="24" spans="1:35" x14ac:dyDescent="0.25">
      <c r="A24" s="25" t="s">
        <v>93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</row>
    <row r="25" spans="1:35" x14ac:dyDescent="0.25">
      <c r="A25" s="25" t="s">
        <v>94</v>
      </c>
      <c r="B25" s="12">
        <v>0</v>
      </c>
      <c r="C25" s="12">
        <v>2586620000000</v>
      </c>
      <c r="D25" s="12">
        <v>6466560000000</v>
      </c>
      <c r="E25" s="12">
        <v>7759870000000</v>
      </c>
      <c r="F25" s="12">
        <v>7759870000000</v>
      </c>
      <c r="G25" s="12">
        <v>23279600000000</v>
      </c>
      <c r="H25" s="12">
        <v>29746200000000</v>
      </c>
      <c r="I25" s="12">
        <v>34919400000000</v>
      </c>
      <c r="J25" s="12">
        <v>37506000000000</v>
      </c>
      <c r="K25" s="12">
        <v>40092700000000</v>
      </c>
      <c r="L25" s="12">
        <v>40092700000000</v>
      </c>
      <c r="M25" s="12">
        <v>41386000000000</v>
      </c>
      <c r="N25" s="12">
        <v>42679300000000</v>
      </c>
      <c r="O25" s="12">
        <v>43972600000000</v>
      </c>
      <c r="P25" s="12">
        <v>45265900000000</v>
      </c>
      <c r="Q25" s="12">
        <v>45265900000000</v>
      </c>
      <c r="R25" s="12">
        <v>45265900000000</v>
      </c>
      <c r="S25" s="12">
        <v>46559200000000</v>
      </c>
      <c r="T25" s="12">
        <v>46559200000000</v>
      </c>
      <c r="U25" s="12">
        <v>46559200000000</v>
      </c>
      <c r="V25" s="12">
        <v>46559200000000</v>
      </c>
      <c r="W25" s="12">
        <v>46559200000000</v>
      </c>
      <c r="X25" s="12">
        <v>46559200000000</v>
      </c>
      <c r="Y25" s="12">
        <v>46559200000000</v>
      </c>
      <c r="Z25" s="12">
        <v>47852500000000</v>
      </c>
      <c r="AA25" s="12">
        <v>47852500000000</v>
      </c>
      <c r="AB25" s="12">
        <v>47852500000000</v>
      </c>
      <c r="AC25" s="12">
        <v>47852500000000</v>
      </c>
      <c r="AD25" s="12">
        <v>47852500000000</v>
      </c>
      <c r="AE25" s="12">
        <v>47852500000000</v>
      </c>
      <c r="AF25" s="12">
        <v>47852500000000</v>
      </c>
      <c r="AI25" s="3"/>
    </row>
    <row r="26" spans="1:35" x14ac:dyDescent="0.25">
      <c r="A26" s="25" t="s">
        <v>95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</row>
    <row r="27" spans="1:35" x14ac:dyDescent="0.25">
      <c r="A27" s="25" t="s">
        <v>96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</row>
    <row r="28" spans="1:35" x14ac:dyDescent="0.25">
      <c r="A28" s="25" t="s">
        <v>97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</row>
    <row r="29" spans="1:35" x14ac:dyDescent="0.25">
      <c r="A29" s="25" t="s">
        <v>98</v>
      </c>
      <c r="B29" s="12">
        <v>121125000000000</v>
      </c>
      <c r="C29" s="12">
        <v>120823000000000</v>
      </c>
      <c r="D29" s="12">
        <v>120720000000000</v>
      </c>
      <c r="E29" s="12">
        <v>120645000000000</v>
      </c>
      <c r="F29" s="12">
        <v>120567000000000</v>
      </c>
      <c r="G29" s="12">
        <v>121700000000000</v>
      </c>
      <c r="H29" s="12">
        <v>122089000000000</v>
      </c>
      <c r="I29" s="12">
        <v>122306000000000</v>
      </c>
      <c r="J29" s="12">
        <v>122480000000000</v>
      </c>
      <c r="K29" s="12">
        <v>122639000000000</v>
      </c>
      <c r="L29" s="12">
        <v>122796000000000</v>
      </c>
      <c r="M29" s="12">
        <v>122917000000000</v>
      </c>
      <c r="N29" s="12">
        <v>123018000000000</v>
      </c>
      <c r="O29" s="12">
        <v>123106000000000</v>
      </c>
      <c r="P29" s="12">
        <v>123190000000000</v>
      </c>
      <c r="Q29" s="12">
        <v>123278000000000</v>
      </c>
      <c r="R29" s="12">
        <v>123359000000000</v>
      </c>
      <c r="S29" s="12">
        <v>123414000000000</v>
      </c>
      <c r="T29" s="12">
        <v>123488000000000</v>
      </c>
      <c r="U29" s="12">
        <v>123565000000000</v>
      </c>
      <c r="V29" s="12">
        <v>123623000000000</v>
      </c>
      <c r="W29" s="12">
        <v>123681000000000</v>
      </c>
      <c r="X29" s="12">
        <v>123744000000000</v>
      </c>
      <c r="Y29" s="12">
        <v>123789000000000</v>
      </c>
      <c r="Z29" s="12">
        <v>123814000000000</v>
      </c>
      <c r="AA29" s="12">
        <v>123859000000000</v>
      </c>
      <c r="AB29" s="12">
        <v>123902000000000</v>
      </c>
      <c r="AC29" s="12">
        <v>123955000000000</v>
      </c>
      <c r="AD29" s="12">
        <v>123998000000000</v>
      </c>
      <c r="AE29" s="12">
        <v>124047000000000</v>
      </c>
      <c r="AF29" s="12">
        <v>124094000000000</v>
      </c>
    </row>
    <row r="30" spans="1:35" x14ac:dyDescent="0.25">
      <c r="A30" s="25" t="s">
        <v>99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</row>
    <row r="31" spans="1:35" x14ac:dyDescent="0.25">
      <c r="A31" s="25" t="s">
        <v>100</v>
      </c>
      <c r="B31" s="25">
        <v>0</v>
      </c>
      <c r="C31" s="25">
        <v>9643350000</v>
      </c>
      <c r="D31" s="25">
        <v>9635030000</v>
      </c>
      <c r="E31" s="12">
        <v>9629070000</v>
      </c>
      <c r="F31" s="12">
        <v>9622850000</v>
      </c>
      <c r="G31" s="12">
        <v>252547000000</v>
      </c>
      <c r="H31" s="12">
        <v>384901000000</v>
      </c>
      <c r="I31" s="12">
        <v>478325000000</v>
      </c>
      <c r="J31" s="12">
        <v>566988000000</v>
      </c>
      <c r="K31" s="12">
        <v>650920000000</v>
      </c>
      <c r="L31" s="12">
        <v>720358000000</v>
      </c>
      <c r="M31" s="12">
        <v>775024000000</v>
      </c>
      <c r="N31" s="12">
        <v>829664000000</v>
      </c>
      <c r="O31" s="12">
        <v>879387000000</v>
      </c>
      <c r="P31" s="12">
        <v>929141000000</v>
      </c>
      <c r="Q31" s="12">
        <v>983924000000</v>
      </c>
      <c r="R31" s="12">
        <v>1033800000000</v>
      </c>
      <c r="S31" s="12">
        <v>1073660000000</v>
      </c>
      <c r="T31" s="12">
        <v>1123580000000</v>
      </c>
      <c r="U31" s="12">
        <v>1173590000000</v>
      </c>
      <c r="V31" s="12">
        <v>1218540000000</v>
      </c>
      <c r="W31" s="12">
        <v>1263540000000</v>
      </c>
      <c r="X31" s="12">
        <v>1308620000000</v>
      </c>
      <c r="Y31" s="12">
        <v>1348610000000</v>
      </c>
      <c r="Z31" s="12">
        <v>1373590000000</v>
      </c>
      <c r="AA31" s="12">
        <v>1413630000000</v>
      </c>
      <c r="AB31" s="12">
        <v>1453680000000</v>
      </c>
      <c r="AC31" s="12">
        <v>1498820000000</v>
      </c>
      <c r="AD31" s="12">
        <v>1538930000000</v>
      </c>
      <c r="AE31" s="12">
        <v>1589030000000</v>
      </c>
      <c r="AF31" s="12">
        <v>1644120000000</v>
      </c>
    </row>
    <row r="32" spans="1:35" x14ac:dyDescent="0.25">
      <c r="A32" s="25" t="s">
        <v>101</v>
      </c>
      <c r="B32" s="12">
        <v>1338380000000000</v>
      </c>
      <c r="C32" s="12">
        <v>1328880000000000</v>
      </c>
      <c r="D32" s="12">
        <v>1321760000000000</v>
      </c>
      <c r="E32" s="12">
        <v>1315370000000000</v>
      </c>
      <c r="F32" s="12">
        <v>1311280000000000</v>
      </c>
      <c r="G32" s="12">
        <v>1323680000000000</v>
      </c>
      <c r="H32" s="12">
        <v>1314780000000000</v>
      </c>
      <c r="I32" s="12">
        <v>1310740000000000</v>
      </c>
      <c r="J32" s="12">
        <v>1312920000000000</v>
      </c>
      <c r="K32" s="12">
        <v>1314990000000000</v>
      </c>
      <c r="L32" s="12">
        <v>1313230000000000</v>
      </c>
      <c r="M32" s="12">
        <v>1314350000000000</v>
      </c>
      <c r="N32" s="12">
        <v>1313580000000000</v>
      </c>
      <c r="O32" s="12">
        <v>1312680000000000</v>
      </c>
      <c r="P32" s="12">
        <v>1313380000000000</v>
      </c>
      <c r="Q32" s="12">
        <v>1314150000000000</v>
      </c>
      <c r="R32" s="12">
        <v>1314810000000000</v>
      </c>
      <c r="S32" s="12">
        <v>1315310000000000</v>
      </c>
      <c r="T32" s="12">
        <v>1315440000000000</v>
      </c>
      <c r="U32" s="12">
        <v>1316120000000000</v>
      </c>
      <c r="V32" s="12">
        <v>1316650000000000</v>
      </c>
      <c r="W32" s="12">
        <v>1315030000000000</v>
      </c>
      <c r="X32" s="12">
        <v>1315030000000000</v>
      </c>
      <c r="Y32" s="12">
        <v>1315410000000000</v>
      </c>
      <c r="Z32" s="12">
        <v>1315620000000000</v>
      </c>
      <c r="AA32" s="12">
        <v>1315520000000000</v>
      </c>
      <c r="AB32" s="12">
        <v>1315900000000000</v>
      </c>
      <c r="AC32" s="12">
        <v>1316330000000000</v>
      </c>
      <c r="AD32" s="12">
        <v>1315580000000000</v>
      </c>
      <c r="AE32" s="12">
        <v>1315950000000000</v>
      </c>
      <c r="AF32" s="12">
        <v>1316310000000000</v>
      </c>
    </row>
    <row r="33" spans="1:32" x14ac:dyDescent="0.25">
      <c r="A33" s="25" t="s">
        <v>102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</row>
    <row r="34" spans="1:32" x14ac:dyDescent="0.25">
      <c r="A34" s="25" t="s">
        <v>103</v>
      </c>
      <c r="B34" s="12">
        <v>33022900000000</v>
      </c>
      <c r="C34" s="12">
        <v>57172500000000</v>
      </c>
      <c r="D34" s="12">
        <v>68682600000000</v>
      </c>
      <c r="E34" s="12">
        <v>80087100000000</v>
      </c>
      <c r="F34" s="12">
        <v>85719400000000</v>
      </c>
      <c r="G34" s="12">
        <v>392373000000000</v>
      </c>
      <c r="H34" s="12">
        <v>546513000000000</v>
      </c>
      <c r="I34" s="12">
        <v>643699000000000</v>
      </c>
      <c r="J34" s="12">
        <v>728813000000000</v>
      </c>
      <c r="K34" s="12">
        <v>822492000000000</v>
      </c>
      <c r="L34" s="12">
        <v>915304000000000</v>
      </c>
      <c r="M34" s="12">
        <v>991435000000000</v>
      </c>
      <c r="N34" s="12">
        <v>1064070000000000</v>
      </c>
      <c r="O34" s="12">
        <v>1129450000000000</v>
      </c>
      <c r="P34" s="12">
        <v>1193270000000000</v>
      </c>
      <c r="Q34" s="12">
        <v>1266120000000000</v>
      </c>
      <c r="R34" s="12">
        <v>1336690000000000</v>
      </c>
      <c r="S34" s="12">
        <v>1395550000000000</v>
      </c>
      <c r="T34" s="12">
        <v>1468500000000000</v>
      </c>
      <c r="U34" s="12">
        <v>1544870000000000</v>
      </c>
      <c r="V34" s="12">
        <v>1612250000000000</v>
      </c>
      <c r="W34" s="12">
        <v>1683010000000000</v>
      </c>
      <c r="X34" s="12">
        <v>1759390000000000</v>
      </c>
      <c r="Y34" s="12">
        <v>1824480000000000</v>
      </c>
      <c r="Z34" s="12">
        <v>1872670000000000</v>
      </c>
      <c r="AA34" s="12">
        <v>1944630000000000</v>
      </c>
      <c r="AB34" s="12">
        <v>2016510000000000</v>
      </c>
      <c r="AC34" s="12">
        <v>2097940000000000</v>
      </c>
      <c r="AD34" s="12">
        <v>2175320000000000</v>
      </c>
      <c r="AE34" s="12">
        <v>2262850000000000</v>
      </c>
      <c r="AF34" s="12">
        <v>2355430000000000</v>
      </c>
    </row>
    <row r="35" spans="1:32" x14ac:dyDescent="0.25">
      <c r="A35" s="25" t="s">
        <v>104</v>
      </c>
      <c r="B35" s="12">
        <v>186857000000000</v>
      </c>
      <c r="C35" s="12">
        <v>405815000000000</v>
      </c>
      <c r="D35" s="12">
        <v>546587000000000</v>
      </c>
      <c r="E35" s="12">
        <v>592402000000000</v>
      </c>
      <c r="F35" s="12">
        <v>550004000000000</v>
      </c>
      <c r="G35" s="12">
        <v>643507000000000</v>
      </c>
      <c r="H35" s="12">
        <v>625878000000000</v>
      </c>
      <c r="I35" s="12">
        <v>601693000000000</v>
      </c>
      <c r="J35" s="12">
        <v>561708000000000</v>
      </c>
      <c r="K35" s="12">
        <v>509409000000000</v>
      </c>
      <c r="L35" s="12">
        <v>456144000000000</v>
      </c>
      <c r="M35" s="12">
        <v>459127000000000</v>
      </c>
      <c r="N35" s="12">
        <v>479126000000000</v>
      </c>
      <c r="O35" s="12">
        <v>496901000000000</v>
      </c>
      <c r="P35" s="12">
        <v>511368000000000</v>
      </c>
      <c r="Q35" s="12">
        <v>520048000000000</v>
      </c>
      <c r="R35" s="12">
        <v>527094000000000</v>
      </c>
      <c r="S35" s="12">
        <v>524325000000000</v>
      </c>
      <c r="T35" s="12">
        <v>535216000000000</v>
      </c>
      <c r="U35" s="12">
        <v>536806000000000</v>
      </c>
      <c r="V35" s="12">
        <v>534922000000000</v>
      </c>
      <c r="W35" s="12">
        <v>534187000000000</v>
      </c>
      <c r="X35" s="12">
        <v>535385000000000</v>
      </c>
      <c r="Y35" s="12">
        <v>535878000000000</v>
      </c>
      <c r="Z35" s="12">
        <v>538852000000000</v>
      </c>
      <c r="AA35" s="12">
        <v>547334000000000</v>
      </c>
      <c r="AB35" s="12">
        <v>551790000000000</v>
      </c>
      <c r="AC35" s="12">
        <v>558540000000000</v>
      </c>
      <c r="AD35" s="12">
        <v>576483000000000</v>
      </c>
      <c r="AE35" s="12">
        <v>587719000000000</v>
      </c>
      <c r="AF35" s="12">
        <v>598243000000000</v>
      </c>
    </row>
    <row r="36" spans="1:32" x14ac:dyDescent="0.25">
      <c r="A36" s="25" t="s">
        <v>105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</row>
    <row r="37" spans="1:32" x14ac:dyDescent="0.25">
      <c r="A37" s="25" t="s">
        <v>106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</row>
    <row r="38" spans="1:32" x14ac:dyDescent="0.25">
      <c r="A38" s="25" t="s">
        <v>107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</row>
    <row r="39" spans="1:32" x14ac:dyDescent="0.25">
      <c r="A39" s="25" t="s">
        <v>108</v>
      </c>
      <c r="B39" s="25">
        <v>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</row>
    <row r="40" spans="1:32" x14ac:dyDescent="0.25">
      <c r="A40" s="25" t="s">
        <v>109</v>
      </c>
      <c r="B40" s="25">
        <v>0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</row>
    <row r="41" spans="1:32" x14ac:dyDescent="0.25">
      <c r="A41" s="25" t="s">
        <v>110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</row>
    <row r="42" spans="1:32" x14ac:dyDescent="0.25">
      <c r="A42" s="25" t="s">
        <v>111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</row>
    <row r="43" spans="1:32" x14ac:dyDescent="0.25">
      <c r="A43" s="25" t="s">
        <v>112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</row>
    <row r="44" spans="1:32" x14ac:dyDescent="0.25">
      <c r="A44" s="25" t="s">
        <v>113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</row>
    <row r="45" spans="1:32" x14ac:dyDescent="0.25">
      <c r="A45" s="25" t="s">
        <v>114</v>
      </c>
      <c r="B45" s="25">
        <v>0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</row>
    <row r="46" spans="1:32" x14ac:dyDescent="0.25">
      <c r="A46" s="25" t="s">
        <v>115</v>
      </c>
      <c r="B46" s="25">
        <v>0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</row>
    <row r="47" spans="1:32" x14ac:dyDescent="0.25">
      <c r="A47" s="25" t="s">
        <v>116</v>
      </c>
      <c r="B47" s="12">
        <v>262173000000000</v>
      </c>
      <c r="C47" s="12">
        <v>262173000000000</v>
      </c>
      <c r="D47" s="12">
        <v>262173000000000</v>
      </c>
      <c r="E47" s="12">
        <v>262173000000000</v>
      </c>
      <c r="F47" s="12">
        <v>262173000000000</v>
      </c>
      <c r="G47" s="12">
        <v>262173000000000</v>
      </c>
      <c r="H47" s="12">
        <v>262173000000000</v>
      </c>
      <c r="I47" s="12">
        <v>262173000000000</v>
      </c>
      <c r="J47" s="12">
        <v>262173000000000</v>
      </c>
      <c r="K47" s="12">
        <v>262173000000000</v>
      </c>
      <c r="L47" s="12">
        <v>262173000000000</v>
      </c>
      <c r="M47" s="12">
        <v>262173000000000</v>
      </c>
      <c r="N47" s="12">
        <v>262173000000000</v>
      </c>
      <c r="O47" s="12">
        <v>262173000000000</v>
      </c>
      <c r="P47" s="12">
        <v>262173000000000</v>
      </c>
      <c r="Q47" s="12">
        <v>262173000000000</v>
      </c>
      <c r="R47" s="12">
        <v>262173000000000</v>
      </c>
      <c r="S47" s="12">
        <v>262173000000000</v>
      </c>
      <c r="T47" s="12">
        <v>262173000000000</v>
      </c>
      <c r="U47" s="12">
        <v>262173000000000</v>
      </c>
      <c r="V47" s="12">
        <v>262173000000000</v>
      </c>
      <c r="W47" s="12">
        <v>262173000000000</v>
      </c>
      <c r="X47" s="12">
        <v>262173000000000</v>
      </c>
      <c r="Y47" s="12">
        <v>262173000000000</v>
      </c>
      <c r="Z47" s="12">
        <v>262173000000000</v>
      </c>
      <c r="AA47" s="12">
        <v>262173000000000</v>
      </c>
      <c r="AB47" s="12">
        <v>262173000000000</v>
      </c>
      <c r="AC47" s="12">
        <v>262173000000000</v>
      </c>
      <c r="AD47" s="12">
        <v>262173000000000</v>
      </c>
      <c r="AE47" s="12">
        <v>262173000000000</v>
      </c>
      <c r="AF47" s="12">
        <v>262173000000000</v>
      </c>
    </row>
    <row r="48" spans="1:32" x14ac:dyDescent="0.25">
      <c r="A48" s="25" t="s">
        <v>117</v>
      </c>
      <c r="B48" s="25">
        <v>0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</row>
    <row r="49" spans="1:32" x14ac:dyDescent="0.25">
      <c r="A49" s="25" t="s">
        <v>118</v>
      </c>
      <c r="B49" s="25">
        <v>0</v>
      </c>
      <c r="C49" s="25">
        <v>0</v>
      </c>
      <c r="D49" s="12">
        <v>0</v>
      </c>
      <c r="E49" s="12">
        <v>0</v>
      </c>
      <c r="F49" s="12">
        <v>0</v>
      </c>
      <c r="G49" s="12">
        <v>12559300000000</v>
      </c>
      <c r="H49" s="12">
        <v>23025400000000</v>
      </c>
      <c r="I49" s="12">
        <v>31398300000000</v>
      </c>
      <c r="J49" s="12">
        <v>38724600000000</v>
      </c>
      <c r="K49" s="12">
        <v>43957700000000</v>
      </c>
      <c r="L49" s="12">
        <v>48144100000000</v>
      </c>
      <c r="M49" s="12">
        <v>52330500000000</v>
      </c>
      <c r="N49" s="12">
        <v>56517000000000</v>
      </c>
      <c r="O49" s="12">
        <v>59656800000000</v>
      </c>
      <c r="P49" s="12">
        <v>62796700000000</v>
      </c>
      <c r="Q49" s="12">
        <v>65936500000000</v>
      </c>
      <c r="R49" s="12">
        <v>69076300000000</v>
      </c>
      <c r="S49" s="12">
        <v>72216100000000</v>
      </c>
      <c r="T49" s="12">
        <v>74309400000000</v>
      </c>
      <c r="U49" s="12">
        <v>76402600000000</v>
      </c>
      <c r="V49" s="12">
        <v>78495800000000</v>
      </c>
      <c r="W49" s="12">
        <v>80589000000000</v>
      </c>
      <c r="X49" s="12">
        <v>82682300000000</v>
      </c>
      <c r="Y49" s="12">
        <v>84775500000000</v>
      </c>
      <c r="Z49" s="12">
        <v>86868700000000</v>
      </c>
      <c r="AA49" s="12">
        <v>88961900000000</v>
      </c>
      <c r="AB49" s="12">
        <v>90008500000000</v>
      </c>
      <c r="AC49" s="12">
        <v>91055100000000</v>
      </c>
      <c r="AD49" s="12">
        <v>92101800000000</v>
      </c>
      <c r="AE49" s="12">
        <v>93148400000000</v>
      </c>
      <c r="AF49" s="12">
        <v>94195000000000</v>
      </c>
    </row>
    <row r="50" spans="1:32" x14ac:dyDescent="0.25">
      <c r="A50" s="25" t="s">
        <v>119</v>
      </c>
      <c r="B50" s="12">
        <v>251000000000000</v>
      </c>
      <c r="C50" s="12">
        <v>265700000000000</v>
      </c>
      <c r="D50" s="12">
        <v>268200000000000</v>
      </c>
      <c r="E50" s="12">
        <v>276100000000000</v>
      </c>
      <c r="F50" s="12">
        <v>284200000000000</v>
      </c>
      <c r="G50" s="12">
        <v>290600000000000</v>
      </c>
      <c r="H50" s="12">
        <v>296500000000000</v>
      </c>
      <c r="I50" s="12">
        <v>302100000000000</v>
      </c>
      <c r="J50" s="12">
        <v>307600000000000</v>
      </c>
      <c r="K50" s="12">
        <v>312000000000000</v>
      </c>
      <c r="L50" s="12">
        <v>316400000000000</v>
      </c>
      <c r="M50" s="12">
        <v>321000000000000</v>
      </c>
      <c r="N50" s="12">
        <v>326200000000000</v>
      </c>
      <c r="O50" s="12">
        <v>330300000000000</v>
      </c>
      <c r="P50" s="12">
        <v>335000000000000</v>
      </c>
      <c r="Q50" s="12">
        <v>339900000000000</v>
      </c>
      <c r="R50" s="12">
        <v>344800000000000</v>
      </c>
      <c r="S50" s="12">
        <v>349600000000000</v>
      </c>
      <c r="T50" s="12">
        <v>354500000000000</v>
      </c>
      <c r="U50" s="12">
        <v>359500000000000</v>
      </c>
      <c r="V50" s="12">
        <v>364600000000000</v>
      </c>
      <c r="W50" s="12">
        <v>369700000000000</v>
      </c>
      <c r="X50" s="12">
        <v>374800000000000</v>
      </c>
      <c r="Y50" s="12">
        <v>380000000000000</v>
      </c>
      <c r="Z50" s="12">
        <v>385200000000000</v>
      </c>
      <c r="AA50" s="12">
        <v>390600000000000</v>
      </c>
      <c r="AB50" s="12">
        <v>395900000000000</v>
      </c>
      <c r="AC50" s="12">
        <v>401200000000000</v>
      </c>
      <c r="AD50" s="12">
        <v>406900000000000</v>
      </c>
      <c r="AE50" s="12">
        <v>412600000000000</v>
      </c>
      <c r="AF50" s="12">
        <v>418400000000000</v>
      </c>
    </row>
    <row r="51" spans="1:32" x14ac:dyDescent="0.25">
      <c r="A51" s="25" t="s">
        <v>120</v>
      </c>
      <c r="B51" s="12">
        <v>76800000000000</v>
      </c>
      <c r="C51" s="12">
        <v>74387800000000</v>
      </c>
      <c r="D51" s="12">
        <v>76431200000000</v>
      </c>
      <c r="E51" s="12">
        <v>81667300000000</v>
      </c>
      <c r="F51" s="12">
        <v>86032900000000</v>
      </c>
      <c r="G51" s="12">
        <v>89126300000000</v>
      </c>
      <c r="H51" s="12">
        <v>91470400000000</v>
      </c>
      <c r="I51" s="12">
        <v>93013100000000</v>
      </c>
      <c r="J51" s="12">
        <v>94606900000000</v>
      </c>
      <c r="K51" s="12">
        <v>95897500000000</v>
      </c>
      <c r="L51" s="12">
        <v>97201500000000</v>
      </c>
      <c r="M51" s="12">
        <v>98449000000000</v>
      </c>
      <c r="N51" s="12">
        <v>99837700000000</v>
      </c>
      <c r="O51" s="12">
        <v>100478000000000</v>
      </c>
      <c r="P51" s="12">
        <v>101408000000000</v>
      </c>
      <c r="Q51" s="12">
        <v>102424000000000</v>
      </c>
      <c r="R51" s="12">
        <v>103336000000000</v>
      </c>
      <c r="S51" s="12">
        <v>104245000000000</v>
      </c>
      <c r="T51" s="12">
        <v>104854000000000</v>
      </c>
      <c r="U51" s="12">
        <v>105733000000000</v>
      </c>
      <c r="V51" s="12">
        <v>106522000000000</v>
      </c>
      <c r="W51" s="12">
        <v>107383000000000</v>
      </c>
      <c r="X51" s="12">
        <v>108313000000000</v>
      </c>
      <c r="Y51" s="12">
        <v>109438000000000</v>
      </c>
      <c r="Z51" s="12">
        <v>110026000000000</v>
      </c>
      <c r="AA51" s="12">
        <v>110879000000000</v>
      </c>
      <c r="AB51" s="12">
        <v>111128000000000</v>
      </c>
      <c r="AC51" s="12">
        <v>111549000000000</v>
      </c>
      <c r="AD51" s="12">
        <v>111869000000000</v>
      </c>
      <c r="AE51" s="12">
        <v>112027000000000</v>
      </c>
      <c r="AF51" s="12">
        <v>112341000000000</v>
      </c>
    </row>
    <row r="52" spans="1:32" x14ac:dyDescent="0.25">
      <c r="A52" s="25" t="s">
        <v>121</v>
      </c>
      <c r="B52" s="12">
        <v>95800000000000</v>
      </c>
      <c r="C52" s="12">
        <v>92844000000000</v>
      </c>
      <c r="D52" s="12">
        <v>95394500000000</v>
      </c>
      <c r="E52" s="12">
        <v>101930000000000</v>
      </c>
      <c r="F52" s="12">
        <v>107378000000000</v>
      </c>
      <c r="G52" s="12">
        <v>111239000000000</v>
      </c>
      <c r="H52" s="12">
        <v>114165000000000</v>
      </c>
      <c r="I52" s="12">
        <v>116090000000000</v>
      </c>
      <c r="J52" s="12">
        <v>118080000000000</v>
      </c>
      <c r="K52" s="12">
        <v>119690000000000</v>
      </c>
      <c r="L52" s="12">
        <v>121318000000000</v>
      </c>
      <c r="M52" s="12">
        <v>122875000000000</v>
      </c>
      <c r="N52" s="12">
        <v>124608000000000</v>
      </c>
      <c r="O52" s="12">
        <v>125407000000000</v>
      </c>
      <c r="P52" s="12">
        <v>126568000000000</v>
      </c>
      <c r="Q52" s="12">
        <v>127836000000000</v>
      </c>
      <c r="R52" s="12">
        <v>128975000000000</v>
      </c>
      <c r="S52" s="12">
        <v>130109000000000</v>
      </c>
      <c r="T52" s="12">
        <v>130869000000000</v>
      </c>
      <c r="U52" s="12">
        <v>131966000000000</v>
      </c>
      <c r="V52" s="12">
        <v>132951000000000</v>
      </c>
      <c r="W52" s="12">
        <v>134026000000000</v>
      </c>
      <c r="X52" s="12">
        <v>135187000000000</v>
      </c>
      <c r="Y52" s="12">
        <v>136590000000000</v>
      </c>
      <c r="Z52" s="12">
        <v>137324000000000</v>
      </c>
      <c r="AA52" s="12">
        <v>138389000000000</v>
      </c>
      <c r="AB52" s="12">
        <v>138700000000000</v>
      </c>
      <c r="AC52" s="12">
        <v>139225000000000</v>
      </c>
      <c r="AD52" s="12">
        <v>139624000000000</v>
      </c>
      <c r="AE52" s="12">
        <v>139822000000000</v>
      </c>
      <c r="AF52" s="12">
        <v>140213000000000</v>
      </c>
    </row>
    <row r="53" spans="1:32" x14ac:dyDescent="0.25">
      <c r="A53" s="25" t="s">
        <v>122</v>
      </c>
      <c r="B53" s="12">
        <v>135000000000000</v>
      </c>
      <c r="C53" s="12">
        <v>131282000000000</v>
      </c>
      <c r="D53" s="12">
        <v>134889000000000</v>
      </c>
      <c r="E53" s="12">
        <v>144129000000000</v>
      </c>
      <c r="F53" s="12">
        <v>151834000000000</v>
      </c>
      <c r="G53" s="12">
        <v>157294000000000</v>
      </c>
      <c r="H53" s="12">
        <v>161430000000000</v>
      </c>
      <c r="I53" s="12">
        <v>164153000000000</v>
      </c>
      <c r="J53" s="12">
        <v>166966000000000</v>
      </c>
      <c r="K53" s="12">
        <v>169243000000000</v>
      </c>
      <c r="L53" s="12">
        <v>171545000000000</v>
      </c>
      <c r="M53" s="12">
        <v>173746000000000</v>
      </c>
      <c r="N53" s="12">
        <v>176197000000000</v>
      </c>
      <c r="O53" s="12">
        <v>177327000000000</v>
      </c>
      <c r="P53" s="12">
        <v>178969000000000</v>
      </c>
      <c r="Q53" s="12">
        <v>180761000000000</v>
      </c>
      <c r="R53" s="12">
        <v>182371000000000</v>
      </c>
      <c r="S53" s="12">
        <v>183975000000000</v>
      </c>
      <c r="T53" s="12">
        <v>185050000000000</v>
      </c>
      <c r="U53" s="12">
        <v>186602000000000</v>
      </c>
      <c r="V53" s="12">
        <v>187993000000000</v>
      </c>
      <c r="W53" s="12">
        <v>189514000000000</v>
      </c>
      <c r="X53" s="12">
        <v>191155000000000</v>
      </c>
      <c r="Y53" s="12">
        <v>193140000000000</v>
      </c>
      <c r="Z53" s="12">
        <v>194178000000000</v>
      </c>
      <c r="AA53" s="12">
        <v>195683000000000</v>
      </c>
      <c r="AB53" s="12">
        <v>196123000000000</v>
      </c>
      <c r="AC53" s="12">
        <v>196865000000000</v>
      </c>
      <c r="AD53" s="12">
        <v>197430000000000</v>
      </c>
      <c r="AE53" s="12">
        <v>197709000000000</v>
      </c>
      <c r="AF53" s="12">
        <v>198263000000000</v>
      </c>
    </row>
    <row r="54" spans="1:32" x14ac:dyDescent="0.25">
      <c r="A54" s="25" t="s">
        <v>123</v>
      </c>
      <c r="B54" s="12">
        <v>328000000000000</v>
      </c>
      <c r="C54" s="12">
        <v>342121000000000</v>
      </c>
      <c r="D54" s="12">
        <v>344845000000000</v>
      </c>
      <c r="E54" s="12">
        <v>356021000000000</v>
      </c>
      <c r="F54" s="12">
        <v>366352000000000</v>
      </c>
      <c r="G54" s="12">
        <v>374402000000000</v>
      </c>
      <c r="H54" s="12">
        <v>381326000000000</v>
      </c>
      <c r="I54" s="12">
        <v>387987000000000</v>
      </c>
      <c r="J54" s="12">
        <v>393972000000000</v>
      </c>
      <c r="K54" s="12">
        <v>398233000000000</v>
      </c>
      <c r="L54" s="12">
        <v>402720000000000</v>
      </c>
      <c r="M54" s="12">
        <v>406751000000000</v>
      </c>
      <c r="N54" s="12">
        <v>411401000000000</v>
      </c>
      <c r="O54" s="12">
        <v>415275000000000</v>
      </c>
      <c r="P54" s="12">
        <v>419940000000000</v>
      </c>
      <c r="Q54" s="12">
        <v>424722000000000</v>
      </c>
      <c r="R54" s="12">
        <v>429961000000000</v>
      </c>
      <c r="S54" s="12">
        <v>434825000000000</v>
      </c>
      <c r="T54" s="12">
        <v>439852000000000</v>
      </c>
      <c r="U54" s="12">
        <v>445111000000000</v>
      </c>
      <c r="V54" s="12">
        <v>450393000000000</v>
      </c>
      <c r="W54" s="12">
        <v>455592000000000</v>
      </c>
      <c r="X54" s="12">
        <v>461031000000000</v>
      </c>
      <c r="Y54" s="12">
        <v>466720000000000</v>
      </c>
      <c r="Z54" s="12">
        <v>472173000000000</v>
      </c>
      <c r="AA54" s="12">
        <v>477347000000000</v>
      </c>
      <c r="AB54" s="12">
        <v>482485000000000</v>
      </c>
      <c r="AC54" s="12">
        <v>487538000000000</v>
      </c>
      <c r="AD54" s="12">
        <v>493147000000000</v>
      </c>
      <c r="AE54" s="12">
        <v>499075000000000</v>
      </c>
      <c r="AF54" s="12">
        <v>504755000000000</v>
      </c>
    </row>
    <row r="55" spans="1:32" x14ac:dyDescent="0.25">
      <c r="A55" s="25" t="s">
        <v>124</v>
      </c>
      <c r="B55" s="12">
        <v>45600000000000</v>
      </c>
      <c r="C55" s="12">
        <v>45886700000000</v>
      </c>
      <c r="D55" s="12">
        <v>46637900000000</v>
      </c>
      <c r="E55" s="12">
        <v>47830000000000</v>
      </c>
      <c r="F55" s="12">
        <v>48994900000000</v>
      </c>
      <c r="G55" s="12">
        <v>50041400000000</v>
      </c>
      <c r="H55" s="12">
        <v>50891600000000</v>
      </c>
      <c r="I55" s="12">
        <v>51558200000000</v>
      </c>
      <c r="J55" s="12">
        <v>52057200000000</v>
      </c>
      <c r="K55" s="12">
        <v>52364700000000</v>
      </c>
      <c r="L55" s="12">
        <v>52736200000000</v>
      </c>
      <c r="M55" s="12">
        <v>53075100000000</v>
      </c>
      <c r="N55" s="12">
        <v>53379300000000</v>
      </c>
      <c r="O55" s="12">
        <v>53548000000000</v>
      </c>
      <c r="P55" s="12">
        <v>53798800000000</v>
      </c>
      <c r="Q55" s="12">
        <v>54198000000000</v>
      </c>
      <c r="R55" s="12">
        <v>54651700000000</v>
      </c>
      <c r="S55" s="12">
        <v>55049500000000</v>
      </c>
      <c r="T55" s="12">
        <v>55511100000000</v>
      </c>
      <c r="U55" s="12">
        <v>56034600000000</v>
      </c>
      <c r="V55" s="12">
        <v>56565600000000</v>
      </c>
      <c r="W55" s="12">
        <v>57186800000000</v>
      </c>
      <c r="X55" s="12">
        <v>57913400000000</v>
      </c>
      <c r="Y55" s="12">
        <v>58746800000000</v>
      </c>
      <c r="Z55" s="12">
        <v>59530400000000</v>
      </c>
      <c r="AA55" s="12">
        <v>60098700000000</v>
      </c>
      <c r="AB55" s="12">
        <v>60637400000000</v>
      </c>
      <c r="AC55" s="12">
        <v>61126500000000</v>
      </c>
      <c r="AD55" s="12">
        <v>61696900000000</v>
      </c>
      <c r="AE55" s="12">
        <v>62392600000000</v>
      </c>
      <c r="AF55" s="12">
        <v>63008900000000</v>
      </c>
    </row>
    <row r="56" spans="1:32" x14ac:dyDescent="0.25">
      <c r="A56" s="25" t="s">
        <v>125</v>
      </c>
      <c r="B56" s="12">
        <v>62100000000000</v>
      </c>
      <c r="C56" s="12">
        <v>62707300000000</v>
      </c>
      <c r="D56" s="12">
        <v>65138900000000</v>
      </c>
      <c r="E56" s="12">
        <v>66795800000000</v>
      </c>
      <c r="F56" s="12">
        <v>68940400000000</v>
      </c>
      <c r="G56" s="12">
        <v>71029600000000</v>
      </c>
      <c r="H56" s="12">
        <v>71711800000000</v>
      </c>
      <c r="I56" s="12">
        <v>71884200000000</v>
      </c>
      <c r="J56" s="12">
        <v>71718800000000</v>
      </c>
      <c r="K56" s="12">
        <v>71419800000000</v>
      </c>
      <c r="L56" s="12">
        <v>71205800000000</v>
      </c>
      <c r="M56" s="12">
        <v>71321100000000</v>
      </c>
      <c r="N56" s="12">
        <v>71964900000000</v>
      </c>
      <c r="O56" s="12">
        <v>71909700000000</v>
      </c>
      <c r="P56" s="12">
        <v>71578200000000</v>
      </c>
      <c r="Q56" s="12">
        <v>72228000000000</v>
      </c>
      <c r="R56" s="12">
        <v>73114600000000</v>
      </c>
      <c r="S56" s="12">
        <v>73589600000000</v>
      </c>
      <c r="T56" s="12">
        <v>74593900000000</v>
      </c>
      <c r="U56" s="12">
        <v>75608700000000</v>
      </c>
      <c r="V56" s="12">
        <v>77044900000000</v>
      </c>
      <c r="W56" s="12">
        <v>79241700000000</v>
      </c>
      <c r="X56" s="12">
        <v>80708800000000</v>
      </c>
      <c r="Y56" s="12">
        <v>82228500000000</v>
      </c>
      <c r="Z56" s="12">
        <v>83824100000000</v>
      </c>
      <c r="AA56" s="12">
        <v>86234900000000</v>
      </c>
      <c r="AB56" s="12">
        <v>88445000000000</v>
      </c>
      <c r="AC56" s="12">
        <v>89899800000000</v>
      </c>
      <c r="AD56" s="12">
        <v>91541800000000</v>
      </c>
      <c r="AE56" s="12">
        <v>93172000000000</v>
      </c>
      <c r="AF56" s="12">
        <v>95138600000000</v>
      </c>
    </row>
    <row r="57" spans="1:32" x14ac:dyDescent="0.25">
      <c r="A57" s="25" t="s">
        <v>126</v>
      </c>
      <c r="B57" s="12">
        <v>208000000000000</v>
      </c>
      <c r="C57" s="12">
        <v>209200000000000</v>
      </c>
      <c r="D57" s="12">
        <v>208200000000000</v>
      </c>
      <c r="E57" s="12">
        <v>210400000000000</v>
      </c>
      <c r="F57" s="12">
        <v>213000000000000</v>
      </c>
      <c r="G57" s="12">
        <v>213800000000000</v>
      </c>
      <c r="H57" s="12">
        <v>214000000000000</v>
      </c>
      <c r="I57" s="12">
        <v>213500000000000</v>
      </c>
      <c r="J57" s="12">
        <v>212600000000000</v>
      </c>
      <c r="K57" s="12">
        <v>210600000000000</v>
      </c>
      <c r="L57" s="12">
        <v>208800000000000</v>
      </c>
      <c r="M57" s="12">
        <v>206900000000000</v>
      </c>
      <c r="N57" s="12">
        <v>205100000000000</v>
      </c>
      <c r="O57" s="12">
        <v>202700000000000</v>
      </c>
      <c r="P57" s="12">
        <v>200800000000000</v>
      </c>
      <c r="Q57" s="12">
        <v>199500000000000</v>
      </c>
      <c r="R57" s="12">
        <v>198500000000000</v>
      </c>
      <c r="S57" s="12">
        <v>197800000000000</v>
      </c>
      <c r="T57" s="12">
        <v>197600000000000</v>
      </c>
      <c r="U57" s="12">
        <v>197600000000000</v>
      </c>
      <c r="V57" s="12">
        <v>197600000000000</v>
      </c>
      <c r="W57" s="12">
        <v>197800000000000</v>
      </c>
      <c r="X57" s="12">
        <v>198300000000000</v>
      </c>
      <c r="Y57" s="12">
        <v>199300000000000</v>
      </c>
      <c r="Z57" s="12">
        <v>200000000000000</v>
      </c>
      <c r="AA57" s="12">
        <v>200900000000000</v>
      </c>
      <c r="AB57" s="12">
        <v>201700000000000</v>
      </c>
      <c r="AC57" s="12">
        <v>202700000000000</v>
      </c>
      <c r="AD57" s="12">
        <v>203500000000000</v>
      </c>
      <c r="AE57" s="12">
        <v>204600000000000</v>
      </c>
      <c r="AF57" s="12">
        <v>205700000000000</v>
      </c>
    </row>
    <row r="58" spans="1:32" x14ac:dyDescent="0.25">
      <c r="A58" s="25" t="s">
        <v>127</v>
      </c>
      <c r="B58" s="12">
        <v>184000000000000</v>
      </c>
      <c r="C58" s="12">
        <v>195800000000000</v>
      </c>
      <c r="D58" s="12">
        <v>186851000000000</v>
      </c>
      <c r="E58" s="12">
        <v>182505000000000</v>
      </c>
      <c r="F58" s="12">
        <v>179446000000000</v>
      </c>
      <c r="G58" s="12">
        <v>178183000000000</v>
      </c>
      <c r="H58" s="12">
        <v>178526000000000</v>
      </c>
      <c r="I58" s="12">
        <v>177450000000000</v>
      </c>
      <c r="J58" s="12">
        <v>177568000000000</v>
      </c>
      <c r="K58" s="12">
        <v>179608000000000</v>
      </c>
      <c r="L58" s="12">
        <v>185126000000000</v>
      </c>
      <c r="M58" s="12">
        <v>184373000000000</v>
      </c>
      <c r="N58" s="12">
        <v>185750000000000</v>
      </c>
      <c r="O58" s="12">
        <v>186251000000000</v>
      </c>
      <c r="P58" s="12">
        <v>189116000000000</v>
      </c>
      <c r="Q58" s="12">
        <v>189951000000000</v>
      </c>
      <c r="R58" s="12">
        <v>192268000000000</v>
      </c>
      <c r="S58" s="12">
        <v>193582000000000</v>
      </c>
      <c r="T58" s="12">
        <v>194333000000000</v>
      </c>
      <c r="U58" s="12">
        <v>195247000000000</v>
      </c>
      <c r="V58" s="12">
        <v>195520000000000</v>
      </c>
      <c r="W58" s="12">
        <v>196318000000000</v>
      </c>
      <c r="X58" s="12">
        <v>198415000000000</v>
      </c>
      <c r="Y58" s="12">
        <v>200098000000000</v>
      </c>
      <c r="Z58" s="12">
        <v>201362000000000</v>
      </c>
      <c r="AA58" s="12">
        <v>202743000000000</v>
      </c>
      <c r="AB58" s="12">
        <v>203284000000000</v>
      </c>
      <c r="AC58" s="12">
        <v>204237000000000</v>
      </c>
      <c r="AD58" s="12">
        <v>205190000000000</v>
      </c>
      <c r="AE58" s="12">
        <v>206204000000000</v>
      </c>
      <c r="AF58" s="12">
        <v>208005000000000</v>
      </c>
    </row>
    <row r="59" spans="1:32" x14ac:dyDescent="0.25">
      <c r="A59" s="25" t="s">
        <v>128</v>
      </c>
      <c r="B59" s="12">
        <v>413000000000000</v>
      </c>
      <c r="C59" s="12">
        <v>411605000000000</v>
      </c>
      <c r="D59" s="12">
        <v>417440000000000</v>
      </c>
      <c r="E59" s="12">
        <v>429725000000000</v>
      </c>
      <c r="F59" s="12">
        <v>450816000000000</v>
      </c>
      <c r="G59" s="12">
        <v>463983000000000</v>
      </c>
      <c r="H59" s="12">
        <v>473114000000000</v>
      </c>
      <c r="I59" s="12">
        <v>478041000000000</v>
      </c>
      <c r="J59" s="12">
        <v>485232000000000</v>
      </c>
      <c r="K59" s="12">
        <v>488813000000000</v>
      </c>
      <c r="L59" s="12">
        <v>494159000000000</v>
      </c>
      <c r="M59" s="12">
        <v>499398000000000</v>
      </c>
      <c r="N59" s="12">
        <v>503275000000000</v>
      </c>
      <c r="O59" s="12">
        <v>504382000000000</v>
      </c>
      <c r="P59" s="12">
        <v>509486000000000</v>
      </c>
      <c r="Q59" s="12">
        <v>514563000000000</v>
      </c>
      <c r="R59" s="12">
        <v>517050000000000</v>
      </c>
      <c r="S59" s="12">
        <v>519709000000000</v>
      </c>
      <c r="T59" s="12">
        <v>520842000000000</v>
      </c>
      <c r="U59" s="12">
        <v>521664000000000</v>
      </c>
      <c r="V59" s="12">
        <v>516951000000000</v>
      </c>
      <c r="W59" s="12">
        <v>513612000000000</v>
      </c>
      <c r="X59" s="12">
        <v>510676000000000</v>
      </c>
      <c r="Y59" s="12">
        <v>512575000000000</v>
      </c>
      <c r="Z59" s="12">
        <v>511050000000000</v>
      </c>
      <c r="AA59" s="12">
        <v>511153000000000</v>
      </c>
      <c r="AB59" s="12">
        <v>504135000000000</v>
      </c>
      <c r="AC59" s="12">
        <v>494959000000000</v>
      </c>
      <c r="AD59" s="12">
        <v>484007000000000</v>
      </c>
      <c r="AE59" s="12">
        <v>475870000000000</v>
      </c>
      <c r="AF59" s="12">
        <v>466245000000000</v>
      </c>
    </row>
    <row r="60" spans="1:32" x14ac:dyDescent="0.25">
      <c r="A60" s="25" t="s">
        <v>129</v>
      </c>
      <c r="B60" s="12">
        <v>140000000000000</v>
      </c>
      <c r="C60" s="12">
        <v>143131000000000</v>
      </c>
      <c r="D60" s="12">
        <v>148101000000000</v>
      </c>
      <c r="E60" s="12">
        <v>153327000000000</v>
      </c>
      <c r="F60" s="12">
        <v>158249000000000</v>
      </c>
      <c r="G60" s="12">
        <v>162307000000000</v>
      </c>
      <c r="H60" s="12">
        <v>165024000000000</v>
      </c>
      <c r="I60" s="12">
        <v>166966000000000</v>
      </c>
      <c r="J60" s="12">
        <v>168609000000000</v>
      </c>
      <c r="K60" s="12">
        <v>169418000000000</v>
      </c>
      <c r="L60" s="12">
        <v>170070000000000</v>
      </c>
      <c r="M60" s="12">
        <v>170957000000000</v>
      </c>
      <c r="N60" s="12">
        <v>172859000000000</v>
      </c>
      <c r="O60" s="12">
        <v>174279000000000</v>
      </c>
      <c r="P60" s="12">
        <v>175998000000000</v>
      </c>
      <c r="Q60" s="12">
        <v>178190000000000</v>
      </c>
      <c r="R60" s="12">
        <v>180350000000000</v>
      </c>
      <c r="S60" s="12">
        <v>182396000000000</v>
      </c>
      <c r="T60" s="12">
        <v>184682000000000</v>
      </c>
      <c r="U60" s="12">
        <v>187318000000000</v>
      </c>
      <c r="V60" s="12">
        <v>190242000000000</v>
      </c>
      <c r="W60" s="12">
        <v>193113000000000</v>
      </c>
      <c r="X60" s="12">
        <v>196180000000000</v>
      </c>
      <c r="Y60" s="12">
        <v>199046000000000</v>
      </c>
      <c r="Z60" s="12">
        <v>201438000000000</v>
      </c>
      <c r="AA60" s="12">
        <v>204199000000000</v>
      </c>
      <c r="AB60" s="12">
        <v>206656000000000</v>
      </c>
      <c r="AC60" s="12">
        <v>208781000000000</v>
      </c>
      <c r="AD60" s="12">
        <v>211276000000000</v>
      </c>
      <c r="AE60" s="12">
        <v>213953000000000</v>
      </c>
      <c r="AF60" s="12">
        <v>216588000000000</v>
      </c>
    </row>
    <row r="61" spans="1:32" x14ac:dyDescent="0.25">
      <c r="A61" s="25" t="s">
        <v>130</v>
      </c>
      <c r="B61" s="12">
        <v>40000000000000</v>
      </c>
      <c r="C61" s="12">
        <v>39169700000000</v>
      </c>
      <c r="D61" s="12">
        <v>39796700000000</v>
      </c>
      <c r="E61" s="12">
        <v>41009900000000</v>
      </c>
      <c r="F61" s="12">
        <v>42334400000000</v>
      </c>
      <c r="G61" s="12">
        <v>43218400000000</v>
      </c>
      <c r="H61" s="12">
        <v>43862800000000</v>
      </c>
      <c r="I61" s="12">
        <v>44224800000000</v>
      </c>
      <c r="J61" s="12">
        <v>44480900000000</v>
      </c>
      <c r="K61" s="12">
        <v>44620300000000</v>
      </c>
      <c r="L61" s="12">
        <v>44729700000000</v>
      </c>
      <c r="M61" s="12">
        <v>44975800000000</v>
      </c>
      <c r="N61" s="12">
        <v>45261100000000</v>
      </c>
      <c r="O61" s="12">
        <v>45324300000000</v>
      </c>
      <c r="P61" s="12">
        <v>45539900000000</v>
      </c>
      <c r="Q61" s="12">
        <v>46231400000000</v>
      </c>
      <c r="R61" s="12">
        <v>46763500000000</v>
      </c>
      <c r="S61" s="12">
        <v>47099600000000</v>
      </c>
      <c r="T61" s="12">
        <v>47498900000000</v>
      </c>
      <c r="U61" s="12">
        <v>47921600000000</v>
      </c>
      <c r="V61" s="12">
        <v>48483000000000</v>
      </c>
      <c r="W61" s="12">
        <v>49327000000000</v>
      </c>
      <c r="X61" s="12">
        <v>49924600000000</v>
      </c>
      <c r="Y61" s="12">
        <v>50508800000000</v>
      </c>
      <c r="Z61" s="12">
        <v>51121500000000</v>
      </c>
      <c r="AA61" s="12">
        <v>51983100000000</v>
      </c>
      <c r="AB61" s="12">
        <v>52782700000000</v>
      </c>
      <c r="AC61" s="12">
        <v>53345700000000</v>
      </c>
      <c r="AD61" s="12">
        <v>54062900000000</v>
      </c>
      <c r="AE61" s="12">
        <v>54833100000000</v>
      </c>
      <c r="AF61" s="12">
        <v>55682600000000</v>
      </c>
    </row>
    <row r="62" spans="1:32" x14ac:dyDescent="0.25">
      <c r="A62" s="25" t="s">
        <v>131</v>
      </c>
      <c r="B62" s="12">
        <v>43700000000000</v>
      </c>
      <c r="C62" s="12">
        <v>42480200000000</v>
      </c>
      <c r="D62" s="12">
        <v>42536000000000</v>
      </c>
      <c r="E62" s="12">
        <v>43566700000000</v>
      </c>
      <c r="F62" s="12">
        <v>44453800000000</v>
      </c>
      <c r="G62" s="12">
        <v>44988200000000</v>
      </c>
      <c r="H62" s="12">
        <v>44991300000000</v>
      </c>
      <c r="I62" s="12">
        <v>44728000000000</v>
      </c>
      <c r="J62" s="12">
        <v>44416700000000</v>
      </c>
      <c r="K62" s="12">
        <v>44435700000000</v>
      </c>
      <c r="L62" s="12">
        <v>44579000000000</v>
      </c>
      <c r="M62" s="12">
        <v>44821200000000</v>
      </c>
      <c r="N62" s="12">
        <v>44947200000000</v>
      </c>
      <c r="O62" s="12">
        <v>45097600000000</v>
      </c>
      <c r="P62" s="12">
        <v>45140800000000</v>
      </c>
      <c r="Q62" s="12">
        <v>45629800000000</v>
      </c>
      <c r="R62" s="12">
        <v>46040100000000</v>
      </c>
      <c r="S62" s="12">
        <v>45747800000000</v>
      </c>
      <c r="T62" s="12">
        <v>45534300000000</v>
      </c>
      <c r="U62" s="12">
        <v>45300900000000</v>
      </c>
      <c r="V62" s="12">
        <v>45284300000000</v>
      </c>
      <c r="W62" s="12">
        <v>45354900000000</v>
      </c>
      <c r="X62" s="12">
        <v>45349300000000</v>
      </c>
      <c r="Y62" s="12">
        <v>45403100000000</v>
      </c>
      <c r="Z62" s="12">
        <v>45491200000000</v>
      </c>
      <c r="AA62" s="12">
        <v>45600200000000</v>
      </c>
      <c r="AB62" s="12">
        <v>45760400000000</v>
      </c>
      <c r="AC62" s="12">
        <v>45879100000000</v>
      </c>
      <c r="AD62" s="12">
        <v>46048300000000</v>
      </c>
      <c r="AE62" s="12">
        <v>46291500000000</v>
      </c>
      <c r="AF62" s="12">
        <v>46585200000000</v>
      </c>
    </row>
    <row r="63" spans="1:32" x14ac:dyDescent="0.25">
      <c r="A63" s="25" t="s">
        <v>132</v>
      </c>
      <c r="B63" s="12">
        <v>184000000000000</v>
      </c>
      <c r="C63" s="12">
        <v>161600000000000</v>
      </c>
      <c r="D63" s="12">
        <v>172400000000000</v>
      </c>
      <c r="E63" s="12">
        <v>173000000000000</v>
      </c>
      <c r="F63" s="12">
        <v>183100000000000</v>
      </c>
      <c r="G63" s="12">
        <v>195500000000000</v>
      </c>
      <c r="H63" s="12">
        <v>196000000000000</v>
      </c>
      <c r="I63" s="12">
        <v>196500000000000</v>
      </c>
      <c r="J63" s="12">
        <v>197200000000000</v>
      </c>
      <c r="K63" s="12">
        <v>197700000000000</v>
      </c>
      <c r="L63" s="12">
        <v>199200000000000</v>
      </c>
      <c r="M63" s="12">
        <v>200000000000000</v>
      </c>
      <c r="N63" s="12">
        <v>200900000000000</v>
      </c>
      <c r="O63" s="12">
        <v>198700000000000</v>
      </c>
      <c r="P63" s="12">
        <v>197700000000000</v>
      </c>
      <c r="Q63" s="12">
        <v>199700000000000</v>
      </c>
      <c r="R63" s="12">
        <v>200100000000000</v>
      </c>
      <c r="S63" s="12">
        <v>200900000000000</v>
      </c>
      <c r="T63" s="12">
        <v>203300000000000</v>
      </c>
      <c r="U63" s="12">
        <v>206000000000000</v>
      </c>
      <c r="V63" s="12">
        <v>204700000000000</v>
      </c>
      <c r="W63" s="12">
        <v>205500000000000</v>
      </c>
      <c r="X63" s="12">
        <v>208900000000000</v>
      </c>
      <c r="Y63" s="12">
        <v>215200000000000</v>
      </c>
      <c r="Z63" s="12">
        <v>216200000000000</v>
      </c>
      <c r="AA63" s="12">
        <v>218900000000000</v>
      </c>
      <c r="AB63" s="12">
        <v>219100000000000</v>
      </c>
      <c r="AC63" s="12">
        <v>217900000000000</v>
      </c>
      <c r="AD63" s="12">
        <v>219500000000000</v>
      </c>
      <c r="AE63" s="12">
        <v>220800000000000</v>
      </c>
      <c r="AF63" s="12">
        <v>225700000000000</v>
      </c>
    </row>
    <row r="64" spans="1:32" x14ac:dyDescent="0.25">
      <c r="A64" s="25" t="s">
        <v>133</v>
      </c>
      <c r="B64" s="12">
        <v>110000000000000</v>
      </c>
      <c r="C64" s="12">
        <v>112554000000000</v>
      </c>
      <c r="D64" s="12">
        <v>114375000000000</v>
      </c>
      <c r="E64" s="12">
        <v>116319000000000</v>
      </c>
      <c r="F64" s="12">
        <v>119041000000000</v>
      </c>
      <c r="G64" s="12">
        <v>121431000000000</v>
      </c>
      <c r="H64" s="12">
        <v>123172000000000</v>
      </c>
      <c r="I64" s="12">
        <v>124161000000000</v>
      </c>
      <c r="J64" s="12">
        <v>124793000000000</v>
      </c>
      <c r="K64" s="12">
        <v>124883000000000</v>
      </c>
      <c r="L64" s="12">
        <v>125286000000000</v>
      </c>
      <c r="M64" s="12">
        <v>125846000000000</v>
      </c>
      <c r="N64" s="12">
        <v>126680000000000</v>
      </c>
      <c r="O64" s="12">
        <v>126773000000000</v>
      </c>
      <c r="P64" s="12">
        <v>127067000000000</v>
      </c>
      <c r="Q64" s="12">
        <v>127730000000000</v>
      </c>
      <c r="R64" s="12">
        <v>128456000000000</v>
      </c>
      <c r="S64" s="12">
        <v>129182000000000</v>
      </c>
      <c r="T64" s="12">
        <v>130072000000000</v>
      </c>
      <c r="U64" s="12">
        <v>131048000000000</v>
      </c>
      <c r="V64" s="12">
        <v>131786000000000</v>
      </c>
      <c r="W64" s="12">
        <v>132631000000000</v>
      </c>
      <c r="X64" s="12">
        <v>133667000000000</v>
      </c>
      <c r="Y64" s="12">
        <v>135043000000000</v>
      </c>
      <c r="Z64" s="12">
        <v>136055000000000</v>
      </c>
      <c r="AA64" s="12">
        <v>136910000000000</v>
      </c>
      <c r="AB64" s="12">
        <v>137438000000000</v>
      </c>
      <c r="AC64" s="12">
        <v>137827000000000</v>
      </c>
      <c r="AD64" s="12">
        <v>138176000000000</v>
      </c>
      <c r="AE64" s="12">
        <v>138814000000000</v>
      </c>
      <c r="AF64" s="12">
        <v>139686000000000</v>
      </c>
    </row>
    <row r="65" spans="1:32" x14ac:dyDescent="0.25">
      <c r="A65" s="25" t="s">
        <v>134</v>
      </c>
      <c r="B65" s="12">
        <v>130000000000000</v>
      </c>
      <c r="C65" s="12">
        <v>130067000000000</v>
      </c>
      <c r="D65" s="12">
        <v>133446000000000</v>
      </c>
      <c r="E65" s="12">
        <v>139036000000000</v>
      </c>
      <c r="F65" s="12">
        <v>145422000000000</v>
      </c>
      <c r="G65" s="12">
        <v>150698000000000</v>
      </c>
      <c r="H65" s="12">
        <v>154337000000000</v>
      </c>
      <c r="I65" s="12">
        <v>156364000000000</v>
      </c>
      <c r="J65" s="12">
        <v>157536000000000</v>
      </c>
      <c r="K65" s="12">
        <v>158416000000000</v>
      </c>
      <c r="L65" s="12">
        <v>159226000000000</v>
      </c>
      <c r="M65" s="12">
        <v>160503000000000</v>
      </c>
      <c r="N65" s="12">
        <v>162216000000000</v>
      </c>
      <c r="O65" s="12">
        <v>163140000000000</v>
      </c>
      <c r="P65" s="12">
        <v>164554000000000</v>
      </c>
      <c r="Q65" s="12">
        <v>166691000000000</v>
      </c>
      <c r="R65" s="12">
        <v>168791000000000</v>
      </c>
      <c r="S65" s="12">
        <v>170443000000000</v>
      </c>
      <c r="T65" s="12">
        <v>172123000000000</v>
      </c>
      <c r="U65" s="12">
        <v>173759000000000</v>
      </c>
      <c r="V65" s="12">
        <v>175880000000000</v>
      </c>
      <c r="W65" s="12">
        <v>178530000000000</v>
      </c>
      <c r="X65" s="12">
        <v>181140000000000</v>
      </c>
      <c r="Y65" s="12">
        <v>183980000000000</v>
      </c>
      <c r="Z65" s="12">
        <v>185791000000000</v>
      </c>
      <c r="AA65" s="12">
        <v>188448000000000</v>
      </c>
      <c r="AB65" s="12">
        <v>191148000000000</v>
      </c>
      <c r="AC65" s="12">
        <v>192630000000000</v>
      </c>
      <c r="AD65" s="12">
        <v>195532000000000</v>
      </c>
      <c r="AE65" s="12">
        <v>198842000000000</v>
      </c>
      <c r="AF65" s="12">
        <v>202294000000000</v>
      </c>
    </row>
    <row r="66" spans="1:32" x14ac:dyDescent="0.25">
      <c r="A66" s="25" t="s">
        <v>135</v>
      </c>
      <c r="B66" s="12">
        <v>90900000000000</v>
      </c>
      <c r="C66" s="12">
        <v>93300000000000</v>
      </c>
      <c r="D66" s="12">
        <v>96300000000000</v>
      </c>
      <c r="E66" s="12">
        <v>100000000000000</v>
      </c>
      <c r="F66" s="12">
        <v>104000000000000</v>
      </c>
      <c r="G66" s="12">
        <v>106000000000000</v>
      </c>
      <c r="H66" s="12">
        <v>108000000000000</v>
      </c>
      <c r="I66" s="12">
        <v>110000000000000</v>
      </c>
      <c r="J66" s="12">
        <v>112000000000000</v>
      </c>
      <c r="K66" s="12">
        <v>113000000000000</v>
      </c>
      <c r="L66" s="12">
        <v>114000000000000</v>
      </c>
      <c r="M66" s="12">
        <v>116000000000000</v>
      </c>
      <c r="N66" s="12">
        <v>117000000000000</v>
      </c>
      <c r="O66" s="12">
        <v>119000000000000</v>
      </c>
      <c r="P66" s="12">
        <v>120000000000000</v>
      </c>
      <c r="Q66" s="12">
        <v>122000000000000</v>
      </c>
      <c r="R66" s="12">
        <v>124000000000000</v>
      </c>
      <c r="S66" s="12">
        <v>125000000000000</v>
      </c>
      <c r="T66" s="12">
        <v>127000000000000</v>
      </c>
      <c r="U66" s="12">
        <v>128000000000000</v>
      </c>
      <c r="V66" s="12">
        <v>130000000000000</v>
      </c>
      <c r="W66" s="12">
        <v>132000000000000</v>
      </c>
      <c r="X66" s="12">
        <v>134000000000000</v>
      </c>
      <c r="Y66" s="12">
        <v>136000000000000</v>
      </c>
      <c r="Z66" s="12">
        <v>137000000000000</v>
      </c>
      <c r="AA66" s="12">
        <v>139000000000000</v>
      </c>
      <c r="AB66" s="12">
        <v>141000000000000</v>
      </c>
      <c r="AC66" s="12">
        <v>143000000000000</v>
      </c>
      <c r="AD66" s="12">
        <v>145000000000000</v>
      </c>
      <c r="AE66" s="12">
        <v>148000000000000</v>
      </c>
      <c r="AF66" s="12">
        <v>150000000000000</v>
      </c>
    </row>
    <row r="67" spans="1:32" x14ac:dyDescent="0.25">
      <c r="A67" s="25" t="s">
        <v>136</v>
      </c>
      <c r="B67" s="12">
        <v>38700000000000</v>
      </c>
      <c r="C67" s="12">
        <v>38573500000000</v>
      </c>
      <c r="D67" s="12">
        <v>39418200000000</v>
      </c>
      <c r="E67" s="12">
        <v>40706400000000</v>
      </c>
      <c r="F67" s="12">
        <v>42120000000000</v>
      </c>
      <c r="G67" s="12">
        <v>43521900000000</v>
      </c>
      <c r="H67" s="12">
        <v>44488000000000</v>
      </c>
      <c r="I67" s="12">
        <v>45008200000000</v>
      </c>
      <c r="J67" s="12">
        <v>45259500000000</v>
      </c>
      <c r="K67" s="12">
        <v>45462200000000</v>
      </c>
      <c r="L67" s="12">
        <v>45756400000000</v>
      </c>
      <c r="M67" s="12">
        <v>46102400000000</v>
      </c>
      <c r="N67" s="12">
        <v>46486700000000</v>
      </c>
      <c r="O67" s="12">
        <v>46689600000000</v>
      </c>
      <c r="P67" s="12">
        <v>46967300000000</v>
      </c>
      <c r="Q67" s="12">
        <v>47531200000000</v>
      </c>
      <c r="R67" s="12">
        <v>48203400000000</v>
      </c>
      <c r="S67" s="12">
        <v>48793400000000</v>
      </c>
      <c r="T67" s="12">
        <v>49415900000000</v>
      </c>
      <c r="U67" s="12">
        <v>50095900000000</v>
      </c>
      <c r="V67" s="12">
        <v>50861900000000</v>
      </c>
      <c r="W67" s="12">
        <v>51675600000000</v>
      </c>
      <c r="X67" s="12">
        <v>52467400000000</v>
      </c>
      <c r="Y67" s="12">
        <v>53257200000000</v>
      </c>
      <c r="Z67" s="12">
        <v>53872300000000</v>
      </c>
      <c r="AA67" s="12">
        <v>54483300000000</v>
      </c>
      <c r="AB67" s="12">
        <v>55288100000000</v>
      </c>
      <c r="AC67" s="12">
        <v>55718000000000</v>
      </c>
      <c r="AD67" s="12">
        <v>56401100000000</v>
      </c>
      <c r="AE67" s="12">
        <v>57288800000000</v>
      </c>
      <c r="AF67" s="12">
        <v>58248300000000</v>
      </c>
    </row>
    <row r="68" spans="1:32" x14ac:dyDescent="0.25">
      <c r="A68" s="25" t="s">
        <v>137</v>
      </c>
      <c r="B68" s="12">
        <v>65000000000000</v>
      </c>
      <c r="C68" s="12">
        <v>64680000000000</v>
      </c>
      <c r="D68" s="12">
        <v>66520000000000</v>
      </c>
      <c r="E68" s="12">
        <v>68720000000000</v>
      </c>
      <c r="F68" s="12">
        <v>71110000000000</v>
      </c>
      <c r="G68" s="12">
        <v>73480000000000</v>
      </c>
      <c r="H68" s="12">
        <v>74640000000000</v>
      </c>
      <c r="I68" s="12">
        <v>75410000000000</v>
      </c>
      <c r="J68" s="12">
        <v>76040000000000</v>
      </c>
      <c r="K68" s="12">
        <v>76700000000000</v>
      </c>
      <c r="L68" s="12">
        <v>77270000000000</v>
      </c>
      <c r="M68" s="12">
        <v>77830000000000</v>
      </c>
      <c r="N68" s="12">
        <v>78640000000000</v>
      </c>
      <c r="O68" s="12">
        <v>79160000000000</v>
      </c>
      <c r="P68" s="12">
        <v>79960000000000</v>
      </c>
      <c r="Q68" s="12">
        <v>81140000000000</v>
      </c>
      <c r="R68" s="12">
        <v>82250000000000</v>
      </c>
      <c r="S68" s="12">
        <v>83010000000000</v>
      </c>
      <c r="T68" s="12">
        <v>83790000000000</v>
      </c>
      <c r="U68" s="12">
        <v>84630000000000</v>
      </c>
      <c r="V68" s="12">
        <v>85610000000000</v>
      </c>
      <c r="W68" s="12">
        <v>86800000000000</v>
      </c>
      <c r="X68" s="12">
        <v>87930000000000</v>
      </c>
      <c r="Y68" s="12">
        <v>89120000000000</v>
      </c>
      <c r="Z68" s="12">
        <v>89980000000000</v>
      </c>
      <c r="AA68" s="12">
        <v>91060000000000</v>
      </c>
      <c r="AB68" s="12">
        <v>92340000000000</v>
      </c>
      <c r="AC68" s="12">
        <v>92940000000000</v>
      </c>
      <c r="AD68" s="12">
        <v>94220000000000</v>
      </c>
      <c r="AE68" s="12">
        <v>95690000000000</v>
      </c>
      <c r="AF68" s="12">
        <v>97000000000000</v>
      </c>
    </row>
    <row r="69" spans="1:32" x14ac:dyDescent="0.25">
      <c r="A69" s="25" t="s">
        <v>138</v>
      </c>
      <c r="B69" s="12">
        <v>77500000000000</v>
      </c>
      <c r="C69" s="12">
        <v>79475000000000</v>
      </c>
      <c r="D69" s="12">
        <v>80075400000000</v>
      </c>
      <c r="E69" s="12">
        <v>83122700000000</v>
      </c>
      <c r="F69" s="12">
        <v>85804600000000</v>
      </c>
      <c r="G69" s="12">
        <v>88331300000000</v>
      </c>
      <c r="H69" s="12">
        <v>90602400000000</v>
      </c>
      <c r="I69" s="12">
        <v>92261200000000</v>
      </c>
      <c r="J69" s="12">
        <v>93375700000000</v>
      </c>
      <c r="K69" s="12">
        <v>93046200000000</v>
      </c>
      <c r="L69" s="12">
        <v>92717100000000</v>
      </c>
      <c r="M69" s="12">
        <v>92889900000000</v>
      </c>
      <c r="N69" s="12">
        <v>93951800000000</v>
      </c>
      <c r="O69" s="12">
        <v>94867100000000</v>
      </c>
      <c r="P69" s="12">
        <v>96097200000000</v>
      </c>
      <c r="Q69" s="12">
        <v>97296400000000</v>
      </c>
      <c r="R69" s="12">
        <v>98580000000000</v>
      </c>
      <c r="S69" s="12">
        <v>99641300000000</v>
      </c>
      <c r="T69" s="12">
        <v>100635000000000</v>
      </c>
      <c r="U69" s="12">
        <v>101920000000000</v>
      </c>
      <c r="V69" s="12">
        <v>103153000000000</v>
      </c>
      <c r="W69" s="12">
        <v>104506000000000</v>
      </c>
      <c r="X69" s="12">
        <v>105816000000000</v>
      </c>
      <c r="Y69" s="12">
        <v>106949000000000</v>
      </c>
      <c r="Z69" s="12">
        <v>108012000000000</v>
      </c>
      <c r="AA69" s="12">
        <v>108943000000000</v>
      </c>
      <c r="AB69" s="12">
        <v>109821000000000</v>
      </c>
      <c r="AC69" s="12">
        <v>110510000000000</v>
      </c>
      <c r="AD69" s="12">
        <v>111063000000000</v>
      </c>
      <c r="AE69" s="12">
        <v>111813000000000</v>
      </c>
      <c r="AF69" s="12">
        <v>112318000000000</v>
      </c>
    </row>
    <row r="70" spans="1:32" x14ac:dyDescent="0.25">
      <c r="A70" s="25" t="s">
        <v>139</v>
      </c>
      <c r="B70" s="12">
        <v>43900000000000</v>
      </c>
      <c r="C70" s="12">
        <v>44991500000000</v>
      </c>
      <c r="D70" s="12">
        <v>45331400000000</v>
      </c>
      <c r="E70" s="12">
        <v>47056500000000</v>
      </c>
      <c r="F70" s="12">
        <v>48574800000000</v>
      </c>
      <c r="G70" s="12">
        <v>50005200000000</v>
      </c>
      <c r="H70" s="12">
        <v>51290900000000</v>
      </c>
      <c r="I70" s="12">
        <v>52229900000000</v>
      </c>
      <c r="J70" s="12">
        <v>52860900000000</v>
      </c>
      <c r="K70" s="12">
        <v>52674300000000</v>
      </c>
      <c r="L70" s="12">
        <v>52488000000000</v>
      </c>
      <c r="M70" s="12">
        <v>52585800000000</v>
      </c>
      <c r="N70" s="12">
        <v>53187000000000</v>
      </c>
      <c r="O70" s="12">
        <v>53705100000000</v>
      </c>
      <c r="P70" s="12">
        <v>54401500000000</v>
      </c>
      <c r="Q70" s="12">
        <v>55080400000000</v>
      </c>
      <c r="R70" s="12">
        <v>55807000000000</v>
      </c>
      <c r="S70" s="12">
        <v>56407800000000</v>
      </c>
      <c r="T70" s="12">
        <v>56970200000000</v>
      </c>
      <c r="U70" s="12">
        <v>57697900000000</v>
      </c>
      <c r="V70" s="12">
        <v>58395700000000</v>
      </c>
      <c r="W70" s="12">
        <v>59161600000000</v>
      </c>
      <c r="X70" s="12">
        <v>59903400000000</v>
      </c>
      <c r="Y70" s="12">
        <v>60544800000000</v>
      </c>
      <c r="Z70" s="12">
        <v>61146600000000</v>
      </c>
      <c r="AA70" s="12">
        <v>61673700000000</v>
      </c>
      <c r="AB70" s="12">
        <v>62170700000000</v>
      </c>
      <c r="AC70" s="12">
        <v>62561000000000</v>
      </c>
      <c r="AD70" s="12">
        <v>62873800000000</v>
      </c>
      <c r="AE70" s="12">
        <v>63298400000000</v>
      </c>
      <c r="AF70" s="12">
        <v>63584200000000</v>
      </c>
    </row>
    <row r="71" spans="1:32" x14ac:dyDescent="0.25">
      <c r="A71" s="25" t="s">
        <v>140</v>
      </c>
      <c r="B71" s="12">
        <v>142000000000000</v>
      </c>
      <c r="C71" s="12">
        <v>143310000000000</v>
      </c>
      <c r="D71" s="12">
        <v>145656000000000</v>
      </c>
      <c r="E71" s="12">
        <v>149379000000000</v>
      </c>
      <c r="F71" s="12">
        <v>153017000000000</v>
      </c>
      <c r="G71" s="12">
        <v>156285000000000</v>
      </c>
      <c r="H71" s="12">
        <v>158941000000000</v>
      </c>
      <c r="I71" s="12">
        <v>161023000000000</v>
      </c>
      <c r="J71" s="12">
        <v>162581000000000</v>
      </c>
      <c r="K71" s="12">
        <v>163541000000000</v>
      </c>
      <c r="L71" s="12">
        <v>164701000000000</v>
      </c>
      <c r="M71" s="12">
        <v>165760000000000</v>
      </c>
      <c r="N71" s="12">
        <v>166710000000000</v>
      </c>
      <c r="O71" s="12">
        <v>167237000000000</v>
      </c>
      <c r="P71" s="12">
        <v>168020000000000</v>
      </c>
      <c r="Q71" s="12">
        <v>169267000000000</v>
      </c>
      <c r="R71" s="12">
        <v>170684000000000</v>
      </c>
      <c r="S71" s="12">
        <v>171926000000000</v>
      </c>
      <c r="T71" s="12">
        <v>173368000000000</v>
      </c>
      <c r="U71" s="12">
        <v>175003000000000</v>
      </c>
      <c r="V71" s="12">
        <v>176661000000000</v>
      </c>
      <c r="W71" s="12">
        <v>178601000000000</v>
      </c>
      <c r="X71" s="12">
        <v>180870000000000</v>
      </c>
      <c r="Y71" s="12">
        <v>183473000000000</v>
      </c>
      <c r="Z71" s="12">
        <v>185921000000000</v>
      </c>
      <c r="AA71" s="12">
        <v>187695000000000</v>
      </c>
      <c r="AB71" s="12">
        <v>189378000000000</v>
      </c>
      <c r="AC71" s="12">
        <v>190905000000000</v>
      </c>
      <c r="AD71" s="12">
        <v>192687000000000</v>
      </c>
      <c r="AE71" s="12">
        <v>194859000000000</v>
      </c>
      <c r="AF71" s="12">
        <v>196784000000000</v>
      </c>
    </row>
    <row r="72" spans="1:32" x14ac:dyDescent="0.25">
      <c r="A72" s="25" t="s">
        <v>141</v>
      </c>
      <c r="B72" s="25">
        <v>0</v>
      </c>
      <c r="C72" s="12">
        <v>3368760000000</v>
      </c>
      <c r="D72" s="12">
        <v>2944720000000</v>
      </c>
      <c r="E72" s="12">
        <v>3149690000000</v>
      </c>
      <c r="F72" s="12">
        <v>3478370000000</v>
      </c>
      <c r="G72" s="12">
        <v>3683050000000</v>
      </c>
      <c r="H72" s="12">
        <v>3785550000000</v>
      </c>
      <c r="I72" s="12">
        <v>3886710000000</v>
      </c>
      <c r="J72" s="12">
        <v>3987550000000</v>
      </c>
      <c r="K72" s="12">
        <v>4057860000000</v>
      </c>
      <c r="L72" s="12">
        <v>4160960000000</v>
      </c>
      <c r="M72" s="12">
        <v>4261570000000</v>
      </c>
      <c r="N72" s="12">
        <v>4351060000000</v>
      </c>
      <c r="O72" s="12">
        <v>4428020000000</v>
      </c>
      <c r="P72" s="12">
        <v>4488770000000</v>
      </c>
      <c r="Q72" s="12">
        <v>4568530000000</v>
      </c>
      <c r="R72" s="12">
        <v>4625550000000</v>
      </c>
      <c r="S72" s="12">
        <v>4533780000000</v>
      </c>
      <c r="T72" s="12">
        <v>4513810000000</v>
      </c>
      <c r="U72" s="12">
        <v>4455770000000</v>
      </c>
      <c r="V72" s="12">
        <v>4420060000000</v>
      </c>
      <c r="W72" s="12">
        <v>4383610000000</v>
      </c>
      <c r="X72" s="12">
        <v>4361070000000</v>
      </c>
      <c r="Y72" s="12">
        <v>4347570000000</v>
      </c>
      <c r="Z72" s="12">
        <v>4341040000000</v>
      </c>
      <c r="AA72" s="12">
        <v>4335940000000</v>
      </c>
      <c r="AB72" s="12">
        <v>4327660000000</v>
      </c>
      <c r="AC72" s="12">
        <v>4270850000000</v>
      </c>
      <c r="AD72" s="12">
        <v>4233990000000</v>
      </c>
      <c r="AE72" s="12">
        <v>4215380000000</v>
      </c>
      <c r="AF72" s="12">
        <v>4176050000000</v>
      </c>
    </row>
    <row r="73" spans="1:32" x14ac:dyDescent="0.25">
      <c r="A73" s="25" t="s">
        <v>142</v>
      </c>
      <c r="B73" s="12">
        <v>205000000000000</v>
      </c>
      <c r="C73" s="12">
        <v>205000000000000</v>
      </c>
      <c r="D73" s="12">
        <v>206000000000000</v>
      </c>
      <c r="E73" s="12">
        <v>207000000000000</v>
      </c>
      <c r="F73" s="12">
        <v>207000000000000</v>
      </c>
      <c r="G73" s="12">
        <v>208000000000000</v>
      </c>
      <c r="H73" s="12">
        <v>209000000000000</v>
      </c>
      <c r="I73" s="12">
        <v>209000000000000</v>
      </c>
      <c r="J73" s="12">
        <v>210000000000000</v>
      </c>
      <c r="K73" s="12">
        <v>211000000000000</v>
      </c>
      <c r="L73" s="12">
        <v>212000000000000</v>
      </c>
      <c r="M73" s="12">
        <v>212000000000000</v>
      </c>
      <c r="N73" s="12">
        <v>213000000000000</v>
      </c>
      <c r="O73" s="12">
        <v>214000000000000</v>
      </c>
      <c r="P73" s="12">
        <v>214000000000000</v>
      </c>
      <c r="Q73" s="12">
        <v>215000000000000</v>
      </c>
      <c r="R73" s="12">
        <v>216000000000000</v>
      </c>
      <c r="S73" s="12">
        <v>216000000000000</v>
      </c>
      <c r="T73" s="12">
        <v>217000000000000</v>
      </c>
      <c r="U73" s="12">
        <v>218000000000000</v>
      </c>
      <c r="V73" s="12">
        <v>218000000000000</v>
      </c>
      <c r="W73" s="12">
        <v>219000000000000</v>
      </c>
      <c r="X73" s="12">
        <v>220000000000000</v>
      </c>
      <c r="Y73" s="12">
        <v>220000000000000</v>
      </c>
      <c r="Z73" s="12">
        <v>221000000000000</v>
      </c>
      <c r="AA73" s="12">
        <v>222000000000000</v>
      </c>
      <c r="AB73" s="12">
        <v>222000000000000</v>
      </c>
      <c r="AC73" s="12">
        <v>223000000000000</v>
      </c>
      <c r="AD73" s="12">
        <v>224000000000000</v>
      </c>
      <c r="AE73" s="12">
        <v>225000000000000</v>
      </c>
      <c r="AF73" s="12">
        <v>225000000000000</v>
      </c>
    </row>
    <row r="74" spans="1:32" x14ac:dyDescent="0.25">
      <c r="A74" s="25" t="s">
        <v>143</v>
      </c>
      <c r="B74" s="12">
        <v>162000000000000</v>
      </c>
      <c r="C74" s="12">
        <v>158772000000000</v>
      </c>
      <c r="D74" s="12">
        <v>157941000000000</v>
      </c>
      <c r="E74" s="12">
        <v>164520000000000</v>
      </c>
      <c r="F74" s="12">
        <v>172598000000000</v>
      </c>
      <c r="G74" s="12">
        <v>179648000000000</v>
      </c>
      <c r="H74" s="12">
        <v>185017000000000</v>
      </c>
      <c r="I74" s="12">
        <v>188397000000000</v>
      </c>
      <c r="J74" s="12">
        <v>190738000000000</v>
      </c>
      <c r="K74" s="12">
        <v>192747000000000</v>
      </c>
      <c r="L74" s="12">
        <v>194861000000000</v>
      </c>
      <c r="M74" s="12">
        <v>197316000000000</v>
      </c>
      <c r="N74" s="12">
        <v>200116000000000</v>
      </c>
      <c r="O74" s="12">
        <v>202413000000000</v>
      </c>
      <c r="P74" s="12">
        <v>204778000000000</v>
      </c>
      <c r="Q74" s="12">
        <v>207872000000000</v>
      </c>
      <c r="R74" s="12">
        <v>210605000000000</v>
      </c>
      <c r="S74" s="12">
        <v>212956000000000</v>
      </c>
      <c r="T74" s="12">
        <v>215619000000000</v>
      </c>
      <c r="U74" s="12">
        <v>218333000000000</v>
      </c>
      <c r="V74" s="12">
        <v>221939000000000</v>
      </c>
      <c r="W74" s="12">
        <v>225989000000000</v>
      </c>
      <c r="X74" s="12">
        <v>229514000000000</v>
      </c>
      <c r="Y74" s="12">
        <v>233277000000000</v>
      </c>
      <c r="Z74" s="12">
        <v>237223000000000</v>
      </c>
      <c r="AA74" s="12">
        <v>241397000000000</v>
      </c>
      <c r="AB74" s="12">
        <v>246138000000000</v>
      </c>
      <c r="AC74" s="12">
        <v>250082000000000</v>
      </c>
      <c r="AD74" s="12">
        <v>254370000000000</v>
      </c>
      <c r="AE74" s="12">
        <v>259216000000000</v>
      </c>
      <c r="AF74" s="12">
        <v>264290000000000</v>
      </c>
    </row>
    <row r="75" spans="1:32" x14ac:dyDescent="0.25">
      <c r="A75" s="25" t="s">
        <v>144</v>
      </c>
      <c r="B75" s="25">
        <v>0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</row>
    <row r="76" spans="1:32" x14ac:dyDescent="0.25">
      <c r="A76" s="25" t="s">
        <v>145</v>
      </c>
      <c r="B76" s="12">
        <v>84973300000000</v>
      </c>
      <c r="C76" s="12">
        <v>80906900000000</v>
      </c>
      <c r="D76" s="12">
        <v>85808000000000</v>
      </c>
      <c r="E76" s="12">
        <v>89067500000000</v>
      </c>
      <c r="F76" s="12">
        <v>92133400000000</v>
      </c>
      <c r="G76" s="12">
        <v>93229200000000</v>
      </c>
      <c r="H76" s="12">
        <v>93603400000000</v>
      </c>
      <c r="I76" s="12">
        <v>93781400000000</v>
      </c>
      <c r="J76" s="12">
        <v>94763400000000</v>
      </c>
      <c r="K76" s="12">
        <v>95362100000000</v>
      </c>
      <c r="L76" s="12">
        <v>96381800000000</v>
      </c>
      <c r="M76" s="12">
        <v>97347600000000</v>
      </c>
      <c r="N76" s="12">
        <v>98371800000000</v>
      </c>
      <c r="O76" s="12">
        <v>98891400000000</v>
      </c>
      <c r="P76" s="12">
        <v>99704000000000</v>
      </c>
      <c r="Q76" s="12">
        <v>100894000000000</v>
      </c>
      <c r="R76" s="12">
        <v>102002000000000</v>
      </c>
      <c r="S76" s="12">
        <v>103078000000000</v>
      </c>
      <c r="T76" s="12">
        <v>103901000000000</v>
      </c>
      <c r="U76" s="12">
        <v>104791000000000</v>
      </c>
      <c r="V76" s="12">
        <v>105610000000000</v>
      </c>
      <c r="W76" s="12">
        <v>106652000000000</v>
      </c>
      <c r="X76" s="12">
        <v>107776000000000</v>
      </c>
      <c r="Y76" s="12">
        <v>108844000000000</v>
      </c>
      <c r="Z76" s="12">
        <v>109360000000000</v>
      </c>
      <c r="AA76" s="12">
        <v>110322000000000</v>
      </c>
      <c r="AB76" s="12">
        <v>110763000000000</v>
      </c>
      <c r="AC76" s="12">
        <v>111350000000000</v>
      </c>
      <c r="AD76" s="12">
        <v>111850000000000</v>
      </c>
      <c r="AE76" s="12">
        <v>112422000000000</v>
      </c>
      <c r="AF76" s="12">
        <v>113316000000000</v>
      </c>
    </row>
    <row r="77" spans="1:32" x14ac:dyDescent="0.25">
      <c r="A77" s="25" t="s">
        <v>146</v>
      </c>
      <c r="B77" s="25">
        <v>0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</row>
    <row r="78" spans="1:32" x14ac:dyDescent="0.25">
      <c r="A78" s="25" t="s">
        <v>147</v>
      </c>
      <c r="B78" s="25">
        <v>0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</row>
    <row r="79" spans="1:32" x14ac:dyDescent="0.25">
      <c r="A79" s="25" t="s">
        <v>148</v>
      </c>
      <c r="B79" s="12">
        <v>125959000000000</v>
      </c>
      <c r="C79" s="12">
        <v>126469000000000</v>
      </c>
      <c r="D79" s="12">
        <v>128459000000000</v>
      </c>
      <c r="E79" s="12">
        <v>130336000000000</v>
      </c>
      <c r="F79" s="12">
        <v>132271000000000</v>
      </c>
      <c r="G79" s="12">
        <v>133398000000000</v>
      </c>
      <c r="H79" s="12">
        <v>134459000000000</v>
      </c>
      <c r="I79" s="12">
        <v>135470000000000</v>
      </c>
      <c r="J79" s="12">
        <v>136459000000000</v>
      </c>
      <c r="K79" s="12">
        <v>136995000000000</v>
      </c>
      <c r="L79" s="12">
        <v>137517000000000</v>
      </c>
      <c r="M79" s="12">
        <v>138058000000000</v>
      </c>
      <c r="N79" s="12">
        <v>138628000000000</v>
      </c>
      <c r="O79" s="12">
        <v>138777000000000</v>
      </c>
      <c r="P79" s="12">
        <v>138977000000000</v>
      </c>
      <c r="Q79" s="12">
        <v>139241000000000</v>
      </c>
      <c r="R79" s="12">
        <v>139519000000000</v>
      </c>
      <c r="S79" s="12">
        <v>139780000000000</v>
      </c>
      <c r="T79" s="12">
        <v>140067000000000</v>
      </c>
      <c r="U79" s="12">
        <v>140376000000000</v>
      </c>
      <c r="V79" s="12">
        <v>140700000000000</v>
      </c>
      <c r="W79" s="12">
        <v>141059000000000</v>
      </c>
      <c r="X79" s="12">
        <v>141452000000000</v>
      </c>
      <c r="Y79" s="12">
        <v>141874000000000</v>
      </c>
      <c r="Z79" s="12">
        <v>142287000000000</v>
      </c>
      <c r="AA79" s="12">
        <v>142654000000000</v>
      </c>
      <c r="AB79" s="12">
        <v>143003000000000</v>
      </c>
      <c r="AC79" s="12">
        <v>143340000000000</v>
      </c>
      <c r="AD79" s="12">
        <v>143717000000000</v>
      </c>
      <c r="AE79" s="12">
        <v>144127000000000</v>
      </c>
      <c r="AF79" s="12">
        <v>144535000000000</v>
      </c>
    </row>
    <row r="80" spans="1:32" x14ac:dyDescent="0.25">
      <c r="A80" s="25" t="s">
        <v>149</v>
      </c>
      <c r="B80" s="12">
        <v>7392450000000</v>
      </c>
      <c r="C80" s="12">
        <v>7457660000000</v>
      </c>
      <c r="D80" s="12">
        <v>7785810000000</v>
      </c>
      <c r="E80" s="12">
        <v>7950110000000</v>
      </c>
      <c r="F80" s="12">
        <v>8133990000000</v>
      </c>
      <c r="G80" s="12">
        <v>8303750000000</v>
      </c>
      <c r="H80" s="12">
        <v>8442280000000</v>
      </c>
      <c r="I80" s="12">
        <v>8553160000000</v>
      </c>
      <c r="J80" s="12">
        <v>8646260000000</v>
      </c>
      <c r="K80" s="12">
        <v>8711370000000</v>
      </c>
      <c r="L80" s="12">
        <v>8779410000000</v>
      </c>
      <c r="M80" s="12">
        <v>8855360000000</v>
      </c>
      <c r="N80" s="12">
        <v>8932580000000</v>
      </c>
      <c r="O80" s="12">
        <v>8983520000000</v>
      </c>
      <c r="P80" s="12">
        <v>9046350000000</v>
      </c>
      <c r="Q80" s="12">
        <v>9138110000000</v>
      </c>
      <c r="R80" s="12">
        <v>9231620000000</v>
      </c>
      <c r="S80" s="12">
        <v>9314440000000</v>
      </c>
      <c r="T80" s="12">
        <v>9410680000000</v>
      </c>
      <c r="U80" s="12">
        <v>9515250000000</v>
      </c>
      <c r="V80" s="12">
        <v>9622910000000</v>
      </c>
      <c r="W80" s="12">
        <v>9746110000000</v>
      </c>
      <c r="X80" s="12">
        <v>9884810000000</v>
      </c>
      <c r="Y80" s="12">
        <v>10036500000000</v>
      </c>
      <c r="Z80" s="12">
        <v>10183700000000</v>
      </c>
      <c r="AA80" s="12">
        <v>10304400000000</v>
      </c>
      <c r="AB80" s="12">
        <v>10417100000000</v>
      </c>
      <c r="AC80" s="12">
        <v>10522000000000</v>
      </c>
      <c r="AD80" s="12">
        <v>10641500000000</v>
      </c>
      <c r="AE80" s="12">
        <v>10776900000000</v>
      </c>
      <c r="AF80" s="12">
        <v>10909000000000</v>
      </c>
    </row>
    <row r="81" spans="1:32" x14ac:dyDescent="0.25">
      <c r="A81" s="25" t="s">
        <v>150</v>
      </c>
      <c r="B81" s="12">
        <v>559995000000</v>
      </c>
      <c r="C81" s="12">
        <v>571232000000</v>
      </c>
      <c r="D81" s="12">
        <v>599059000000</v>
      </c>
      <c r="E81" s="12">
        <v>605967000000</v>
      </c>
      <c r="F81" s="12">
        <v>617733000000</v>
      </c>
      <c r="G81" s="12">
        <v>628691000000</v>
      </c>
      <c r="H81" s="12">
        <v>629961000000</v>
      </c>
      <c r="I81" s="12">
        <v>627271000000</v>
      </c>
      <c r="J81" s="12">
        <v>622942000000</v>
      </c>
      <c r="K81" s="12">
        <v>618262000000</v>
      </c>
      <c r="L81" s="12">
        <v>615416000000</v>
      </c>
      <c r="M81" s="12">
        <v>612497000000</v>
      </c>
      <c r="N81" s="12">
        <v>611864000000</v>
      </c>
      <c r="O81" s="12">
        <v>603487000000</v>
      </c>
      <c r="P81" s="12">
        <v>592220000000</v>
      </c>
      <c r="Q81" s="12">
        <v>593097000000</v>
      </c>
      <c r="R81" s="12">
        <v>594789000000</v>
      </c>
      <c r="S81" s="12">
        <v>595469000000</v>
      </c>
      <c r="T81" s="12">
        <v>599511000000</v>
      </c>
      <c r="U81" s="12">
        <v>603547000000</v>
      </c>
      <c r="V81" s="12">
        <v>610282000000</v>
      </c>
      <c r="W81" s="12">
        <v>621421000000</v>
      </c>
      <c r="X81" s="12">
        <v>627587000000</v>
      </c>
      <c r="Y81" s="12">
        <v>633867000000</v>
      </c>
      <c r="Z81" s="12">
        <v>640127000000</v>
      </c>
      <c r="AA81" s="12">
        <v>651694000000</v>
      </c>
      <c r="AB81" s="12">
        <v>661323000000</v>
      </c>
      <c r="AC81" s="12">
        <v>666892000000</v>
      </c>
      <c r="AD81" s="12">
        <v>674568000000</v>
      </c>
      <c r="AE81" s="12">
        <v>681819000000</v>
      </c>
      <c r="AF81" s="12">
        <v>691431000000</v>
      </c>
    </row>
    <row r="82" spans="1:32" x14ac:dyDescent="0.25">
      <c r="A82" s="25" t="s">
        <v>151</v>
      </c>
      <c r="B82" s="12">
        <v>33737300000000</v>
      </c>
      <c r="C82" s="12">
        <v>33706400000000</v>
      </c>
      <c r="D82" s="12">
        <v>34088800000000</v>
      </c>
      <c r="E82" s="12">
        <v>34558300000000</v>
      </c>
      <c r="F82" s="12">
        <v>35061000000000</v>
      </c>
      <c r="G82" s="12">
        <v>35342500000000</v>
      </c>
      <c r="H82" s="12">
        <v>35680400000000</v>
      </c>
      <c r="I82" s="12">
        <v>36091000000000</v>
      </c>
      <c r="J82" s="12">
        <v>36606300000000</v>
      </c>
      <c r="K82" s="12">
        <v>37120700000000</v>
      </c>
      <c r="L82" s="12">
        <v>37789800000000</v>
      </c>
      <c r="M82" s="12">
        <v>38609600000000</v>
      </c>
      <c r="N82" s="12">
        <v>39562600000000</v>
      </c>
      <c r="O82" s="12">
        <v>40462700000000</v>
      </c>
      <c r="P82" s="12">
        <v>41422900000000</v>
      </c>
      <c r="Q82" s="12">
        <v>42398700000000</v>
      </c>
      <c r="R82" s="12">
        <v>43327600000000</v>
      </c>
      <c r="S82" s="12">
        <v>44221100000000</v>
      </c>
      <c r="T82" s="12">
        <v>45072500000000</v>
      </c>
      <c r="U82" s="12">
        <v>45860900000000</v>
      </c>
      <c r="V82" s="12">
        <v>46563300000000</v>
      </c>
      <c r="W82" s="12">
        <v>47258300000000</v>
      </c>
      <c r="X82" s="12">
        <v>47969500000000</v>
      </c>
      <c r="Y82" s="12">
        <v>48745700000000</v>
      </c>
      <c r="Z82" s="12">
        <v>49500500000000</v>
      </c>
      <c r="AA82" s="12">
        <v>50337000000000</v>
      </c>
      <c r="AB82" s="12">
        <v>51170100000000</v>
      </c>
      <c r="AC82" s="12">
        <v>52079800000000</v>
      </c>
      <c r="AD82" s="12">
        <v>52937000000000</v>
      </c>
      <c r="AE82" s="12">
        <v>53815900000000</v>
      </c>
      <c r="AF82" s="12">
        <v>54712900000000</v>
      </c>
    </row>
    <row r="83" spans="1:32" x14ac:dyDescent="0.25">
      <c r="A83" s="25" t="s">
        <v>152</v>
      </c>
      <c r="B83" s="12">
        <v>24000000000000</v>
      </c>
      <c r="C83" s="12">
        <v>24050000000000</v>
      </c>
      <c r="D83" s="12">
        <v>64167600000</v>
      </c>
      <c r="E83" s="12">
        <v>88239300000</v>
      </c>
      <c r="F83" s="12">
        <v>113437000000</v>
      </c>
      <c r="G83" s="12">
        <v>138308000000</v>
      </c>
      <c r="H83" s="12">
        <v>161806000000</v>
      </c>
      <c r="I83" s="12">
        <v>178616000000</v>
      </c>
      <c r="J83" s="12">
        <v>178886000000</v>
      </c>
      <c r="K83" s="12">
        <v>272967000000</v>
      </c>
      <c r="L83" s="12">
        <v>365936000000</v>
      </c>
      <c r="M83" s="12">
        <v>462711000000</v>
      </c>
      <c r="N83" s="12">
        <v>553372000000</v>
      </c>
      <c r="O83" s="12">
        <v>634878000000</v>
      </c>
      <c r="P83" s="12">
        <v>709123000000</v>
      </c>
      <c r="Q83" s="12">
        <v>907059000000</v>
      </c>
      <c r="R83" s="12">
        <v>982659000000</v>
      </c>
      <c r="S83" s="12">
        <v>962726000000</v>
      </c>
      <c r="T83" s="12">
        <v>956040000000</v>
      </c>
      <c r="U83" s="12">
        <v>949381000000</v>
      </c>
      <c r="V83" s="12">
        <v>940778000000</v>
      </c>
      <c r="W83" s="12">
        <v>3911800000000</v>
      </c>
      <c r="X83" s="12">
        <v>10858800000000</v>
      </c>
      <c r="Y83" s="12">
        <v>18133800000000</v>
      </c>
      <c r="Z83" s="12">
        <v>30862300000000</v>
      </c>
      <c r="AA83" s="12">
        <v>30855300000000</v>
      </c>
      <c r="AB83" s="12">
        <v>30931500000000</v>
      </c>
      <c r="AC83" s="12">
        <v>30926800000000</v>
      </c>
      <c r="AD83" s="12">
        <v>30958500000000</v>
      </c>
      <c r="AE83" s="12">
        <v>30956200000000</v>
      </c>
      <c r="AF83" s="12">
        <v>30896700000000</v>
      </c>
    </row>
    <row r="84" spans="1:32" x14ac:dyDescent="0.25">
      <c r="A84" s="25" t="s">
        <v>153</v>
      </c>
      <c r="B84" s="12">
        <v>48054400000000</v>
      </c>
      <c r="C84" s="12">
        <v>47970100000000</v>
      </c>
      <c r="D84" s="12">
        <v>48861900000000</v>
      </c>
      <c r="E84" s="12">
        <v>49693000000000</v>
      </c>
      <c r="F84" s="12">
        <v>50694100000000</v>
      </c>
      <c r="G84" s="12">
        <v>51311700000000</v>
      </c>
      <c r="H84" s="12">
        <v>51825700000000</v>
      </c>
      <c r="I84" s="12">
        <v>52293300000000</v>
      </c>
      <c r="J84" s="12">
        <v>52895800000000</v>
      </c>
      <c r="K84" s="12">
        <v>53177500000000</v>
      </c>
      <c r="L84" s="12">
        <v>53501800000000</v>
      </c>
      <c r="M84" s="12">
        <v>53819700000000</v>
      </c>
      <c r="N84" s="12">
        <v>54107700000000</v>
      </c>
      <c r="O84" s="12">
        <v>54200500000000</v>
      </c>
      <c r="P84" s="12">
        <v>54469900000000</v>
      </c>
      <c r="Q84" s="12">
        <v>54685200000000</v>
      </c>
      <c r="R84" s="12">
        <v>54838300000000</v>
      </c>
      <c r="S84" s="12">
        <v>54983500000000</v>
      </c>
      <c r="T84" s="12">
        <v>55079500000000</v>
      </c>
      <c r="U84" s="12">
        <v>55189100000000</v>
      </c>
      <c r="V84" s="12">
        <v>55202200000000</v>
      </c>
      <c r="W84" s="12">
        <v>55255500000000</v>
      </c>
      <c r="X84" s="12">
        <v>55316600000000</v>
      </c>
      <c r="Y84" s="12">
        <v>55497900000000</v>
      </c>
      <c r="Z84" s="12">
        <v>55635800000000</v>
      </c>
      <c r="AA84" s="12">
        <v>55833800000000</v>
      </c>
      <c r="AB84" s="12">
        <v>55873500000000</v>
      </c>
      <c r="AC84" s="12">
        <v>55863100000000</v>
      </c>
      <c r="AD84" s="12">
        <v>55871300000000</v>
      </c>
      <c r="AE84" s="12">
        <v>55994700000000</v>
      </c>
      <c r="AF84" s="12">
        <v>56105000000000</v>
      </c>
    </row>
    <row r="85" spans="1:32" x14ac:dyDescent="0.25">
      <c r="A85" s="25" t="s">
        <v>154</v>
      </c>
      <c r="B85" s="12">
        <v>72997000000</v>
      </c>
      <c r="C85" s="12">
        <v>71869000000</v>
      </c>
      <c r="D85" s="12">
        <v>72224000000</v>
      </c>
      <c r="E85" s="12">
        <v>72648000000</v>
      </c>
      <c r="F85" s="12">
        <v>73038000000</v>
      </c>
      <c r="G85" s="12">
        <v>72917000000</v>
      </c>
      <c r="H85" s="12">
        <v>72753000000</v>
      </c>
      <c r="I85" s="12">
        <v>72548000000</v>
      </c>
      <c r="J85" s="12">
        <v>72332000000</v>
      </c>
      <c r="K85" s="12">
        <v>71863000000</v>
      </c>
      <c r="L85" s="12">
        <v>71386000000</v>
      </c>
      <c r="M85" s="12">
        <v>70926000000</v>
      </c>
      <c r="N85" s="12">
        <v>70521000000</v>
      </c>
      <c r="O85" s="12">
        <v>69876000000</v>
      </c>
      <c r="P85" s="12">
        <v>69250000000</v>
      </c>
      <c r="Q85" s="12">
        <v>68665000000</v>
      </c>
      <c r="R85" s="12">
        <v>68068000000</v>
      </c>
      <c r="S85" s="12">
        <v>67470000000</v>
      </c>
      <c r="T85" s="12">
        <v>66879000000</v>
      </c>
      <c r="U85" s="12">
        <v>66309000000</v>
      </c>
      <c r="V85" s="12">
        <v>65752000000</v>
      </c>
      <c r="W85" s="12">
        <v>65179000000</v>
      </c>
      <c r="X85" s="12">
        <v>64618000000</v>
      </c>
      <c r="Y85" s="12">
        <v>64021000000</v>
      </c>
      <c r="Z85" s="12">
        <v>63372000000</v>
      </c>
      <c r="AA85" s="12">
        <v>62745000000</v>
      </c>
      <c r="AB85" s="12">
        <v>62076000000</v>
      </c>
      <c r="AC85" s="12">
        <v>61372000000</v>
      </c>
      <c r="AD85" s="12">
        <v>60696000000</v>
      </c>
      <c r="AE85" s="12">
        <v>60024000000</v>
      </c>
      <c r="AF85" s="12">
        <v>59342000000</v>
      </c>
    </row>
    <row r="86" spans="1:32" x14ac:dyDescent="0.25">
      <c r="A86" s="25" t="s">
        <v>155</v>
      </c>
      <c r="B86" s="25">
        <v>0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0</v>
      </c>
      <c r="Y86" s="25">
        <v>0</v>
      </c>
      <c r="Z86" s="25">
        <v>0</v>
      </c>
      <c r="AA86" s="25">
        <v>0</v>
      </c>
      <c r="AB86" s="25">
        <v>0</v>
      </c>
      <c r="AC86" s="25">
        <v>0</v>
      </c>
      <c r="AD86" s="25">
        <v>0</v>
      </c>
      <c r="AE86" s="25">
        <v>0</v>
      </c>
      <c r="AF86" s="25">
        <v>0</v>
      </c>
    </row>
    <row r="87" spans="1:32" x14ac:dyDescent="0.25">
      <c r="A87" s="25" t="s">
        <v>156</v>
      </c>
      <c r="B87" s="12">
        <v>154520000000000</v>
      </c>
      <c r="C87" s="12">
        <v>148349000000000</v>
      </c>
      <c r="D87" s="12">
        <v>147194000000000</v>
      </c>
      <c r="E87" s="12">
        <v>144175000000000</v>
      </c>
      <c r="F87" s="12">
        <v>140128000000000</v>
      </c>
      <c r="G87" s="12">
        <v>134976000000000</v>
      </c>
      <c r="H87" s="12">
        <v>129138000000000</v>
      </c>
      <c r="I87" s="12">
        <v>122771000000000</v>
      </c>
      <c r="J87" s="12">
        <v>116083000000000</v>
      </c>
      <c r="K87" s="12">
        <v>109091000000000</v>
      </c>
      <c r="L87" s="12">
        <v>102239000000000</v>
      </c>
      <c r="M87" s="12">
        <v>95706300000000</v>
      </c>
      <c r="N87" s="12">
        <v>89308100000000</v>
      </c>
      <c r="O87" s="12">
        <v>82945900000000</v>
      </c>
      <c r="P87" s="12">
        <v>75982600000000</v>
      </c>
      <c r="Q87" s="12">
        <v>74038400000000</v>
      </c>
      <c r="R87" s="12">
        <v>72272800000000</v>
      </c>
      <c r="S87" s="12">
        <v>70533100000000</v>
      </c>
      <c r="T87" s="12">
        <v>69048900000000</v>
      </c>
      <c r="U87" s="12">
        <v>67678400000000</v>
      </c>
      <c r="V87" s="12">
        <v>66696400000000</v>
      </c>
      <c r="W87" s="12">
        <v>65914900000000</v>
      </c>
      <c r="X87" s="12">
        <v>65082400000000</v>
      </c>
      <c r="Y87" s="12">
        <v>64358500000000</v>
      </c>
      <c r="Z87" s="12">
        <v>63740100000000</v>
      </c>
      <c r="AA87" s="12">
        <v>63170300000000</v>
      </c>
      <c r="AB87" s="12">
        <v>62681700000000</v>
      </c>
      <c r="AC87" s="12">
        <v>62193700000000</v>
      </c>
      <c r="AD87" s="12">
        <v>61787200000000</v>
      </c>
      <c r="AE87" s="12">
        <v>61472300000000</v>
      </c>
      <c r="AF87" s="12">
        <v>61247500000000</v>
      </c>
    </row>
    <row r="88" spans="1:32" x14ac:dyDescent="0.25">
      <c r="A88" s="25" t="s">
        <v>157</v>
      </c>
      <c r="B88" s="12">
        <v>480814000000000</v>
      </c>
      <c r="C88" s="12">
        <v>398555000000000</v>
      </c>
      <c r="D88" s="12">
        <v>417522000000000</v>
      </c>
      <c r="E88" s="12">
        <v>515675000000000</v>
      </c>
      <c r="F88" s="12">
        <v>524608000000000</v>
      </c>
      <c r="G88" s="12">
        <v>500376000000000</v>
      </c>
      <c r="H88" s="12">
        <v>488558000000000</v>
      </c>
      <c r="I88" s="12">
        <v>475546000000000</v>
      </c>
      <c r="J88" s="12">
        <v>459928000000000</v>
      </c>
      <c r="K88" s="12">
        <v>435073000000000</v>
      </c>
      <c r="L88" s="12">
        <v>431100000000000</v>
      </c>
      <c r="M88" s="12">
        <v>429726000000000</v>
      </c>
      <c r="N88" s="12">
        <v>428120000000000</v>
      </c>
      <c r="O88" s="12">
        <v>418253000000000</v>
      </c>
      <c r="P88" s="12">
        <v>420941000000000</v>
      </c>
      <c r="Q88" s="12">
        <v>429076000000000</v>
      </c>
      <c r="R88" s="12">
        <v>430382000000000</v>
      </c>
      <c r="S88" s="12">
        <v>433107000000000</v>
      </c>
      <c r="T88" s="12">
        <v>441091000000000</v>
      </c>
      <c r="U88" s="12">
        <v>448247000000000</v>
      </c>
      <c r="V88" s="12">
        <v>445334000000000</v>
      </c>
      <c r="W88" s="12">
        <v>447312000000000</v>
      </c>
      <c r="X88" s="12">
        <v>455244000000000</v>
      </c>
      <c r="Y88" s="12">
        <v>469482000000000</v>
      </c>
      <c r="Z88" s="12">
        <v>470292000000000</v>
      </c>
      <c r="AA88" s="12">
        <v>476348000000000</v>
      </c>
      <c r="AB88" s="12">
        <v>476989000000000</v>
      </c>
      <c r="AC88" s="12">
        <v>474669000000000</v>
      </c>
      <c r="AD88" s="12">
        <v>479577000000000</v>
      </c>
      <c r="AE88" s="12">
        <v>483678000000000</v>
      </c>
      <c r="AF88" s="12">
        <v>495514000000000</v>
      </c>
    </row>
    <row r="89" spans="1:32" x14ac:dyDescent="0.25">
      <c r="A89" s="25" t="s">
        <v>158</v>
      </c>
      <c r="B89" s="12">
        <v>6360190000000</v>
      </c>
      <c r="C89" s="12">
        <v>6416300000000</v>
      </c>
      <c r="D89" s="12">
        <v>6698630000000</v>
      </c>
      <c r="E89" s="12">
        <v>6839990000000</v>
      </c>
      <c r="F89" s="12">
        <v>6998190000000</v>
      </c>
      <c r="G89" s="12">
        <v>7144240000000</v>
      </c>
      <c r="H89" s="12">
        <v>7263430000000</v>
      </c>
      <c r="I89" s="12">
        <v>7358820000000</v>
      </c>
      <c r="J89" s="12">
        <v>7438920000000</v>
      </c>
      <c r="K89" s="12">
        <v>7494950000000</v>
      </c>
      <c r="L89" s="12">
        <v>7553490000000</v>
      </c>
      <c r="M89" s="12">
        <v>7618830000000</v>
      </c>
      <c r="N89" s="12">
        <v>7685270000000</v>
      </c>
      <c r="O89" s="12">
        <v>7729090000000</v>
      </c>
      <c r="P89" s="12">
        <v>7783150000000</v>
      </c>
      <c r="Q89" s="12">
        <v>7862100000000</v>
      </c>
      <c r="R89" s="12">
        <v>7942550000000</v>
      </c>
      <c r="S89" s="12">
        <v>8013810000000</v>
      </c>
      <c r="T89" s="12">
        <v>8096610000000</v>
      </c>
      <c r="U89" s="12">
        <v>8186580000000</v>
      </c>
      <c r="V89" s="12">
        <v>8279200000000</v>
      </c>
      <c r="W89" s="12">
        <v>8385200000000</v>
      </c>
      <c r="X89" s="12">
        <v>8504530000000</v>
      </c>
      <c r="Y89" s="12">
        <v>8635050000000</v>
      </c>
      <c r="Z89" s="12">
        <v>8761710000000</v>
      </c>
      <c r="AA89" s="12">
        <v>8865550000000</v>
      </c>
      <c r="AB89" s="12">
        <v>8962500000000</v>
      </c>
      <c r="AC89" s="12">
        <v>9052760000000</v>
      </c>
      <c r="AD89" s="12">
        <v>9155530000000</v>
      </c>
      <c r="AE89" s="12">
        <v>9272020000000</v>
      </c>
      <c r="AF89" s="12">
        <v>9385750000000</v>
      </c>
    </row>
    <row r="90" spans="1:32" x14ac:dyDescent="0.25">
      <c r="A90" s="25" t="s">
        <v>159</v>
      </c>
      <c r="B90" s="25">
        <v>0</v>
      </c>
      <c r="C90" s="25">
        <v>0</v>
      </c>
      <c r="D90" s="25">
        <v>0</v>
      </c>
      <c r="E90" s="25">
        <v>0</v>
      </c>
      <c r="F90" s="25">
        <v>0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25">
        <v>0</v>
      </c>
      <c r="V90" s="25">
        <v>0</v>
      </c>
      <c r="W90" s="25">
        <v>0</v>
      </c>
      <c r="X90" s="25">
        <v>0</v>
      </c>
      <c r="Y90" s="25">
        <v>0</v>
      </c>
      <c r="Z90" s="25">
        <v>0</v>
      </c>
      <c r="AA90" s="25">
        <v>0</v>
      </c>
      <c r="AB90" s="25">
        <v>0</v>
      </c>
      <c r="AC90" s="25">
        <v>0</v>
      </c>
      <c r="AD90" s="25">
        <v>0</v>
      </c>
      <c r="AE90" s="25">
        <v>0</v>
      </c>
      <c r="AF90" s="25">
        <v>0</v>
      </c>
    </row>
    <row r="91" spans="1:32" x14ac:dyDescent="0.25">
      <c r="A91" s="25" t="s">
        <v>160</v>
      </c>
      <c r="B91" s="25">
        <v>0</v>
      </c>
      <c r="C91" s="25">
        <v>0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  <c r="W91" s="25">
        <v>0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25">
        <v>0</v>
      </c>
      <c r="AD91" s="25">
        <v>0</v>
      </c>
      <c r="AE91" s="25">
        <v>0</v>
      </c>
      <c r="AF91" s="25">
        <v>0</v>
      </c>
    </row>
    <row r="92" spans="1:32" x14ac:dyDescent="0.25">
      <c r="A92" s="25" t="s">
        <v>161</v>
      </c>
      <c r="B92" s="25">
        <v>0</v>
      </c>
      <c r="C92" s="25">
        <v>0</v>
      </c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25">
        <v>0</v>
      </c>
      <c r="W92" s="25">
        <v>0</v>
      </c>
      <c r="X92" s="25">
        <v>0</v>
      </c>
      <c r="Y92" s="25">
        <v>0</v>
      </c>
      <c r="Z92" s="25">
        <v>0</v>
      </c>
      <c r="AA92" s="25">
        <v>0</v>
      </c>
      <c r="AB92" s="25">
        <v>0</v>
      </c>
      <c r="AC92" s="25">
        <v>0</v>
      </c>
      <c r="AD92" s="25">
        <v>0</v>
      </c>
      <c r="AE92" s="25">
        <v>0</v>
      </c>
      <c r="AF92" s="25">
        <v>0</v>
      </c>
    </row>
    <row r="93" spans="1:32" x14ac:dyDescent="0.25">
      <c r="A93" s="25" t="s">
        <v>162</v>
      </c>
      <c r="B93" s="12">
        <v>178561000000</v>
      </c>
      <c r="C93" s="12">
        <v>178604000000</v>
      </c>
      <c r="D93" s="12">
        <v>180702000000</v>
      </c>
      <c r="E93" s="12">
        <v>183268000000</v>
      </c>
      <c r="F93" s="12">
        <v>185834000000</v>
      </c>
      <c r="G93" s="12">
        <v>187117000000</v>
      </c>
      <c r="H93" s="12">
        <v>188400000000</v>
      </c>
      <c r="I93" s="12">
        <v>189684000000</v>
      </c>
      <c r="J93" s="12">
        <v>190967000000</v>
      </c>
      <c r="K93" s="12">
        <v>191608000000</v>
      </c>
      <c r="L93" s="12">
        <v>192250000000</v>
      </c>
      <c r="M93" s="12">
        <v>192891000000</v>
      </c>
      <c r="N93" s="12">
        <v>193533000000</v>
      </c>
      <c r="O93" s="12">
        <v>193533000000</v>
      </c>
      <c r="P93" s="12">
        <v>193533000000</v>
      </c>
      <c r="Q93" s="12">
        <v>193533000000</v>
      </c>
      <c r="R93" s="12">
        <v>193533000000</v>
      </c>
      <c r="S93" s="12">
        <v>193533000000</v>
      </c>
      <c r="T93" s="12">
        <v>193533000000</v>
      </c>
      <c r="U93" s="12">
        <v>193533000000</v>
      </c>
      <c r="V93" s="12">
        <v>193533000000</v>
      </c>
      <c r="W93" s="12">
        <v>193533000000</v>
      </c>
      <c r="X93" s="12">
        <v>193533000000</v>
      </c>
      <c r="Y93" s="12">
        <v>193533000000</v>
      </c>
      <c r="Z93" s="12">
        <v>193533000000</v>
      </c>
      <c r="AA93" s="12">
        <v>193533000000</v>
      </c>
      <c r="AB93" s="12">
        <v>193533000000</v>
      </c>
      <c r="AC93" s="12">
        <v>193533000000</v>
      </c>
      <c r="AD93" s="12">
        <v>193533000000</v>
      </c>
      <c r="AE93" s="12">
        <v>193533000000</v>
      </c>
      <c r="AF93" s="12">
        <v>193533000000</v>
      </c>
    </row>
    <row r="94" spans="1:32" x14ac:dyDescent="0.25">
      <c r="A94" s="25" t="s">
        <v>163</v>
      </c>
      <c r="B94" s="12">
        <v>126281000000</v>
      </c>
      <c r="C94" s="12">
        <v>126199000000</v>
      </c>
      <c r="D94" s="12">
        <v>127572000000</v>
      </c>
      <c r="E94" s="12">
        <v>129269000000</v>
      </c>
      <c r="F94" s="12">
        <v>130955000000</v>
      </c>
      <c r="G94" s="12">
        <v>131735000000</v>
      </c>
      <c r="H94" s="12">
        <v>132509000000</v>
      </c>
      <c r="I94" s="12">
        <v>133275000000</v>
      </c>
      <c r="J94" s="12">
        <v>134036000000</v>
      </c>
      <c r="K94" s="12">
        <v>134330000000</v>
      </c>
      <c r="L94" s="12">
        <v>134618000000</v>
      </c>
      <c r="M94" s="12">
        <v>134906000000</v>
      </c>
      <c r="N94" s="12">
        <v>135206000000</v>
      </c>
      <c r="O94" s="12">
        <v>135055000000</v>
      </c>
      <c r="P94" s="12">
        <v>134902000000</v>
      </c>
      <c r="Q94" s="12">
        <v>134744000000</v>
      </c>
      <c r="R94" s="12">
        <v>134579000000</v>
      </c>
      <c r="S94" s="12">
        <v>134402000000</v>
      </c>
      <c r="T94" s="12">
        <v>134219000000</v>
      </c>
      <c r="U94" s="12">
        <v>134035000000</v>
      </c>
      <c r="V94" s="12">
        <v>133834000000</v>
      </c>
      <c r="W94" s="12">
        <v>133618000000</v>
      </c>
      <c r="X94" s="12">
        <v>133385000000</v>
      </c>
      <c r="Y94" s="12">
        <v>133123000000</v>
      </c>
      <c r="Z94" s="12">
        <v>132832000000</v>
      </c>
      <c r="AA94" s="12">
        <v>132514000000</v>
      </c>
      <c r="AB94" s="12">
        <v>132166000000</v>
      </c>
      <c r="AC94" s="12">
        <v>131784000000</v>
      </c>
      <c r="AD94" s="12">
        <v>131372000000</v>
      </c>
      <c r="AE94" s="12">
        <v>130933000000</v>
      </c>
      <c r="AF94" s="12">
        <v>130443000000</v>
      </c>
    </row>
    <row r="95" spans="1:32" x14ac:dyDescent="0.25">
      <c r="A95" s="25" t="s">
        <v>164</v>
      </c>
      <c r="B95" s="12">
        <v>71488900000</v>
      </c>
      <c r="C95" s="12">
        <v>71442600000</v>
      </c>
      <c r="D95" s="12">
        <v>72219800000</v>
      </c>
      <c r="E95" s="12">
        <v>73180200000</v>
      </c>
      <c r="F95" s="12">
        <v>74134900000</v>
      </c>
      <c r="G95" s="12">
        <v>74576300000</v>
      </c>
      <c r="H95" s="12">
        <v>75014400000</v>
      </c>
      <c r="I95" s="12">
        <v>75448100000</v>
      </c>
      <c r="J95" s="12">
        <v>75879000000</v>
      </c>
      <c r="K95" s="12">
        <v>76045600000</v>
      </c>
      <c r="L95" s="12">
        <v>76208300000</v>
      </c>
      <c r="M95" s="12">
        <v>76371700000</v>
      </c>
      <c r="N95" s="12">
        <v>76541600000</v>
      </c>
      <c r="O95" s="12">
        <v>76455900000</v>
      </c>
      <c r="P95" s="12">
        <v>76369500000</v>
      </c>
      <c r="Q95" s="12">
        <v>76279900000</v>
      </c>
      <c r="R95" s="12">
        <v>76186300000</v>
      </c>
      <c r="S95" s="12">
        <v>76086100000</v>
      </c>
      <c r="T95" s="12">
        <v>75982800000</v>
      </c>
      <c r="U95" s="12">
        <v>75878600000</v>
      </c>
      <c r="V95" s="12">
        <v>75764400000</v>
      </c>
      <c r="W95" s="12">
        <v>75642600000</v>
      </c>
      <c r="X95" s="12">
        <v>75510700000</v>
      </c>
      <c r="Y95" s="12">
        <v>75362100000</v>
      </c>
      <c r="Z95" s="12">
        <v>75197600000</v>
      </c>
      <c r="AA95" s="12">
        <v>75017600000</v>
      </c>
      <c r="AB95" s="12">
        <v>74820200000</v>
      </c>
      <c r="AC95" s="12">
        <v>74604100000</v>
      </c>
      <c r="AD95" s="12">
        <v>74370900000</v>
      </c>
      <c r="AE95" s="12">
        <v>74122200000</v>
      </c>
      <c r="AF95" s="12">
        <v>73845000000</v>
      </c>
    </row>
    <row r="96" spans="1:32" x14ac:dyDescent="0.25">
      <c r="A96" s="25" t="s">
        <v>165</v>
      </c>
      <c r="B96" s="12">
        <v>23087500000000</v>
      </c>
      <c r="C96" s="12">
        <v>23291100000000</v>
      </c>
      <c r="D96" s="12">
        <v>24316000000000</v>
      </c>
      <c r="E96" s="12">
        <v>24829100000000</v>
      </c>
      <c r="F96" s="12">
        <v>25403400000000</v>
      </c>
      <c r="G96" s="12">
        <v>25933600000000</v>
      </c>
      <c r="H96" s="12">
        <v>26366200000000</v>
      </c>
      <c r="I96" s="12">
        <v>26712500000000</v>
      </c>
      <c r="J96" s="12">
        <v>27003300000000</v>
      </c>
      <c r="K96" s="12">
        <v>27206700000000</v>
      </c>
      <c r="L96" s="12">
        <v>27419200000000</v>
      </c>
      <c r="M96" s="12">
        <v>27656300000000</v>
      </c>
      <c r="N96" s="12">
        <v>27897500000000</v>
      </c>
      <c r="O96" s="12">
        <v>28056600000000</v>
      </c>
      <c r="P96" s="12">
        <v>28252800000000</v>
      </c>
      <c r="Q96" s="12">
        <v>28539400000000</v>
      </c>
      <c r="R96" s="12">
        <v>28831400000000</v>
      </c>
      <c r="S96" s="12">
        <v>29090100000000</v>
      </c>
      <c r="T96" s="12">
        <v>29390700000000</v>
      </c>
      <c r="U96" s="12">
        <v>29717300000000</v>
      </c>
      <c r="V96" s="12">
        <v>30053500000000</v>
      </c>
      <c r="W96" s="12">
        <v>30438300000000</v>
      </c>
      <c r="X96" s="12">
        <v>30871400000000</v>
      </c>
      <c r="Y96" s="12">
        <v>31345200000000</v>
      </c>
      <c r="Z96" s="12">
        <v>31805000000000</v>
      </c>
      <c r="AA96" s="12">
        <v>32181900000000</v>
      </c>
      <c r="AB96" s="12">
        <v>32533800000000</v>
      </c>
      <c r="AC96" s="12">
        <v>32861500000000</v>
      </c>
      <c r="AD96" s="12">
        <v>33234600000000</v>
      </c>
      <c r="AE96" s="12">
        <v>33657400000000</v>
      </c>
      <c r="AF96" s="12">
        <v>34070200000000</v>
      </c>
    </row>
    <row r="97" spans="1:32" x14ac:dyDescent="0.25">
      <c r="A97" s="25" t="s">
        <v>166</v>
      </c>
      <c r="B97" s="25">
        <v>0</v>
      </c>
      <c r="C97" s="12">
        <v>539473000000</v>
      </c>
      <c r="D97" s="12">
        <v>454042000000</v>
      </c>
      <c r="E97" s="12">
        <v>476633000000</v>
      </c>
      <c r="F97" s="12">
        <v>514847000000</v>
      </c>
      <c r="G97" s="12">
        <v>531183000000</v>
      </c>
      <c r="H97" s="12">
        <v>534315000000</v>
      </c>
      <c r="I97" s="12">
        <v>538685000000</v>
      </c>
      <c r="J97" s="12">
        <v>543383000000</v>
      </c>
      <c r="K97" s="12">
        <v>543427000000</v>
      </c>
      <c r="L97" s="12">
        <v>548127000000</v>
      </c>
      <c r="M97" s="12">
        <v>553420000000</v>
      </c>
      <c r="N97" s="12">
        <v>556434000000</v>
      </c>
      <c r="O97" s="12">
        <v>557809000000</v>
      </c>
      <c r="P97" s="12">
        <v>555785000000</v>
      </c>
      <c r="Q97" s="12">
        <v>561704000000</v>
      </c>
      <c r="R97" s="12">
        <v>564575000000</v>
      </c>
      <c r="S97" s="12">
        <v>550047000000</v>
      </c>
      <c r="T97" s="12">
        <v>544317000000</v>
      </c>
      <c r="U97" s="12">
        <v>534009000000</v>
      </c>
      <c r="V97" s="12">
        <v>527051000000</v>
      </c>
      <c r="W97" s="12">
        <v>523096000000</v>
      </c>
      <c r="X97" s="12">
        <v>524950000000</v>
      </c>
      <c r="Y97" s="12">
        <v>527725000000</v>
      </c>
      <c r="Z97" s="12">
        <v>537205000000</v>
      </c>
      <c r="AA97" s="12">
        <v>533745000000</v>
      </c>
      <c r="AB97" s="12">
        <v>530793000000</v>
      </c>
      <c r="AC97" s="12">
        <v>522553000000</v>
      </c>
      <c r="AD97" s="12">
        <v>516708000000</v>
      </c>
      <c r="AE97" s="12">
        <v>512729000000</v>
      </c>
      <c r="AF97" s="12">
        <v>506756000000</v>
      </c>
    </row>
    <row r="98" spans="1:32" x14ac:dyDescent="0.25">
      <c r="A98" s="25" t="s">
        <v>167</v>
      </c>
      <c r="B98" s="25">
        <v>0</v>
      </c>
      <c r="C98" s="25">
        <v>0</v>
      </c>
      <c r="D98" s="25">
        <v>0</v>
      </c>
      <c r="E98" s="25">
        <v>0</v>
      </c>
      <c r="F98" s="25">
        <v>0</v>
      </c>
      <c r="G98" s="25">
        <v>0</v>
      </c>
      <c r="H98" s="25">
        <v>0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5">
        <v>0</v>
      </c>
      <c r="V98" s="25">
        <v>0</v>
      </c>
      <c r="W98" s="25">
        <v>0</v>
      </c>
      <c r="X98" s="25">
        <v>0</v>
      </c>
      <c r="Y98" s="25">
        <v>0</v>
      </c>
      <c r="Z98" s="25">
        <v>0</v>
      </c>
      <c r="AA98" s="25">
        <v>0</v>
      </c>
      <c r="AB98" s="25">
        <v>0</v>
      </c>
      <c r="AC98" s="25">
        <v>0</v>
      </c>
      <c r="AD98" s="25">
        <v>0</v>
      </c>
      <c r="AE98" s="25">
        <v>0</v>
      </c>
      <c r="AF98" s="25">
        <v>0</v>
      </c>
    </row>
    <row r="99" spans="1:32" x14ac:dyDescent="0.25">
      <c r="A99" s="25" t="s">
        <v>168</v>
      </c>
      <c r="B99" s="25">
        <v>0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0</v>
      </c>
      <c r="T99" s="25">
        <v>0</v>
      </c>
      <c r="U99" s="25">
        <v>0</v>
      </c>
      <c r="V99" s="25">
        <v>0</v>
      </c>
      <c r="W99" s="25">
        <v>0</v>
      </c>
      <c r="X99" s="25">
        <v>0</v>
      </c>
      <c r="Y99" s="25">
        <v>0</v>
      </c>
      <c r="Z99" s="25">
        <v>0</v>
      </c>
      <c r="AA99" s="25">
        <v>0</v>
      </c>
      <c r="AB99" s="25">
        <v>0</v>
      </c>
      <c r="AC99" s="25">
        <v>0</v>
      </c>
      <c r="AD99" s="25">
        <v>0</v>
      </c>
      <c r="AE99" s="25">
        <v>0</v>
      </c>
      <c r="AF99" s="25">
        <v>0</v>
      </c>
    </row>
    <row r="100" spans="1:32" x14ac:dyDescent="0.25">
      <c r="A100" s="25" t="s">
        <v>169</v>
      </c>
      <c r="B100" s="12">
        <v>196288000000000</v>
      </c>
      <c r="C100" s="12">
        <v>207769000000000</v>
      </c>
      <c r="D100" s="12">
        <v>217283000000000</v>
      </c>
      <c r="E100" s="12">
        <v>217122000000000</v>
      </c>
      <c r="F100" s="12">
        <v>217043000000000</v>
      </c>
      <c r="G100" s="12">
        <v>218647000000000</v>
      </c>
      <c r="H100" s="12">
        <v>219833000000000</v>
      </c>
      <c r="I100" s="12">
        <v>220694000000000</v>
      </c>
      <c r="J100" s="12">
        <v>221309000000000</v>
      </c>
      <c r="K100" s="12">
        <v>222838000000000</v>
      </c>
      <c r="L100" s="12">
        <v>224198000000000</v>
      </c>
      <c r="M100" s="12">
        <v>225449000000000</v>
      </c>
      <c r="N100" s="12">
        <v>227313000000000</v>
      </c>
      <c r="O100" s="12">
        <v>229732000000000</v>
      </c>
      <c r="P100" s="12">
        <v>232533000000000</v>
      </c>
      <c r="Q100" s="12">
        <v>235471000000000</v>
      </c>
      <c r="R100" s="12">
        <v>238418000000000</v>
      </c>
      <c r="S100" s="12">
        <v>241416000000000</v>
      </c>
      <c r="T100" s="12">
        <v>244457000000000</v>
      </c>
      <c r="U100" s="12">
        <v>247545000000000</v>
      </c>
      <c r="V100" s="12">
        <v>250624000000000</v>
      </c>
      <c r="W100" s="12">
        <v>253674000000000</v>
      </c>
      <c r="X100" s="12">
        <v>256731000000000</v>
      </c>
      <c r="Y100" s="12">
        <v>259822000000000</v>
      </c>
      <c r="Z100" s="12">
        <v>262925000000000</v>
      </c>
      <c r="AA100" s="12">
        <v>266171000000000</v>
      </c>
      <c r="AB100" s="12">
        <v>269376000000000</v>
      </c>
      <c r="AC100" s="12">
        <v>272558000000000</v>
      </c>
      <c r="AD100" s="12">
        <v>275945000000000</v>
      </c>
      <c r="AE100" s="12">
        <v>279336000000000</v>
      </c>
      <c r="AF100" s="12">
        <v>282830000000000</v>
      </c>
    </row>
    <row r="101" spans="1:32" x14ac:dyDescent="0.25">
      <c r="A101" s="25" t="s">
        <v>170</v>
      </c>
      <c r="B101" s="12">
        <v>108685000000000</v>
      </c>
      <c r="C101" s="12">
        <v>104817000000000</v>
      </c>
      <c r="D101" s="12">
        <v>110523000000000</v>
      </c>
      <c r="E101" s="12">
        <v>113133000000000</v>
      </c>
      <c r="F101" s="12">
        <v>114745000000000</v>
      </c>
      <c r="G101" s="12">
        <v>116179000000000</v>
      </c>
      <c r="H101" s="12">
        <v>116332000000000</v>
      </c>
      <c r="I101" s="12">
        <v>116108000000000</v>
      </c>
      <c r="J101" s="12">
        <v>116079000000000</v>
      </c>
      <c r="K101" s="12">
        <v>116419000000000</v>
      </c>
      <c r="L101" s="12">
        <v>116803000000000</v>
      </c>
      <c r="M101" s="12">
        <v>117201000000000</v>
      </c>
      <c r="N101" s="12">
        <v>117712000000000</v>
      </c>
      <c r="O101" s="12">
        <v>118283000000000</v>
      </c>
      <c r="P101" s="12">
        <v>119101000000000</v>
      </c>
      <c r="Q101" s="12">
        <v>120049000000000</v>
      </c>
      <c r="R101" s="12">
        <v>120905000000000</v>
      </c>
      <c r="S101" s="12">
        <v>121787000000000</v>
      </c>
      <c r="T101" s="12">
        <v>122471000000000</v>
      </c>
      <c r="U101" s="12">
        <v>123244000000000</v>
      </c>
      <c r="V101" s="12">
        <v>123991000000000</v>
      </c>
      <c r="W101" s="12">
        <v>124832000000000</v>
      </c>
      <c r="X101" s="12">
        <v>125716000000000</v>
      </c>
      <c r="Y101" s="12">
        <v>126668000000000</v>
      </c>
      <c r="Z101" s="12">
        <v>127219000000000</v>
      </c>
      <c r="AA101" s="12">
        <v>128083000000000</v>
      </c>
      <c r="AB101" s="12">
        <v>128485000000000</v>
      </c>
      <c r="AC101" s="12">
        <v>129005000000000</v>
      </c>
      <c r="AD101" s="12">
        <v>129471000000000</v>
      </c>
      <c r="AE101" s="12">
        <v>129880000000000</v>
      </c>
      <c r="AF101" s="12">
        <v>130430000000000</v>
      </c>
    </row>
    <row r="102" spans="1:32" x14ac:dyDescent="0.25">
      <c r="A102" s="25" t="s">
        <v>171</v>
      </c>
      <c r="B102" s="12">
        <v>2000350000000000</v>
      </c>
      <c r="C102" s="12">
        <v>1954630000000000</v>
      </c>
      <c r="D102" s="12">
        <v>2060020000000000</v>
      </c>
      <c r="E102" s="12">
        <v>2201990000000000</v>
      </c>
      <c r="F102" s="12">
        <v>2293430000000000</v>
      </c>
      <c r="G102" s="12">
        <v>2391460000000000</v>
      </c>
      <c r="H102" s="12">
        <v>2463820000000000</v>
      </c>
      <c r="I102" s="12">
        <v>2511920000000000</v>
      </c>
      <c r="J102" s="12">
        <v>2568610000000000</v>
      </c>
      <c r="K102" s="12">
        <v>2618380000000000</v>
      </c>
      <c r="L102" s="12">
        <v>2659040000000000</v>
      </c>
      <c r="M102" s="12">
        <v>2704120000000000</v>
      </c>
      <c r="N102" s="12">
        <v>2760740000000000</v>
      </c>
      <c r="O102" s="12">
        <v>2798140000000000</v>
      </c>
      <c r="P102" s="12">
        <v>2841750000000000</v>
      </c>
      <c r="Q102" s="12">
        <v>2883380000000000</v>
      </c>
      <c r="R102" s="12">
        <v>2923190000000000</v>
      </c>
      <c r="S102" s="12">
        <v>2955960000000000</v>
      </c>
      <c r="T102" s="12">
        <v>2976660000000000</v>
      </c>
      <c r="U102" s="12">
        <v>3028480000000000</v>
      </c>
      <c r="V102" s="12">
        <v>3062430000000000</v>
      </c>
      <c r="W102" s="12">
        <v>3084220000000000</v>
      </c>
      <c r="X102" s="12">
        <v>3105570000000000</v>
      </c>
      <c r="Y102" s="12">
        <v>3143940000000000</v>
      </c>
      <c r="Z102" s="12">
        <v>3182920000000000</v>
      </c>
      <c r="AA102" s="12">
        <v>3205430000000000</v>
      </c>
      <c r="AB102" s="12">
        <v>3208990000000000</v>
      </c>
      <c r="AC102" s="12">
        <v>3241870000000000</v>
      </c>
      <c r="AD102" s="12">
        <v>3246170000000000</v>
      </c>
      <c r="AE102" s="12">
        <v>3243520000000000</v>
      </c>
      <c r="AF102" s="12">
        <v>3230190000000000</v>
      </c>
    </row>
    <row r="103" spans="1:32" x14ac:dyDescent="0.25">
      <c r="A103" s="25" t="s">
        <v>172</v>
      </c>
      <c r="B103" s="12">
        <v>191811000000000</v>
      </c>
      <c r="C103" s="12">
        <v>184986000000000</v>
      </c>
      <c r="D103" s="12">
        <v>195055000000000</v>
      </c>
      <c r="E103" s="12">
        <v>199662000000000</v>
      </c>
      <c r="F103" s="12">
        <v>202507000000000</v>
      </c>
      <c r="G103" s="12">
        <v>205037000000000</v>
      </c>
      <c r="H103" s="12">
        <v>205306000000000</v>
      </c>
      <c r="I103" s="12">
        <v>204912000000000</v>
      </c>
      <c r="J103" s="12">
        <v>204861000000000</v>
      </c>
      <c r="K103" s="12">
        <v>205460000000000</v>
      </c>
      <c r="L103" s="12">
        <v>206138000000000</v>
      </c>
      <c r="M103" s="12">
        <v>206841000000000</v>
      </c>
      <c r="N103" s="12">
        <v>207742000000000</v>
      </c>
      <c r="O103" s="12">
        <v>208750000000000</v>
      </c>
      <c r="P103" s="12">
        <v>210194000000000</v>
      </c>
      <c r="Q103" s="12">
        <v>211867000000000</v>
      </c>
      <c r="R103" s="12">
        <v>213377000000000</v>
      </c>
      <c r="S103" s="12">
        <v>214935000000000</v>
      </c>
      <c r="T103" s="12">
        <v>216141000000000</v>
      </c>
      <c r="U103" s="12">
        <v>217505000000000</v>
      </c>
      <c r="V103" s="12">
        <v>218824000000000</v>
      </c>
      <c r="W103" s="12">
        <v>220309000000000</v>
      </c>
      <c r="X103" s="12">
        <v>221869000000000</v>
      </c>
      <c r="Y103" s="12">
        <v>223549000000000</v>
      </c>
      <c r="Z103" s="12">
        <v>224521000000000</v>
      </c>
      <c r="AA103" s="12">
        <v>226047000000000</v>
      </c>
      <c r="AB103" s="12">
        <v>226755000000000</v>
      </c>
      <c r="AC103" s="12">
        <v>227673000000000</v>
      </c>
      <c r="AD103" s="12">
        <v>228495000000000</v>
      </c>
      <c r="AE103" s="12">
        <v>229218000000000</v>
      </c>
      <c r="AF103" s="12">
        <v>230188000000000</v>
      </c>
    </row>
    <row r="104" spans="1:32" x14ac:dyDescent="0.25">
      <c r="A104" s="25" t="s">
        <v>173</v>
      </c>
      <c r="B104" s="12">
        <v>916598000000000</v>
      </c>
      <c r="C104" s="12">
        <v>890151000000000</v>
      </c>
      <c r="D104" s="12">
        <v>958150000000000</v>
      </c>
      <c r="E104" s="12">
        <v>1005190000000000</v>
      </c>
      <c r="F104" s="12">
        <v>1042320000000000</v>
      </c>
      <c r="G104" s="12">
        <v>1064120000000000</v>
      </c>
      <c r="H104" s="12">
        <v>1081400000000000</v>
      </c>
      <c r="I104" s="12">
        <v>1087230000000000</v>
      </c>
      <c r="J104" s="12">
        <v>1091300000000000</v>
      </c>
      <c r="K104" s="12">
        <v>1095410000000000</v>
      </c>
      <c r="L104" s="12">
        <v>1094000000000000</v>
      </c>
      <c r="M104" s="12">
        <v>1098540000000000</v>
      </c>
      <c r="N104" s="12">
        <v>1104060000000000</v>
      </c>
      <c r="O104" s="12">
        <v>1112060000000000</v>
      </c>
      <c r="P104" s="12">
        <v>1123800000000000</v>
      </c>
      <c r="Q104" s="12">
        <v>1136220000000000</v>
      </c>
      <c r="R104" s="12">
        <v>1148850000000000</v>
      </c>
      <c r="S104" s="12">
        <v>1162440000000000</v>
      </c>
      <c r="T104" s="12">
        <v>1177440000000000</v>
      </c>
      <c r="U104" s="12">
        <v>1192060000000000</v>
      </c>
      <c r="V104" s="12">
        <v>1209020000000000</v>
      </c>
      <c r="W104" s="12">
        <v>1224080000000000</v>
      </c>
      <c r="X104" s="12">
        <v>1239730000000000</v>
      </c>
      <c r="Y104" s="12">
        <v>1256860000000000</v>
      </c>
      <c r="Z104" s="12">
        <v>1273600000000000</v>
      </c>
      <c r="AA104" s="12">
        <v>1291030000000000</v>
      </c>
      <c r="AB104" s="12">
        <v>1307640000000000</v>
      </c>
      <c r="AC104" s="12">
        <v>1323080000000000</v>
      </c>
      <c r="AD104" s="12">
        <v>1341590000000000</v>
      </c>
      <c r="AE104" s="12">
        <v>1361750000000000</v>
      </c>
      <c r="AF104" s="12">
        <v>1380030000000000</v>
      </c>
    </row>
    <row r="105" spans="1:32" x14ac:dyDescent="0.25">
      <c r="A105" s="25" t="s">
        <v>174</v>
      </c>
      <c r="B105" s="12">
        <v>111680000000000</v>
      </c>
      <c r="C105" s="12">
        <v>100744000000000</v>
      </c>
      <c r="D105" s="12">
        <v>111497000000000</v>
      </c>
      <c r="E105" s="12">
        <v>120945000000000</v>
      </c>
      <c r="F105" s="12">
        <v>130274000000000</v>
      </c>
      <c r="G105" s="12">
        <v>135817000000000</v>
      </c>
      <c r="H105" s="12">
        <v>140605000000000</v>
      </c>
      <c r="I105" s="12">
        <v>141156000000000</v>
      </c>
      <c r="J105" s="12">
        <v>141201000000000</v>
      </c>
      <c r="K105" s="12">
        <v>141214000000000</v>
      </c>
      <c r="L105" s="12">
        <v>141349000000000</v>
      </c>
      <c r="M105" s="12">
        <v>142066000000000</v>
      </c>
      <c r="N105" s="12">
        <v>143089000000000</v>
      </c>
      <c r="O105" s="12">
        <v>144148000000000</v>
      </c>
      <c r="P105" s="12">
        <v>145902000000000</v>
      </c>
      <c r="Q105" s="12">
        <v>147936000000000</v>
      </c>
      <c r="R105" s="12">
        <v>149895000000000</v>
      </c>
      <c r="S105" s="12">
        <v>152350000000000</v>
      </c>
      <c r="T105" s="12">
        <v>155223000000000</v>
      </c>
      <c r="U105" s="12">
        <v>157741000000000</v>
      </c>
      <c r="V105" s="12">
        <v>161257000000000</v>
      </c>
      <c r="W105" s="12">
        <v>164277000000000</v>
      </c>
      <c r="X105" s="12">
        <v>167545000000000</v>
      </c>
      <c r="Y105" s="12">
        <v>171320000000000</v>
      </c>
      <c r="Z105" s="12">
        <v>174946000000000</v>
      </c>
      <c r="AA105" s="12">
        <v>178491000000000</v>
      </c>
      <c r="AB105" s="12">
        <v>181591000000000</v>
      </c>
      <c r="AC105" s="12">
        <v>184161000000000</v>
      </c>
      <c r="AD105" s="12">
        <v>187456000000000</v>
      </c>
      <c r="AE105" s="12">
        <v>191435000000000</v>
      </c>
      <c r="AF105" s="12">
        <v>194648000000000</v>
      </c>
    </row>
    <row r="106" spans="1:32" x14ac:dyDescent="0.25">
      <c r="A106" s="25" t="s">
        <v>175</v>
      </c>
      <c r="B106" s="12">
        <v>64258200000000</v>
      </c>
      <c r="C106" s="12">
        <v>63337100000000</v>
      </c>
      <c r="D106" s="12">
        <v>68904800000000</v>
      </c>
      <c r="E106" s="12">
        <v>70070700000000</v>
      </c>
      <c r="F106" s="12">
        <v>71607600000000</v>
      </c>
      <c r="G106" s="12">
        <v>73435300000000</v>
      </c>
      <c r="H106" s="12">
        <v>73833700000000</v>
      </c>
      <c r="I106" s="12">
        <v>73232500000000</v>
      </c>
      <c r="J106" s="12">
        <v>72230300000000</v>
      </c>
      <c r="K106" s="12">
        <v>71685300000000</v>
      </c>
      <c r="L106" s="12">
        <v>70746100000000</v>
      </c>
      <c r="M106" s="12">
        <v>70662100000000</v>
      </c>
      <c r="N106" s="12">
        <v>70996300000000</v>
      </c>
      <c r="O106" s="12">
        <v>70812600000000</v>
      </c>
      <c r="P106" s="12">
        <v>70215900000000</v>
      </c>
      <c r="Q106" s="12">
        <v>71076400000000</v>
      </c>
      <c r="R106" s="12">
        <v>72117100000000</v>
      </c>
      <c r="S106" s="12">
        <v>72858700000000</v>
      </c>
      <c r="T106" s="12">
        <v>74064700000000</v>
      </c>
      <c r="U106" s="12">
        <v>75296600000000</v>
      </c>
      <c r="V106" s="12">
        <v>76881100000000</v>
      </c>
      <c r="W106" s="12">
        <v>79094700000000</v>
      </c>
      <c r="X106" s="12">
        <v>80809600000000</v>
      </c>
      <c r="Y106" s="12">
        <v>82655400000000</v>
      </c>
      <c r="Z106" s="12">
        <v>84618800000000</v>
      </c>
      <c r="AA106" s="12">
        <v>87345800000000</v>
      </c>
      <c r="AB106" s="12">
        <v>89995700000000</v>
      </c>
      <c r="AC106" s="12">
        <v>92102000000000</v>
      </c>
      <c r="AD106" s="12">
        <v>94536500000000</v>
      </c>
      <c r="AE106" s="12">
        <v>97059200000000</v>
      </c>
      <c r="AF106" s="12">
        <v>99958300000000</v>
      </c>
    </row>
    <row r="107" spans="1:32" x14ac:dyDescent="0.25">
      <c r="A107" s="25" t="s">
        <v>176</v>
      </c>
      <c r="B107" s="12">
        <v>500701000000000</v>
      </c>
      <c r="C107" s="12">
        <v>500552000000000</v>
      </c>
      <c r="D107" s="12">
        <v>512692000000000</v>
      </c>
      <c r="E107" s="12">
        <v>508362000000000</v>
      </c>
      <c r="F107" s="12">
        <v>509116000000000</v>
      </c>
      <c r="G107" s="12">
        <v>508442000000000</v>
      </c>
      <c r="H107" s="12">
        <v>506999000000000</v>
      </c>
      <c r="I107" s="12">
        <v>503478000000000</v>
      </c>
      <c r="J107" s="12">
        <v>500091000000000</v>
      </c>
      <c r="K107" s="12">
        <v>496402000000000</v>
      </c>
      <c r="L107" s="12">
        <v>492793000000000</v>
      </c>
      <c r="M107" s="12">
        <v>490503000000000</v>
      </c>
      <c r="N107" s="12">
        <v>488225000000000</v>
      </c>
      <c r="O107" s="12">
        <v>485508000000000</v>
      </c>
      <c r="P107" s="12">
        <v>484105000000000</v>
      </c>
      <c r="Q107" s="12">
        <v>483760000000000</v>
      </c>
      <c r="R107" s="12">
        <v>483341000000000</v>
      </c>
      <c r="S107" s="12">
        <v>483940000000000</v>
      </c>
      <c r="T107" s="12">
        <v>485315000000000</v>
      </c>
      <c r="U107" s="12">
        <v>487067000000000</v>
      </c>
      <c r="V107" s="12">
        <v>487660000000000</v>
      </c>
      <c r="W107" s="12">
        <v>488726000000000</v>
      </c>
      <c r="X107" s="12">
        <v>490328000000000</v>
      </c>
      <c r="Y107" s="12">
        <v>493827000000000</v>
      </c>
      <c r="Z107" s="12">
        <v>496062000000000</v>
      </c>
      <c r="AA107" s="12">
        <v>500123000000000</v>
      </c>
      <c r="AB107" s="12">
        <v>503162000000000</v>
      </c>
      <c r="AC107" s="12">
        <v>506996000000000</v>
      </c>
      <c r="AD107" s="12">
        <v>509655000000000</v>
      </c>
      <c r="AE107" s="12">
        <v>512875000000000</v>
      </c>
      <c r="AF107" s="12">
        <v>516208000000000</v>
      </c>
    </row>
    <row r="108" spans="1:32" x14ac:dyDescent="0.25">
      <c r="A108" s="25" t="s">
        <v>177</v>
      </c>
      <c r="B108" s="12">
        <v>1468800000000000</v>
      </c>
      <c r="C108" s="12">
        <v>1560730000000000</v>
      </c>
      <c r="D108" s="12">
        <v>1355110000000000</v>
      </c>
      <c r="E108" s="12">
        <v>1313230000000000</v>
      </c>
      <c r="F108" s="12">
        <v>1293160000000000</v>
      </c>
      <c r="G108" s="12">
        <v>1247840000000000</v>
      </c>
      <c r="H108" s="12">
        <v>1285200000000000</v>
      </c>
      <c r="I108" s="12">
        <v>1278680000000000</v>
      </c>
      <c r="J108" s="12">
        <v>1282060000000000</v>
      </c>
      <c r="K108" s="12">
        <v>1299510000000000</v>
      </c>
      <c r="L108" s="12">
        <v>1255980000000000</v>
      </c>
      <c r="M108" s="12">
        <v>1232730000000000</v>
      </c>
      <c r="N108" s="12">
        <v>1234700000000000</v>
      </c>
      <c r="O108" s="12">
        <v>1243190000000000</v>
      </c>
      <c r="P108" s="12">
        <v>1261390000000000</v>
      </c>
      <c r="Q108" s="12">
        <v>1264180000000000</v>
      </c>
      <c r="R108" s="12">
        <v>1285240000000000</v>
      </c>
      <c r="S108" s="12">
        <v>1296830000000000</v>
      </c>
      <c r="T108" s="12">
        <v>1304970000000000</v>
      </c>
      <c r="U108" s="12">
        <v>1330920000000000</v>
      </c>
      <c r="V108" s="12">
        <v>1322510000000000</v>
      </c>
      <c r="W108" s="12">
        <v>1330480000000000</v>
      </c>
      <c r="X108" s="12">
        <v>1345800000000000</v>
      </c>
      <c r="Y108" s="12">
        <v>1362980000000000</v>
      </c>
      <c r="Z108" s="12">
        <v>1366420000000000</v>
      </c>
      <c r="AA108" s="12">
        <v>1380830000000000</v>
      </c>
      <c r="AB108" s="12">
        <v>1383040000000000</v>
      </c>
      <c r="AC108" s="12">
        <v>1393680000000000</v>
      </c>
      <c r="AD108" s="12">
        <v>1420040000000000</v>
      </c>
      <c r="AE108" s="12">
        <v>1428860000000000</v>
      </c>
      <c r="AF108" s="12">
        <v>1457910000000000</v>
      </c>
    </row>
    <row r="109" spans="1:32" x14ac:dyDescent="0.25">
      <c r="A109" s="25" t="s">
        <v>178</v>
      </c>
      <c r="B109" s="12">
        <v>2992010000000000</v>
      </c>
      <c r="C109" s="12">
        <v>2891780000000000</v>
      </c>
      <c r="D109" s="12">
        <v>3112570000000000</v>
      </c>
      <c r="E109" s="12">
        <v>3272400000000000</v>
      </c>
      <c r="F109" s="12">
        <v>3475200000000000</v>
      </c>
      <c r="G109" s="12">
        <v>3610120000000000</v>
      </c>
      <c r="H109" s="12">
        <v>3731660000000000</v>
      </c>
      <c r="I109" s="12">
        <v>3772890000000000</v>
      </c>
      <c r="J109" s="12">
        <v>3822330000000000</v>
      </c>
      <c r="K109" s="12">
        <v>3864260000000000</v>
      </c>
      <c r="L109" s="12">
        <v>3922220000000000</v>
      </c>
      <c r="M109" s="12">
        <v>3980360000000000</v>
      </c>
      <c r="N109" s="12">
        <v>4041420000000000</v>
      </c>
      <c r="O109" s="12">
        <v>4095510000000000</v>
      </c>
      <c r="P109" s="12">
        <v>4174940000000000</v>
      </c>
      <c r="Q109" s="12">
        <v>4251880000000000</v>
      </c>
      <c r="R109" s="12">
        <v>4315440000000000</v>
      </c>
      <c r="S109" s="12">
        <v>4393500000000000</v>
      </c>
      <c r="T109" s="12">
        <v>4469710000000000</v>
      </c>
      <c r="U109" s="12">
        <v>4536920000000000</v>
      </c>
      <c r="V109" s="12">
        <v>4597240000000000</v>
      </c>
      <c r="W109" s="12">
        <v>4655120000000000</v>
      </c>
      <c r="X109" s="12">
        <v>4719360000000000</v>
      </c>
      <c r="Y109" s="12">
        <v>4821310000000000</v>
      </c>
      <c r="Z109" s="12">
        <v>4913000000000000</v>
      </c>
      <c r="AA109" s="12">
        <v>5030890000000000</v>
      </c>
      <c r="AB109" s="12">
        <v>5112370000000000</v>
      </c>
      <c r="AC109" s="12">
        <v>5183570000000000</v>
      </c>
      <c r="AD109" s="12">
        <v>5264960000000000</v>
      </c>
      <c r="AE109" s="12">
        <v>5383440000000000</v>
      </c>
      <c r="AF109" s="12">
        <v>5499920000000000</v>
      </c>
    </row>
    <row r="110" spans="1:32" x14ac:dyDescent="0.25">
      <c r="A110" s="25" t="s">
        <v>179</v>
      </c>
      <c r="B110" s="12">
        <v>108929000000000</v>
      </c>
      <c r="C110" s="12">
        <v>100804000000000</v>
      </c>
      <c r="D110" s="12">
        <v>112013000000000</v>
      </c>
      <c r="E110" s="12">
        <v>118520000000000</v>
      </c>
      <c r="F110" s="12">
        <v>123142000000000</v>
      </c>
      <c r="G110" s="12">
        <v>125748000000000</v>
      </c>
      <c r="H110" s="12">
        <v>126854000000000</v>
      </c>
      <c r="I110" s="12">
        <v>126606000000000</v>
      </c>
      <c r="J110" s="12">
        <v>126336000000000</v>
      </c>
      <c r="K110" s="12">
        <v>125890000000000</v>
      </c>
      <c r="L110" s="12">
        <v>125196000000000</v>
      </c>
      <c r="M110" s="12">
        <v>125385000000000</v>
      </c>
      <c r="N110" s="12">
        <v>126286000000000</v>
      </c>
      <c r="O110" s="12">
        <v>127392000000000</v>
      </c>
      <c r="P110" s="12">
        <v>128965000000000</v>
      </c>
      <c r="Q110" s="12">
        <v>130964000000000</v>
      </c>
      <c r="R110" s="12">
        <v>132886000000000</v>
      </c>
      <c r="S110" s="12">
        <v>134830000000000</v>
      </c>
      <c r="T110" s="12">
        <v>137043000000000</v>
      </c>
      <c r="U110" s="12">
        <v>139473000000000</v>
      </c>
      <c r="V110" s="12">
        <v>142188000000000</v>
      </c>
      <c r="W110" s="12">
        <v>144722000000000</v>
      </c>
      <c r="X110" s="12">
        <v>147416000000000</v>
      </c>
      <c r="Y110" s="12">
        <v>150027000000000</v>
      </c>
      <c r="Z110" s="12">
        <v>152231000000000</v>
      </c>
      <c r="AA110" s="12">
        <v>154894000000000</v>
      </c>
      <c r="AB110" s="12">
        <v>157265000000000</v>
      </c>
      <c r="AC110" s="12">
        <v>159260000000000</v>
      </c>
      <c r="AD110" s="12">
        <v>161796000000000</v>
      </c>
      <c r="AE110" s="12">
        <v>164439000000000</v>
      </c>
      <c r="AF110" s="12">
        <v>166870000000000</v>
      </c>
    </row>
    <row r="111" spans="1:32" x14ac:dyDescent="0.25">
      <c r="A111" s="25" t="s">
        <v>180</v>
      </c>
      <c r="B111" s="12">
        <v>140501000000000</v>
      </c>
      <c r="C111" s="12">
        <v>135471000000000</v>
      </c>
      <c r="D111" s="12">
        <v>140500000000000</v>
      </c>
      <c r="E111" s="12">
        <v>139733000000000</v>
      </c>
      <c r="F111" s="12">
        <v>139809000000000</v>
      </c>
      <c r="G111" s="12">
        <v>139602000000000</v>
      </c>
      <c r="H111" s="12">
        <v>138149000000000</v>
      </c>
      <c r="I111" s="12">
        <v>135743000000000</v>
      </c>
      <c r="J111" s="12">
        <v>133094000000000</v>
      </c>
      <c r="K111" s="12">
        <v>131019000000000</v>
      </c>
      <c r="L111" s="12">
        <v>128717000000000</v>
      </c>
      <c r="M111" s="12">
        <v>126994000000000</v>
      </c>
      <c r="N111" s="12">
        <v>125271000000000</v>
      </c>
      <c r="O111" s="12">
        <v>123873000000000</v>
      </c>
      <c r="P111" s="12">
        <v>123017000000000</v>
      </c>
      <c r="Q111" s="12">
        <v>123544000000000</v>
      </c>
      <c r="R111" s="12">
        <v>123694000000000</v>
      </c>
      <c r="S111" s="12">
        <v>123409000000000</v>
      </c>
      <c r="T111" s="12">
        <v>123410000000000</v>
      </c>
      <c r="U111" s="12">
        <v>123586000000000</v>
      </c>
      <c r="V111" s="12">
        <v>124214000000000</v>
      </c>
      <c r="W111" s="12">
        <v>125671000000000</v>
      </c>
      <c r="X111" s="12">
        <v>126505000000000</v>
      </c>
      <c r="Y111" s="12">
        <v>127337000000000</v>
      </c>
      <c r="Z111" s="12">
        <v>128247000000000</v>
      </c>
      <c r="AA111" s="12">
        <v>129799000000000</v>
      </c>
      <c r="AB111" s="12">
        <v>131234000000000</v>
      </c>
      <c r="AC111" s="12">
        <v>132012000000000</v>
      </c>
      <c r="AD111" s="12">
        <v>133241000000000</v>
      </c>
      <c r="AE111" s="12">
        <v>134569000000000</v>
      </c>
      <c r="AF111" s="12">
        <v>136053000000000</v>
      </c>
    </row>
    <row r="112" spans="1:32" x14ac:dyDescent="0.25">
      <c r="A112" s="25" t="s">
        <v>181</v>
      </c>
      <c r="B112" s="12">
        <v>30894200000000</v>
      </c>
      <c r="C112" s="12">
        <v>29948100000000</v>
      </c>
      <c r="D112" s="12">
        <v>31000200000000</v>
      </c>
      <c r="E112" s="12">
        <v>30801300000000</v>
      </c>
      <c r="F112" s="12">
        <v>30380800000000</v>
      </c>
      <c r="G112" s="12">
        <v>30274700000000</v>
      </c>
      <c r="H112" s="12">
        <v>30034900000000</v>
      </c>
      <c r="I112" s="12">
        <v>29716500000000</v>
      </c>
      <c r="J112" s="12">
        <v>29785600000000</v>
      </c>
      <c r="K112" s="12">
        <v>31633700000000</v>
      </c>
      <c r="L112" s="12">
        <v>33607900000000</v>
      </c>
      <c r="M112" s="12">
        <v>35753200000000</v>
      </c>
      <c r="N112" s="12">
        <v>37933400000000</v>
      </c>
      <c r="O112" s="12">
        <v>40159900000000</v>
      </c>
      <c r="P112" s="12">
        <v>42384800000000</v>
      </c>
      <c r="Q112" s="12">
        <v>44788100000000</v>
      </c>
      <c r="R112" s="12">
        <v>46940300000000</v>
      </c>
      <c r="S112" s="12">
        <v>46671200000000</v>
      </c>
      <c r="T112" s="12">
        <v>46503100000000</v>
      </c>
      <c r="U112" s="12">
        <v>46264500000000</v>
      </c>
      <c r="V112" s="12">
        <v>46111600000000</v>
      </c>
      <c r="W112" s="12">
        <v>45948400000000</v>
      </c>
      <c r="X112" s="12">
        <v>45674100000000</v>
      </c>
      <c r="Y112" s="12">
        <v>45465300000000</v>
      </c>
      <c r="Z112" s="12">
        <v>45262700000000</v>
      </c>
      <c r="AA112" s="12">
        <v>45112300000000</v>
      </c>
      <c r="AB112" s="12">
        <v>44946400000000</v>
      </c>
      <c r="AC112" s="12">
        <v>44734600000000</v>
      </c>
      <c r="AD112" s="12">
        <v>44551600000000</v>
      </c>
      <c r="AE112" s="12">
        <v>44394300000000</v>
      </c>
      <c r="AF112" s="12">
        <v>44243000000000</v>
      </c>
    </row>
    <row r="113" spans="1:32" x14ac:dyDescent="0.25">
      <c r="A113" s="25" t="s">
        <v>182</v>
      </c>
      <c r="B113" s="12">
        <v>410282000000000</v>
      </c>
      <c r="C113" s="12">
        <v>357299000000000</v>
      </c>
      <c r="D113" s="12">
        <v>397842000000000</v>
      </c>
      <c r="E113" s="12">
        <v>386545000000000</v>
      </c>
      <c r="F113" s="12">
        <v>396780000000000</v>
      </c>
      <c r="G113" s="12">
        <v>415678000000000</v>
      </c>
      <c r="H113" s="12">
        <v>408129000000000</v>
      </c>
      <c r="I113" s="12">
        <v>400970000000000</v>
      </c>
      <c r="J113" s="12">
        <v>394342000000000</v>
      </c>
      <c r="K113" s="12">
        <v>390602000000000</v>
      </c>
      <c r="L113" s="12">
        <v>388586000000000</v>
      </c>
      <c r="M113" s="12">
        <v>364858000000000</v>
      </c>
      <c r="N113" s="12">
        <v>341586000000000</v>
      </c>
      <c r="O113" s="12">
        <v>319568000000000</v>
      </c>
      <c r="P113" s="12">
        <v>305606000000000</v>
      </c>
      <c r="Q113" s="12">
        <v>301671000000000</v>
      </c>
      <c r="R113" s="12">
        <v>298561000000000</v>
      </c>
      <c r="S113" s="12">
        <v>297701000000000</v>
      </c>
      <c r="T113" s="12">
        <v>299652000000000</v>
      </c>
      <c r="U113" s="12">
        <v>302394000000000</v>
      </c>
      <c r="V113" s="12">
        <v>299525000000000</v>
      </c>
      <c r="W113" s="12">
        <v>299842000000000</v>
      </c>
      <c r="X113" s="12">
        <v>304106000000000</v>
      </c>
      <c r="Y113" s="12">
        <v>312631000000000</v>
      </c>
      <c r="Z113" s="12">
        <v>313373000000000</v>
      </c>
      <c r="AA113" s="12">
        <v>316731000000000</v>
      </c>
      <c r="AB113" s="12">
        <v>316575000000000</v>
      </c>
      <c r="AC113" s="12">
        <v>314560000000000</v>
      </c>
      <c r="AD113" s="12">
        <v>316819000000000</v>
      </c>
      <c r="AE113" s="12">
        <v>319120000000000</v>
      </c>
      <c r="AF113" s="12">
        <v>326800000000000</v>
      </c>
    </row>
    <row r="114" spans="1:32" x14ac:dyDescent="0.25">
      <c r="A114" s="25" t="s">
        <v>183</v>
      </c>
      <c r="B114" s="12">
        <v>204514000000000</v>
      </c>
      <c r="C114" s="12">
        <v>198241000000000</v>
      </c>
      <c r="D114" s="12">
        <v>213317000000000</v>
      </c>
      <c r="E114" s="12">
        <v>220128000000000</v>
      </c>
      <c r="F114" s="12">
        <v>228167000000000</v>
      </c>
      <c r="G114" s="12">
        <v>233436000000000</v>
      </c>
      <c r="H114" s="12">
        <v>237330000000000</v>
      </c>
      <c r="I114" s="12">
        <v>236744000000000</v>
      </c>
      <c r="J114" s="12">
        <v>235584000000000</v>
      </c>
      <c r="K114" s="12">
        <v>234433000000000</v>
      </c>
      <c r="L114" s="12">
        <v>233731000000000</v>
      </c>
      <c r="M114" s="12">
        <v>233950000000000</v>
      </c>
      <c r="N114" s="12">
        <v>234632000000000</v>
      </c>
      <c r="O114" s="12">
        <v>235574000000000</v>
      </c>
      <c r="P114" s="12">
        <v>237433000000000</v>
      </c>
      <c r="Q114" s="12">
        <v>239981000000000</v>
      </c>
      <c r="R114" s="12">
        <v>242429000000000</v>
      </c>
      <c r="S114" s="12">
        <v>245367000000000</v>
      </c>
      <c r="T114" s="12">
        <v>248826000000000</v>
      </c>
      <c r="U114" s="12">
        <v>251961000000000</v>
      </c>
      <c r="V114" s="12">
        <v>255606000000000</v>
      </c>
      <c r="W114" s="12">
        <v>258819000000000</v>
      </c>
      <c r="X114" s="12">
        <v>262346000000000</v>
      </c>
      <c r="Y114" s="12">
        <v>266620000000000</v>
      </c>
      <c r="Z114" s="12">
        <v>270247000000000</v>
      </c>
      <c r="AA114" s="12">
        <v>273949000000000</v>
      </c>
      <c r="AB114" s="12">
        <v>276781000000000</v>
      </c>
      <c r="AC114" s="12">
        <v>278964000000000</v>
      </c>
      <c r="AD114" s="12">
        <v>281709000000000</v>
      </c>
      <c r="AE114" s="12">
        <v>285188000000000</v>
      </c>
      <c r="AF114" s="12">
        <v>288316000000000</v>
      </c>
    </row>
    <row r="115" spans="1:32" x14ac:dyDescent="0.25">
      <c r="A115" s="25" t="s">
        <v>184</v>
      </c>
      <c r="B115" s="12">
        <v>210966000000000</v>
      </c>
      <c r="C115" s="12">
        <v>201090000000000</v>
      </c>
      <c r="D115" s="12">
        <v>215012000000000</v>
      </c>
      <c r="E115" s="12">
        <v>221480000000000</v>
      </c>
      <c r="F115" s="12">
        <v>228830000000000</v>
      </c>
      <c r="G115" s="12">
        <v>234292000000000</v>
      </c>
      <c r="H115" s="12">
        <v>236487000000000</v>
      </c>
      <c r="I115" s="12">
        <v>235169000000000</v>
      </c>
      <c r="J115" s="12">
        <v>232888000000000</v>
      </c>
      <c r="K115" s="12">
        <v>231428000000000</v>
      </c>
      <c r="L115" s="12">
        <v>228915000000000</v>
      </c>
      <c r="M115" s="12">
        <v>229134000000000</v>
      </c>
      <c r="N115" s="12">
        <v>229813000000000</v>
      </c>
      <c r="O115" s="12">
        <v>230752000000000</v>
      </c>
      <c r="P115" s="12">
        <v>232792000000000</v>
      </c>
      <c r="Q115" s="12">
        <v>236052000000000</v>
      </c>
      <c r="R115" s="12">
        <v>239151000000000</v>
      </c>
      <c r="S115" s="12">
        <v>241663000000000</v>
      </c>
      <c r="T115" s="12">
        <v>244296000000000</v>
      </c>
      <c r="U115" s="12">
        <v>246893000000000</v>
      </c>
      <c r="V115" s="12">
        <v>250174000000000</v>
      </c>
      <c r="W115" s="12">
        <v>254067000000000</v>
      </c>
      <c r="X115" s="12">
        <v>257887000000000</v>
      </c>
      <c r="Y115" s="12">
        <v>262096000000000</v>
      </c>
      <c r="Z115" s="12">
        <v>264750000000000</v>
      </c>
      <c r="AA115" s="12">
        <v>268838000000000</v>
      </c>
      <c r="AB115" s="12">
        <v>272914000000000</v>
      </c>
      <c r="AC115" s="12">
        <v>275029000000000</v>
      </c>
      <c r="AD115" s="12">
        <v>279499000000000</v>
      </c>
      <c r="AE115" s="12">
        <v>284415000000000</v>
      </c>
      <c r="AF115" s="12">
        <v>289245000000000</v>
      </c>
    </row>
    <row r="116" spans="1:32" x14ac:dyDescent="0.25">
      <c r="A116" s="25" t="s">
        <v>185</v>
      </c>
      <c r="B116" s="12">
        <v>60157300000000</v>
      </c>
      <c r="C116" s="12">
        <v>56821500000000</v>
      </c>
      <c r="D116" s="12">
        <v>61496000000000</v>
      </c>
      <c r="E116" s="12">
        <v>64037600000000</v>
      </c>
      <c r="F116" s="12">
        <v>66217400000000</v>
      </c>
      <c r="G116" s="12">
        <v>67168300000000</v>
      </c>
      <c r="H116" s="12">
        <v>67464600000000</v>
      </c>
      <c r="I116" s="12">
        <v>67332800000000</v>
      </c>
      <c r="J116" s="12">
        <v>67161000000000</v>
      </c>
      <c r="K116" s="12">
        <v>66952000000000</v>
      </c>
      <c r="L116" s="12">
        <v>64863300000000</v>
      </c>
      <c r="M116" s="12">
        <v>65142900000000</v>
      </c>
      <c r="N116" s="12">
        <v>65399400000000</v>
      </c>
      <c r="O116" s="12">
        <v>66010000000000</v>
      </c>
      <c r="P116" s="12">
        <v>66802800000000</v>
      </c>
      <c r="Q116" s="12">
        <v>67680100000000</v>
      </c>
      <c r="R116" s="12">
        <v>68522300000000</v>
      </c>
      <c r="S116" s="12">
        <v>69405200000000</v>
      </c>
      <c r="T116" s="12">
        <v>70341300000000</v>
      </c>
      <c r="U116" s="12">
        <v>71348800000000</v>
      </c>
      <c r="V116" s="12">
        <v>72381700000000</v>
      </c>
      <c r="W116" s="12">
        <v>73365800000000</v>
      </c>
      <c r="X116" s="12">
        <v>74339400000000</v>
      </c>
      <c r="Y116" s="12">
        <v>75381200000000</v>
      </c>
      <c r="Z116" s="12">
        <v>76331100000000</v>
      </c>
      <c r="AA116" s="12">
        <v>77420000000000</v>
      </c>
      <c r="AB116" s="12">
        <v>78530000000000</v>
      </c>
      <c r="AC116" s="12">
        <v>79538300000000</v>
      </c>
      <c r="AD116" s="12">
        <v>80765300000000</v>
      </c>
      <c r="AE116" s="12">
        <v>81955100000000</v>
      </c>
      <c r="AF116" s="12">
        <v>83007000000000</v>
      </c>
    </row>
    <row r="117" spans="1:32" x14ac:dyDescent="0.25">
      <c r="A117" s="25" t="s">
        <v>186</v>
      </c>
      <c r="B117" s="12">
        <v>35289000000000</v>
      </c>
      <c r="C117" s="12">
        <v>32786500000000</v>
      </c>
      <c r="D117" s="12">
        <v>35268900000000</v>
      </c>
      <c r="E117" s="12">
        <v>36400100000000</v>
      </c>
      <c r="F117" s="12">
        <v>37429800000000</v>
      </c>
      <c r="G117" s="12">
        <v>38219500000000</v>
      </c>
      <c r="H117" s="12">
        <v>38522100000000</v>
      </c>
      <c r="I117" s="12">
        <v>38234000000000</v>
      </c>
      <c r="J117" s="12">
        <v>37758500000000</v>
      </c>
      <c r="K117" s="12">
        <v>37416800000000</v>
      </c>
      <c r="L117" s="12">
        <v>37004500000000</v>
      </c>
      <c r="M117" s="12">
        <v>36949200000000</v>
      </c>
      <c r="N117" s="12">
        <v>36914600000000</v>
      </c>
      <c r="O117" s="12">
        <v>36966600000000</v>
      </c>
      <c r="P117" s="12">
        <v>37146200000000</v>
      </c>
      <c r="Q117" s="12">
        <v>37552800000000</v>
      </c>
      <c r="R117" s="12">
        <v>38038000000000</v>
      </c>
      <c r="S117" s="12">
        <v>38496900000000</v>
      </c>
      <c r="T117" s="12">
        <v>39005400000000</v>
      </c>
      <c r="U117" s="12">
        <v>39551900000000</v>
      </c>
      <c r="V117" s="12">
        <v>40180500000000</v>
      </c>
      <c r="W117" s="12">
        <v>40805900000000</v>
      </c>
      <c r="X117" s="12">
        <v>41406700000000</v>
      </c>
      <c r="Y117" s="12">
        <v>42022100000000</v>
      </c>
      <c r="Z117" s="12">
        <v>42489300000000</v>
      </c>
      <c r="AA117" s="12">
        <v>42986000000000</v>
      </c>
      <c r="AB117" s="12">
        <v>43619700000000</v>
      </c>
      <c r="AC117" s="12">
        <v>43930700000000</v>
      </c>
      <c r="AD117" s="12">
        <v>44489400000000</v>
      </c>
      <c r="AE117" s="12">
        <v>45191900000000</v>
      </c>
      <c r="AF117" s="12">
        <v>45898800000000</v>
      </c>
    </row>
    <row r="118" spans="1:32" x14ac:dyDescent="0.25">
      <c r="A118" s="25" t="s">
        <v>187</v>
      </c>
      <c r="B118" s="12">
        <v>74341000000000</v>
      </c>
      <c r="C118" s="12">
        <v>65909600000000</v>
      </c>
      <c r="D118" s="12">
        <v>71286900000000</v>
      </c>
      <c r="E118" s="12">
        <v>74379600000000</v>
      </c>
      <c r="F118" s="12">
        <v>77119500000000</v>
      </c>
      <c r="G118" s="12">
        <v>78714700000000</v>
      </c>
      <c r="H118" s="12">
        <v>78754900000000</v>
      </c>
      <c r="I118" s="12">
        <v>77579000000000</v>
      </c>
      <c r="J118" s="12">
        <v>76348400000000</v>
      </c>
      <c r="K118" s="12">
        <v>75439600000000</v>
      </c>
      <c r="L118" s="12">
        <v>74472000000000</v>
      </c>
      <c r="M118" s="12">
        <v>74116700000000</v>
      </c>
      <c r="N118" s="12">
        <v>74060900000000</v>
      </c>
      <c r="O118" s="12">
        <v>74066500000000</v>
      </c>
      <c r="P118" s="12">
        <v>74574600000000</v>
      </c>
      <c r="Q118" s="12">
        <v>75434100000000</v>
      </c>
      <c r="R118" s="12">
        <v>76229700000000</v>
      </c>
      <c r="S118" s="12">
        <v>76752900000000</v>
      </c>
      <c r="T118" s="12">
        <v>77343700000000</v>
      </c>
      <c r="U118" s="12">
        <v>77963900000000</v>
      </c>
      <c r="V118" s="12">
        <v>78750500000000</v>
      </c>
      <c r="W118" s="12">
        <v>79610300000000</v>
      </c>
      <c r="X118" s="12">
        <v>80406500000000</v>
      </c>
      <c r="Y118" s="12">
        <v>81323000000000</v>
      </c>
      <c r="Z118" s="12">
        <v>81904200000000</v>
      </c>
      <c r="AA118" s="12">
        <v>82776200000000</v>
      </c>
      <c r="AB118" s="12">
        <v>83786400000000</v>
      </c>
      <c r="AC118" s="12">
        <v>84089400000000</v>
      </c>
      <c r="AD118" s="12">
        <v>85117500000000</v>
      </c>
      <c r="AE118" s="12">
        <v>86294000000000</v>
      </c>
      <c r="AF118" s="12">
        <v>87155100000000</v>
      </c>
    </row>
    <row r="119" spans="1:32" x14ac:dyDescent="0.25">
      <c r="A119" s="25" t="s">
        <v>188</v>
      </c>
      <c r="B119" s="12">
        <v>99952400000000</v>
      </c>
      <c r="C119" s="12">
        <v>92718300000000</v>
      </c>
      <c r="D119" s="12">
        <v>98526400000000</v>
      </c>
      <c r="E119" s="12">
        <v>103861000000000</v>
      </c>
      <c r="F119" s="12">
        <v>107883000000000</v>
      </c>
      <c r="G119" s="12">
        <v>110332000000000</v>
      </c>
      <c r="H119" s="12">
        <v>111930000000000</v>
      </c>
      <c r="I119" s="12">
        <v>111820000000000</v>
      </c>
      <c r="J119" s="12">
        <v>111286000000000</v>
      </c>
      <c r="K119" s="12">
        <v>109543000000000</v>
      </c>
      <c r="L119" s="12">
        <v>107249000000000</v>
      </c>
      <c r="M119" s="12">
        <v>106869000000000</v>
      </c>
      <c r="N119" s="12">
        <v>107381000000000</v>
      </c>
      <c r="O119" s="12">
        <v>108307000000000</v>
      </c>
      <c r="P119" s="12">
        <v>109872000000000</v>
      </c>
      <c r="Q119" s="12">
        <v>111531000000000</v>
      </c>
      <c r="R119" s="12">
        <v>113213000000000</v>
      </c>
      <c r="S119" s="12">
        <v>114737000000000</v>
      </c>
      <c r="T119" s="12">
        <v>116252000000000</v>
      </c>
      <c r="U119" s="12">
        <v>118089000000000</v>
      </c>
      <c r="V119" s="12">
        <v>119975000000000</v>
      </c>
      <c r="W119" s="12">
        <v>121863000000000</v>
      </c>
      <c r="X119" s="12">
        <v>123691000000000</v>
      </c>
      <c r="Y119" s="12">
        <v>125397000000000</v>
      </c>
      <c r="Z119" s="12">
        <v>126986000000000</v>
      </c>
      <c r="AA119" s="12">
        <v>128633000000000</v>
      </c>
      <c r="AB119" s="12">
        <v>130168000000000</v>
      </c>
      <c r="AC119" s="12">
        <v>131368000000000</v>
      </c>
      <c r="AD119" s="12">
        <v>132688000000000</v>
      </c>
      <c r="AE119" s="12">
        <v>134225000000000</v>
      </c>
      <c r="AF119" s="12">
        <v>135313000000000</v>
      </c>
    </row>
    <row r="120" spans="1:32" x14ac:dyDescent="0.25">
      <c r="A120" s="25" t="s">
        <v>189</v>
      </c>
      <c r="B120" s="12">
        <v>56584000000000</v>
      </c>
      <c r="C120" s="12">
        <v>52488700000000</v>
      </c>
      <c r="D120" s="12">
        <v>55776700000000</v>
      </c>
      <c r="E120" s="12">
        <v>58796400000000</v>
      </c>
      <c r="F120" s="12">
        <v>61073600000000</v>
      </c>
      <c r="G120" s="12">
        <v>62459800000000</v>
      </c>
      <c r="H120" s="12">
        <v>63364800000000</v>
      </c>
      <c r="I120" s="12">
        <v>63302300000000</v>
      </c>
      <c r="J120" s="12">
        <v>63000000000000</v>
      </c>
      <c r="K120" s="12">
        <v>62013100000000</v>
      </c>
      <c r="L120" s="12">
        <v>60714800000000</v>
      </c>
      <c r="M120" s="12">
        <v>60499400000000</v>
      </c>
      <c r="N120" s="12">
        <v>60789600000000</v>
      </c>
      <c r="O120" s="12">
        <v>61313400000000</v>
      </c>
      <c r="P120" s="12">
        <v>62199800000000</v>
      </c>
      <c r="Q120" s="12">
        <v>63139000000000</v>
      </c>
      <c r="R120" s="12">
        <v>64090800000000</v>
      </c>
      <c r="S120" s="12">
        <v>64953400000000</v>
      </c>
      <c r="T120" s="12">
        <v>65811400000000</v>
      </c>
      <c r="U120" s="12">
        <v>66851400000000</v>
      </c>
      <c r="V120" s="12">
        <v>67918900000000</v>
      </c>
      <c r="W120" s="12">
        <v>68987600000000</v>
      </c>
      <c r="X120" s="12">
        <v>70022600000000</v>
      </c>
      <c r="Y120" s="12">
        <v>70988200000000</v>
      </c>
      <c r="Z120" s="12">
        <v>71888100000000</v>
      </c>
      <c r="AA120" s="12">
        <v>72820100000000</v>
      </c>
      <c r="AB120" s="12">
        <v>73689500000000</v>
      </c>
      <c r="AC120" s="12">
        <v>74368400000000</v>
      </c>
      <c r="AD120" s="12">
        <v>75115700000000</v>
      </c>
      <c r="AE120" s="12">
        <v>75985800000000</v>
      </c>
      <c r="AF120" s="12">
        <v>76601800000000</v>
      </c>
    </row>
    <row r="121" spans="1:32" x14ac:dyDescent="0.25">
      <c r="A121" s="25" t="s">
        <v>190</v>
      </c>
      <c r="B121" s="12">
        <v>348791000000000</v>
      </c>
      <c r="C121" s="12">
        <v>314635000000000</v>
      </c>
      <c r="D121" s="12">
        <v>348219000000000</v>
      </c>
      <c r="E121" s="12">
        <v>377724000000000</v>
      </c>
      <c r="F121" s="12">
        <v>406861000000000</v>
      </c>
      <c r="G121" s="12">
        <v>424173000000000</v>
      </c>
      <c r="H121" s="12">
        <v>439126000000000</v>
      </c>
      <c r="I121" s="12">
        <v>440848000000000</v>
      </c>
      <c r="J121" s="12">
        <v>440988000000000</v>
      </c>
      <c r="K121" s="12">
        <v>441027000000000</v>
      </c>
      <c r="L121" s="12">
        <v>441450000000000</v>
      </c>
      <c r="M121" s="12">
        <v>443690000000000</v>
      </c>
      <c r="N121" s="12">
        <v>446883000000000</v>
      </c>
      <c r="O121" s="12">
        <v>450191000000000</v>
      </c>
      <c r="P121" s="12">
        <v>455669000000000</v>
      </c>
      <c r="Q121" s="12">
        <v>462021000000000</v>
      </c>
      <c r="R121" s="12">
        <v>468139000000000</v>
      </c>
      <c r="S121" s="12">
        <v>475806000000000</v>
      </c>
      <c r="T121" s="12">
        <v>484779000000000</v>
      </c>
      <c r="U121" s="12">
        <v>492643000000000</v>
      </c>
      <c r="V121" s="12">
        <v>503624000000000</v>
      </c>
      <c r="W121" s="12">
        <v>513056000000000</v>
      </c>
      <c r="X121" s="12">
        <v>523262000000000</v>
      </c>
      <c r="Y121" s="12">
        <v>535054000000000</v>
      </c>
      <c r="Z121" s="12">
        <v>546379000000000</v>
      </c>
      <c r="AA121" s="12">
        <v>557449000000000</v>
      </c>
      <c r="AB121" s="12">
        <v>567130000000000</v>
      </c>
      <c r="AC121" s="12">
        <v>575157000000000</v>
      </c>
      <c r="AD121" s="12">
        <v>585449000000000</v>
      </c>
      <c r="AE121" s="12">
        <v>597874000000000</v>
      </c>
      <c r="AF121" s="12">
        <v>607910000000000</v>
      </c>
    </row>
    <row r="122" spans="1:32" x14ac:dyDescent="0.25">
      <c r="A122" s="25" t="s">
        <v>191</v>
      </c>
      <c r="B122" s="12">
        <v>1066220000000000</v>
      </c>
      <c r="C122" s="12">
        <v>1268670000000000</v>
      </c>
      <c r="D122" s="12">
        <v>1251440000000000</v>
      </c>
      <c r="E122" s="12">
        <v>1234480000000000</v>
      </c>
      <c r="F122" s="12">
        <v>1285370000000000</v>
      </c>
      <c r="G122" s="12">
        <v>1374050000000000</v>
      </c>
      <c r="H122" s="12">
        <v>1407590000000000</v>
      </c>
      <c r="I122" s="12">
        <v>1449100000000000</v>
      </c>
      <c r="J122" s="12">
        <v>1482350000000000</v>
      </c>
      <c r="K122" s="12">
        <v>1542950000000000</v>
      </c>
      <c r="L122" s="12">
        <v>1597940000000000</v>
      </c>
      <c r="M122" s="12">
        <v>1630390000000000</v>
      </c>
      <c r="N122" s="12">
        <v>1666360000000000</v>
      </c>
      <c r="O122" s="12">
        <v>1696750000000000</v>
      </c>
      <c r="P122" s="12">
        <v>1727080000000000</v>
      </c>
      <c r="Q122" s="12">
        <v>1762180000000000</v>
      </c>
      <c r="R122" s="12">
        <v>1803740000000000</v>
      </c>
      <c r="S122" s="12">
        <v>1842090000000000</v>
      </c>
      <c r="T122" s="12">
        <v>1880980000000000</v>
      </c>
      <c r="U122" s="12">
        <v>1916670000000000</v>
      </c>
      <c r="V122" s="12">
        <v>1953520000000000</v>
      </c>
      <c r="W122" s="12">
        <v>1969640000000000</v>
      </c>
      <c r="X122" s="12">
        <v>1973740000000000</v>
      </c>
      <c r="Y122" s="12">
        <v>1980820000000000</v>
      </c>
      <c r="Z122" s="12">
        <v>1993790000000000</v>
      </c>
      <c r="AA122" s="12">
        <v>1998430000000000</v>
      </c>
      <c r="AB122" s="12">
        <v>2006490000000000</v>
      </c>
      <c r="AC122" s="12">
        <v>2015540000000000</v>
      </c>
      <c r="AD122" s="12">
        <v>2012600000000000</v>
      </c>
      <c r="AE122" s="12">
        <v>2009820000000000</v>
      </c>
      <c r="AF122" s="12">
        <v>2017160000000000</v>
      </c>
    </row>
    <row r="123" spans="1:32" x14ac:dyDescent="0.25">
      <c r="A123" s="25" t="s">
        <v>192</v>
      </c>
      <c r="B123" s="25">
        <v>0</v>
      </c>
      <c r="C123" s="25">
        <v>0</v>
      </c>
      <c r="D123" s="25">
        <v>0</v>
      </c>
      <c r="E123" s="25">
        <v>0</v>
      </c>
      <c r="F123" s="25">
        <v>0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25">
        <v>0</v>
      </c>
      <c r="Q123" s="25">
        <v>0</v>
      </c>
      <c r="R123" s="25">
        <v>0</v>
      </c>
      <c r="S123" s="25">
        <v>0</v>
      </c>
      <c r="T123" s="25">
        <v>0</v>
      </c>
      <c r="U123" s="25">
        <v>0</v>
      </c>
      <c r="V123" s="25">
        <v>0</v>
      </c>
      <c r="W123" s="25">
        <v>0</v>
      </c>
      <c r="X123" s="25">
        <v>0</v>
      </c>
      <c r="Y123" s="25">
        <v>0</v>
      </c>
      <c r="Z123" s="25">
        <v>0</v>
      </c>
      <c r="AA123" s="25">
        <v>0</v>
      </c>
      <c r="AB123" s="25">
        <v>0</v>
      </c>
      <c r="AC123" s="25">
        <v>0</v>
      </c>
      <c r="AD123" s="25">
        <v>0</v>
      </c>
      <c r="AE123" s="25">
        <v>0</v>
      </c>
      <c r="AF123" s="25">
        <v>0</v>
      </c>
    </row>
    <row r="124" spans="1:32" x14ac:dyDescent="0.25">
      <c r="A124" s="25" t="s">
        <v>193</v>
      </c>
      <c r="B124" s="12">
        <v>12511200000000</v>
      </c>
      <c r="C124" s="12">
        <v>12291900000000</v>
      </c>
      <c r="D124" s="12">
        <v>12666600000000</v>
      </c>
      <c r="E124" s="12">
        <v>12747300000000</v>
      </c>
      <c r="F124" s="12">
        <v>12887500000000</v>
      </c>
      <c r="G124" s="12">
        <v>13113800000000</v>
      </c>
      <c r="H124" s="12">
        <v>13238100000000</v>
      </c>
      <c r="I124" s="12">
        <v>13244500000000</v>
      </c>
      <c r="J124" s="12">
        <v>13189500000000</v>
      </c>
      <c r="K124" s="12">
        <v>13202200000000</v>
      </c>
      <c r="L124" s="12">
        <v>13216500000000</v>
      </c>
      <c r="M124" s="12">
        <v>13253300000000</v>
      </c>
      <c r="N124" s="12">
        <v>13302900000000</v>
      </c>
      <c r="O124" s="12">
        <v>13409300000000</v>
      </c>
      <c r="P124" s="12">
        <v>13516800000000</v>
      </c>
      <c r="Q124" s="12">
        <v>13663500000000</v>
      </c>
      <c r="R124" s="12">
        <v>13792800000000</v>
      </c>
      <c r="S124" s="12">
        <v>13904200000000</v>
      </c>
      <c r="T124" s="12">
        <v>14031200000000</v>
      </c>
      <c r="U124" s="12">
        <v>14161700000000</v>
      </c>
      <c r="V124" s="12">
        <v>14340900000000</v>
      </c>
      <c r="W124" s="12">
        <v>14544500000000</v>
      </c>
      <c r="X124" s="12">
        <v>14720700000000</v>
      </c>
      <c r="Y124" s="12">
        <v>14910900000000</v>
      </c>
      <c r="Z124" s="12">
        <v>15111600000000</v>
      </c>
      <c r="AA124" s="12">
        <v>15325000000000</v>
      </c>
      <c r="AB124" s="12">
        <v>15570000000000</v>
      </c>
      <c r="AC124" s="12">
        <v>15771700000000</v>
      </c>
      <c r="AD124" s="12">
        <v>15993100000000</v>
      </c>
      <c r="AE124" s="12">
        <v>16245400000000</v>
      </c>
      <c r="AF124" s="12">
        <v>16509600000000</v>
      </c>
    </row>
    <row r="125" spans="1:32" x14ac:dyDescent="0.25">
      <c r="A125" s="25" t="s">
        <v>194</v>
      </c>
      <c r="B125" s="25">
        <v>0</v>
      </c>
      <c r="C125" s="25">
        <v>0</v>
      </c>
      <c r="D125" s="25">
        <v>0</v>
      </c>
      <c r="E125" s="25">
        <v>0</v>
      </c>
      <c r="F125" s="25">
        <v>0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>
        <v>0</v>
      </c>
      <c r="S125" s="25">
        <v>0</v>
      </c>
      <c r="T125" s="25">
        <v>0</v>
      </c>
      <c r="U125" s="25">
        <v>0</v>
      </c>
      <c r="V125" s="25">
        <v>0</v>
      </c>
      <c r="W125" s="25">
        <v>0</v>
      </c>
      <c r="X125" s="25">
        <v>0</v>
      </c>
      <c r="Y125" s="25">
        <v>0</v>
      </c>
      <c r="Z125" s="25">
        <v>0</v>
      </c>
      <c r="AA125" s="25">
        <v>0</v>
      </c>
      <c r="AB125" s="25">
        <v>0</v>
      </c>
      <c r="AC125" s="25">
        <v>0</v>
      </c>
      <c r="AD125" s="25">
        <v>0</v>
      </c>
      <c r="AE125" s="25">
        <v>0</v>
      </c>
      <c r="AF125" s="25">
        <v>0</v>
      </c>
    </row>
    <row r="126" spans="1:32" x14ac:dyDescent="0.25">
      <c r="A126" s="25" t="s">
        <v>195</v>
      </c>
      <c r="B126" s="25">
        <v>0</v>
      </c>
      <c r="C126" s="25">
        <v>0</v>
      </c>
      <c r="D126" s="25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25">
        <v>0</v>
      </c>
      <c r="V126" s="25">
        <v>0</v>
      </c>
      <c r="W126" s="25">
        <v>0</v>
      </c>
      <c r="X126" s="25">
        <v>0</v>
      </c>
      <c r="Y126" s="25">
        <v>0</v>
      </c>
      <c r="Z126" s="25">
        <v>0</v>
      </c>
      <c r="AA126" s="25">
        <v>0</v>
      </c>
      <c r="AB126" s="25">
        <v>0</v>
      </c>
      <c r="AC126" s="25">
        <v>0</v>
      </c>
      <c r="AD126" s="25">
        <v>0</v>
      </c>
      <c r="AE126" s="25">
        <v>0</v>
      </c>
      <c r="AF126" s="25">
        <v>0</v>
      </c>
    </row>
    <row r="127" spans="1:32" x14ac:dyDescent="0.25">
      <c r="A127" s="25" t="s">
        <v>196</v>
      </c>
      <c r="B127" s="25">
        <v>0</v>
      </c>
      <c r="C127" s="25">
        <v>0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25">
        <v>0</v>
      </c>
      <c r="Q127" s="25">
        <v>0</v>
      </c>
      <c r="R127" s="25">
        <v>0</v>
      </c>
      <c r="S127" s="25">
        <v>0</v>
      </c>
      <c r="T127" s="25">
        <v>0</v>
      </c>
      <c r="U127" s="25">
        <v>0</v>
      </c>
      <c r="V127" s="25">
        <v>0</v>
      </c>
      <c r="W127" s="25">
        <v>0</v>
      </c>
      <c r="X127" s="25">
        <v>0</v>
      </c>
      <c r="Y127" s="25">
        <v>0</v>
      </c>
      <c r="Z127" s="25">
        <v>0</v>
      </c>
      <c r="AA127" s="25">
        <v>0</v>
      </c>
      <c r="AB127" s="25">
        <v>0</v>
      </c>
      <c r="AC127" s="25">
        <v>0</v>
      </c>
      <c r="AD127" s="25">
        <v>0</v>
      </c>
      <c r="AE127" s="25">
        <v>0</v>
      </c>
      <c r="AF127" s="25">
        <v>0</v>
      </c>
    </row>
    <row r="128" spans="1:32" x14ac:dyDescent="0.25">
      <c r="A128" s="25" t="s">
        <v>197</v>
      </c>
      <c r="B128" s="25">
        <v>0</v>
      </c>
      <c r="C128" s="25">
        <v>0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5">
        <v>0</v>
      </c>
      <c r="M128" s="25">
        <v>0</v>
      </c>
      <c r="N128" s="25">
        <v>0</v>
      </c>
      <c r="O128" s="25">
        <v>0</v>
      </c>
      <c r="P128" s="25">
        <v>0</v>
      </c>
      <c r="Q128" s="25">
        <v>0</v>
      </c>
      <c r="R128" s="25">
        <v>0</v>
      </c>
      <c r="S128" s="25">
        <v>0</v>
      </c>
      <c r="T128" s="25">
        <v>0</v>
      </c>
      <c r="U128" s="25">
        <v>0</v>
      </c>
      <c r="V128" s="25">
        <v>0</v>
      </c>
      <c r="W128" s="25">
        <v>0</v>
      </c>
      <c r="X128" s="25">
        <v>0</v>
      </c>
      <c r="Y128" s="25">
        <v>0</v>
      </c>
      <c r="Z128" s="25">
        <v>0</v>
      </c>
      <c r="AA128" s="25">
        <v>0</v>
      </c>
      <c r="AB128" s="25">
        <v>0</v>
      </c>
      <c r="AC128" s="25">
        <v>0</v>
      </c>
      <c r="AD128" s="25">
        <v>0</v>
      </c>
      <c r="AE128" s="25">
        <v>0</v>
      </c>
      <c r="AF128" s="25">
        <v>0</v>
      </c>
    </row>
    <row r="129" spans="1:32" x14ac:dyDescent="0.25">
      <c r="A129" s="25" t="s">
        <v>198</v>
      </c>
      <c r="B129" s="25">
        <v>0</v>
      </c>
      <c r="C129" s="25">
        <v>0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  <c r="T129" s="25">
        <v>0</v>
      </c>
      <c r="U129" s="25">
        <v>0</v>
      </c>
      <c r="V129" s="25">
        <v>0</v>
      </c>
      <c r="W129" s="25">
        <v>0</v>
      </c>
      <c r="X129" s="25">
        <v>0</v>
      </c>
      <c r="Y129" s="25">
        <v>0</v>
      </c>
      <c r="Z129" s="25">
        <v>0</v>
      </c>
      <c r="AA129" s="25">
        <v>0</v>
      </c>
      <c r="AB129" s="25">
        <v>0</v>
      </c>
      <c r="AC129" s="25">
        <v>0</v>
      </c>
      <c r="AD129" s="25">
        <v>0</v>
      </c>
      <c r="AE129" s="25">
        <v>0</v>
      </c>
      <c r="AF129" s="25">
        <v>0</v>
      </c>
    </row>
    <row r="130" spans="1:32" x14ac:dyDescent="0.25">
      <c r="A130" s="25" t="s">
        <v>199</v>
      </c>
      <c r="B130" s="25">
        <v>0</v>
      </c>
      <c r="C130" s="25">
        <v>0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>
        <v>0</v>
      </c>
      <c r="T130" s="25">
        <v>0</v>
      </c>
      <c r="U130" s="25">
        <v>0</v>
      </c>
      <c r="V130" s="25">
        <v>0</v>
      </c>
      <c r="W130" s="25">
        <v>0</v>
      </c>
      <c r="X130" s="25">
        <v>0</v>
      </c>
      <c r="Y130" s="25">
        <v>0</v>
      </c>
      <c r="Z130" s="25">
        <v>0</v>
      </c>
      <c r="AA130" s="25">
        <v>0</v>
      </c>
      <c r="AB130" s="25">
        <v>0</v>
      </c>
      <c r="AC130" s="25">
        <v>0</v>
      </c>
      <c r="AD130" s="25">
        <v>0</v>
      </c>
      <c r="AE130" s="25">
        <v>0</v>
      </c>
      <c r="AF130" s="25">
        <v>0</v>
      </c>
    </row>
    <row r="131" spans="1:32" x14ac:dyDescent="0.25">
      <c r="A131" s="25" t="s">
        <v>200</v>
      </c>
      <c r="B131" s="25">
        <v>0</v>
      </c>
      <c r="C131" s="25">
        <v>0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5">
        <v>0</v>
      </c>
      <c r="T131" s="25">
        <v>0</v>
      </c>
      <c r="U131" s="25">
        <v>0</v>
      </c>
      <c r="V131" s="25">
        <v>0</v>
      </c>
      <c r="W131" s="25">
        <v>0</v>
      </c>
      <c r="X131" s="25">
        <v>0</v>
      </c>
      <c r="Y131" s="25">
        <v>0</v>
      </c>
      <c r="Z131" s="25">
        <v>0</v>
      </c>
      <c r="AA131" s="25">
        <v>0</v>
      </c>
      <c r="AB131" s="25">
        <v>0</v>
      </c>
      <c r="AC131" s="25">
        <v>0</v>
      </c>
      <c r="AD131" s="25">
        <v>0</v>
      </c>
      <c r="AE131" s="25">
        <v>0</v>
      </c>
      <c r="AF131" s="25">
        <v>0</v>
      </c>
    </row>
    <row r="132" spans="1:32" x14ac:dyDescent="0.25">
      <c r="A132" s="25" t="s">
        <v>201</v>
      </c>
      <c r="B132" s="25">
        <v>0</v>
      </c>
      <c r="C132" s="25">
        <v>0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25">
        <v>0</v>
      </c>
      <c r="V132" s="25">
        <v>0</v>
      </c>
      <c r="W132" s="25">
        <v>0</v>
      </c>
      <c r="X132" s="25">
        <v>0</v>
      </c>
      <c r="Y132" s="25">
        <v>0</v>
      </c>
      <c r="Z132" s="25">
        <v>0</v>
      </c>
      <c r="AA132" s="25">
        <v>0</v>
      </c>
      <c r="AB132" s="25">
        <v>0</v>
      </c>
      <c r="AC132" s="25">
        <v>0</v>
      </c>
      <c r="AD132" s="25">
        <v>0</v>
      </c>
      <c r="AE132" s="25">
        <v>0</v>
      </c>
      <c r="AF132" s="25">
        <v>0</v>
      </c>
    </row>
    <row r="133" spans="1:32" x14ac:dyDescent="0.25">
      <c r="A133" s="25" t="s">
        <v>202</v>
      </c>
      <c r="B133" s="12">
        <v>904565000000000</v>
      </c>
      <c r="C133" s="12">
        <v>881153000000000</v>
      </c>
      <c r="D133" s="12">
        <v>871508000000000</v>
      </c>
      <c r="E133" s="12">
        <v>878198000000000</v>
      </c>
      <c r="F133" s="12">
        <v>886884000000000</v>
      </c>
      <c r="G133" s="12">
        <v>893562000000000</v>
      </c>
      <c r="H133" s="12">
        <v>898992000000000</v>
      </c>
      <c r="I133" s="12">
        <v>902946000000000</v>
      </c>
      <c r="J133" s="12">
        <v>906679000000000</v>
      </c>
      <c r="K133" s="12">
        <v>910017000000000</v>
      </c>
      <c r="L133" s="12">
        <v>920372000000000</v>
      </c>
      <c r="M133" s="12">
        <v>923769000000000</v>
      </c>
      <c r="N133" s="12">
        <v>928209000000000</v>
      </c>
      <c r="O133" s="12">
        <v>933588000000000</v>
      </c>
      <c r="P133" s="12">
        <v>938572000000000</v>
      </c>
      <c r="Q133" s="12">
        <v>943271000000000</v>
      </c>
      <c r="R133" s="12">
        <v>951571000000000</v>
      </c>
      <c r="S133" s="12">
        <v>957731000000000</v>
      </c>
      <c r="T133" s="12">
        <v>964316000000000</v>
      </c>
      <c r="U133" s="12">
        <v>971732000000000</v>
      </c>
      <c r="V133" s="12">
        <v>980276000000000</v>
      </c>
      <c r="W133" s="12">
        <v>988502000000000</v>
      </c>
      <c r="X133" s="12">
        <v>998032000000000</v>
      </c>
      <c r="Y133" s="12">
        <v>1007870000000000</v>
      </c>
      <c r="Z133" s="12">
        <v>1025590000000000</v>
      </c>
      <c r="AA133" s="12">
        <v>1034790000000000</v>
      </c>
      <c r="AB133" s="12">
        <v>1044300000000000</v>
      </c>
      <c r="AC133" s="12">
        <v>1054050000000000</v>
      </c>
      <c r="AD133" s="12">
        <v>1064280000000000</v>
      </c>
      <c r="AE133" s="12">
        <v>1074900000000000</v>
      </c>
      <c r="AF133" s="12">
        <v>1085780000000000</v>
      </c>
    </row>
    <row r="134" spans="1:32" x14ac:dyDescent="0.25">
      <c r="A134" s="25" t="s">
        <v>203</v>
      </c>
      <c r="B134" s="25">
        <v>0</v>
      </c>
      <c r="C134" s="12">
        <v>42889200000</v>
      </c>
      <c r="D134" s="12">
        <v>79165100000</v>
      </c>
      <c r="E134" s="12">
        <v>110614000000</v>
      </c>
      <c r="F134" s="12">
        <v>137690000000</v>
      </c>
      <c r="G134" s="12">
        <v>163286000000</v>
      </c>
      <c r="H134" s="12">
        <v>190214000000</v>
      </c>
      <c r="I134" s="12">
        <v>216787000000</v>
      </c>
      <c r="J134" s="12">
        <v>384041000000</v>
      </c>
      <c r="K134" s="12">
        <v>409582000000</v>
      </c>
      <c r="L134" s="12">
        <v>439474000000</v>
      </c>
      <c r="M134" s="12">
        <v>464675000000</v>
      </c>
      <c r="N134" s="12">
        <v>488227000000</v>
      </c>
      <c r="O134" s="12">
        <v>512327000000</v>
      </c>
      <c r="P134" s="12">
        <v>533890000000</v>
      </c>
      <c r="Q134" s="12">
        <v>550639000000</v>
      </c>
      <c r="R134" s="12">
        <v>567936000000</v>
      </c>
      <c r="S134" s="12">
        <v>557065000000</v>
      </c>
      <c r="T134" s="12">
        <v>554898000000</v>
      </c>
      <c r="U134" s="12">
        <v>552823000000</v>
      </c>
      <c r="V134" s="12">
        <v>553603000000</v>
      </c>
      <c r="W134" s="12">
        <v>554132000000</v>
      </c>
      <c r="X134" s="12">
        <v>555581000000</v>
      </c>
      <c r="Y134" s="12">
        <v>555090000000</v>
      </c>
      <c r="Z134" s="12">
        <v>556257000000</v>
      </c>
      <c r="AA134" s="12">
        <v>553077000000</v>
      </c>
      <c r="AB134" s="12">
        <v>550040000000</v>
      </c>
      <c r="AC134" s="12">
        <v>549071000000</v>
      </c>
      <c r="AD134" s="12">
        <v>549280000000</v>
      </c>
      <c r="AE134" s="12">
        <v>548152000000</v>
      </c>
      <c r="AF134" s="12">
        <v>543679000000</v>
      </c>
    </row>
    <row r="135" spans="1:32" x14ac:dyDescent="0.25">
      <c r="A135" s="25" t="s">
        <v>204</v>
      </c>
      <c r="B135" s="25">
        <v>0</v>
      </c>
      <c r="C135" s="25">
        <v>0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25">
        <v>0</v>
      </c>
      <c r="W135" s="25">
        <v>0</v>
      </c>
      <c r="X135" s="25">
        <v>0</v>
      </c>
      <c r="Y135" s="25">
        <v>0</v>
      </c>
      <c r="Z135" s="25">
        <v>0</v>
      </c>
      <c r="AA135" s="25">
        <v>0</v>
      </c>
      <c r="AB135" s="25">
        <v>0</v>
      </c>
      <c r="AC135" s="25">
        <v>0</v>
      </c>
      <c r="AD135" s="25">
        <v>0</v>
      </c>
      <c r="AE135" s="25">
        <v>0</v>
      </c>
      <c r="AF135" s="25">
        <v>0</v>
      </c>
    </row>
    <row r="136" spans="1:32" x14ac:dyDescent="0.25">
      <c r="A136" s="25" t="s">
        <v>205</v>
      </c>
      <c r="B136" s="25">
        <v>0</v>
      </c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>
        <v>0</v>
      </c>
      <c r="T136" s="25">
        <v>0</v>
      </c>
      <c r="U136" s="25">
        <v>0</v>
      </c>
      <c r="V136" s="25">
        <v>0</v>
      </c>
      <c r="W136" s="25">
        <v>0</v>
      </c>
      <c r="X136" s="25">
        <v>0</v>
      </c>
      <c r="Y136" s="25">
        <v>0</v>
      </c>
      <c r="Z136" s="25">
        <v>0</v>
      </c>
      <c r="AA136" s="25">
        <v>0</v>
      </c>
      <c r="AB136" s="25">
        <v>0</v>
      </c>
      <c r="AC136" s="25">
        <v>0</v>
      </c>
      <c r="AD136" s="25">
        <v>0</v>
      </c>
      <c r="AE136" s="25">
        <v>0</v>
      </c>
      <c r="AF136" s="25">
        <v>0</v>
      </c>
    </row>
    <row r="137" spans="1:32" x14ac:dyDescent="0.25">
      <c r="A137" s="25" t="s">
        <v>206</v>
      </c>
      <c r="B137" s="25">
        <v>0</v>
      </c>
      <c r="C137" s="25">
        <v>0</v>
      </c>
      <c r="D137" s="25">
        <v>14787000000</v>
      </c>
      <c r="E137" s="25">
        <v>30806300000</v>
      </c>
      <c r="F137" s="25">
        <v>46418400000</v>
      </c>
      <c r="G137" s="25">
        <v>61867800000</v>
      </c>
      <c r="H137" s="25">
        <v>77566200000</v>
      </c>
      <c r="I137" s="25">
        <v>93858100000</v>
      </c>
      <c r="J137" s="25">
        <v>136924000000</v>
      </c>
      <c r="K137" s="25">
        <v>291904000000</v>
      </c>
      <c r="L137" s="25">
        <v>451420000000</v>
      </c>
      <c r="M137" s="25">
        <v>610186000000</v>
      </c>
      <c r="N137" s="25">
        <v>768326000000</v>
      </c>
      <c r="O137" s="25">
        <v>929687000000</v>
      </c>
      <c r="P137" s="25">
        <v>1087870000000</v>
      </c>
      <c r="Q137" s="25">
        <v>1245780000000</v>
      </c>
      <c r="R137" s="25">
        <v>1399780000000</v>
      </c>
      <c r="S137" s="25">
        <v>1393080000000</v>
      </c>
      <c r="T137" s="25">
        <v>1392860000000</v>
      </c>
      <c r="U137" s="25">
        <v>1390730000000</v>
      </c>
      <c r="V137" s="25">
        <v>1394250000000</v>
      </c>
      <c r="W137" s="25">
        <v>1395780000000</v>
      </c>
      <c r="X137" s="25">
        <v>1398750000000</v>
      </c>
      <c r="Y137" s="25">
        <v>1398680000000</v>
      </c>
      <c r="Z137" s="25">
        <v>1410230000000</v>
      </c>
      <c r="AA137" s="25">
        <v>1409240000000</v>
      </c>
      <c r="AB137" s="25">
        <v>1413310000000</v>
      </c>
      <c r="AC137" s="25">
        <v>1415810000000</v>
      </c>
      <c r="AD137" s="25">
        <v>1419150000000</v>
      </c>
      <c r="AE137" s="25">
        <v>1421200000000</v>
      </c>
      <c r="AF137" s="25">
        <v>1421390000000</v>
      </c>
    </row>
    <row r="138" spans="1:32" x14ac:dyDescent="0.25">
      <c r="A138" s="25" t="s">
        <v>207</v>
      </c>
      <c r="B138" s="25">
        <v>0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5">
        <v>0</v>
      </c>
      <c r="O138" s="25">
        <v>0</v>
      </c>
      <c r="P138" s="25">
        <v>0</v>
      </c>
      <c r="Q138" s="25">
        <v>0</v>
      </c>
      <c r="R138" s="25">
        <v>0</v>
      </c>
      <c r="S138" s="25">
        <v>0</v>
      </c>
      <c r="T138" s="25">
        <v>0</v>
      </c>
      <c r="U138" s="25">
        <v>0</v>
      </c>
      <c r="V138" s="25">
        <v>0</v>
      </c>
      <c r="W138" s="25">
        <v>0</v>
      </c>
      <c r="X138" s="25">
        <v>0</v>
      </c>
      <c r="Y138" s="25">
        <v>0</v>
      </c>
      <c r="Z138" s="25">
        <v>0</v>
      </c>
      <c r="AA138" s="25">
        <v>0</v>
      </c>
      <c r="AB138" s="25">
        <v>0</v>
      </c>
      <c r="AC138" s="25">
        <v>0</v>
      </c>
      <c r="AD138" s="25">
        <v>0</v>
      </c>
      <c r="AE138" s="25">
        <v>0</v>
      </c>
      <c r="AF138" s="25">
        <v>0</v>
      </c>
    </row>
    <row r="139" spans="1:32" x14ac:dyDescent="0.25">
      <c r="A139" s="25" t="s">
        <v>208</v>
      </c>
      <c r="B139" s="25">
        <v>0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0</v>
      </c>
      <c r="N139" s="25">
        <v>0</v>
      </c>
      <c r="O139" s="25">
        <v>0</v>
      </c>
      <c r="P139" s="25">
        <v>0</v>
      </c>
      <c r="Q139" s="25">
        <v>0</v>
      </c>
      <c r="R139" s="25">
        <v>0</v>
      </c>
      <c r="S139" s="25">
        <v>0</v>
      </c>
      <c r="T139" s="25">
        <v>0</v>
      </c>
      <c r="U139" s="25">
        <v>0</v>
      </c>
      <c r="V139" s="25">
        <v>0</v>
      </c>
      <c r="W139" s="25">
        <v>0</v>
      </c>
      <c r="X139" s="25">
        <v>0</v>
      </c>
      <c r="Y139" s="25">
        <v>0</v>
      </c>
      <c r="Z139" s="25">
        <v>0</v>
      </c>
      <c r="AA139" s="25">
        <v>0</v>
      </c>
      <c r="AB139" s="25">
        <v>0</v>
      </c>
      <c r="AC139" s="25">
        <v>0</v>
      </c>
      <c r="AD139" s="25">
        <v>0</v>
      </c>
      <c r="AE139" s="25">
        <v>0</v>
      </c>
      <c r="AF139" s="25">
        <v>0</v>
      </c>
    </row>
    <row r="140" spans="1:32" x14ac:dyDescent="0.25">
      <c r="A140" s="25" t="s">
        <v>209</v>
      </c>
      <c r="B140" s="25">
        <v>0</v>
      </c>
      <c r="C140" s="25">
        <v>0</v>
      </c>
      <c r="D140" s="25">
        <v>0</v>
      </c>
      <c r="E140" s="25">
        <v>0</v>
      </c>
      <c r="F140" s="25">
        <v>0</v>
      </c>
      <c r="G140" s="25">
        <v>0</v>
      </c>
      <c r="H140" s="25">
        <v>0</v>
      </c>
      <c r="I140" s="25">
        <v>0</v>
      </c>
      <c r="J140" s="25">
        <v>0</v>
      </c>
      <c r="K140" s="25">
        <v>0</v>
      </c>
      <c r="L140" s="25">
        <v>0</v>
      </c>
      <c r="M140" s="25">
        <v>0</v>
      </c>
      <c r="N140" s="25">
        <v>0</v>
      </c>
      <c r="O140" s="25">
        <v>0</v>
      </c>
      <c r="P140" s="25">
        <v>0</v>
      </c>
      <c r="Q140" s="25">
        <v>0</v>
      </c>
      <c r="R140" s="25">
        <v>0</v>
      </c>
      <c r="S140" s="25">
        <v>0</v>
      </c>
      <c r="T140" s="25">
        <v>0</v>
      </c>
      <c r="U140" s="25">
        <v>0</v>
      </c>
      <c r="V140" s="25">
        <v>0</v>
      </c>
      <c r="W140" s="25">
        <v>0</v>
      </c>
      <c r="X140" s="25">
        <v>0</v>
      </c>
      <c r="Y140" s="25">
        <v>0</v>
      </c>
      <c r="Z140" s="25">
        <v>0</v>
      </c>
      <c r="AA140" s="25">
        <v>0</v>
      </c>
      <c r="AB140" s="25">
        <v>0</v>
      </c>
      <c r="AC140" s="25">
        <v>0</v>
      </c>
      <c r="AD140" s="25">
        <v>0</v>
      </c>
      <c r="AE140" s="25">
        <v>0</v>
      </c>
      <c r="AF140" s="25">
        <v>0</v>
      </c>
    </row>
    <row r="141" spans="1:32" x14ac:dyDescent="0.25">
      <c r="A141" s="25" t="s">
        <v>210</v>
      </c>
      <c r="B141" s="25">
        <v>0</v>
      </c>
      <c r="C141" s="25">
        <v>0</v>
      </c>
      <c r="D141" s="25">
        <v>0</v>
      </c>
      <c r="E141" s="25">
        <v>0</v>
      </c>
      <c r="F141" s="25">
        <v>0</v>
      </c>
      <c r="G141" s="25">
        <v>0</v>
      </c>
      <c r="H141" s="25">
        <v>0</v>
      </c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>
        <v>0</v>
      </c>
      <c r="S141" s="25">
        <v>0</v>
      </c>
      <c r="T141" s="25">
        <v>0</v>
      </c>
      <c r="U141" s="25">
        <v>0</v>
      </c>
      <c r="V141" s="25">
        <v>0</v>
      </c>
      <c r="W141" s="25">
        <v>0</v>
      </c>
      <c r="X141" s="25">
        <v>0</v>
      </c>
      <c r="Y141" s="25">
        <v>0</v>
      </c>
      <c r="Z141" s="25">
        <v>0</v>
      </c>
      <c r="AA141" s="25">
        <v>0</v>
      </c>
      <c r="AB141" s="25">
        <v>0</v>
      </c>
      <c r="AC141" s="25">
        <v>0</v>
      </c>
      <c r="AD141" s="25">
        <v>0</v>
      </c>
      <c r="AE141" s="25">
        <v>0</v>
      </c>
      <c r="AF141" s="25">
        <v>0</v>
      </c>
    </row>
    <row r="142" spans="1:32" x14ac:dyDescent="0.25">
      <c r="A142" s="25" t="s">
        <v>211</v>
      </c>
      <c r="B142" s="25">
        <v>0</v>
      </c>
      <c r="C142" s="25">
        <v>0</v>
      </c>
      <c r="D142" s="25">
        <v>0</v>
      </c>
      <c r="E142" s="25">
        <v>0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  <c r="O142" s="25">
        <v>0</v>
      </c>
      <c r="P142" s="25">
        <v>0</v>
      </c>
      <c r="Q142" s="25">
        <v>0</v>
      </c>
      <c r="R142" s="25">
        <v>0</v>
      </c>
      <c r="S142" s="25">
        <v>0</v>
      </c>
      <c r="T142" s="25">
        <v>0</v>
      </c>
      <c r="U142" s="25">
        <v>0</v>
      </c>
      <c r="V142" s="25">
        <v>0</v>
      </c>
      <c r="W142" s="25">
        <v>0</v>
      </c>
      <c r="X142" s="25">
        <v>0</v>
      </c>
      <c r="Y142" s="25">
        <v>0</v>
      </c>
      <c r="Z142" s="25">
        <v>0</v>
      </c>
      <c r="AA142" s="25">
        <v>0</v>
      </c>
      <c r="AB142" s="25">
        <v>0</v>
      </c>
      <c r="AC142" s="25">
        <v>0</v>
      </c>
      <c r="AD142" s="25">
        <v>0</v>
      </c>
      <c r="AE142" s="25">
        <v>0</v>
      </c>
      <c r="AF142" s="25">
        <v>0</v>
      </c>
    </row>
    <row r="143" spans="1:32" x14ac:dyDescent="0.25">
      <c r="A143" s="25" t="s">
        <v>212</v>
      </c>
      <c r="B143" s="25">
        <v>0</v>
      </c>
      <c r="C143" s="25">
        <v>0</v>
      </c>
      <c r="D143" s="25">
        <v>0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0</v>
      </c>
      <c r="S143" s="25">
        <v>0</v>
      </c>
      <c r="T143" s="25">
        <v>0</v>
      </c>
      <c r="U143" s="25">
        <v>0</v>
      </c>
      <c r="V143" s="25">
        <v>0</v>
      </c>
      <c r="W143" s="25">
        <v>0</v>
      </c>
      <c r="X143" s="25">
        <v>0</v>
      </c>
      <c r="Y143" s="25">
        <v>0</v>
      </c>
      <c r="Z143" s="25">
        <v>0</v>
      </c>
      <c r="AA143" s="25">
        <v>0</v>
      </c>
      <c r="AB143" s="25">
        <v>0</v>
      </c>
      <c r="AC143" s="25">
        <v>0</v>
      </c>
      <c r="AD143" s="25">
        <v>0</v>
      </c>
      <c r="AE143" s="25">
        <v>0</v>
      </c>
      <c r="AF143" s="25">
        <v>0</v>
      </c>
    </row>
    <row r="144" spans="1:32" x14ac:dyDescent="0.25">
      <c r="A144" s="25" t="s">
        <v>213</v>
      </c>
      <c r="B144" s="25">
        <v>0</v>
      </c>
      <c r="C144" s="25">
        <v>0</v>
      </c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0</v>
      </c>
      <c r="W144" s="25">
        <v>0</v>
      </c>
      <c r="X144" s="25">
        <v>0</v>
      </c>
      <c r="Y144" s="25">
        <v>0</v>
      </c>
      <c r="Z144" s="25">
        <v>0</v>
      </c>
      <c r="AA144" s="25">
        <v>0</v>
      </c>
      <c r="AB144" s="25">
        <v>0</v>
      </c>
      <c r="AC144" s="25">
        <v>0</v>
      </c>
      <c r="AD144" s="25">
        <v>0</v>
      </c>
      <c r="AE144" s="25">
        <v>0</v>
      </c>
      <c r="AF144" s="25">
        <v>0</v>
      </c>
    </row>
    <row r="145" spans="1:32" x14ac:dyDescent="0.25">
      <c r="A145" s="25" t="s">
        <v>214</v>
      </c>
      <c r="B145" s="25">
        <v>0</v>
      </c>
      <c r="C145" s="25">
        <v>0</v>
      </c>
      <c r="D145" s="25">
        <v>0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0</v>
      </c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25">
        <v>0</v>
      </c>
      <c r="Z145" s="25">
        <v>0</v>
      </c>
      <c r="AA145" s="25">
        <v>0</v>
      </c>
      <c r="AB145" s="25">
        <v>0</v>
      </c>
      <c r="AC145" s="25">
        <v>0</v>
      </c>
      <c r="AD145" s="25">
        <v>0</v>
      </c>
      <c r="AE145" s="25">
        <v>0</v>
      </c>
      <c r="AF145" s="25">
        <v>0</v>
      </c>
    </row>
    <row r="146" spans="1:32" x14ac:dyDescent="0.25">
      <c r="A146" s="25" t="s">
        <v>215</v>
      </c>
      <c r="B146" s="25">
        <v>0</v>
      </c>
      <c r="C146" s="25">
        <v>0</v>
      </c>
      <c r="D146" s="25">
        <v>0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25">
        <v>0</v>
      </c>
      <c r="AA146" s="25">
        <v>0</v>
      </c>
      <c r="AB146" s="25">
        <v>0</v>
      </c>
      <c r="AC146" s="25">
        <v>0</v>
      </c>
      <c r="AD146" s="25">
        <v>0</v>
      </c>
      <c r="AE146" s="25">
        <v>0</v>
      </c>
      <c r="AF146" s="25">
        <v>0</v>
      </c>
    </row>
    <row r="147" spans="1:32" x14ac:dyDescent="0.25">
      <c r="A147" s="25" t="s">
        <v>216</v>
      </c>
      <c r="B147" s="25">
        <v>0</v>
      </c>
      <c r="C147" s="12">
        <v>902663000000</v>
      </c>
      <c r="D147" s="12">
        <v>770313000000</v>
      </c>
      <c r="E147" s="12">
        <v>808003000000</v>
      </c>
      <c r="F147" s="12">
        <v>873149000000</v>
      </c>
      <c r="G147" s="12">
        <v>908573000000</v>
      </c>
      <c r="H147" s="12">
        <v>924424000000</v>
      </c>
      <c r="I147" s="12">
        <v>943215000000</v>
      </c>
      <c r="J147" s="12">
        <v>962028000000</v>
      </c>
      <c r="K147" s="12">
        <v>976240000000</v>
      </c>
      <c r="L147" s="12">
        <v>1003990000000</v>
      </c>
      <c r="M147" s="12">
        <v>1024910000000</v>
      </c>
      <c r="N147" s="12">
        <v>1042400000000</v>
      </c>
      <c r="O147" s="12">
        <v>1062180000000</v>
      </c>
      <c r="P147" s="12">
        <v>1074720000000</v>
      </c>
      <c r="Q147" s="12">
        <v>1088800000000</v>
      </c>
      <c r="R147" s="12">
        <v>1102200000000</v>
      </c>
      <c r="S147" s="12">
        <v>1079120000000</v>
      </c>
      <c r="T147" s="12">
        <v>1072940000000</v>
      </c>
      <c r="U147" s="12">
        <v>1058140000000</v>
      </c>
      <c r="V147" s="12">
        <v>1051940000000</v>
      </c>
      <c r="W147" s="12">
        <v>1043050000000</v>
      </c>
      <c r="X147" s="12">
        <v>1037800000000</v>
      </c>
      <c r="Y147" s="12">
        <v>1032860000000</v>
      </c>
      <c r="Z147" s="12">
        <v>1041010000000</v>
      </c>
      <c r="AA147" s="12">
        <v>1039060000000</v>
      </c>
      <c r="AB147" s="12">
        <v>1040040000000</v>
      </c>
      <c r="AC147" s="12">
        <v>1031020000000</v>
      </c>
      <c r="AD147" s="12">
        <v>1025990000000</v>
      </c>
      <c r="AE147" s="12">
        <v>1024190000000</v>
      </c>
      <c r="AF147" s="12">
        <v>1017170000000</v>
      </c>
    </row>
    <row r="148" spans="1:32" x14ac:dyDescent="0.25">
      <c r="A148" s="25" t="s">
        <v>217</v>
      </c>
      <c r="B148" s="25">
        <v>0</v>
      </c>
      <c r="C148" s="25">
        <v>0</v>
      </c>
      <c r="D148" s="25">
        <v>0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25">
        <v>0</v>
      </c>
      <c r="AC148" s="25">
        <v>0</v>
      </c>
      <c r="AD148" s="25">
        <v>0</v>
      </c>
      <c r="AE148" s="25">
        <v>0</v>
      </c>
      <c r="AF148" s="25">
        <v>0</v>
      </c>
    </row>
    <row r="149" spans="1:32" x14ac:dyDescent="0.25">
      <c r="A149" s="25" t="s">
        <v>218</v>
      </c>
      <c r="B149" s="25">
        <v>0</v>
      </c>
      <c r="C149" s="25">
        <v>0</v>
      </c>
      <c r="D149" s="25">
        <v>0</v>
      </c>
      <c r="E149" s="25">
        <v>0</v>
      </c>
      <c r="F149" s="25">
        <v>0</v>
      </c>
      <c r="G149" s="25">
        <v>0</v>
      </c>
      <c r="H149" s="25">
        <v>0</v>
      </c>
      <c r="I149" s="25">
        <v>0</v>
      </c>
      <c r="J149" s="25">
        <v>0</v>
      </c>
      <c r="K149" s="25">
        <v>0</v>
      </c>
      <c r="L149" s="25">
        <v>0</v>
      </c>
      <c r="M149" s="25">
        <v>0</v>
      </c>
      <c r="N149" s="25">
        <v>0</v>
      </c>
      <c r="O149" s="25">
        <v>0</v>
      </c>
      <c r="P149" s="25">
        <v>0</v>
      </c>
      <c r="Q149" s="25">
        <v>0</v>
      </c>
      <c r="R149" s="25">
        <v>0</v>
      </c>
      <c r="S149" s="25">
        <v>0</v>
      </c>
      <c r="T149" s="25">
        <v>0</v>
      </c>
      <c r="U149" s="25">
        <v>0</v>
      </c>
      <c r="V149" s="25">
        <v>0</v>
      </c>
      <c r="W149" s="25">
        <v>0</v>
      </c>
      <c r="X149" s="25">
        <v>0</v>
      </c>
      <c r="Y149" s="25">
        <v>0</v>
      </c>
      <c r="Z149" s="25">
        <v>0</v>
      </c>
      <c r="AA149" s="25">
        <v>0</v>
      </c>
      <c r="AB149" s="25">
        <v>0</v>
      </c>
      <c r="AC149" s="25">
        <v>0</v>
      </c>
      <c r="AD149" s="25">
        <v>0</v>
      </c>
      <c r="AE149" s="25">
        <v>0</v>
      </c>
      <c r="AF149" s="25">
        <v>0</v>
      </c>
    </row>
    <row r="150" spans="1:32" x14ac:dyDescent="0.25">
      <c r="A150" s="25" t="s">
        <v>219</v>
      </c>
      <c r="B150" s="12">
        <v>468208000000000</v>
      </c>
      <c r="C150" s="12">
        <v>494855000000000</v>
      </c>
      <c r="D150" s="12">
        <v>527828000000000</v>
      </c>
      <c r="E150" s="12">
        <v>538948000000000</v>
      </c>
      <c r="F150" s="12">
        <v>550614000000000</v>
      </c>
      <c r="G150" s="12">
        <v>560538000000000</v>
      </c>
      <c r="H150" s="12">
        <v>569677000000000</v>
      </c>
      <c r="I150" s="12">
        <v>578179000000000</v>
      </c>
      <c r="J150" s="12">
        <v>586438000000000</v>
      </c>
      <c r="K150" s="12">
        <v>593557000000000</v>
      </c>
      <c r="L150" s="12">
        <v>600671000000000</v>
      </c>
      <c r="M150" s="12">
        <v>607934000000000</v>
      </c>
      <c r="N150" s="12">
        <v>617359000000000</v>
      </c>
      <c r="O150" s="12">
        <v>624337000000000</v>
      </c>
      <c r="P150" s="12">
        <v>632603000000000</v>
      </c>
      <c r="Q150" s="12">
        <v>641192000000000</v>
      </c>
      <c r="R150" s="12">
        <v>649683000000000</v>
      </c>
      <c r="S150" s="12">
        <v>658543000000000</v>
      </c>
      <c r="T150" s="12">
        <v>667466000000000</v>
      </c>
      <c r="U150" s="12">
        <v>676568000000000</v>
      </c>
      <c r="V150" s="12">
        <v>685621000000000</v>
      </c>
      <c r="W150" s="12">
        <v>694501000000000</v>
      </c>
      <c r="X150" s="12">
        <v>703472000000000</v>
      </c>
      <c r="Y150" s="12">
        <v>712504000000000</v>
      </c>
      <c r="Z150" s="12">
        <v>721563000000000</v>
      </c>
      <c r="AA150" s="12">
        <v>730978000000000</v>
      </c>
      <c r="AB150" s="12">
        <v>740299000000000</v>
      </c>
      <c r="AC150" s="12">
        <v>749647000000000</v>
      </c>
      <c r="AD150" s="12">
        <v>759580000000000</v>
      </c>
      <c r="AE150" s="12">
        <v>769523000000000</v>
      </c>
      <c r="AF150" s="12">
        <v>779809000000000</v>
      </c>
    </row>
    <row r="151" spans="1:32" x14ac:dyDescent="0.25">
      <c r="A151" s="25" t="s">
        <v>220</v>
      </c>
      <c r="B151" s="12">
        <v>43390700000000</v>
      </c>
      <c r="C151" s="12">
        <v>42585500000000</v>
      </c>
      <c r="D151" s="12">
        <v>46280700000000</v>
      </c>
      <c r="E151" s="12">
        <v>48511100000000</v>
      </c>
      <c r="F151" s="12">
        <v>50280200000000</v>
      </c>
      <c r="G151" s="12">
        <v>51360900000000</v>
      </c>
      <c r="H151" s="12">
        <v>52513000000000</v>
      </c>
      <c r="I151" s="12">
        <v>53155800000000</v>
      </c>
      <c r="J151" s="12">
        <v>53885200000000</v>
      </c>
      <c r="K151" s="12">
        <v>54494400000000</v>
      </c>
      <c r="L151" s="12">
        <v>55116600000000</v>
      </c>
      <c r="M151" s="12">
        <v>55662100000000</v>
      </c>
      <c r="N151" s="12">
        <v>56273500000000</v>
      </c>
      <c r="O151" s="12">
        <v>56583700000000</v>
      </c>
      <c r="P151" s="12">
        <v>57026000000000</v>
      </c>
      <c r="Q151" s="12">
        <v>57514800000000</v>
      </c>
      <c r="R151" s="12">
        <v>57957600000000</v>
      </c>
      <c r="S151" s="12">
        <v>58400700000000</v>
      </c>
      <c r="T151" s="12">
        <v>58679000000000</v>
      </c>
      <c r="U151" s="12">
        <v>59129300000000</v>
      </c>
      <c r="V151" s="12">
        <v>59516800000000</v>
      </c>
      <c r="W151" s="12">
        <v>59948900000000</v>
      </c>
      <c r="X151" s="12">
        <v>60426600000000</v>
      </c>
      <c r="Y151" s="12">
        <v>61018300000000</v>
      </c>
      <c r="Z151" s="12">
        <v>61325000000000</v>
      </c>
      <c r="AA151" s="12">
        <v>61726500000000</v>
      </c>
      <c r="AB151" s="12">
        <v>61829100000000</v>
      </c>
      <c r="AC151" s="12">
        <v>62030600000000</v>
      </c>
      <c r="AD151" s="12">
        <v>62166200000000</v>
      </c>
      <c r="AE151" s="12">
        <v>62217800000000</v>
      </c>
      <c r="AF151" s="12">
        <v>62375200000000</v>
      </c>
    </row>
    <row r="152" spans="1:32" x14ac:dyDescent="0.25">
      <c r="A152" s="25" t="s">
        <v>221</v>
      </c>
      <c r="B152" s="12">
        <v>54156300000000</v>
      </c>
      <c r="C152" s="12">
        <v>53151300000000</v>
      </c>
      <c r="D152" s="12">
        <v>57763300000000</v>
      </c>
      <c r="E152" s="12">
        <v>60547100000000</v>
      </c>
      <c r="F152" s="12">
        <v>62755100000000</v>
      </c>
      <c r="G152" s="12">
        <v>64103900000000</v>
      </c>
      <c r="H152" s="12">
        <v>65541900000000</v>
      </c>
      <c r="I152" s="12">
        <v>66344200000000</v>
      </c>
      <c r="J152" s="12">
        <v>67254500000000</v>
      </c>
      <c r="K152" s="12">
        <v>68014900000000</v>
      </c>
      <c r="L152" s="12">
        <v>68791500000000</v>
      </c>
      <c r="M152" s="12">
        <v>69472300000000</v>
      </c>
      <c r="N152" s="12">
        <v>70235500000000</v>
      </c>
      <c r="O152" s="12">
        <v>70622600000000</v>
      </c>
      <c r="P152" s="12">
        <v>71174600000000</v>
      </c>
      <c r="Q152" s="12">
        <v>71784700000000</v>
      </c>
      <c r="R152" s="12">
        <v>72337400000000</v>
      </c>
      <c r="S152" s="12">
        <v>72890300000000</v>
      </c>
      <c r="T152" s="12">
        <v>73237800000000</v>
      </c>
      <c r="U152" s="12">
        <v>73799700000000</v>
      </c>
      <c r="V152" s="12">
        <v>74283500000000</v>
      </c>
      <c r="W152" s="12">
        <v>74822800000000</v>
      </c>
      <c r="X152" s="12">
        <v>75418900000000</v>
      </c>
      <c r="Y152" s="12">
        <v>76157400000000</v>
      </c>
      <c r="Z152" s="12">
        <v>76540200000000</v>
      </c>
      <c r="AA152" s="12">
        <v>77041300000000</v>
      </c>
      <c r="AB152" s="12">
        <v>77169400000000</v>
      </c>
      <c r="AC152" s="12">
        <v>77420900000000</v>
      </c>
      <c r="AD152" s="12">
        <v>77590100000000</v>
      </c>
      <c r="AE152" s="12">
        <v>77654600000000</v>
      </c>
      <c r="AF152" s="12">
        <v>77851000000000</v>
      </c>
    </row>
    <row r="153" spans="1:32" x14ac:dyDescent="0.25">
      <c r="A153" s="25" t="s">
        <v>222</v>
      </c>
      <c r="B153" s="12">
        <v>76577600000000</v>
      </c>
      <c r="C153" s="12">
        <v>75156500000000</v>
      </c>
      <c r="D153" s="12">
        <v>81677800000000</v>
      </c>
      <c r="E153" s="12">
        <v>85614200000000</v>
      </c>
      <c r="F153" s="12">
        <v>88736400000000</v>
      </c>
      <c r="G153" s="12">
        <v>90643600000000</v>
      </c>
      <c r="H153" s="12">
        <v>92676900000000</v>
      </c>
      <c r="I153" s="12">
        <v>93811400000000</v>
      </c>
      <c r="J153" s="12">
        <v>95098600000000</v>
      </c>
      <c r="K153" s="12">
        <v>96173800000000</v>
      </c>
      <c r="L153" s="12">
        <v>97271900000000</v>
      </c>
      <c r="M153" s="12">
        <v>98234500000000</v>
      </c>
      <c r="N153" s="12">
        <v>99313600000000</v>
      </c>
      <c r="O153" s="12">
        <v>99861000000000</v>
      </c>
      <c r="P153" s="12">
        <v>100642000000000</v>
      </c>
      <c r="Q153" s="12">
        <v>101504000000000</v>
      </c>
      <c r="R153" s="12">
        <v>102286000000000</v>
      </c>
      <c r="S153" s="12">
        <v>103068000000000</v>
      </c>
      <c r="T153" s="12">
        <v>103559000000000</v>
      </c>
      <c r="U153" s="12">
        <v>104354000000000</v>
      </c>
      <c r="V153" s="12">
        <v>105038000000000</v>
      </c>
      <c r="W153" s="12">
        <v>105800000000000</v>
      </c>
      <c r="X153" s="12">
        <v>106643000000000</v>
      </c>
      <c r="Y153" s="12">
        <v>107687000000000</v>
      </c>
      <c r="Z153" s="12">
        <v>108229000000000</v>
      </c>
      <c r="AA153" s="12">
        <v>108937000000000</v>
      </c>
      <c r="AB153" s="12">
        <v>109118000000000</v>
      </c>
      <c r="AC153" s="12">
        <v>109474000000000</v>
      </c>
      <c r="AD153" s="12">
        <v>109713000000000</v>
      </c>
      <c r="AE153" s="12">
        <v>109804000000000</v>
      </c>
      <c r="AF153" s="12">
        <v>110082000000000</v>
      </c>
    </row>
    <row r="154" spans="1:32" x14ac:dyDescent="0.25">
      <c r="A154" s="25" t="s">
        <v>223</v>
      </c>
      <c r="B154" s="12">
        <v>23148200000000</v>
      </c>
      <c r="C154" s="12">
        <v>34440800000000</v>
      </c>
      <c r="D154" s="12">
        <v>28974000000000</v>
      </c>
      <c r="E154" s="12">
        <v>24925700000000</v>
      </c>
      <c r="F154" s="12">
        <v>22820600000000</v>
      </c>
      <c r="G154" s="12">
        <v>22567600000000</v>
      </c>
      <c r="H154" s="12">
        <v>22151900000000</v>
      </c>
      <c r="I154" s="12">
        <v>22644700000000</v>
      </c>
      <c r="J154" s="12">
        <v>23278800000000</v>
      </c>
      <c r="K154" s="12">
        <v>23677500000000</v>
      </c>
      <c r="L154" s="12">
        <v>24267600000000</v>
      </c>
      <c r="M154" s="12">
        <v>24626200000000</v>
      </c>
      <c r="N154" s="12">
        <v>24822700000000</v>
      </c>
      <c r="O154" s="12">
        <v>24918100000000</v>
      </c>
      <c r="P154" s="12">
        <v>24950600000000</v>
      </c>
      <c r="Q154" s="12">
        <v>25141000000000</v>
      </c>
      <c r="R154" s="12">
        <v>25484300000000</v>
      </c>
      <c r="S154" s="12">
        <v>25426700000000</v>
      </c>
      <c r="T154" s="12">
        <v>25304500000000</v>
      </c>
      <c r="U154" s="12">
        <v>25440600000000</v>
      </c>
      <c r="V154" s="12">
        <v>25161700000000</v>
      </c>
      <c r="W154" s="12">
        <v>25223600000000</v>
      </c>
      <c r="X154" s="12">
        <v>25350500000000</v>
      </c>
      <c r="Y154" s="12">
        <v>25383100000000</v>
      </c>
      <c r="Z154" s="12">
        <v>25367100000000</v>
      </c>
      <c r="AA154" s="12">
        <v>25281200000000</v>
      </c>
      <c r="AB154" s="12">
        <v>25276200000000</v>
      </c>
      <c r="AC154" s="12">
        <v>25352800000000</v>
      </c>
      <c r="AD154" s="12">
        <v>25472100000000</v>
      </c>
      <c r="AE154" s="12">
        <v>25455500000000</v>
      </c>
      <c r="AF154" s="12">
        <v>25650300000000</v>
      </c>
    </row>
    <row r="155" spans="1:32" x14ac:dyDescent="0.25">
      <c r="A155" s="25" t="s">
        <v>224</v>
      </c>
      <c r="B155" s="12">
        <v>3736410000000</v>
      </c>
      <c r="C155" s="12">
        <v>4468250000000</v>
      </c>
      <c r="D155" s="12">
        <v>4090180000000</v>
      </c>
      <c r="E155" s="12">
        <v>4298190000000</v>
      </c>
      <c r="F155" s="12">
        <v>4341800000000</v>
      </c>
      <c r="G155" s="12">
        <v>4417630000000</v>
      </c>
      <c r="H155" s="12">
        <v>4414430000000</v>
      </c>
      <c r="I155" s="12">
        <v>4632880000000</v>
      </c>
      <c r="J155" s="12">
        <v>4882840000000</v>
      </c>
      <c r="K155" s="12">
        <v>5040030000000</v>
      </c>
      <c r="L155" s="12">
        <v>5220190000000</v>
      </c>
      <c r="M155" s="12">
        <v>5377530000000</v>
      </c>
      <c r="N155" s="12">
        <v>5472120000000</v>
      </c>
      <c r="O155" s="12">
        <v>5495040000000</v>
      </c>
      <c r="P155" s="12">
        <v>5490910000000</v>
      </c>
      <c r="Q155" s="12">
        <v>5538190000000</v>
      </c>
      <c r="R155" s="12">
        <v>5614190000000</v>
      </c>
      <c r="S155" s="12">
        <v>5593290000000</v>
      </c>
      <c r="T155" s="12">
        <v>5552010000000</v>
      </c>
      <c r="U155" s="12">
        <v>5581370000000</v>
      </c>
      <c r="V155" s="12">
        <v>5501510000000</v>
      </c>
      <c r="W155" s="12">
        <v>5525470000000</v>
      </c>
      <c r="X155" s="12">
        <v>5572040000000</v>
      </c>
      <c r="Y155" s="12">
        <v>5596940000000</v>
      </c>
      <c r="Z155" s="12">
        <v>5607160000000</v>
      </c>
      <c r="AA155" s="12">
        <v>5581220000000</v>
      </c>
      <c r="AB155" s="12">
        <v>5573440000000</v>
      </c>
      <c r="AC155" s="12">
        <v>5589130000000</v>
      </c>
      <c r="AD155" s="12">
        <v>5606710000000</v>
      </c>
      <c r="AE155" s="12">
        <v>5592230000000</v>
      </c>
      <c r="AF155" s="12">
        <v>5644020000000</v>
      </c>
    </row>
    <row r="156" spans="1:32" x14ac:dyDescent="0.25">
      <c r="A156" s="25" t="s">
        <v>225</v>
      </c>
      <c r="B156" s="12">
        <v>9477800000000</v>
      </c>
      <c r="C156" s="12">
        <v>9241670000000</v>
      </c>
      <c r="D156" s="12">
        <v>10113600000000</v>
      </c>
      <c r="E156" s="12">
        <v>10256300000000</v>
      </c>
      <c r="F156" s="12">
        <v>10562000000000</v>
      </c>
      <c r="G156" s="12">
        <v>11154600000000</v>
      </c>
      <c r="H156" s="12">
        <v>11393400000000</v>
      </c>
      <c r="I156" s="12">
        <v>11247300000000</v>
      </c>
      <c r="J156" s="12">
        <v>10942300000000</v>
      </c>
      <c r="K156" s="12">
        <v>10648600000000</v>
      </c>
      <c r="L156" s="12">
        <v>10399800000000</v>
      </c>
      <c r="M156" s="12">
        <v>10400400000000</v>
      </c>
      <c r="N156" s="12">
        <v>10573400000000</v>
      </c>
      <c r="O156" s="12">
        <v>10565300000000</v>
      </c>
      <c r="P156" s="12">
        <v>10409900000000</v>
      </c>
      <c r="Q156" s="12">
        <v>10579500000000</v>
      </c>
      <c r="R156" s="12">
        <v>10880600000000</v>
      </c>
      <c r="S156" s="12">
        <v>10956800000000</v>
      </c>
      <c r="T156" s="12">
        <v>11056700000000</v>
      </c>
      <c r="U156" s="12">
        <v>11255500000000</v>
      </c>
      <c r="V156" s="12">
        <v>11387400000000</v>
      </c>
      <c r="W156" s="12">
        <v>11738700000000</v>
      </c>
      <c r="X156" s="12">
        <v>11997800000000</v>
      </c>
      <c r="Y156" s="12">
        <v>12265000000000</v>
      </c>
      <c r="Z156" s="12">
        <v>12583800000000</v>
      </c>
      <c r="AA156" s="12">
        <v>12972300000000</v>
      </c>
      <c r="AB156" s="12">
        <v>13406800000000</v>
      </c>
      <c r="AC156" s="12">
        <v>13679000000000</v>
      </c>
      <c r="AD156" s="12">
        <v>13933900000000</v>
      </c>
      <c r="AE156" s="12">
        <v>14147500000000</v>
      </c>
      <c r="AF156" s="12">
        <v>14441300000000</v>
      </c>
    </row>
    <row r="157" spans="1:32" x14ac:dyDescent="0.25">
      <c r="A157" s="25" t="s">
        <v>226</v>
      </c>
      <c r="B157" s="12">
        <v>3056480000000</v>
      </c>
      <c r="C157" s="12">
        <v>3116190000000</v>
      </c>
      <c r="D157" s="12">
        <v>3256970000000</v>
      </c>
      <c r="E157" s="12">
        <v>3271150000000</v>
      </c>
      <c r="F157" s="12">
        <v>3335330000000</v>
      </c>
      <c r="G157" s="12">
        <v>3414350000000</v>
      </c>
      <c r="H157" s="12">
        <v>3451870000000</v>
      </c>
      <c r="I157" s="12">
        <v>3445580000000</v>
      </c>
      <c r="J157" s="12">
        <v>3441860000000</v>
      </c>
      <c r="K157" s="12">
        <v>3409750000000</v>
      </c>
      <c r="L157" s="12">
        <v>3380580000000</v>
      </c>
      <c r="M157" s="12">
        <v>3364960000000</v>
      </c>
      <c r="N157" s="12">
        <v>3342630000000</v>
      </c>
      <c r="O157" s="12">
        <v>3318230000000</v>
      </c>
      <c r="P157" s="12">
        <v>3300990000000</v>
      </c>
      <c r="Q157" s="12">
        <v>3299280000000</v>
      </c>
      <c r="R157" s="12">
        <v>3309790000000</v>
      </c>
      <c r="S157" s="12">
        <v>3295100000000</v>
      </c>
      <c r="T157" s="12">
        <v>3280820000000</v>
      </c>
      <c r="U157" s="12">
        <v>3291370000000</v>
      </c>
      <c r="V157" s="12">
        <v>3255490000000</v>
      </c>
      <c r="W157" s="12">
        <v>3234010000000</v>
      </c>
      <c r="X157" s="12">
        <v>3214400000000</v>
      </c>
      <c r="Y157" s="12">
        <v>3200310000000</v>
      </c>
      <c r="Z157" s="12">
        <v>3182690000000</v>
      </c>
      <c r="AA157" s="12">
        <v>3165170000000</v>
      </c>
      <c r="AB157" s="12">
        <v>3156680000000</v>
      </c>
      <c r="AC157" s="12">
        <v>3152590000000</v>
      </c>
      <c r="AD157" s="12">
        <v>3150580000000</v>
      </c>
      <c r="AE157" s="12">
        <v>3138110000000</v>
      </c>
      <c r="AF157" s="12">
        <v>3128170000000</v>
      </c>
    </row>
    <row r="158" spans="1:32" x14ac:dyDescent="0.25">
      <c r="A158" s="25" t="s">
        <v>227</v>
      </c>
      <c r="B158" s="25">
        <v>0</v>
      </c>
      <c r="C158" s="12">
        <v>216383000000</v>
      </c>
      <c r="D158" s="12">
        <v>299482000000</v>
      </c>
      <c r="E158" s="12">
        <v>415778000000</v>
      </c>
      <c r="F158" s="12">
        <v>543611000000</v>
      </c>
      <c r="G158" s="12">
        <v>679299000000</v>
      </c>
      <c r="H158" s="12">
        <v>811625000000</v>
      </c>
      <c r="I158" s="12">
        <v>911683000000</v>
      </c>
      <c r="J158" s="12">
        <v>927410000000</v>
      </c>
      <c r="K158" s="12">
        <v>1443590000000</v>
      </c>
      <c r="L158" s="12">
        <v>1970590000000</v>
      </c>
      <c r="M158" s="12">
        <v>2539170000000</v>
      </c>
      <c r="N158" s="12">
        <v>3095420000000</v>
      </c>
      <c r="O158" s="12">
        <v>3625550000000</v>
      </c>
      <c r="P158" s="12">
        <v>4135910000000</v>
      </c>
      <c r="Q158" s="12">
        <v>4630990000000</v>
      </c>
      <c r="R158" s="12">
        <v>5133500000000</v>
      </c>
      <c r="S158" s="12">
        <v>5065270000000</v>
      </c>
      <c r="T158" s="12">
        <v>5078480000000</v>
      </c>
      <c r="U158" s="12">
        <v>5091480000000</v>
      </c>
      <c r="V158" s="12">
        <v>5092940000000</v>
      </c>
      <c r="W158" s="12">
        <v>5152090000000</v>
      </c>
      <c r="X158" s="12">
        <v>5149010000000</v>
      </c>
      <c r="Y158" s="12">
        <v>5142910000000</v>
      </c>
      <c r="Z158" s="12">
        <v>5170060000000</v>
      </c>
      <c r="AA158" s="12">
        <v>5179030000000</v>
      </c>
      <c r="AB158" s="12">
        <v>5203060000000</v>
      </c>
      <c r="AC158" s="12">
        <v>5220570000000</v>
      </c>
      <c r="AD158" s="12">
        <v>5215480000000</v>
      </c>
      <c r="AE158" s="12">
        <v>5215380000000</v>
      </c>
      <c r="AF158" s="12">
        <v>5210870000000</v>
      </c>
    </row>
    <row r="159" spans="1:32" x14ac:dyDescent="0.25">
      <c r="A159" s="25" t="s">
        <v>228</v>
      </c>
      <c r="B159" s="12">
        <v>62344200000000</v>
      </c>
      <c r="C159" s="12">
        <v>69537900000000</v>
      </c>
      <c r="D159" s="12">
        <v>69281000000000</v>
      </c>
      <c r="E159" s="12">
        <v>73222100000000</v>
      </c>
      <c r="F159" s="12">
        <v>77597000000000</v>
      </c>
      <c r="G159" s="12">
        <v>81063400000000</v>
      </c>
      <c r="H159" s="12">
        <v>83543600000000</v>
      </c>
      <c r="I159" s="12">
        <v>87667700000000</v>
      </c>
      <c r="J159" s="12">
        <v>93088100000000</v>
      </c>
      <c r="K159" s="12">
        <v>96728800000000</v>
      </c>
      <c r="L159" s="12">
        <v>100795000000000</v>
      </c>
      <c r="M159" s="12">
        <v>104770000000000</v>
      </c>
      <c r="N159" s="12">
        <v>108175000000000</v>
      </c>
      <c r="O159" s="12">
        <v>110546000000000</v>
      </c>
      <c r="P159" s="12">
        <v>113731000000000</v>
      </c>
      <c r="Q159" s="12">
        <v>117257000000000</v>
      </c>
      <c r="R159" s="12">
        <v>120515000000000</v>
      </c>
      <c r="S159" s="12">
        <v>122870000000000</v>
      </c>
      <c r="T159" s="12">
        <v>124944000000000</v>
      </c>
      <c r="U159" s="12">
        <v>127682000000000</v>
      </c>
      <c r="V159" s="12">
        <v>128280000000000</v>
      </c>
      <c r="W159" s="12">
        <v>130246000000000</v>
      </c>
      <c r="X159" s="12">
        <v>132559000000000</v>
      </c>
      <c r="Y159" s="12">
        <v>135941000000000</v>
      </c>
      <c r="Z159" s="12">
        <v>138771000000000</v>
      </c>
      <c r="AA159" s="12">
        <v>141951000000000</v>
      </c>
      <c r="AB159" s="12">
        <v>144106000000000</v>
      </c>
      <c r="AC159" s="12">
        <v>146416000000000</v>
      </c>
      <c r="AD159" s="12">
        <v>148544000000000</v>
      </c>
      <c r="AE159" s="12">
        <v>151445000000000</v>
      </c>
      <c r="AF159" s="12">
        <v>155186000000000</v>
      </c>
    </row>
    <row r="160" spans="1:32" x14ac:dyDescent="0.25">
      <c r="A160" s="25" t="s">
        <v>229</v>
      </c>
      <c r="B160" s="12">
        <v>2824030000000</v>
      </c>
      <c r="C160" s="12">
        <v>5410500000000</v>
      </c>
      <c r="D160" s="12">
        <v>4195000000000</v>
      </c>
      <c r="E160" s="12">
        <v>2844330000000</v>
      </c>
      <c r="F160" s="12">
        <v>2215570000000</v>
      </c>
      <c r="G160" s="12">
        <v>2058710000000</v>
      </c>
      <c r="H160" s="12">
        <v>1918510000000</v>
      </c>
      <c r="I160" s="12">
        <v>1932630000000</v>
      </c>
      <c r="J160" s="12">
        <v>1957040000000</v>
      </c>
      <c r="K160" s="12">
        <v>1987210000000</v>
      </c>
      <c r="L160" s="12">
        <v>2001370000000</v>
      </c>
      <c r="M160" s="12">
        <v>2024060000000</v>
      </c>
      <c r="N160" s="12">
        <v>2033850000000</v>
      </c>
      <c r="O160" s="12">
        <v>2058300000000</v>
      </c>
      <c r="P160" s="12">
        <v>2069340000000</v>
      </c>
      <c r="Q160" s="12">
        <v>2099170000000</v>
      </c>
      <c r="R160" s="12">
        <v>2136380000000</v>
      </c>
      <c r="S160" s="12">
        <v>2138990000000</v>
      </c>
      <c r="T160" s="12">
        <v>2137970000000</v>
      </c>
      <c r="U160" s="12">
        <v>2168740000000</v>
      </c>
      <c r="V160" s="12">
        <v>2156570000000</v>
      </c>
      <c r="W160" s="12">
        <v>2179920000000</v>
      </c>
      <c r="X160" s="12">
        <v>2207710000000</v>
      </c>
      <c r="Y160" s="12">
        <v>2224450000000</v>
      </c>
      <c r="Z160" s="12">
        <v>2238380000000</v>
      </c>
      <c r="AA160" s="12">
        <v>2240750000000</v>
      </c>
      <c r="AB160" s="12">
        <v>2253900000000</v>
      </c>
      <c r="AC160" s="12">
        <v>2277950000000</v>
      </c>
      <c r="AD160" s="12">
        <v>2293430000000</v>
      </c>
      <c r="AE160" s="12">
        <v>2296560000000</v>
      </c>
      <c r="AF160" s="12">
        <v>2324580000000</v>
      </c>
    </row>
    <row r="161" spans="1:32" x14ac:dyDescent="0.25">
      <c r="A161" s="25" t="s">
        <v>230</v>
      </c>
      <c r="B161" s="25">
        <v>0</v>
      </c>
      <c r="C161" s="25">
        <v>0</v>
      </c>
      <c r="D161" s="25">
        <v>0</v>
      </c>
      <c r="E161" s="25">
        <v>0</v>
      </c>
      <c r="F161" s="25">
        <v>0</v>
      </c>
      <c r="G161" s="25">
        <v>0</v>
      </c>
      <c r="H161" s="25">
        <v>0</v>
      </c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>
        <v>0</v>
      </c>
      <c r="S161" s="25">
        <v>0</v>
      </c>
      <c r="T161" s="25">
        <v>0</v>
      </c>
      <c r="U161" s="25">
        <v>0</v>
      </c>
      <c r="V161" s="25">
        <v>0</v>
      </c>
      <c r="W161" s="25">
        <v>0</v>
      </c>
      <c r="X161" s="25">
        <v>0</v>
      </c>
      <c r="Y161" s="25">
        <v>0</v>
      </c>
      <c r="Z161" s="25">
        <v>0</v>
      </c>
      <c r="AA161" s="25">
        <v>0</v>
      </c>
      <c r="AB161" s="25">
        <v>0</v>
      </c>
      <c r="AC161" s="25">
        <v>0</v>
      </c>
      <c r="AD161" s="25">
        <v>0</v>
      </c>
      <c r="AE161" s="25">
        <v>0</v>
      </c>
      <c r="AF161" s="25">
        <v>0</v>
      </c>
    </row>
    <row r="162" spans="1:32" x14ac:dyDescent="0.25">
      <c r="A162" s="25" t="s">
        <v>231</v>
      </c>
      <c r="B162" s="12">
        <v>7710600000000</v>
      </c>
      <c r="C162" s="12">
        <v>7389490000000</v>
      </c>
      <c r="D162" s="12">
        <v>7200800000000</v>
      </c>
      <c r="E162" s="12">
        <v>8309780000000</v>
      </c>
      <c r="F162" s="12">
        <v>9334100000000</v>
      </c>
      <c r="G162" s="12">
        <v>9835280000000</v>
      </c>
      <c r="H162" s="12">
        <v>10254300000000</v>
      </c>
      <c r="I162" s="12">
        <v>10622900000000</v>
      </c>
      <c r="J162" s="12">
        <v>11042000000000</v>
      </c>
      <c r="K162" s="12">
        <v>11567200000000</v>
      </c>
      <c r="L162" s="12">
        <v>12125800000000</v>
      </c>
      <c r="M162" s="12">
        <v>12724300000000</v>
      </c>
      <c r="N162" s="12">
        <v>13271200000000</v>
      </c>
      <c r="O162" s="12">
        <v>13597500000000</v>
      </c>
      <c r="P162" s="12">
        <v>13635100000000</v>
      </c>
      <c r="Q162" s="12">
        <v>14342100000000</v>
      </c>
      <c r="R162" s="12">
        <v>14976600000000</v>
      </c>
      <c r="S162" s="12">
        <v>15066000000000</v>
      </c>
      <c r="T162" s="12">
        <v>15162100000000</v>
      </c>
      <c r="U162" s="12">
        <v>15224700000000</v>
      </c>
      <c r="V162" s="12">
        <v>15347000000000</v>
      </c>
      <c r="W162" s="12">
        <v>15494400000000</v>
      </c>
      <c r="X162" s="12">
        <v>15596000000000</v>
      </c>
      <c r="Y162" s="12">
        <v>15699300000000</v>
      </c>
      <c r="Z162" s="12">
        <v>15807200000000</v>
      </c>
      <c r="AA162" s="12">
        <v>15911500000000</v>
      </c>
      <c r="AB162" s="12">
        <v>16045400000000</v>
      </c>
      <c r="AC162" s="12">
        <v>16156300000000</v>
      </c>
      <c r="AD162" s="12">
        <v>16283300000000</v>
      </c>
      <c r="AE162" s="12">
        <v>16419800000000</v>
      </c>
      <c r="AF162" s="12">
        <v>16566900000000</v>
      </c>
    </row>
    <row r="163" spans="1:32" x14ac:dyDescent="0.25">
      <c r="A163" s="25" t="s">
        <v>232</v>
      </c>
      <c r="B163" s="12">
        <v>3910580000000</v>
      </c>
      <c r="C163" s="12">
        <v>3184090000000</v>
      </c>
      <c r="D163" s="12">
        <v>3376130000000</v>
      </c>
      <c r="E163" s="12">
        <v>3376280000000</v>
      </c>
      <c r="F163" s="12">
        <v>3461490000000</v>
      </c>
      <c r="G163" s="12">
        <v>3621920000000</v>
      </c>
      <c r="H163" s="12">
        <v>3661300000000</v>
      </c>
      <c r="I163" s="12">
        <v>3590230000000</v>
      </c>
      <c r="J163" s="12">
        <v>3500160000000</v>
      </c>
      <c r="K163" s="12">
        <v>3392380000000</v>
      </c>
      <c r="L163" s="12">
        <v>3295920000000</v>
      </c>
      <c r="M163" s="12">
        <v>3281800000000</v>
      </c>
      <c r="N163" s="12">
        <v>3282270000000</v>
      </c>
      <c r="O163" s="12">
        <v>3261130000000</v>
      </c>
      <c r="P163" s="12">
        <v>3236220000000</v>
      </c>
      <c r="Q163" s="12">
        <v>3235850000000</v>
      </c>
      <c r="R163" s="12">
        <v>3237790000000</v>
      </c>
      <c r="S163" s="12">
        <v>3215210000000</v>
      </c>
      <c r="T163" s="12">
        <v>3204140000000</v>
      </c>
      <c r="U163" s="12">
        <v>3221530000000</v>
      </c>
      <c r="V163" s="12">
        <v>3167220000000</v>
      </c>
      <c r="W163" s="12">
        <v>3145650000000</v>
      </c>
      <c r="X163" s="12">
        <v>3151300000000</v>
      </c>
      <c r="Y163" s="12">
        <v>3183740000000</v>
      </c>
      <c r="Z163" s="12">
        <v>3185720000000</v>
      </c>
      <c r="AA163" s="12">
        <v>3174990000000</v>
      </c>
      <c r="AB163" s="12">
        <v>3155290000000</v>
      </c>
      <c r="AC163" s="12">
        <v>3120080000000</v>
      </c>
      <c r="AD163" s="12">
        <v>3098920000000</v>
      </c>
      <c r="AE163" s="12">
        <v>3078190000000</v>
      </c>
      <c r="AF163" s="12">
        <v>3093250000000</v>
      </c>
    </row>
    <row r="164" spans="1:32" x14ac:dyDescent="0.25">
      <c r="A164" s="25" t="s">
        <v>233</v>
      </c>
      <c r="B164" s="12">
        <v>7122640000000</v>
      </c>
      <c r="C164" s="12">
        <v>7947750000000</v>
      </c>
      <c r="D164" s="12">
        <v>7386070000000</v>
      </c>
      <c r="E164" s="12">
        <v>8668930000000</v>
      </c>
      <c r="F164" s="12">
        <v>9947950000000</v>
      </c>
      <c r="G164" s="12">
        <v>10739900000000</v>
      </c>
      <c r="H164" s="12">
        <v>11468400000000</v>
      </c>
      <c r="I164" s="12">
        <v>12322800000000</v>
      </c>
      <c r="J164" s="12">
        <v>13206200000000</v>
      </c>
      <c r="K164" s="12">
        <v>13713600000000</v>
      </c>
      <c r="L164" s="12">
        <v>14271500000000</v>
      </c>
      <c r="M164" s="12">
        <v>14856900000000</v>
      </c>
      <c r="N164" s="12">
        <v>15361000000000</v>
      </c>
      <c r="O164" s="12">
        <v>15471800000000</v>
      </c>
      <c r="P164" s="12">
        <v>15586200000000</v>
      </c>
      <c r="Q164" s="12">
        <v>15775300000000</v>
      </c>
      <c r="R164" s="12">
        <v>15956800000000</v>
      </c>
      <c r="S164" s="12">
        <v>16058500000000</v>
      </c>
      <c r="T164" s="12">
        <v>16159400000000</v>
      </c>
      <c r="U164" s="12">
        <v>16329300000000</v>
      </c>
      <c r="V164" s="12">
        <v>16346400000000</v>
      </c>
      <c r="W164" s="12">
        <v>16465900000000</v>
      </c>
      <c r="X164" s="12">
        <v>16610800000000</v>
      </c>
      <c r="Y164" s="12">
        <v>16758900000000</v>
      </c>
      <c r="Z164" s="12">
        <v>16851800000000</v>
      </c>
      <c r="AA164" s="12">
        <v>16913700000000</v>
      </c>
      <c r="AB164" s="12">
        <v>16946600000000</v>
      </c>
      <c r="AC164" s="12">
        <v>16991700000000</v>
      </c>
      <c r="AD164" s="12">
        <v>17021100000000</v>
      </c>
      <c r="AE164" s="12">
        <v>17035600000000</v>
      </c>
      <c r="AF164" s="12">
        <v>17157700000000</v>
      </c>
    </row>
    <row r="165" spans="1:32" x14ac:dyDescent="0.25">
      <c r="A165" s="25" t="s">
        <v>234</v>
      </c>
      <c r="B165" s="12">
        <v>1962280000000</v>
      </c>
      <c r="C165" s="12">
        <v>2197180000000</v>
      </c>
      <c r="D165" s="12">
        <v>2222670000000</v>
      </c>
      <c r="E165" s="12">
        <v>2118800000000</v>
      </c>
      <c r="F165" s="12">
        <v>2093850000000</v>
      </c>
      <c r="G165" s="12">
        <v>2145100000000</v>
      </c>
      <c r="H165" s="12">
        <v>2153100000000</v>
      </c>
      <c r="I165" s="12">
        <v>2137850000000</v>
      </c>
      <c r="J165" s="12">
        <v>2118980000000</v>
      </c>
      <c r="K165" s="12">
        <v>2099220000000</v>
      </c>
      <c r="L165" s="12">
        <v>2072770000000</v>
      </c>
      <c r="M165" s="12">
        <v>2073700000000</v>
      </c>
      <c r="N165" s="12">
        <v>2072920000000</v>
      </c>
      <c r="O165" s="12">
        <v>2071540000000</v>
      </c>
      <c r="P165" s="12">
        <v>2076110000000</v>
      </c>
      <c r="Q165" s="12">
        <v>2094770000000</v>
      </c>
      <c r="R165" s="12">
        <v>2119910000000</v>
      </c>
      <c r="S165" s="12">
        <v>2122470000000</v>
      </c>
      <c r="T165" s="12">
        <v>2119410000000</v>
      </c>
      <c r="U165" s="12">
        <v>2137040000000</v>
      </c>
      <c r="V165" s="12">
        <v>2134760000000</v>
      </c>
      <c r="W165" s="12">
        <v>2154030000000</v>
      </c>
      <c r="X165" s="12">
        <v>2174360000000</v>
      </c>
      <c r="Y165" s="12">
        <v>2194640000000</v>
      </c>
      <c r="Z165" s="12">
        <v>2203200000000</v>
      </c>
      <c r="AA165" s="12">
        <v>2216040000000</v>
      </c>
      <c r="AB165" s="12">
        <v>2235180000000</v>
      </c>
      <c r="AC165" s="12">
        <v>2240770000000</v>
      </c>
      <c r="AD165" s="12">
        <v>2262510000000</v>
      </c>
      <c r="AE165" s="12">
        <v>2280580000000</v>
      </c>
      <c r="AF165" s="12">
        <v>2305800000000</v>
      </c>
    </row>
    <row r="166" spans="1:32" x14ac:dyDescent="0.25">
      <c r="A166" s="25" t="s">
        <v>235</v>
      </c>
      <c r="B166" s="12">
        <v>585351000000</v>
      </c>
      <c r="C166" s="12">
        <v>1108610000000</v>
      </c>
      <c r="D166" s="12">
        <v>849515000000</v>
      </c>
      <c r="E166" s="12">
        <v>575524000000</v>
      </c>
      <c r="F166" s="12">
        <v>439726000000</v>
      </c>
      <c r="G166" s="12">
        <v>405973000000</v>
      </c>
      <c r="H166" s="12">
        <v>373128000000</v>
      </c>
      <c r="I166" s="12">
        <v>371224000000</v>
      </c>
      <c r="J166" s="12">
        <v>373526000000</v>
      </c>
      <c r="K166" s="12">
        <v>376950000000</v>
      </c>
      <c r="L166" s="12">
        <v>380193000000</v>
      </c>
      <c r="M166" s="12">
        <v>384563000000</v>
      </c>
      <c r="N166" s="12">
        <v>384242000000</v>
      </c>
      <c r="O166" s="12">
        <v>387497000000</v>
      </c>
      <c r="P166" s="12">
        <v>388016000000</v>
      </c>
      <c r="Q166" s="12">
        <v>391603000000</v>
      </c>
      <c r="R166" s="12">
        <v>397033000000</v>
      </c>
      <c r="S166" s="12">
        <v>395720000000</v>
      </c>
      <c r="T166" s="12">
        <v>392327000000</v>
      </c>
      <c r="U166" s="12">
        <v>394402000000</v>
      </c>
      <c r="V166" s="12">
        <v>388522000000</v>
      </c>
      <c r="W166" s="12">
        <v>389748000000</v>
      </c>
      <c r="X166" s="12">
        <v>392071000000</v>
      </c>
      <c r="Y166" s="12">
        <v>392588000000</v>
      </c>
      <c r="Z166" s="12">
        <v>392219000000</v>
      </c>
      <c r="AA166" s="12">
        <v>391281000000</v>
      </c>
      <c r="AB166" s="12">
        <v>391999000000</v>
      </c>
      <c r="AC166" s="12">
        <v>394079000000</v>
      </c>
      <c r="AD166" s="12">
        <v>396616000000</v>
      </c>
      <c r="AE166" s="12">
        <v>396797000000</v>
      </c>
      <c r="AF166" s="12">
        <v>401218000000</v>
      </c>
    </row>
    <row r="167" spans="1:32" x14ac:dyDescent="0.25">
      <c r="A167" s="25" t="s">
        <v>236</v>
      </c>
      <c r="B167" s="12">
        <v>4635450000000</v>
      </c>
      <c r="C167" s="12">
        <v>4751940000000</v>
      </c>
      <c r="D167" s="12">
        <v>4490620000000</v>
      </c>
      <c r="E167" s="12">
        <v>5847640000000</v>
      </c>
      <c r="F167" s="12">
        <v>7322590000000</v>
      </c>
      <c r="G167" s="12">
        <v>8261730000000</v>
      </c>
      <c r="H167" s="12">
        <v>9159610000000</v>
      </c>
      <c r="I167" s="12">
        <v>9997160000000</v>
      </c>
      <c r="J167" s="12">
        <v>10795300000000</v>
      </c>
      <c r="K167" s="12">
        <v>11262200000000</v>
      </c>
      <c r="L167" s="12">
        <v>11761800000000</v>
      </c>
      <c r="M167" s="12">
        <v>12291900000000</v>
      </c>
      <c r="N167" s="12">
        <v>12829500000000</v>
      </c>
      <c r="O167" s="12">
        <v>12967000000000</v>
      </c>
      <c r="P167" s="12">
        <v>13126600000000</v>
      </c>
      <c r="Q167" s="12">
        <v>13376200000000</v>
      </c>
      <c r="R167" s="12">
        <v>13655000000000</v>
      </c>
      <c r="S167" s="12">
        <v>13889500000000</v>
      </c>
      <c r="T167" s="12">
        <v>14133700000000</v>
      </c>
      <c r="U167" s="12">
        <v>14397600000000</v>
      </c>
      <c r="V167" s="12">
        <v>14686700000000</v>
      </c>
      <c r="W167" s="12">
        <v>14997000000000</v>
      </c>
      <c r="X167" s="12">
        <v>15298700000000</v>
      </c>
      <c r="Y167" s="12">
        <v>15596700000000</v>
      </c>
      <c r="Z167" s="12">
        <v>15837500000000</v>
      </c>
      <c r="AA167" s="12">
        <v>16080500000000</v>
      </c>
      <c r="AB167" s="12">
        <v>16384100000000</v>
      </c>
      <c r="AC167" s="12">
        <v>16566700000000</v>
      </c>
      <c r="AD167" s="12">
        <v>16838200000000</v>
      </c>
      <c r="AE167" s="12">
        <v>17169400000000</v>
      </c>
      <c r="AF167" s="12">
        <v>17533200000000</v>
      </c>
    </row>
    <row r="168" spans="1:32" x14ac:dyDescent="0.25">
      <c r="A168" s="25" t="s">
        <v>237</v>
      </c>
      <c r="B168" s="12">
        <v>2804580000000</v>
      </c>
      <c r="C168" s="12">
        <v>3359650000000</v>
      </c>
      <c r="D168" s="12">
        <v>3269930000000</v>
      </c>
      <c r="E168" s="12">
        <v>3016640000000</v>
      </c>
      <c r="F168" s="12">
        <v>2927830000000</v>
      </c>
      <c r="G168" s="12">
        <v>2964180000000</v>
      </c>
      <c r="H168" s="12">
        <v>2949070000000</v>
      </c>
      <c r="I168" s="12">
        <v>2964160000000</v>
      </c>
      <c r="J168" s="12">
        <v>2983950000000</v>
      </c>
      <c r="K168" s="12">
        <v>3014070000000</v>
      </c>
      <c r="L168" s="12">
        <v>3033280000000</v>
      </c>
      <c r="M168" s="12">
        <v>3056890000000</v>
      </c>
      <c r="N168" s="12">
        <v>3075600000000</v>
      </c>
      <c r="O168" s="12">
        <v>3090660000000</v>
      </c>
      <c r="P168" s="12">
        <v>3112960000000</v>
      </c>
      <c r="Q168" s="12">
        <v>3160280000000</v>
      </c>
      <c r="R168" s="12">
        <v>3201980000000</v>
      </c>
      <c r="S168" s="12">
        <v>3221630000000</v>
      </c>
      <c r="T168" s="12">
        <v>3241620000000</v>
      </c>
      <c r="U168" s="12">
        <v>3270720000000</v>
      </c>
      <c r="V168" s="12">
        <v>3291120000000</v>
      </c>
      <c r="W168" s="12">
        <v>3328610000000</v>
      </c>
      <c r="X168" s="12">
        <v>3364810000000</v>
      </c>
      <c r="Y168" s="12">
        <v>3400880000000</v>
      </c>
      <c r="Z168" s="12">
        <v>3420930000000</v>
      </c>
      <c r="AA168" s="12">
        <v>3449020000000</v>
      </c>
      <c r="AB168" s="12">
        <v>3486830000000</v>
      </c>
      <c r="AC168" s="12">
        <v>3496770000000</v>
      </c>
      <c r="AD168" s="12">
        <v>3538510000000</v>
      </c>
      <c r="AE168" s="12">
        <v>3581460000000</v>
      </c>
      <c r="AF168" s="12">
        <v>3621450000000</v>
      </c>
    </row>
    <row r="169" spans="1:32" x14ac:dyDescent="0.25">
      <c r="A169" s="25" t="s">
        <v>238</v>
      </c>
      <c r="B169" s="12">
        <v>1469370000000</v>
      </c>
      <c r="C169" s="12">
        <v>1977990000000</v>
      </c>
      <c r="D169" s="12">
        <v>1767920000000</v>
      </c>
      <c r="E169" s="12">
        <v>1503060000000</v>
      </c>
      <c r="F169" s="12">
        <v>1375830000000</v>
      </c>
      <c r="G169" s="12">
        <v>1376410000000</v>
      </c>
      <c r="H169" s="12">
        <v>1371580000000</v>
      </c>
      <c r="I169" s="12">
        <v>1374700000000</v>
      </c>
      <c r="J169" s="12">
        <v>1371380000000</v>
      </c>
      <c r="K169" s="12">
        <v>1347770000000</v>
      </c>
      <c r="L169" s="12">
        <v>1318430000000</v>
      </c>
      <c r="M169" s="12">
        <v>1309190000000</v>
      </c>
      <c r="N169" s="12">
        <v>1301450000000</v>
      </c>
      <c r="O169" s="12">
        <v>1300610000000</v>
      </c>
      <c r="P169" s="12">
        <v>1301040000000</v>
      </c>
      <c r="Q169" s="12">
        <v>1308510000000</v>
      </c>
      <c r="R169" s="12">
        <v>1319680000000</v>
      </c>
      <c r="S169" s="12">
        <v>1312830000000</v>
      </c>
      <c r="T169" s="12">
        <v>1300860000000</v>
      </c>
      <c r="U169" s="12">
        <v>1309740000000</v>
      </c>
      <c r="V169" s="12">
        <v>1291130000000</v>
      </c>
      <c r="W169" s="12">
        <v>1289540000000</v>
      </c>
      <c r="X169" s="12">
        <v>1290610000000</v>
      </c>
      <c r="Y169" s="12">
        <v>1286080000000</v>
      </c>
      <c r="Z169" s="12">
        <v>1281840000000</v>
      </c>
      <c r="AA169" s="12">
        <v>1267880000000</v>
      </c>
      <c r="AB169" s="12">
        <v>1261350000000</v>
      </c>
      <c r="AC169" s="12">
        <v>1256330000000</v>
      </c>
      <c r="AD169" s="12">
        <v>1247540000000</v>
      </c>
      <c r="AE169" s="12">
        <v>1233540000000</v>
      </c>
      <c r="AF169" s="12">
        <v>1225180000000</v>
      </c>
    </row>
    <row r="170" spans="1:32" x14ac:dyDescent="0.25">
      <c r="A170" s="25" t="s">
        <v>239</v>
      </c>
      <c r="B170" s="12">
        <v>831826000000</v>
      </c>
      <c r="C170" s="12">
        <v>1119760000000</v>
      </c>
      <c r="D170" s="12">
        <v>1000830000000</v>
      </c>
      <c r="E170" s="12">
        <v>850894000000</v>
      </c>
      <c r="F170" s="12">
        <v>778869000000</v>
      </c>
      <c r="G170" s="12">
        <v>779196000000</v>
      </c>
      <c r="H170" s="12">
        <v>776461000000</v>
      </c>
      <c r="I170" s="12">
        <v>778228000000</v>
      </c>
      <c r="J170" s="12">
        <v>776353000000</v>
      </c>
      <c r="K170" s="12">
        <v>762984000000</v>
      </c>
      <c r="L170" s="12">
        <v>746377000000</v>
      </c>
      <c r="M170" s="12">
        <v>741146000000</v>
      </c>
      <c r="N170" s="12">
        <v>736761000000</v>
      </c>
      <c r="O170" s="12">
        <v>736290000000</v>
      </c>
      <c r="P170" s="12">
        <v>736530000000</v>
      </c>
      <c r="Q170" s="12">
        <v>740759000000</v>
      </c>
      <c r="R170" s="12">
        <v>747083000000</v>
      </c>
      <c r="S170" s="12">
        <v>743205000000</v>
      </c>
      <c r="T170" s="12">
        <v>736430000000</v>
      </c>
      <c r="U170" s="12">
        <v>741458000000</v>
      </c>
      <c r="V170" s="12">
        <v>730921000000</v>
      </c>
      <c r="W170" s="12">
        <v>730020000000</v>
      </c>
      <c r="X170" s="12">
        <v>730624000000</v>
      </c>
      <c r="Y170" s="12">
        <v>728064000000</v>
      </c>
      <c r="Z170" s="12">
        <v>725661000000</v>
      </c>
      <c r="AA170" s="12">
        <v>717759000000</v>
      </c>
      <c r="AB170" s="12">
        <v>714062000000</v>
      </c>
      <c r="AC170" s="12">
        <v>711218000000</v>
      </c>
      <c r="AD170" s="12">
        <v>706243000000</v>
      </c>
      <c r="AE170" s="12">
        <v>698316000000</v>
      </c>
      <c r="AF170" s="12">
        <v>693586000000</v>
      </c>
    </row>
    <row r="171" spans="1:32" x14ac:dyDescent="0.25">
      <c r="A171" s="25" t="s">
        <v>240</v>
      </c>
      <c r="B171" s="12">
        <v>11669300000000</v>
      </c>
      <c r="C171" s="12">
        <v>13954900000000</v>
      </c>
      <c r="D171" s="12">
        <v>12774100000000</v>
      </c>
      <c r="E171" s="12">
        <v>13423800000000</v>
      </c>
      <c r="F171" s="12">
        <v>13559900000000</v>
      </c>
      <c r="G171" s="12">
        <v>13796800000000</v>
      </c>
      <c r="H171" s="12">
        <v>13786800000000</v>
      </c>
      <c r="I171" s="12">
        <v>14469000000000</v>
      </c>
      <c r="J171" s="12">
        <v>15249700000000</v>
      </c>
      <c r="K171" s="12">
        <v>15740600000000</v>
      </c>
      <c r="L171" s="12">
        <v>16303300000000</v>
      </c>
      <c r="M171" s="12">
        <v>16794700000000</v>
      </c>
      <c r="N171" s="12">
        <v>17090100000000</v>
      </c>
      <c r="O171" s="12">
        <v>17161700000000</v>
      </c>
      <c r="P171" s="12">
        <v>17148800000000</v>
      </c>
      <c r="Q171" s="12">
        <v>17296400000000</v>
      </c>
      <c r="R171" s="12">
        <v>17533800000000</v>
      </c>
      <c r="S171" s="12">
        <v>17468500000000</v>
      </c>
      <c r="T171" s="12">
        <v>17339600000000</v>
      </c>
      <c r="U171" s="12">
        <v>17431300000000</v>
      </c>
      <c r="V171" s="12">
        <v>17181900000000</v>
      </c>
      <c r="W171" s="12">
        <v>17256700000000</v>
      </c>
      <c r="X171" s="12">
        <v>17402100000000</v>
      </c>
      <c r="Y171" s="12">
        <v>17479900000000</v>
      </c>
      <c r="Z171" s="12">
        <v>17511800000000</v>
      </c>
      <c r="AA171" s="12">
        <v>17430800000000</v>
      </c>
      <c r="AB171" s="12">
        <v>17406500000000</v>
      </c>
      <c r="AC171" s="12">
        <v>17455500000000</v>
      </c>
      <c r="AD171" s="12">
        <v>17510400000000</v>
      </c>
      <c r="AE171" s="12">
        <v>17465200000000</v>
      </c>
      <c r="AF171" s="12">
        <v>17626900000000</v>
      </c>
    </row>
    <row r="172" spans="1:32" x14ac:dyDescent="0.25">
      <c r="A172" s="25" t="s">
        <v>241</v>
      </c>
      <c r="B172" s="25">
        <v>0</v>
      </c>
      <c r="C172" s="12">
        <v>2332940000000</v>
      </c>
      <c r="D172" s="12">
        <v>2119100000000</v>
      </c>
      <c r="E172" s="12">
        <v>2245870000000</v>
      </c>
      <c r="F172" s="12">
        <v>2467250000000</v>
      </c>
      <c r="G172" s="12">
        <v>2608900000000</v>
      </c>
      <c r="H172" s="12">
        <v>2680150000000</v>
      </c>
      <c r="I172" s="12">
        <v>2749530000000</v>
      </c>
      <c r="J172" s="12">
        <v>2817090000000</v>
      </c>
      <c r="K172" s="12">
        <v>2873930000000</v>
      </c>
      <c r="L172" s="12">
        <v>2951700000000</v>
      </c>
      <c r="M172" s="12">
        <v>3036940000000</v>
      </c>
      <c r="N172" s="12">
        <v>3112550000000</v>
      </c>
      <c r="O172" s="12">
        <v>3185440000000</v>
      </c>
      <c r="P172" s="12">
        <v>3241570000000</v>
      </c>
      <c r="Q172" s="12">
        <v>3315930000000</v>
      </c>
      <c r="R172" s="12">
        <v>3369790000000</v>
      </c>
      <c r="S172" s="12">
        <v>3316290000000</v>
      </c>
      <c r="T172" s="12">
        <v>3316700000000</v>
      </c>
      <c r="U172" s="12">
        <v>3288500000000</v>
      </c>
      <c r="V172" s="12">
        <v>3280720000000</v>
      </c>
      <c r="W172" s="12">
        <v>3274230000000</v>
      </c>
      <c r="X172" s="12">
        <v>3269820000000</v>
      </c>
      <c r="Y172" s="12">
        <v>3269750000000</v>
      </c>
      <c r="Z172" s="12">
        <v>3284170000000</v>
      </c>
      <c r="AA172" s="12">
        <v>3295960000000</v>
      </c>
      <c r="AB172" s="12">
        <v>3320030000000</v>
      </c>
      <c r="AC172" s="12">
        <v>3307190000000</v>
      </c>
      <c r="AD172" s="12">
        <v>3309420000000</v>
      </c>
      <c r="AE172" s="12">
        <v>3324080000000</v>
      </c>
      <c r="AF172" s="12">
        <v>3323920000000</v>
      </c>
    </row>
    <row r="173" spans="1:32" x14ac:dyDescent="0.25">
      <c r="A173" s="25" t="s">
        <v>242</v>
      </c>
      <c r="B173" s="25">
        <v>0</v>
      </c>
      <c r="C173" s="25">
        <v>0</v>
      </c>
      <c r="D173" s="25">
        <v>0</v>
      </c>
      <c r="E173" s="25">
        <v>0</v>
      </c>
      <c r="F173" s="25">
        <v>0</v>
      </c>
      <c r="G173" s="25">
        <v>0</v>
      </c>
      <c r="H173" s="25">
        <v>0</v>
      </c>
      <c r="I173" s="25">
        <v>0</v>
      </c>
      <c r="J173" s="25">
        <v>0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5">
        <v>0</v>
      </c>
      <c r="U173" s="25">
        <v>0</v>
      </c>
      <c r="V173" s="25">
        <v>0</v>
      </c>
      <c r="W173" s="25">
        <v>0</v>
      </c>
      <c r="X173" s="25">
        <v>0</v>
      </c>
      <c r="Y173" s="25">
        <v>0</v>
      </c>
      <c r="Z173" s="25">
        <v>0</v>
      </c>
      <c r="AA173" s="25">
        <v>0</v>
      </c>
      <c r="AB173" s="25">
        <v>0</v>
      </c>
      <c r="AC173" s="25">
        <v>0</v>
      </c>
      <c r="AD173" s="25">
        <v>0</v>
      </c>
      <c r="AE173" s="25">
        <v>0</v>
      </c>
      <c r="AF173" s="25">
        <v>0</v>
      </c>
    </row>
    <row r="174" spans="1:32" x14ac:dyDescent="0.25">
      <c r="A174" s="25" t="s">
        <v>243</v>
      </c>
      <c r="B174" s="12">
        <v>1466640000000000</v>
      </c>
      <c r="C174" s="12">
        <v>1438290000000000</v>
      </c>
      <c r="D174" s="12">
        <v>1519640000000000</v>
      </c>
      <c r="E174" s="12">
        <v>1540820000000000</v>
      </c>
      <c r="F174" s="12">
        <v>1581540000000000</v>
      </c>
      <c r="G174" s="12">
        <v>1620510000000000</v>
      </c>
      <c r="H174" s="12">
        <v>1643140000000000</v>
      </c>
      <c r="I174" s="12">
        <v>1650450000000000</v>
      </c>
      <c r="J174" s="12">
        <v>1653930000000000</v>
      </c>
      <c r="K174" s="12">
        <v>1662590000000000</v>
      </c>
      <c r="L174" s="12">
        <v>1673280000000000</v>
      </c>
      <c r="M174" s="12">
        <v>1688500000000000</v>
      </c>
      <c r="N174" s="12">
        <v>1705230000000000</v>
      </c>
      <c r="O174" s="12">
        <v>1722150000000000</v>
      </c>
      <c r="P174" s="12">
        <v>1739930000000000</v>
      </c>
      <c r="Q174" s="12">
        <v>1765940000000000</v>
      </c>
      <c r="R174" s="12">
        <v>1786790000000000</v>
      </c>
      <c r="S174" s="12">
        <v>1807510000000000</v>
      </c>
      <c r="T174" s="12">
        <v>1832840000000000</v>
      </c>
      <c r="U174" s="12">
        <v>1857180000000000</v>
      </c>
      <c r="V174" s="12">
        <v>1883440000000000</v>
      </c>
      <c r="W174" s="12">
        <v>1915500000000000</v>
      </c>
      <c r="X174" s="12">
        <v>1942650000000000</v>
      </c>
      <c r="Y174" s="12">
        <v>1973010000000000</v>
      </c>
      <c r="Z174" s="12">
        <v>2003920000000000</v>
      </c>
      <c r="AA174" s="12">
        <v>2036040000000000</v>
      </c>
      <c r="AB174" s="12">
        <v>2074480000000000</v>
      </c>
      <c r="AC174" s="12">
        <v>2108710000000000</v>
      </c>
      <c r="AD174" s="12">
        <v>2147100000000000</v>
      </c>
      <c r="AE174" s="12">
        <v>2189180000000000</v>
      </c>
      <c r="AF174" s="12">
        <v>2232640000000000</v>
      </c>
    </row>
    <row r="175" spans="1:32" x14ac:dyDescent="0.25">
      <c r="A175" s="25" t="s">
        <v>244</v>
      </c>
      <c r="B175" s="25">
        <v>0</v>
      </c>
      <c r="C175" s="25">
        <v>0</v>
      </c>
      <c r="D175" s="25">
        <v>0</v>
      </c>
      <c r="E175" s="25">
        <v>0</v>
      </c>
      <c r="F175" s="25">
        <v>0</v>
      </c>
      <c r="G175" s="25">
        <v>0</v>
      </c>
      <c r="H175" s="25">
        <v>0</v>
      </c>
      <c r="I175" s="25">
        <v>0</v>
      </c>
      <c r="J175" s="25">
        <v>0</v>
      </c>
      <c r="K175" s="25">
        <v>0</v>
      </c>
      <c r="L175" s="25">
        <v>0</v>
      </c>
      <c r="M175" s="25">
        <v>0</v>
      </c>
      <c r="N175" s="25">
        <v>0</v>
      </c>
      <c r="O175" s="25">
        <v>0</v>
      </c>
      <c r="P175" s="25">
        <v>0</v>
      </c>
      <c r="Q175" s="25">
        <v>0</v>
      </c>
      <c r="R175" s="25">
        <v>0</v>
      </c>
      <c r="S175" s="25">
        <v>0</v>
      </c>
      <c r="T175" s="25">
        <v>0</v>
      </c>
      <c r="U175" s="25">
        <v>0</v>
      </c>
      <c r="V175" s="25">
        <v>0</v>
      </c>
      <c r="W175" s="25">
        <v>0</v>
      </c>
      <c r="X175" s="25">
        <v>0</v>
      </c>
      <c r="Y175" s="25">
        <v>0</v>
      </c>
      <c r="Z175" s="25">
        <v>0</v>
      </c>
      <c r="AA175" s="25">
        <v>0</v>
      </c>
      <c r="AB175" s="25">
        <v>0</v>
      </c>
      <c r="AC175" s="25">
        <v>0</v>
      </c>
      <c r="AD175" s="25">
        <v>0</v>
      </c>
      <c r="AE175" s="25">
        <v>0</v>
      </c>
      <c r="AF175" s="25">
        <v>0</v>
      </c>
    </row>
    <row r="176" spans="1:32" x14ac:dyDescent="0.25">
      <c r="A176" s="25" t="s">
        <v>245</v>
      </c>
      <c r="B176" s="25">
        <v>0</v>
      </c>
      <c r="C176" s="25">
        <v>0</v>
      </c>
      <c r="D176" s="25">
        <v>0</v>
      </c>
      <c r="E176" s="25">
        <v>0</v>
      </c>
      <c r="F176" s="25">
        <v>0</v>
      </c>
      <c r="G176" s="25">
        <v>0</v>
      </c>
      <c r="H176" s="25">
        <v>0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>
        <v>0</v>
      </c>
      <c r="P176" s="25">
        <v>0</v>
      </c>
      <c r="Q176" s="25">
        <v>0</v>
      </c>
      <c r="R176" s="25">
        <v>0</v>
      </c>
      <c r="S176" s="25">
        <v>0</v>
      </c>
      <c r="T176" s="25">
        <v>0</v>
      </c>
      <c r="U176" s="25">
        <v>0</v>
      </c>
      <c r="V176" s="25">
        <v>0</v>
      </c>
      <c r="W176" s="25">
        <v>0</v>
      </c>
      <c r="X176" s="25">
        <v>0</v>
      </c>
      <c r="Y176" s="25">
        <v>0</v>
      </c>
      <c r="Z176" s="25">
        <v>0</v>
      </c>
      <c r="AA176" s="25">
        <v>0</v>
      </c>
      <c r="AB176" s="25">
        <v>0</v>
      </c>
      <c r="AC176" s="25">
        <v>0</v>
      </c>
      <c r="AD176" s="25">
        <v>0</v>
      </c>
      <c r="AE176" s="25">
        <v>0</v>
      </c>
      <c r="AF176" s="25">
        <v>0</v>
      </c>
    </row>
    <row r="177" spans="1:32" x14ac:dyDescent="0.25">
      <c r="A177" s="25" t="s">
        <v>246</v>
      </c>
      <c r="B177" s="25">
        <v>0</v>
      </c>
      <c r="C177" s="25">
        <v>0</v>
      </c>
      <c r="D177" s="25">
        <v>0</v>
      </c>
      <c r="E177" s="25">
        <v>0</v>
      </c>
      <c r="F177" s="25">
        <v>0</v>
      </c>
      <c r="G177" s="25">
        <v>0</v>
      </c>
      <c r="H177" s="25">
        <v>0</v>
      </c>
      <c r="I177" s="25">
        <v>0</v>
      </c>
      <c r="J177" s="25">
        <v>0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0</v>
      </c>
      <c r="R177" s="25">
        <v>0</v>
      </c>
      <c r="S177" s="25">
        <v>0</v>
      </c>
      <c r="T177" s="25">
        <v>0</v>
      </c>
      <c r="U177" s="25">
        <v>0</v>
      </c>
      <c r="V177" s="25">
        <v>0</v>
      </c>
      <c r="W177" s="25">
        <v>0</v>
      </c>
      <c r="X177" s="25">
        <v>0</v>
      </c>
      <c r="Y177" s="25">
        <v>0</v>
      </c>
      <c r="Z177" s="25">
        <v>0</v>
      </c>
      <c r="AA177" s="25">
        <v>0</v>
      </c>
      <c r="AB177" s="25">
        <v>0</v>
      </c>
      <c r="AC177" s="25">
        <v>0</v>
      </c>
      <c r="AD177" s="25">
        <v>0</v>
      </c>
      <c r="AE177" s="25">
        <v>0</v>
      </c>
      <c r="AF177" s="25">
        <v>0</v>
      </c>
    </row>
    <row r="178" spans="1:32" x14ac:dyDescent="0.25">
      <c r="A178" s="25" t="s">
        <v>247</v>
      </c>
      <c r="B178" s="25">
        <v>0</v>
      </c>
      <c r="C178" s="25">
        <v>0</v>
      </c>
      <c r="D178" s="25">
        <v>0</v>
      </c>
      <c r="E178" s="25">
        <v>0</v>
      </c>
      <c r="F178" s="25">
        <v>0</v>
      </c>
      <c r="G178" s="25">
        <v>0</v>
      </c>
      <c r="H178" s="25">
        <v>0</v>
      </c>
      <c r="I178" s="25">
        <v>0</v>
      </c>
      <c r="J178" s="25">
        <v>0</v>
      </c>
      <c r="K178" s="25">
        <v>0</v>
      </c>
      <c r="L178" s="25">
        <v>0</v>
      </c>
      <c r="M178" s="25">
        <v>0</v>
      </c>
      <c r="N178" s="25">
        <v>0</v>
      </c>
      <c r="O178" s="25">
        <v>0</v>
      </c>
      <c r="P178" s="25">
        <v>0</v>
      </c>
      <c r="Q178" s="25">
        <v>0</v>
      </c>
      <c r="R178" s="25">
        <v>0</v>
      </c>
      <c r="S178" s="25">
        <v>0</v>
      </c>
      <c r="T178" s="25">
        <v>0</v>
      </c>
      <c r="U178" s="25">
        <v>0</v>
      </c>
      <c r="V178" s="25">
        <v>0</v>
      </c>
      <c r="W178" s="25">
        <v>0</v>
      </c>
      <c r="X178" s="25">
        <v>0</v>
      </c>
      <c r="Y178" s="25">
        <v>0</v>
      </c>
      <c r="Z178" s="25">
        <v>0</v>
      </c>
      <c r="AA178" s="25">
        <v>0</v>
      </c>
      <c r="AB178" s="25">
        <v>0</v>
      </c>
      <c r="AC178" s="25">
        <v>0</v>
      </c>
      <c r="AD178" s="25">
        <v>0</v>
      </c>
      <c r="AE178" s="25">
        <v>0</v>
      </c>
      <c r="AF178" s="25">
        <v>0</v>
      </c>
    </row>
    <row r="179" spans="1:32" x14ac:dyDescent="0.25">
      <c r="A179" s="25" t="s">
        <v>248</v>
      </c>
      <c r="B179" s="25">
        <v>0</v>
      </c>
      <c r="C179" s="25">
        <v>0</v>
      </c>
      <c r="D179" s="25">
        <v>0</v>
      </c>
      <c r="E179" s="25">
        <v>0</v>
      </c>
      <c r="F179" s="25">
        <v>0</v>
      </c>
      <c r="G179" s="25">
        <v>0</v>
      </c>
      <c r="H179" s="25">
        <v>0</v>
      </c>
      <c r="I179" s="25">
        <v>0</v>
      </c>
      <c r="J179" s="25">
        <v>0</v>
      </c>
      <c r="K179" s="25">
        <v>0</v>
      </c>
      <c r="L179" s="25">
        <v>0</v>
      </c>
      <c r="M179" s="25">
        <v>0</v>
      </c>
      <c r="N179" s="25">
        <v>0</v>
      </c>
      <c r="O179" s="25">
        <v>0</v>
      </c>
      <c r="P179" s="25">
        <v>0</v>
      </c>
      <c r="Q179" s="25">
        <v>0</v>
      </c>
      <c r="R179" s="25">
        <v>0</v>
      </c>
      <c r="S179" s="25">
        <v>0</v>
      </c>
      <c r="T179" s="25">
        <v>0</v>
      </c>
      <c r="U179" s="25">
        <v>0</v>
      </c>
      <c r="V179" s="25">
        <v>0</v>
      </c>
      <c r="W179" s="25">
        <v>0</v>
      </c>
      <c r="X179" s="25">
        <v>0</v>
      </c>
      <c r="Y179" s="25">
        <v>0</v>
      </c>
      <c r="Z179" s="25">
        <v>0</v>
      </c>
      <c r="AA179" s="25">
        <v>0</v>
      </c>
      <c r="AB179" s="25">
        <v>0</v>
      </c>
      <c r="AC179" s="25">
        <v>0</v>
      </c>
      <c r="AD179" s="25">
        <v>0</v>
      </c>
      <c r="AE179" s="25">
        <v>0</v>
      </c>
      <c r="AF179" s="25">
        <v>0</v>
      </c>
    </row>
    <row r="180" spans="1:32" x14ac:dyDescent="0.25">
      <c r="A180" s="25" t="s">
        <v>249</v>
      </c>
      <c r="B180" s="25">
        <v>0</v>
      </c>
      <c r="C180" s="25">
        <v>0</v>
      </c>
      <c r="D180" s="25">
        <v>0</v>
      </c>
      <c r="E180" s="25">
        <v>0</v>
      </c>
      <c r="F180" s="25">
        <v>0</v>
      </c>
      <c r="G180" s="25">
        <v>0</v>
      </c>
      <c r="H180" s="25">
        <v>0</v>
      </c>
      <c r="I180" s="25">
        <v>0</v>
      </c>
      <c r="J180" s="25">
        <v>0</v>
      </c>
      <c r="K180" s="25">
        <v>0</v>
      </c>
      <c r="L180" s="25">
        <v>0</v>
      </c>
      <c r="M180" s="25">
        <v>0</v>
      </c>
      <c r="N180" s="25">
        <v>0</v>
      </c>
      <c r="O180" s="25">
        <v>0</v>
      </c>
      <c r="P180" s="25">
        <v>0</v>
      </c>
      <c r="Q180" s="25">
        <v>0</v>
      </c>
      <c r="R180" s="25">
        <v>0</v>
      </c>
      <c r="S180" s="25">
        <v>0</v>
      </c>
      <c r="T180" s="25">
        <v>0</v>
      </c>
      <c r="U180" s="25">
        <v>0</v>
      </c>
      <c r="V180" s="25">
        <v>0</v>
      </c>
      <c r="W180" s="25">
        <v>0</v>
      </c>
      <c r="X180" s="25">
        <v>0</v>
      </c>
      <c r="Y180" s="25">
        <v>0</v>
      </c>
      <c r="Z180" s="25">
        <v>0</v>
      </c>
      <c r="AA180" s="25">
        <v>0</v>
      </c>
      <c r="AB180" s="25">
        <v>0</v>
      </c>
      <c r="AC180" s="25">
        <v>0</v>
      </c>
      <c r="AD180" s="25">
        <v>0</v>
      </c>
      <c r="AE180" s="25">
        <v>0</v>
      </c>
      <c r="AF180" s="25">
        <v>0</v>
      </c>
    </row>
    <row r="181" spans="1:32" x14ac:dyDescent="0.25">
      <c r="A181" s="25" t="s">
        <v>250</v>
      </c>
      <c r="B181" s="25">
        <v>0</v>
      </c>
      <c r="C181" s="25">
        <v>0</v>
      </c>
      <c r="D181" s="25">
        <v>0</v>
      </c>
      <c r="E181" s="25">
        <v>0</v>
      </c>
      <c r="F181" s="25">
        <v>0</v>
      </c>
      <c r="G181" s="25">
        <v>0</v>
      </c>
      <c r="H181" s="25">
        <v>0</v>
      </c>
      <c r="I181" s="25">
        <v>0</v>
      </c>
      <c r="J181" s="25">
        <v>0</v>
      </c>
      <c r="K181" s="25">
        <v>0</v>
      </c>
      <c r="L181" s="25">
        <v>0</v>
      </c>
      <c r="M181" s="25">
        <v>0</v>
      </c>
      <c r="N181" s="25">
        <v>0</v>
      </c>
      <c r="O181" s="25">
        <v>0</v>
      </c>
      <c r="P181" s="25">
        <v>0</v>
      </c>
      <c r="Q181" s="25">
        <v>0</v>
      </c>
      <c r="R181" s="25">
        <v>0</v>
      </c>
      <c r="S181" s="25">
        <v>0</v>
      </c>
      <c r="T181" s="25">
        <v>0</v>
      </c>
      <c r="U181" s="25">
        <v>0</v>
      </c>
      <c r="V181" s="25">
        <v>0</v>
      </c>
      <c r="W181" s="25">
        <v>0</v>
      </c>
      <c r="X181" s="25">
        <v>0</v>
      </c>
      <c r="Y181" s="25">
        <v>0</v>
      </c>
      <c r="Z181" s="25">
        <v>0</v>
      </c>
      <c r="AA181" s="25">
        <v>0</v>
      </c>
      <c r="AB181" s="25">
        <v>0</v>
      </c>
      <c r="AC181" s="25">
        <v>0</v>
      </c>
      <c r="AD181" s="25">
        <v>0</v>
      </c>
      <c r="AE181" s="25">
        <v>0</v>
      </c>
      <c r="AF181" s="25">
        <v>0</v>
      </c>
    </row>
    <row r="182" spans="1:32" x14ac:dyDescent="0.25">
      <c r="A182" s="25" t="s">
        <v>251</v>
      </c>
      <c r="B182" s="25">
        <v>0</v>
      </c>
      <c r="C182" s="25">
        <v>0</v>
      </c>
      <c r="D182" s="25">
        <v>0</v>
      </c>
      <c r="E182" s="25">
        <v>0</v>
      </c>
      <c r="F182" s="25">
        <v>0</v>
      </c>
      <c r="G182" s="25">
        <v>0</v>
      </c>
      <c r="H182" s="25">
        <v>0</v>
      </c>
      <c r="I182" s="25">
        <v>0</v>
      </c>
      <c r="J182" s="25">
        <v>0</v>
      </c>
      <c r="K182" s="25">
        <v>0</v>
      </c>
      <c r="L182" s="25">
        <v>0</v>
      </c>
      <c r="M182" s="25">
        <v>0</v>
      </c>
      <c r="N182" s="25">
        <v>0</v>
      </c>
      <c r="O182" s="25">
        <v>0</v>
      </c>
      <c r="P182" s="25">
        <v>0</v>
      </c>
      <c r="Q182" s="25">
        <v>0</v>
      </c>
      <c r="R182" s="25">
        <v>0</v>
      </c>
      <c r="S182" s="25">
        <v>0</v>
      </c>
      <c r="T182" s="25">
        <v>0</v>
      </c>
      <c r="U182" s="25">
        <v>0</v>
      </c>
      <c r="V182" s="25">
        <v>0</v>
      </c>
      <c r="W182" s="25">
        <v>0</v>
      </c>
      <c r="X182" s="25">
        <v>0</v>
      </c>
      <c r="Y182" s="25">
        <v>0</v>
      </c>
      <c r="Z182" s="25">
        <v>0</v>
      </c>
      <c r="AA182" s="25">
        <v>0</v>
      </c>
      <c r="AB182" s="25">
        <v>0</v>
      </c>
      <c r="AC182" s="25">
        <v>0</v>
      </c>
      <c r="AD182" s="25">
        <v>0</v>
      </c>
      <c r="AE182" s="25">
        <v>0</v>
      </c>
      <c r="AF182" s="25">
        <v>0</v>
      </c>
    </row>
    <row r="183" spans="1:32" x14ac:dyDescent="0.25">
      <c r="A183" s="25" t="s">
        <v>252</v>
      </c>
      <c r="B183" s="25">
        <v>0</v>
      </c>
      <c r="C183" s="25">
        <v>0</v>
      </c>
      <c r="D183" s="25">
        <v>0</v>
      </c>
      <c r="E183" s="25">
        <v>0</v>
      </c>
      <c r="F183" s="25">
        <v>0</v>
      </c>
      <c r="G183" s="25">
        <v>0</v>
      </c>
      <c r="H183" s="25">
        <v>0</v>
      </c>
      <c r="I183" s="25">
        <v>0</v>
      </c>
      <c r="J183" s="25">
        <v>0</v>
      </c>
      <c r="K183" s="25">
        <v>0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0</v>
      </c>
      <c r="R183" s="25">
        <v>0</v>
      </c>
      <c r="S183" s="25">
        <v>0</v>
      </c>
      <c r="T183" s="25">
        <v>0</v>
      </c>
      <c r="U183" s="25">
        <v>0</v>
      </c>
      <c r="V183" s="25">
        <v>0</v>
      </c>
      <c r="W183" s="25">
        <v>0</v>
      </c>
      <c r="X183" s="25">
        <v>0</v>
      </c>
      <c r="Y183" s="25">
        <v>0</v>
      </c>
      <c r="Z183" s="25">
        <v>0</v>
      </c>
      <c r="AA183" s="25">
        <v>0</v>
      </c>
      <c r="AB183" s="25">
        <v>0</v>
      </c>
      <c r="AC183" s="25">
        <v>0</v>
      </c>
      <c r="AD183" s="25">
        <v>0</v>
      </c>
      <c r="AE183" s="25">
        <v>0</v>
      </c>
      <c r="AF183" s="25">
        <v>0</v>
      </c>
    </row>
    <row r="184" spans="1:32" x14ac:dyDescent="0.25">
      <c r="A184" s="25" t="s">
        <v>253</v>
      </c>
      <c r="B184" s="25">
        <v>0</v>
      </c>
      <c r="C184" s="25">
        <v>0</v>
      </c>
      <c r="D184" s="25">
        <v>0</v>
      </c>
      <c r="E184" s="25">
        <v>0</v>
      </c>
      <c r="F184" s="25">
        <v>0</v>
      </c>
      <c r="G184" s="25">
        <v>0</v>
      </c>
      <c r="H184" s="25">
        <v>0</v>
      </c>
      <c r="I184" s="25">
        <v>0</v>
      </c>
      <c r="J184" s="25">
        <v>0</v>
      </c>
      <c r="K184" s="25">
        <v>0</v>
      </c>
      <c r="L184" s="25">
        <v>0</v>
      </c>
      <c r="M184" s="25">
        <v>0</v>
      </c>
      <c r="N184" s="25">
        <v>0</v>
      </c>
      <c r="O184" s="25">
        <v>0</v>
      </c>
      <c r="P184" s="25">
        <v>0</v>
      </c>
      <c r="Q184" s="25">
        <v>0</v>
      </c>
      <c r="R184" s="25">
        <v>0</v>
      </c>
      <c r="S184" s="25">
        <v>0</v>
      </c>
      <c r="T184" s="25">
        <v>0</v>
      </c>
      <c r="U184" s="25">
        <v>0</v>
      </c>
      <c r="V184" s="25">
        <v>0</v>
      </c>
      <c r="W184" s="25">
        <v>0</v>
      </c>
      <c r="X184" s="25">
        <v>0</v>
      </c>
      <c r="Y184" s="25">
        <v>0</v>
      </c>
      <c r="Z184" s="25">
        <v>0</v>
      </c>
      <c r="AA184" s="25">
        <v>0</v>
      </c>
      <c r="AB184" s="25">
        <v>0</v>
      </c>
      <c r="AC184" s="25">
        <v>0</v>
      </c>
      <c r="AD184" s="25">
        <v>0</v>
      </c>
      <c r="AE184" s="25">
        <v>0</v>
      </c>
      <c r="AF184" s="25">
        <v>0</v>
      </c>
    </row>
    <row r="185" spans="1:32" x14ac:dyDescent="0.25">
      <c r="A185" s="25" t="s">
        <v>254</v>
      </c>
      <c r="B185" s="25">
        <v>0</v>
      </c>
      <c r="C185" s="25">
        <v>0</v>
      </c>
      <c r="D185" s="25">
        <v>0</v>
      </c>
      <c r="E185" s="25">
        <v>0</v>
      </c>
      <c r="F185" s="25">
        <v>0</v>
      </c>
      <c r="G185" s="25">
        <v>0</v>
      </c>
      <c r="H185" s="25">
        <v>0</v>
      </c>
      <c r="I185" s="25">
        <v>0</v>
      </c>
      <c r="J185" s="25">
        <v>0</v>
      </c>
      <c r="K185" s="25">
        <v>0</v>
      </c>
      <c r="L185" s="25">
        <v>0</v>
      </c>
      <c r="M185" s="25">
        <v>0</v>
      </c>
      <c r="N185" s="25">
        <v>0</v>
      </c>
      <c r="O185" s="25">
        <v>0</v>
      </c>
      <c r="P185" s="25">
        <v>0</v>
      </c>
      <c r="Q185" s="25">
        <v>0</v>
      </c>
      <c r="R185" s="25">
        <v>0</v>
      </c>
      <c r="S185" s="25">
        <v>0</v>
      </c>
      <c r="T185" s="25">
        <v>0</v>
      </c>
      <c r="U185" s="25">
        <v>0</v>
      </c>
      <c r="V185" s="25">
        <v>0</v>
      </c>
      <c r="W185" s="25">
        <v>0</v>
      </c>
      <c r="X185" s="25">
        <v>0</v>
      </c>
      <c r="Y185" s="25">
        <v>0</v>
      </c>
      <c r="Z185" s="25">
        <v>0</v>
      </c>
      <c r="AA185" s="25">
        <v>0</v>
      </c>
      <c r="AB185" s="25">
        <v>0</v>
      </c>
      <c r="AC185" s="25">
        <v>0</v>
      </c>
      <c r="AD185" s="25">
        <v>0</v>
      </c>
      <c r="AE185" s="25">
        <v>0</v>
      </c>
      <c r="AF185" s="25">
        <v>0</v>
      </c>
    </row>
    <row r="186" spans="1:32" x14ac:dyDescent="0.25">
      <c r="A186" s="25" t="s">
        <v>255</v>
      </c>
      <c r="B186" s="25">
        <v>0</v>
      </c>
      <c r="C186" s="25">
        <v>0</v>
      </c>
      <c r="D186" s="25">
        <v>0</v>
      </c>
      <c r="E186" s="25">
        <v>0</v>
      </c>
      <c r="F186" s="25">
        <v>0</v>
      </c>
      <c r="G186" s="25">
        <v>0</v>
      </c>
      <c r="H186" s="25">
        <v>0</v>
      </c>
      <c r="I186" s="25">
        <v>0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  <c r="O186" s="25">
        <v>0</v>
      </c>
      <c r="P186" s="25">
        <v>0</v>
      </c>
      <c r="Q186" s="25">
        <v>0</v>
      </c>
      <c r="R186" s="25">
        <v>0</v>
      </c>
      <c r="S186" s="25">
        <v>0</v>
      </c>
      <c r="T186" s="25">
        <v>0</v>
      </c>
      <c r="U186" s="25">
        <v>0</v>
      </c>
      <c r="V186" s="25">
        <v>0</v>
      </c>
      <c r="W186" s="25">
        <v>0</v>
      </c>
      <c r="X186" s="25">
        <v>0</v>
      </c>
      <c r="Y186" s="25">
        <v>0</v>
      </c>
      <c r="Z186" s="25">
        <v>0</v>
      </c>
      <c r="AA186" s="25">
        <v>0</v>
      </c>
      <c r="AB186" s="25">
        <v>0</v>
      </c>
      <c r="AC186" s="25">
        <v>0</v>
      </c>
      <c r="AD186" s="25">
        <v>0</v>
      </c>
      <c r="AE186" s="25">
        <v>0</v>
      </c>
      <c r="AF186" s="25">
        <v>0</v>
      </c>
    </row>
    <row r="187" spans="1:32" x14ac:dyDescent="0.25">
      <c r="A187" s="25" t="s">
        <v>256</v>
      </c>
      <c r="B187" s="25">
        <v>0</v>
      </c>
      <c r="C187" s="25">
        <v>0</v>
      </c>
      <c r="D187" s="25">
        <v>0</v>
      </c>
      <c r="E187" s="25">
        <v>0</v>
      </c>
      <c r="F187" s="25">
        <v>0</v>
      </c>
      <c r="G187" s="25">
        <v>0</v>
      </c>
      <c r="H187" s="25">
        <v>0</v>
      </c>
      <c r="I187" s="25">
        <v>0</v>
      </c>
      <c r="J187" s="25">
        <v>0</v>
      </c>
      <c r="K187" s="25">
        <v>0</v>
      </c>
      <c r="L187" s="25">
        <v>0</v>
      </c>
      <c r="M187" s="25">
        <v>0</v>
      </c>
      <c r="N187" s="25">
        <v>0</v>
      </c>
      <c r="O187" s="25">
        <v>0</v>
      </c>
      <c r="P187" s="25">
        <v>0</v>
      </c>
      <c r="Q187" s="25">
        <v>0</v>
      </c>
      <c r="R187" s="25">
        <v>0</v>
      </c>
      <c r="S187" s="25">
        <v>0</v>
      </c>
      <c r="T187" s="25">
        <v>0</v>
      </c>
      <c r="U187" s="25">
        <v>0</v>
      </c>
      <c r="V187" s="25">
        <v>0</v>
      </c>
      <c r="W187" s="25">
        <v>0</v>
      </c>
      <c r="X187" s="25">
        <v>0</v>
      </c>
      <c r="Y187" s="25">
        <v>0</v>
      </c>
      <c r="Z187" s="25">
        <v>0</v>
      </c>
      <c r="AA187" s="25">
        <v>0</v>
      </c>
      <c r="AB187" s="25">
        <v>0</v>
      </c>
      <c r="AC187" s="25">
        <v>0</v>
      </c>
      <c r="AD187" s="25">
        <v>0</v>
      </c>
      <c r="AE187" s="25">
        <v>0</v>
      </c>
      <c r="AF187" s="25">
        <v>0</v>
      </c>
    </row>
    <row r="188" spans="1:32" x14ac:dyDescent="0.25">
      <c r="A188" s="25" t="s">
        <v>257</v>
      </c>
      <c r="B188" s="25">
        <v>0</v>
      </c>
      <c r="C188" s="25">
        <v>0</v>
      </c>
      <c r="D188" s="25">
        <v>0</v>
      </c>
      <c r="E188" s="25">
        <v>0</v>
      </c>
      <c r="F188" s="25">
        <v>0</v>
      </c>
      <c r="G188" s="25">
        <v>0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5">
        <v>0</v>
      </c>
      <c r="U188" s="25">
        <v>0</v>
      </c>
      <c r="V188" s="25">
        <v>0</v>
      </c>
      <c r="W188" s="25">
        <v>0</v>
      </c>
      <c r="X188" s="25">
        <v>0</v>
      </c>
      <c r="Y188" s="25">
        <v>0</v>
      </c>
      <c r="Z188" s="25">
        <v>0</v>
      </c>
      <c r="AA188" s="25">
        <v>0</v>
      </c>
      <c r="AB188" s="25">
        <v>0</v>
      </c>
      <c r="AC188" s="25">
        <v>0</v>
      </c>
      <c r="AD188" s="25">
        <v>0</v>
      </c>
      <c r="AE188" s="25">
        <v>0</v>
      </c>
      <c r="AF188" s="25">
        <v>0</v>
      </c>
    </row>
    <row r="189" spans="1:32" x14ac:dyDescent="0.25">
      <c r="A189" s="25" t="s">
        <v>258</v>
      </c>
      <c r="B189" s="25">
        <v>0</v>
      </c>
      <c r="C189" s="25">
        <v>0</v>
      </c>
      <c r="D189" s="25">
        <v>0</v>
      </c>
      <c r="E189" s="25">
        <v>0</v>
      </c>
      <c r="F189" s="25">
        <v>0</v>
      </c>
      <c r="G189" s="25">
        <v>0</v>
      </c>
      <c r="H189" s="25">
        <v>0</v>
      </c>
      <c r="I189" s="25">
        <v>0</v>
      </c>
      <c r="J189" s="25">
        <v>0</v>
      </c>
      <c r="K189" s="25">
        <v>0</v>
      </c>
      <c r="L189" s="25">
        <v>0</v>
      </c>
      <c r="M189" s="25">
        <v>0</v>
      </c>
      <c r="N189" s="25">
        <v>0</v>
      </c>
      <c r="O189" s="25">
        <v>0</v>
      </c>
      <c r="P189" s="25">
        <v>0</v>
      </c>
      <c r="Q189" s="25">
        <v>0</v>
      </c>
      <c r="R189" s="25">
        <v>0</v>
      </c>
      <c r="S189" s="25">
        <v>0</v>
      </c>
      <c r="T189" s="25">
        <v>0</v>
      </c>
      <c r="U189" s="25">
        <v>0</v>
      </c>
      <c r="V189" s="25">
        <v>0</v>
      </c>
      <c r="W189" s="25">
        <v>0</v>
      </c>
      <c r="X189" s="25">
        <v>0</v>
      </c>
      <c r="Y189" s="25">
        <v>0</v>
      </c>
      <c r="Z189" s="25">
        <v>0</v>
      </c>
      <c r="AA189" s="25">
        <v>0</v>
      </c>
      <c r="AB189" s="25">
        <v>0</v>
      </c>
      <c r="AC189" s="25">
        <v>0</v>
      </c>
      <c r="AD189" s="25">
        <v>0</v>
      </c>
      <c r="AE189" s="25">
        <v>0</v>
      </c>
      <c r="AF189" s="25">
        <v>0</v>
      </c>
    </row>
    <row r="190" spans="1:32" x14ac:dyDescent="0.25">
      <c r="A190" s="25" t="s">
        <v>259</v>
      </c>
      <c r="B190" s="25">
        <v>0</v>
      </c>
      <c r="C190" s="25">
        <v>0</v>
      </c>
      <c r="D190" s="25">
        <v>0</v>
      </c>
      <c r="E190" s="25">
        <v>0</v>
      </c>
      <c r="F190" s="25">
        <v>0</v>
      </c>
      <c r="G190" s="25">
        <v>0</v>
      </c>
      <c r="H190" s="25">
        <v>0</v>
      </c>
      <c r="I190" s="25">
        <v>0</v>
      </c>
      <c r="J190" s="25">
        <v>0</v>
      </c>
      <c r="K190" s="25">
        <v>0</v>
      </c>
      <c r="L190" s="25">
        <v>0</v>
      </c>
      <c r="M190" s="25">
        <v>0</v>
      </c>
      <c r="N190" s="25">
        <v>0</v>
      </c>
      <c r="O190" s="25">
        <v>0</v>
      </c>
      <c r="P190" s="25">
        <v>0</v>
      </c>
      <c r="Q190" s="25">
        <v>0</v>
      </c>
      <c r="R190" s="25">
        <v>0</v>
      </c>
      <c r="S190" s="25">
        <v>0</v>
      </c>
      <c r="T190" s="25">
        <v>0</v>
      </c>
      <c r="U190" s="25">
        <v>0</v>
      </c>
      <c r="V190" s="25">
        <v>0</v>
      </c>
      <c r="W190" s="25">
        <v>0</v>
      </c>
      <c r="X190" s="25">
        <v>0</v>
      </c>
      <c r="Y190" s="25">
        <v>0</v>
      </c>
      <c r="Z190" s="25">
        <v>0</v>
      </c>
      <c r="AA190" s="25">
        <v>0</v>
      </c>
      <c r="AB190" s="25">
        <v>0</v>
      </c>
      <c r="AC190" s="25">
        <v>0</v>
      </c>
      <c r="AD190" s="25">
        <v>0</v>
      </c>
      <c r="AE190" s="25">
        <v>0</v>
      </c>
      <c r="AF190" s="25">
        <v>0</v>
      </c>
    </row>
    <row r="191" spans="1:32" x14ac:dyDescent="0.25">
      <c r="A191" s="25" t="s">
        <v>260</v>
      </c>
      <c r="B191" s="25">
        <v>0</v>
      </c>
      <c r="C191" s="25">
        <v>0</v>
      </c>
      <c r="D191" s="25">
        <v>0</v>
      </c>
      <c r="E191" s="25">
        <v>0</v>
      </c>
      <c r="F191" s="25">
        <v>0</v>
      </c>
      <c r="G191" s="25">
        <v>0</v>
      </c>
      <c r="H191" s="25">
        <v>0</v>
      </c>
      <c r="I191" s="25">
        <v>0</v>
      </c>
      <c r="J191" s="25">
        <v>0</v>
      </c>
      <c r="K191" s="25">
        <v>0</v>
      </c>
      <c r="L191" s="25">
        <v>0</v>
      </c>
      <c r="M191" s="25">
        <v>0</v>
      </c>
      <c r="N191" s="25">
        <v>0</v>
      </c>
      <c r="O191" s="25">
        <v>0</v>
      </c>
      <c r="P191" s="25">
        <v>0</v>
      </c>
      <c r="Q191" s="25">
        <v>0</v>
      </c>
      <c r="R191" s="25">
        <v>0</v>
      </c>
      <c r="S191" s="25">
        <v>0</v>
      </c>
      <c r="T191" s="25">
        <v>0</v>
      </c>
      <c r="U191" s="25">
        <v>0</v>
      </c>
      <c r="V191" s="25">
        <v>0</v>
      </c>
      <c r="W191" s="25">
        <v>0</v>
      </c>
      <c r="X191" s="25">
        <v>0</v>
      </c>
      <c r="Y191" s="25">
        <v>0</v>
      </c>
      <c r="Z191" s="25">
        <v>0</v>
      </c>
      <c r="AA191" s="25">
        <v>0</v>
      </c>
      <c r="AB191" s="25">
        <v>0</v>
      </c>
      <c r="AC191" s="25">
        <v>0</v>
      </c>
      <c r="AD191" s="25">
        <v>0</v>
      </c>
      <c r="AE191" s="25">
        <v>0</v>
      </c>
      <c r="AF191" s="25">
        <v>0</v>
      </c>
    </row>
    <row r="192" spans="1:32" x14ac:dyDescent="0.25">
      <c r="A192" s="25" t="s">
        <v>261</v>
      </c>
      <c r="B192" s="25">
        <v>0</v>
      </c>
      <c r="C192" s="25">
        <v>0</v>
      </c>
      <c r="D192" s="25">
        <v>0</v>
      </c>
      <c r="E192" s="25">
        <v>0</v>
      </c>
      <c r="F192" s="25">
        <v>0</v>
      </c>
      <c r="G192" s="25">
        <v>0</v>
      </c>
      <c r="H192" s="25">
        <v>0</v>
      </c>
      <c r="I192" s="25">
        <v>0</v>
      </c>
      <c r="J192" s="25">
        <v>0</v>
      </c>
      <c r="K192" s="25">
        <v>0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5">
        <v>0</v>
      </c>
      <c r="T192" s="25">
        <v>0</v>
      </c>
      <c r="U192" s="25">
        <v>0</v>
      </c>
      <c r="V192" s="25">
        <v>0</v>
      </c>
      <c r="W192" s="25">
        <v>0</v>
      </c>
      <c r="X192" s="25">
        <v>0</v>
      </c>
      <c r="Y192" s="25">
        <v>0</v>
      </c>
      <c r="Z192" s="25">
        <v>0</v>
      </c>
      <c r="AA192" s="25">
        <v>0</v>
      </c>
      <c r="AB192" s="25">
        <v>0</v>
      </c>
      <c r="AC192" s="25">
        <v>0</v>
      </c>
      <c r="AD192" s="25">
        <v>0</v>
      </c>
      <c r="AE192" s="25">
        <v>0</v>
      </c>
      <c r="AF192" s="25">
        <v>0</v>
      </c>
    </row>
    <row r="193" spans="1:32" x14ac:dyDescent="0.25">
      <c r="A193" s="25" t="s">
        <v>262</v>
      </c>
      <c r="B193" s="25">
        <v>0</v>
      </c>
      <c r="C193" s="25">
        <v>0</v>
      </c>
      <c r="D193" s="25">
        <v>0</v>
      </c>
      <c r="E193" s="25">
        <v>0</v>
      </c>
      <c r="F193" s="25">
        <v>0</v>
      </c>
      <c r="G193" s="25">
        <v>0</v>
      </c>
      <c r="H193" s="25">
        <v>0</v>
      </c>
      <c r="I193" s="25">
        <v>0</v>
      </c>
      <c r="J193" s="25">
        <v>0</v>
      </c>
      <c r="K193" s="25">
        <v>0</v>
      </c>
      <c r="L193" s="25">
        <v>0</v>
      </c>
      <c r="M193" s="25">
        <v>0</v>
      </c>
      <c r="N193" s="25">
        <v>0</v>
      </c>
      <c r="O193" s="25">
        <v>0</v>
      </c>
      <c r="P193" s="25">
        <v>0</v>
      </c>
      <c r="Q193" s="25">
        <v>0</v>
      </c>
      <c r="R193" s="25">
        <v>0</v>
      </c>
      <c r="S193" s="25">
        <v>0</v>
      </c>
      <c r="T193" s="25">
        <v>0</v>
      </c>
      <c r="U193" s="25">
        <v>0</v>
      </c>
      <c r="V193" s="25">
        <v>0</v>
      </c>
      <c r="W193" s="25">
        <v>0</v>
      </c>
      <c r="X193" s="25">
        <v>0</v>
      </c>
      <c r="Y193" s="25">
        <v>0</v>
      </c>
      <c r="Z193" s="25">
        <v>0</v>
      </c>
      <c r="AA193" s="25">
        <v>0</v>
      </c>
      <c r="AB193" s="25">
        <v>0</v>
      </c>
      <c r="AC193" s="25">
        <v>0</v>
      </c>
      <c r="AD193" s="25">
        <v>0</v>
      </c>
      <c r="AE193" s="25">
        <v>0</v>
      </c>
      <c r="AF193" s="25">
        <v>0</v>
      </c>
    </row>
    <row r="194" spans="1:32" x14ac:dyDescent="0.25">
      <c r="A194" s="25" t="s">
        <v>263</v>
      </c>
      <c r="B194" s="25">
        <v>0</v>
      </c>
      <c r="C194" s="25">
        <v>0</v>
      </c>
      <c r="D194" s="25">
        <v>0</v>
      </c>
      <c r="E194" s="25">
        <v>0</v>
      </c>
      <c r="F194" s="25">
        <v>0</v>
      </c>
      <c r="G194" s="25">
        <v>0</v>
      </c>
      <c r="H194" s="25">
        <v>0</v>
      </c>
      <c r="I194" s="25">
        <v>0</v>
      </c>
      <c r="J194" s="25">
        <v>0</v>
      </c>
      <c r="K194" s="25">
        <v>0</v>
      </c>
      <c r="L194" s="25">
        <v>0</v>
      </c>
      <c r="M194" s="25">
        <v>0</v>
      </c>
      <c r="N194" s="25">
        <v>0</v>
      </c>
      <c r="O194" s="25">
        <v>0</v>
      </c>
      <c r="P194" s="25">
        <v>0</v>
      </c>
      <c r="Q194" s="25">
        <v>0</v>
      </c>
      <c r="R194" s="25">
        <v>0</v>
      </c>
      <c r="S194" s="25">
        <v>0</v>
      </c>
      <c r="T194" s="25">
        <v>0</v>
      </c>
      <c r="U194" s="25">
        <v>0</v>
      </c>
      <c r="V194" s="25">
        <v>0</v>
      </c>
      <c r="W194" s="25">
        <v>0</v>
      </c>
      <c r="X194" s="25">
        <v>0</v>
      </c>
      <c r="Y194" s="25">
        <v>0</v>
      </c>
      <c r="Z194" s="25">
        <v>0</v>
      </c>
      <c r="AA194" s="25">
        <v>0</v>
      </c>
      <c r="AB194" s="25">
        <v>0</v>
      </c>
      <c r="AC194" s="25">
        <v>0</v>
      </c>
      <c r="AD194" s="25">
        <v>0</v>
      </c>
      <c r="AE194" s="25">
        <v>0</v>
      </c>
      <c r="AF194" s="25">
        <v>0</v>
      </c>
    </row>
    <row r="195" spans="1:32" x14ac:dyDescent="0.25">
      <c r="A195" s="25" t="s">
        <v>264</v>
      </c>
      <c r="B195" s="25">
        <v>0</v>
      </c>
      <c r="C195" s="25">
        <v>0</v>
      </c>
      <c r="D195" s="25">
        <v>0</v>
      </c>
      <c r="E195" s="25">
        <v>0</v>
      </c>
      <c r="F195" s="25">
        <v>0</v>
      </c>
      <c r="G195" s="25">
        <v>0</v>
      </c>
      <c r="H195" s="25">
        <v>0</v>
      </c>
      <c r="I195" s="25">
        <v>0</v>
      </c>
      <c r="J195" s="25">
        <v>0</v>
      </c>
      <c r="K195" s="25">
        <v>0</v>
      </c>
      <c r="L195" s="25">
        <v>0</v>
      </c>
      <c r="M195" s="25">
        <v>0</v>
      </c>
      <c r="N195" s="25">
        <v>0</v>
      </c>
      <c r="O195" s="25">
        <v>0</v>
      </c>
      <c r="P195" s="25">
        <v>0</v>
      </c>
      <c r="Q195" s="25">
        <v>0</v>
      </c>
      <c r="R195" s="25">
        <v>0</v>
      </c>
      <c r="S195" s="25">
        <v>0</v>
      </c>
      <c r="T195" s="25">
        <v>0</v>
      </c>
      <c r="U195" s="25">
        <v>0</v>
      </c>
      <c r="V195" s="25">
        <v>0</v>
      </c>
      <c r="W195" s="25">
        <v>0</v>
      </c>
      <c r="X195" s="25">
        <v>0</v>
      </c>
      <c r="Y195" s="25">
        <v>0</v>
      </c>
      <c r="Z195" s="25">
        <v>0</v>
      </c>
      <c r="AA195" s="25">
        <v>0</v>
      </c>
      <c r="AB195" s="25">
        <v>0</v>
      </c>
      <c r="AC195" s="25">
        <v>0</v>
      </c>
      <c r="AD195" s="25">
        <v>0</v>
      </c>
      <c r="AE195" s="25">
        <v>0</v>
      </c>
      <c r="AF195" s="25">
        <v>0</v>
      </c>
    </row>
    <row r="196" spans="1:32" x14ac:dyDescent="0.25">
      <c r="A196" s="25" t="s">
        <v>265</v>
      </c>
      <c r="B196" s="25">
        <v>0</v>
      </c>
      <c r="C196" s="25">
        <v>0</v>
      </c>
      <c r="D196" s="25">
        <v>0</v>
      </c>
      <c r="E196" s="25">
        <v>0</v>
      </c>
      <c r="F196" s="25">
        <v>0</v>
      </c>
      <c r="G196" s="25">
        <v>0</v>
      </c>
      <c r="H196" s="25">
        <v>0</v>
      </c>
      <c r="I196" s="25">
        <v>0</v>
      </c>
      <c r="J196" s="25">
        <v>0</v>
      </c>
      <c r="K196" s="25">
        <v>0</v>
      </c>
      <c r="L196" s="25">
        <v>0</v>
      </c>
      <c r="M196" s="25">
        <v>0</v>
      </c>
      <c r="N196" s="25">
        <v>0</v>
      </c>
      <c r="O196" s="25">
        <v>0</v>
      </c>
      <c r="P196" s="25">
        <v>0</v>
      </c>
      <c r="Q196" s="25">
        <v>0</v>
      </c>
      <c r="R196" s="25">
        <v>0</v>
      </c>
      <c r="S196" s="25">
        <v>0</v>
      </c>
      <c r="T196" s="25">
        <v>0</v>
      </c>
      <c r="U196" s="25">
        <v>0</v>
      </c>
      <c r="V196" s="25">
        <v>0</v>
      </c>
      <c r="W196" s="25">
        <v>0</v>
      </c>
      <c r="X196" s="25">
        <v>0</v>
      </c>
      <c r="Y196" s="25">
        <v>0</v>
      </c>
      <c r="Z196" s="25">
        <v>0</v>
      </c>
      <c r="AA196" s="25">
        <v>0</v>
      </c>
      <c r="AB196" s="25">
        <v>0</v>
      </c>
      <c r="AC196" s="25">
        <v>0</v>
      </c>
      <c r="AD196" s="25">
        <v>0</v>
      </c>
      <c r="AE196" s="25">
        <v>0</v>
      </c>
      <c r="AF196" s="25">
        <v>0</v>
      </c>
    </row>
    <row r="197" spans="1:32" x14ac:dyDescent="0.25">
      <c r="A197" s="25" t="s">
        <v>266</v>
      </c>
      <c r="B197" s="25">
        <v>0</v>
      </c>
      <c r="C197" s="25">
        <v>0</v>
      </c>
      <c r="D197" s="25">
        <v>0</v>
      </c>
      <c r="E197" s="25">
        <v>0</v>
      </c>
      <c r="F197" s="25">
        <v>0</v>
      </c>
      <c r="G197" s="25">
        <v>0</v>
      </c>
      <c r="H197" s="25">
        <v>0</v>
      </c>
      <c r="I197" s="25">
        <v>0</v>
      </c>
      <c r="J197" s="25">
        <v>0</v>
      </c>
      <c r="K197" s="25">
        <v>0</v>
      </c>
      <c r="L197" s="25">
        <v>0</v>
      </c>
      <c r="M197" s="25">
        <v>0</v>
      </c>
      <c r="N197" s="25">
        <v>0</v>
      </c>
      <c r="O197" s="25">
        <v>0</v>
      </c>
      <c r="P197" s="25">
        <v>0</v>
      </c>
      <c r="Q197" s="25">
        <v>0</v>
      </c>
      <c r="R197" s="25">
        <v>0</v>
      </c>
      <c r="S197" s="25">
        <v>0</v>
      </c>
      <c r="T197" s="25">
        <v>0</v>
      </c>
      <c r="U197" s="25">
        <v>0</v>
      </c>
      <c r="V197" s="25">
        <v>0</v>
      </c>
      <c r="W197" s="25">
        <v>0</v>
      </c>
      <c r="X197" s="25">
        <v>0</v>
      </c>
      <c r="Y197" s="25">
        <v>0</v>
      </c>
      <c r="Z197" s="25">
        <v>0</v>
      </c>
      <c r="AA197" s="25">
        <v>0</v>
      </c>
      <c r="AB197" s="25">
        <v>0</v>
      </c>
      <c r="AC197" s="25">
        <v>0</v>
      </c>
      <c r="AD197" s="25">
        <v>0</v>
      </c>
      <c r="AE197" s="25">
        <v>0</v>
      </c>
      <c r="AF197" s="25">
        <v>0</v>
      </c>
    </row>
    <row r="198" spans="1:32" x14ac:dyDescent="0.25">
      <c r="A198" s="25" t="s">
        <v>267</v>
      </c>
      <c r="B198" s="25">
        <v>0</v>
      </c>
      <c r="C198" s="25">
        <v>0</v>
      </c>
      <c r="D198" s="25">
        <v>0</v>
      </c>
      <c r="E198" s="25">
        <v>0</v>
      </c>
      <c r="F198" s="25">
        <v>0</v>
      </c>
      <c r="G198" s="25">
        <v>0</v>
      </c>
      <c r="H198" s="25">
        <v>0</v>
      </c>
      <c r="I198" s="25">
        <v>0</v>
      </c>
      <c r="J198" s="25">
        <v>0</v>
      </c>
      <c r="K198" s="25">
        <v>0</v>
      </c>
      <c r="L198" s="25">
        <v>0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R198" s="25">
        <v>0</v>
      </c>
      <c r="S198" s="25">
        <v>0</v>
      </c>
      <c r="T198" s="25">
        <v>0</v>
      </c>
      <c r="U198" s="25">
        <v>0</v>
      </c>
      <c r="V198" s="25">
        <v>0</v>
      </c>
      <c r="W198" s="25">
        <v>0</v>
      </c>
      <c r="X198" s="25">
        <v>0</v>
      </c>
      <c r="Y198" s="25">
        <v>0</v>
      </c>
      <c r="Z198" s="25">
        <v>0</v>
      </c>
      <c r="AA198" s="25">
        <v>0</v>
      </c>
      <c r="AB198" s="25">
        <v>0</v>
      </c>
      <c r="AC198" s="25">
        <v>0</v>
      </c>
      <c r="AD198" s="25">
        <v>0</v>
      </c>
      <c r="AE198" s="25">
        <v>0</v>
      </c>
      <c r="AF198" s="25">
        <v>0</v>
      </c>
    </row>
    <row r="199" spans="1:32" x14ac:dyDescent="0.25">
      <c r="A199" s="25" t="s">
        <v>268</v>
      </c>
      <c r="B199" s="25">
        <v>0</v>
      </c>
      <c r="C199" s="25">
        <v>0</v>
      </c>
      <c r="D199" s="25">
        <v>0</v>
      </c>
      <c r="E199" s="25">
        <v>0</v>
      </c>
      <c r="F199" s="25">
        <v>0</v>
      </c>
      <c r="G199" s="25">
        <v>0</v>
      </c>
      <c r="H199" s="25">
        <v>0</v>
      </c>
      <c r="I199" s="25">
        <v>0</v>
      </c>
      <c r="J199" s="25">
        <v>0</v>
      </c>
      <c r="K199" s="25">
        <v>0</v>
      </c>
      <c r="L199" s="25">
        <v>0</v>
      </c>
      <c r="M199" s="25">
        <v>0</v>
      </c>
      <c r="N199" s="25">
        <v>0</v>
      </c>
      <c r="O199" s="25">
        <v>0</v>
      </c>
      <c r="P199" s="25">
        <v>0</v>
      </c>
      <c r="Q199" s="25">
        <v>0</v>
      </c>
      <c r="R199" s="25">
        <v>0</v>
      </c>
      <c r="S199" s="25">
        <v>0</v>
      </c>
      <c r="T199" s="25">
        <v>0</v>
      </c>
      <c r="U199" s="25">
        <v>0</v>
      </c>
      <c r="V199" s="25">
        <v>0</v>
      </c>
      <c r="W199" s="25">
        <v>0</v>
      </c>
      <c r="X199" s="25">
        <v>0</v>
      </c>
      <c r="Y199" s="25">
        <v>0</v>
      </c>
      <c r="Z199" s="25">
        <v>0</v>
      </c>
      <c r="AA199" s="25">
        <v>0</v>
      </c>
      <c r="AB199" s="25">
        <v>0</v>
      </c>
      <c r="AC199" s="25">
        <v>0</v>
      </c>
      <c r="AD199" s="25">
        <v>0</v>
      </c>
      <c r="AE199" s="25">
        <v>0</v>
      </c>
      <c r="AF199" s="25">
        <v>0</v>
      </c>
    </row>
    <row r="200" spans="1:32" x14ac:dyDescent="0.25">
      <c r="A200" s="25" t="s">
        <v>269</v>
      </c>
      <c r="B200" s="25">
        <v>0</v>
      </c>
      <c r="C200" s="25">
        <v>0</v>
      </c>
      <c r="D200" s="25">
        <v>0</v>
      </c>
      <c r="E200" s="25">
        <v>0</v>
      </c>
      <c r="F200" s="25">
        <v>0</v>
      </c>
      <c r="G200" s="25">
        <v>0</v>
      </c>
      <c r="H200" s="25">
        <v>0</v>
      </c>
      <c r="I200" s="25">
        <v>0</v>
      </c>
      <c r="J200" s="25">
        <v>0</v>
      </c>
      <c r="K200" s="25">
        <v>0</v>
      </c>
      <c r="L200" s="25">
        <v>0</v>
      </c>
      <c r="M200" s="25">
        <v>0</v>
      </c>
      <c r="N200" s="25">
        <v>0</v>
      </c>
      <c r="O200" s="25">
        <v>0</v>
      </c>
      <c r="P200" s="25">
        <v>0</v>
      </c>
      <c r="Q200" s="25">
        <v>0</v>
      </c>
      <c r="R200" s="25">
        <v>0</v>
      </c>
      <c r="S200" s="25">
        <v>0</v>
      </c>
      <c r="T200" s="25">
        <v>0</v>
      </c>
      <c r="U200" s="25">
        <v>0</v>
      </c>
      <c r="V200" s="25">
        <v>0</v>
      </c>
      <c r="W200" s="25">
        <v>0</v>
      </c>
      <c r="X200" s="25">
        <v>0</v>
      </c>
      <c r="Y200" s="25">
        <v>0</v>
      </c>
      <c r="Z200" s="25">
        <v>0</v>
      </c>
      <c r="AA200" s="25">
        <v>0</v>
      </c>
      <c r="AB200" s="25">
        <v>0</v>
      </c>
      <c r="AC200" s="25">
        <v>0</v>
      </c>
      <c r="AD200" s="25">
        <v>0</v>
      </c>
      <c r="AE200" s="25">
        <v>0</v>
      </c>
      <c r="AF200" s="25">
        <v>0</v>
      </c>
    </row>
    <row r="201" spans="1:32" x14ac:dyDescent="0.25">
      <c r="A201" s="25" t="s">
        <v>270</v>
      </c>
      <c r="B201" s="25">
        <v>0</v>
      </c>
      <c r="C201" s="25">
        <v>0</v>
      </c>
      <c r="D201" s="25">
        <v>0</v>
      </c>
      <c r="E201" s="25">
        <v>0</v>
      </c>
      <c r="F201" s="25">
        <v>0</v>
      </c>
      <c r="G201" s="25">
        <v>0</v>
      </c>
      <c r="H201" s="25">
        <v>0</v>
      </c>
      <c r="I201" s="25">
        <v>0</v>
      </c>
      <c r="J201" s="25">
        <v>0</v>
      </c>
      <c r="K201" s="25">
        <v>0</v>
      </c>
      <c r="L201" s="25">
        <v>0</v>
      </c>
      <c r="M201" s="25">
        <v>0</v>
      </c>
      <c r="N201" s="25">
        <v>0</v>
      </c>
      <c r="O201" s="25">
        <v>0</v>
      </c>
      <c r="P201" s="25">
        <v>0</v>
      </c>
      <c r="Q201" s="25">
        <v>0</v>
      </c>
      <c r="R201" s="25">
        <v>0</v>
      </c>
      <c r="S201" s="25">
        <v>0</v>
      </c>
      <c r="T201" s="25">
        <v>0</v>
      </c>
      <c r="U201" s="25">
        <v>0</v>
      </c>
      <c r="V201" s="25">
        <v>0</v>
      </c>
      <c r="W201" s="25">
        <v>0</v>
      </c>
      <c r="X201" s="25">
        <v>0</v>
      </c>
      <c r="Y201" s="25">
        <v>0</v>
      </c>
      <c r="Z201" s="25">
        <v>0</v>
      </c>
      <c r="AA201" s="25">
        <v>0</v>
      </c>
      <c r="AB201" s="25">
        <v>0</v>
      </c>
      <c r="AC201" s="25">
        <v>0</v>
      </c>
      <c r="AD201" s="25">
        <v>0</v>
      </c>
      <c r="AE201" s="25">
        <v>0</v>
      </c>
      <c r="AF201" s="25">
        <v>0</v>
      </c>
    </row>
    <row r="202" spans="1:32" x14ac:dyDescent="0.25">
      <c r="A202" s="25" t="s">
        <v>271</v>
      </c>
      <c r="B202" s="25">
        <v>0</v>
      </c>
      <c r="C202" s="25">
        <v>0</v>
      </c>
      <c r="D202" s="25">
        <v>0</v>
      </c>
      <c r="E202" s="25">
        <v>0</v>
      </c>
      <c r="F202" s="25">
        <v>0</v>
      </c>
      <c r="G202" s="25">
        <v>0</v>
      </c>
      <c r="H202" s="25">
        <v>0</v>
      </c>
      <c r="I202" s="25">
        <v>0</v>
      </c>
      <c r="J202" s="25">
        <v>0</v>
      </c>
      <c r="K202" s="25">
        <v>0</v>
      </c>
      <c r="L202" s="25">
        <v>0</v>
      </c>
      <c r="M202" s="25">
        <v>0</v>
      </c>
      <c r="N202" s="25">
        <v>0</v>
      </c>
      <c r="O202" s="25">
        <v>0</v>
      </c>
      <c r="P202" s="25">
        <v>0</v>
      </c>
      <c r="Q202" s="25">
        <v>0</v>
      </c>
      <c r="R202" s="25">
        <v>0</v>
      </c>
      <c r="S202" s="25">
        <v>0</v>
      </c>
      <c r="T202" s="25">
        <v>0</v>
      </c>
      <c r="U202" s="25">
        <v>0</v>
      </c>
      <c r="V202" s="25">
        <v>0</v>
      </c>
      <c r="W202" s="25">
        <v>0</v>
      </c>
      <c r="X202" s="25">
        <v>0</v>
      </c>
      <c r="Y202" s="25">
        <v>0</v>
      </c>
      <c r="Z202" s="25">
        <v>0</v>
      </c>
      <c r="AA202" s="25">
        <v>0</v>
      </c>
      <c r="AB202" s="25">
        <v>0</v>
      </c>
      <c r="AC202" s="25">
        <v>0</v>
      </c>
      <c r="AD202" s="25">
        <v>0</v>
      </c>
      <c r="AE202" s="25">
        <v>0</v>
      </c>
      <c r="AF202" s="25">
        <v>0</v>
      </c>
    </row>
    <row r="203" spans="1:32" x14ac:dyDescent="0.25">
      <c r="A203" s="25" t="s">
        <v>272</v>
      </c>
      <c r="B203" s="25">
        <v>0</v>
      </c>
      <c r="C203" s="25">
        <v>0</v>
      </c>
      <c r="D203" s="25">
        <v>0</v>
      </c>
      <c r="E203" s="25">
        <v>0</v>
      </c>
      <c r="F203" s="25">
        <v>0</v>
      </c>
      <c r="G203" s="25">
        <v>0</v>
      </c>
      <c r="H203" s="25">
        <v>0</v>
      </c>
      <c r="I203" s="25">
        <v>0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>
        <v>0</v>
      </c>
      <c r="S203" s="25">
        <v>0</v>
      </c>
      <c r="T203" s="25">
        <v>0</v>
      </c>
      <c r="U203" s="25">
        <v>0</v>
      </c>
      <c r="V203" s="25">
        <v>0</v>
      </c>
      <c r="W203" s="25">
        <v>0</v>
      </c>
      <c r="X203" s="25">
        <v>0</v>
      </c>
      <c r="Y203" s="25">
        <v>0</v>
      </c>
      <c r="Z203" s="25">
        <v>0</v>
      </c>
      <c r="AA203" s="25">
        <v>0</v>
      </c>
      <c r="AB203" s="25">
        <v>0</v>
      </c>
      <c r="AC203" s="25">
        <v>0</v>
      </c>
      <c r="AD203" s="25">
        <v>0</v>
      </c>
      <c r="AE203" s="25">
        <v>0</v>
      </c>
      <c r="AF203" s="25">
        <v>0</v>
      </c>
    </row>
    <row r="204" spans="1:32" x14ac:dyDescent="0.25">
      <c r="A204" s="25" t="s">
        <v>273</v>
      </c>
      <c r="B204" s="25">
        <v>0</v>
      </c>
      <c r="C204" s="25">
        <v>0</v>
      </c>
      <c r="D204" s="25">
        <v>0</v>
      </c>
      <c r="E204" s="25">
        <v>0</v>
      </c>
      <c r="F204" s="25">
        <v>0</v>
      </c>
      <c r="G204" s="25">
        <v>0</v>
      </c>
      <c r="H204" s="25">
        <v>0</v>
      </c>
      <c r="I204" s="25">
        <v>0</v>
      </c>
      <c r="J204" s="25">
        <v>0</v>
      </c>
      <c r="K204" s="25">
        <v>0</v>
      </c>
      <c r="L204" s="25">
        <v>0</v>
      </c>
      <c r="M204" s="25">
        <v>0</v>
      </c>
      <c r="N204" s="25">
        <v>0</v>
      </c>
      <c r="O204" s="25">
        <v>0</v>
      </c>
      <c r="P204" s="25">
        <v>0</v>
      </c>
      <c r="Q204" s="25">
        <v>0</v>
      </c>
      <c r="R204" s="25">
        <v>0</v>
      </c>
      <c r="S204" s="25">
        <v>0</v>
      </c>
      <c r="T204" s="25">
        <v>0</v>
      </c>
      <c r="U204" s="25">
        <v>0</v>
      </c>
      <c r="V204" s="25">
        <v>0</v>
      </c>
      <c r="W204" s="25">
        <v>0</v>
      </c>
      <c r="X204" s="25">
        <v>0</v>
      </c>
      <c r="Y204" s="25">
        <v>0</v>
      </c>
      <c r="Z204" s="25">
        <v>0</v>
      </c>
      <c r="AA204" s="25">
        <v>0</v>
      </c>
      <c r="AB204" s="25">
        <v>0</v>
      </c>
      <c r="AC204" s="25">
        <v>0</v>
      </c>
      <c r="AD204" s="25">
        <v>0</v>
      </c>
      <c r="AE204" s="25">
        <v>0</v>
      </c>
      <c r="AF204" s="25">
        <v>0</v>
      </c>
    </row>
    <row r="205" spans="1:32" x14ac:dyDescent="0.25">
      <c r="A205" s="25" t="s">
        <v>274</v>
      </c>
      <c r="B205" s="25">
        <v>0</v>
      </c>
      <c r="C205" s="25">
        <v>0</v>
      </c>
      <c r="D205" s="25">
        <v>0</v>
      </c>
      <c r="E205" s="25">
        <v>0</v>
      </c>
      <c r="F205" s="25">
        <v>0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0</v>
      </c>
      <c r="W205" s="25">
        <v>0</v>
      </c>
      <c r="X205" s="25">
        <v>0</v>
      </c>
      <c r="Y205" s="25">
        <v>0</v>
      </c>
      <c r="Z205" s="25">
        <v>0</v>
      </c>
      <c r="AA205" s="25">
        <v>0</v>
      </c>
      <c r="AB205" s="25">
        <v>0</v>
      </c>
      <c r="AC205" s="25">
        <v>0</v>
      </c>
      <c r="AD205" s="25">
        <v>0</v>
      </c>
      <c r="AE205" s="25">
        <v>0</v>
      </c>
      <c r="AF205" s="25">
        <v>0</v>
      </c>
    </row>
    <row r="206" spans="1:32" x14ac:dyDescent="0.25">
      <c r="A206" s="25" t="s">
        <v>275</v>
      </c>
      <c r="B206" s="25">
        <v>0</v>
      </c>
      <c r="C206" s="25">
        <v>0</v>
      </c>
      <c r="D206" s="25">
        <v>0</v>
      </c>
      <c r="E206" s="25">
        <v>0</v>
      </c>
      <c r="F206" s="25">
        <v>0</v>
      </c>
      <c r="G206" s="25">
        <v>0</v>
      </c>
      <c r="H206" s="25">
        <v>0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R206" s="25">
        <v>0</v>
      </c>
      <c r="S206" s="25">
        <v>0</v>
      </c>
      <c r="T206" s="25">
        <v>0</v>
      </c>
      <c r="U206" s="25">
        <v>0</v>
      </c>
      <c r="V206" s="25">
        <v>0</v>
      </c>
      <c r="W206" s="25">
        <v>0</v>
      </c>
      <c r="X206" s="25">
        <v>0</v>
      </c>
      <c r="Y206" s="25">
        <v>0</v>
      </c>
      <c r="Z206" s="25">
        <v>0</v>
      </c>
      <c r="AA206" s="25">
        <v>0</v>
      </c>
      <c r="AB206" s="25">
        <v>0</v>
      </c>
      <c r="AC206" s="25">
        <v>0</v>
      </c>
      <c r="AD206" s="25">
        <v>0</v>
      </c>
      <c r="AE206" s="25">
        <v>0</v>
      </c>
      <c r="AF206" s="25">
        <v>0</v>
      </c>
    </row>
    <row r="207" spans="1:32" x14ac:dyDescent="0.25">
      <c r="A207" s="25" t="s">
        <v>276</v>
      </c>
      <c r="B207" s="25">
        <v>0</v>
      </c>
      <c r="C207" s="25">
        <v>0</v>
      </c>
      <c r="D207" s="25">
        <v>0</v>
      </c>
      <c r="E207" s="25">
        <v>0</v>
      </c>
      <c r="F207" s="25">
        <v>0</v>
      </c>
      <c r="G207" s="25">
        <v>0</v>
      </c>
      <c r="H207" s="25">
        <v>0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0</v>
      </c>
      <c r="W207" s="25">
        <v>0</v>
      </c>
      <c r="X207" s="25">
        <v>0</v>
      </c>
      <c r="Y207" s="25">
        <v>0</v>
      </c>
      <c r="Z207" s="25">
        <v>0</v>
      </c>
      <c r="AA207" s="25">
        <v>0</v>
      </c>
      <c r="AB207" s="25">
        <v>0</v>
      </c>
      <c r="AC207" s="25">
        <v>0</v>
      </c>
      <c r="AD207" s="25">
        <v>0</v>
      </c>
      <c r="AE207" s="25">
        <v>0</v>
      </c>
      <c r="AF207" s="25">
        <v>0</v>
      </c>
    </row>
    <row r="208" spans="1:32" x14ac:dyDescent="0.25">
      <c r="A208" s="25" t="s">
        <v>277</v>
      </c>
      <c r="B208" s="12">
        <v>3.20722E+16</v>
      </c>
      <c r="C208" s="12">
        <v>3.63039E+16</v>
      </c>
      <c r="D208" s="12">
        <v>3.75977E+16</v>
      </c>
      <c r="E208" s="12">
        <v>3.80689E+16</v>
      </c>
      <c r="F208" s="12">
        <v>3.82856E+16</v>
      </c>
      <c r="G208" s="12">
        <v>3.82639E+16</v>
      </c>
      <c r="H208" s="12">
        <v>3.82014E+16</v>
      </c>
      <c r="I208" s="12">
        <v>3.80918E+16</v>
      </c>
      <c r="J208" s="12">
        <v>3.78831E+16</v>
      </c>
      <c r="K208" s="12">
        <v>3.79433E+16</v>
      </c>
      <c r="L208" s="12">
        <v>3.79112E+16</v>
      </c>
      <c r="M208" s="12">
        <v>3.75468E+16</v>
      </c>
      <c r="N208" s="12">
        <v>3.74773E+16</v>
      </c>
      <c r="O208" s="12">
        <v>3.73634E+16</v>
      </c>
      <c r="P208" s="12">
        <v>3.73458E+16</v>
      </c>
      <c r="Q208" s="12">
        <v>3.72402E+16</v>
      </c>
      <c r="R208" s="12">
        <v>3.72525E+16</v>
      </c>
      <c r="S208" s="12">
        <v>3.72966E+16</v>
      </c>
      <c r="T208" s="12">
        <v>3.72627E+16</v>
      </c>
      <c r="U208" s="12">
        <v>3.73536E+16</v>
      </c>
      <c r="V208" s="12">
        <v>3.71561E+16</v>
      </c>
      <c r="W208" s="12">
        <v>3.71883E+16</v>
      </c>
      <c r="X208" s="12">
        <v>3.71691E+16</v>
      </c>
      <c r="Y208" s="12">
        <v>3.70163E+16</v>
      </c>
      <c r="Z208" s="12">
        <v>3.70072E+16</v>
      </c>
      <c r="AA208" s="12">
        <v>3.68673E+16</v>
      </c>
      <c r="AB208" s="12">
        <v>3.67317E+16</v>
      </c>
      <c r="AC208" s="12">
        <v>3.68764E+16</v>
      </c>
      <c r="AD208" s="12">
        <v>3.6681E+16</v>
      </c>
      <c r="AE208" s="12">
        <v>3.66564E+16</v>
      </c>
      <c r="AF208" s="12">
        <v>3.67651E+16</v>
      </c>
    </row>
    <row r="209" spans="1:32" x14ac:dyDescent="0.25">
      <c r="A209" s="25" t="s">
        <v>278</v>
      </c>
      <c r="B209" s="25">
        <v>0</v>
      </c>
      <c r="C209" s="12">
        <v>96551800000</v>
      </c>
      <c r="D209" s="12">
        <v>177357000000</v>
      </c>
      <c r="E209" s="12">
        <v>243830000000</v>
      </c>
      <c r="F209" s="12">
        <v>300155000000</v>
      </c>
      <c r="G209" s="12">
        <v>355189000000</v>
      </c>
      <c r="H209" s="12">
        <v>414774000000</v>
      </c>
      <c r="I209" s="12">
        <v>469473000000</v>
      </c>
      <c r="J209" s="12">
        <v>831153000000</v>
      </c>
      <c r="K209" s="12">
        <v>889335000000</v>
      </c>
      <c r="L209" s="12">
        <v>941761000000</v>
      </c>
      <c r="M209" s="12">
        <v>987208000000</v>
      </c>
      <c r="N209" s="12">
        <v>1036080000000</v>
      </c>
      <c r="O209" s="12">
        <v>1079530000000</v>
      </c>
      <c r="P209" s="12">
        <v>1129800000000</v>
      </c>
      <c r="Q209" s="12">
        <v>1158500000000</v>
      </c>
      <c r="R209" s="12">
        <v>1193640000000</v>
      </c>
      <c r="S209" s="12">
        <v>1176570000000</v>
      </c>
      <c r="T209" s="12">
        <v>1162830000000</v>
      </c>
      <c r="U209" s="12">
        <v>1158300000000</v>
      </c>
      <c r="V209" s="12">
        <v>1144890000000</v>
      </c>
      <c r="W209" s="12">
        <v>1139080000000</v>
      </c>
      <c r="X209" s="12">
        <v>1125430000000</v>
      </c>
      <c r="Y209" s="12">
        <v>1101000000000</v>
      </c>
      <c r="Z209" s="12">
        <v>1081860000000</v>
      </c>
      <c r="AA209" s="12">
        <v>1067010000000</v>
      </c>
      <c r="AB209" s="12">
        <v>1043450000000</v>
      </c>
      <c r="AC209" s="12">
        <v>1036150000000</v>
      </c>
      <c r="AD209" s="12">
        <v>1025190000000</v>
      </c>
      <c r="AE209" s="12">
        <v>1012020000000</v>
      </c>
      <c r="AF209" s="12">
        <v>1004050000000</v>
      </c>
    </row>
    <row r="210" spans="1:32" x14ac:dyDescent="0.25">
      <c r="A210" s="25" t="s">
        <v>279</v>
      </c>
      <c r="B210" s="25">
        <v>0</v>
      </c>
      <c r="C210" s="25">
        <v>0</v>
      </c>
      <c r="D210" s="25">
        <v>0</v>
      </c>
      <c r="E210" s="25">
        <v>0</v>
      </c>
      <c r="F210" s="25">
        <v>0</v>
      </c>
      <c r="G210" s="25">
        <v>0</v>
      </c>
      <c r="H210" s="25">
        <v>0</v>
      </c>
      <c r="I210" s="25">
        <v>0</v>
      </c>
      <c r="J210" s="25">
        <v>0</v>
      </c>
      <c r="K210" s="25">
        <v>0</v>
      </c>
      <c r="L210" s="25">
        <v>0</v>
      </c>
      <c r="M210" s="25">
        <v>0</v>
      </c>
      <c r="N210" s="25">
        <v>0</v>
      </c>
      <c r="O210" s="25">
        <v>0</v>
      </c>
      <c r="P210" s="25">
        <v>0</v>
      </c>
      <c r="Q210" s="25">
        <v>0</v>
      </c>
      <c r="R210" s="25">
        <v>0</v>
      </c>
      <c r="S210" s="25">
        <v>0</v>
      </c>
      <c r="T210" s="25">
        <v>0</v>
      </c>
      <c r="U210" s="25">
        <v>0</v>
      </c>
      <c r="V210" s="25">
        <v>0</v>
      </c>
      <c r="W210" s="25">
        <v>0</v>
      </c>
      <c r="X210" s="25">
        <v>0</v>
      </c>
      <c r="Y210" s="25">
        <v>0</v>
      </c>
      <c r="Z210" s="25">
        <v>0</v>
      </c>
      <c r="AA210" s="25">
        <v>0</v>
      </c>
      <c r="AB210" s="25">
        <v>0</v>
      </c>
      <c r="AC210" s="25">
        <v>0</v>
      </c>
      <c r="AD210" s="25">
        <v>0</v>
      </c>
      <c r="AE210" s="25">
        <v>0</v>
      </c>
      <c r="AF210" s="25">
        <v>0</v>
      </c>
    </row>
    <row r="211" spans="1:32" x14ac:dyDescent="0.25">
      <c r="A211" s="25" t="s">
        <v>280</v>
      </c>
      <c r="B211" s="25">
        <v>0</v>
      </c>
      <c r="C211" s="25">
        <v>0</v>
      </c>
      <c r="D211" s="25">
        <v>0</v>
      </c>
      <c r="E211" s="25">
        <v>0</v>
      </c>
      <c r="F211" s="25">
        <v>0</v>
      </c>
      <c r="G211" s="25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5">
        <v>0</v>
      </c>
      <c r="T211" s="25">
        <v>0</v>
      </c>
      <c r="U211" s="25">
        <v>0</v>
      </c>
      <c r="V211" s="25">
        <v>0</v>
      </c>
      <c r="W211" s="25">
        <v>0</v>
      </c>
      <c r="X211" s="25">
        <v>0</v>
      </c>
      <c r="Y211" s="25">
        <v>0</v>
      </c>
      <c r="Z211" s="25">
        <v>0</v>
      </c>
      <c r="AA211" s="25">
        <v>0</v>
      </c>
      <c r="AB211" s="25">
        <v>0</v>
      </c>
      <c r="AC211" s="25">
        <v>0</v>
      </c>
      <c r="AD211" s="25">
        <v>0</v>
      </c>
      <c r="AE211" s="25">
        <v>0</v>
      </c>
      <c r="AF211" s="25">
        <v>0</v>
      </c>
    </row>
    <row r="212" spans="1:32" x14ac:dyDescent="0.25">
      <c r="A212" s="25" t="s">
        <v>281</v>
      </c>
      <c r="B212" s="25">
        <v>0</v>
      </c>
      <c r="C212" s="25">
        <v>0</v>
      </c>
      <c r="D212" s="25">
        <v>33128000000</v>
      </c>
      <c r="E212" s="25">
        <v>67907100000</v>
      </c>
      <c r="F212" s="25">
        <v>101189000000</v>
      </c>
      <c r="G212" s="25">
        <v>134579000000</v>
      </c>
      <c r="H212" s="25">
        <v>169138000000</v>
      </c>
      <c r="I212" s="25">
        <v>203259000000</v>
      </c>
      <c r="J212" s="25">
        <v>296335000000</v>
      </c>
      <c r="K212" s="25">
        <v>633817000000</v>
      </c>
      <c r="L212" s="25">
        <v>967359000000</v>
      </c>
      <c r="M212" s="25">
        <v>1296350000000</v>
      </c>
      <c r="N212" s="25">
        <v>1630490000000</v>
      </c>
      <c r="O212" s="25">
        <v>1958950000000</v>
      </c>
      <c r="P212" s="25">
        <v>2302100000000</v>
      </c>
      <c r="Q212" s="25">
        <v>2621020000000</v>
      </c>
      <c r="R212" s="25">
        <v>2941950000000</v>
      </c>
      <c r="S212" s="25">
        <v>2942320000000</v>
      </c>
      <c r="T212" s="25">
        <v>2918830000000</v>
      </c>
      <c r="U212" s="25">
        <v>2913920000000</v>
      </c>
      <c r="V212" s="25">
        <v>2883410000000</v>
      </c>
      <c r="W212" s="25">
        <v>2869180000000</v>
      </c>
      <c r="X212" s="25">
        <v>2833420000000</v>
      </c>
      <c r="Y212" s="25">
        <v>2774240000000</v>
      </c>
      <c r="Z212" s="25">
        <v>2742750000000</v>
      </c>
      <c r="AA212" s="25">
        <v>2718730000000</v>
      </c>
      <c r="AB212" s="25">
        <v>2681110000000</v>
      </c>
      <c r="AC212" s="25">
        <v>2671770000000</v>
      </c>
      <c r="AD212" s="25">
        <v>2648730000000</v>
      </c>
      <c r="AE212" s="25">
        <v>2623880000000</v>
      </c>
      <c r="AF212" s="25">
        <v>2624980000000</v>
      </c>
    </row>
    <row r="213" spans="1:32" x14ac:dyDescent="0.25">
      <c r="A213" s="25" t="s">
        <v>282</v>
      </c>
      <c r="B213" s="25">
        <v>0</v>
      </c>
      <c r="C213" s="25">
        <v>0</v>
      </c>
      <c r="D213" s="25">
        <v>0</v>
      </c>
      <c r="E213" s="25">
        <v>0</v>
      </c>
      <c r="F213" s="25">
        <v>0</v>
      </c>
      <c r="G213" s="25">
        <v>0</v>
      </c>
      <c r="H213" s="25">
        <v>0</v>
      </c>
      <c r="I213" s="25">
        <v>0</v>
      </c>
      <c r="J213" s="25">
        <v>0</v>
      </c>
      <c r="K213" s="25">
        <v>0</v>
      </c>
      <c r="L213" s="25">
        <v>0</v>
      </c>
      <c r="M213" s="25">
        <v>0</v>
      </c>
      <c r="N213" s="25">
        <v>0</v>
      </c>
      <c r="O213" s="25">
        <v>0</v>
      </c>
      <c r="P213" s="25">
        <v>0</v>
      </c>
      <c r="Q213" s="25">
        <v>0</v>
      </c>
      <c r="R213" s="25">
        <v>0</v>
      </c>
      <c r="S213" s="25">
        <v>0</v>
      </c>
      <c r="T213" s="25">
        <v>0</v>
      </c>
      <c r="U213" s="25">
        <v>0</v>
      </c>
      <c r="V213" s="25">
        <v>0</v>
      </c>
      <c r="W213" s="25">
        <v>0</v>
      </c>
      <c r="X213" s="25">
        <v>0</v>
      </c>
      <c r="Y213" s="25">
        <v>0</v>
      </c>
      <c r="Z213" s="25">
        <v>0</v>
      </c>
      <c r="AA213" s="25">
        <v>0</v>
      </c>
      <c r="AB213" s="25">
        <v>0</v>
      </c>
      <c r="AC213" s="25">
        <v>0</v>
      </c>
      <c r="AD213" s="25">
        <v>0</v>
      </c>
      <c r="AE213" s="25">
        <v>0</v>
      </c>
      <c r="AF213" s="25">
        <v>0</v>
      </c>
    </row>
    <row r="214" spans="1:32" x14ac:dyDescent="0.25">
      <c r="A214" s="25" t="s">
        <v>283</v>
      </c>
      <c r="B214" s="25">
        <v>0</v>
      </c>
      <c r="C214" s="25">
        <v>0</v>
      </c>
      <c r="D214" s="25">
        <v>0</v>
      </c>
      <c r="E214" s="25">
        <v>0</v>
      </c>
      <c r="F214" s="25">
        <v>0</v>
      </c>
      <c r="G214" s="25">
        <v>0</v>
      </c>
      <c r="H214" s="25">
        <v>0</v>
      </c>
      <c r="I214" s="25">
        <v>0</v>
      </c>
      <c r="J214" s="25">
        <v>0</v>
      </c>
      <c r="K214" s="25">
        <v>0</v>
      </c>
      <c r="L214" s="25">
        <v>0</v>
      </c>
      <c r="M214" s="25">
        <v>0</v>
      </c>
      <c r="N214" s="25">
        <v>0</v>
      </c>
      <c r="O214" s="25">
        <v>0</v>
      </c>
      <c r="P214" s="25">
        <v>0</v>
      </c>
      <c r="Q214" s="25">
        <v>0</v>
      </c>
      <c r="R214" s="25">
        <v>0</v>
      </c>
      <c r="S214" s="25">
        <v>0</v>
      </c>
      <c r="T214" s="25">
        <v>0</v>
      </c>
      <c r="U214" s="25">
        <v>0</v>
      </c>
      <c r="V214" s="25">
        <v>0</v>
      </c>
      <c r="W214" s="25">
        <v>0</v>
      </c>
      <c r="X214" s="25">
        <v>0</v>
      </c>
      <c r="Y214" s="25">
        <v>0</v>
      </c>
      <c r="Z214" s="25">
        <v>0</v>
      </c>
      <c r="AA214" s="25">
        <v>0</v>
      </c>
      <c r="AB214" s="25">
        <v>0</v>
      </c>
      <c r="AC214" s="25">
        <v>0</v>
      </c>
      <c r="AD214" s="25">
        <v>0</v>
      </c>
      <c r="AE214" s="25">
        <v>0</v>
      </c>
      <c r="AF214" s="25">
        <v>0</v>
      </c>
    </row>
    <row r="215" spans="1:32" x14ac:dyDescent="0.25">
      <c r="A215" s="25" t="s">
        <v>284</v>
      </c>
      <c r="B215" s="25">
        <v>0</v>
      </c>
      <c r="C215" s="25">
        <v>0</v>
      </c>
      <c r="D215" s="25">
        <v>0</v>
      </c>
      <c r="E215" s="25">
        <v>0</v>
      </c>
      <c r="F215" s="25">
        <v>0</v>
      </c>
      <c r="G215" s="25">
        <v>0</v>
      </c>
      <c r="H215" s="25">
        <v>0</v>
      </c>
      <c r="I215" s="25">
        <v>0</v>
      </c>
      <c r="J215" s="25">
        <v>0</v>
      </c>
      <c r="K215" s="25">
        <v>0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5">
        <v>0</v>
      </c>
      <c r="U215" s="25">
        <v>0</v>
      </c>
      <c r="V215" s="25">
        <v>0</v>
      </c>
      <c r="W215" s="25">
        <v>0</v>
      </c>
      <c r="X215" s="25">
        <v>0</v>
      </c>
      <c r="Y215" s="25">
        <v>0</v>
      </c>
      <c r="Z215" s="25">
        <v>0</v>
      </c>
      <c r="AA215" s="25">
        <v>0</v>
      </c>
      <c r="AB215" s="25">
        <v>0</v>
      </c>
      <c r="AC215" s="25">
        <v>0</v>
      </c>
      <c r="AD215" s="25">
        <v>0</v>
      </c>
      <c r="AE215" s="25">
        <v>0</v>
      </c>
      <c r="AF215" s="25">
        <v>0</v>
      </c>
    </row>
    <row r="216" spans="1:32" x14ac:dyDescent="0.25">
      <c r="A216" s="25" t="s">
        <v>285</v>
      </c>
      <c r="B216" s="25">
        <v>0</v>
      </c>
      <c r="C216" s="25">
        <v>0</v>
      </c>
      <c r="D216" s="25">
        <v>0</v>
      </c>
      <c r="E216" s="25">
        <v>0</v>
      </c>
      <c r="F216" s="25">
        <v>0</v>
      </c>
      <c r="G216" s="25">
        <v>0</v>
      </c>
      <c r="H216" s="25">
        <v>0</v>
      </c>
      <c r="I216" s="25">
        <v>0</v>
      </c>
      <c r="J216" s="25">
        <v>0</v>
      </c>
      <c r="K216" s="25">
        <v>0</v>
      </c>
      <c r="L216" s="25">
        <v>0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5">
        <v>0</v>
      </c>
      <c r="T216" s="25">
        <v>0</v>
      </c>
      <c r="U216" s="25">
        <v>0</v>
      </c>
      <c r="V216" s="25">
        <v>0</v>
      </c>
      <c r="W216" s="25">
        <v>0</v>
      </c>
      <c r="X216" s="25">
        <v>0</v>
      </c>
      <c r="Y216" s="25">
        <v>0</v>
      </c>
      <c r="Z216" s="25">
        <v>0</v>
      </c>
      <c r="AA216" s="25">
        <v>0</v>
      </c>
      <c r="AB216" s="25">
        <v>0</v>
      </c>
      <c r="AC216" s="25">
        <v>0</v>
      </c>
      <c r="AD216" s="25">
        <v>0</v>
      </c>
      <c r="AE216" s="25">
        <v>0</v>
      </c>
      <c r="AF216" s="25">
        <v>0</v>
      </c>
    </row>
    <row r="217" spans="1:32" x14ac:dyDescent="0.25">
      <c r="A217" s="25" t="s">
        <v>286</v>
      </c>
      <c r="B217" s="25">
        <v>0</v>
      </c>
      <c r="C217" s="25">
        <v>0</v>
      </c>
      <c r="D217" s="25">
        <v>0</v>
      </c>
      <c r="E217" s="25">
        <v>0</v>
      </c>
      <c r="F217" s="25">
        <v>0</v>
      </c>
      <c r="G217" s="25">
        <v>0</v>
      </c>
      <c r="H217" s="25">
        <v>0</v>
      </c>
      <c r="I217" s="25">
        <v>0</v>
      </c>
      <c r="J217" s="25">
        <v>0</v>
      </c>
      <c r="K217" s="25">
        <v>0</v>
      </c>
      <c r="L217" s="25">
        <v>0</v>
      </c>
      <c r="M217" s="25">
        <v>0</v>
      </c>
      <c r="N217" s="25">
        <v>0</v>
      </c>
      <c r="O217" s="25">
        <v>0</v>
      </c>
      <c r="P217" s="25">
        <v>0</v>
      </c>
      <c r="Q217" s="25">
        <v>0</v>
      </c>
      <c r="R217" s="25">
        <v>0</v>
      </c>
      <c r="S217" s="25">
        <v>0</v>
      </c>
      <c r="T217" s="25">
        <v>0</v>
      </c>
      <c r="U217" s="25">
        <v>0</v>
      </c>
      <c r="V217" s="25">
        <v>0</v>
      </c>
      <c r="W217" s="25">
        <v>0</v>
      </c>
      <c r="X217" s="25">
        <v>0</v>
      </c>
      <c r="Y217" s="25">
        <v>0</v>
      </c>
      <c r="Z217" s="25">
        <v>0</v>
      </c>
      <c r="AA217" s="25">
        <v>0</v>
      </c>
      <c r="AB217" s="25">
        <v>0</v>
      </c>
      <c r="AC217" s="25">
        <v>0</v>
      </c>
      <c r="AD217" s="25">
        <v>0</v>
      </c>
      <c r="AE217" s="25">
        <v>0</v>
      </c>
      <c r="AF217" s="25">
        <v>0</v>
      </c>
    </row>
    <row r="218" spans="1:32" x14ac:dyDescent="0.25">
      <c r="A218" s="25" t="s">
        <v>287</v>
      </c>
      <c r="B218" s="25">
        <v>0</v>
      </c>
      <c r="C218" s="25">
        <v>0</v>
      </c>
      <c r="D218" s="25">
        <v>0</v>
      </c>
      <c r="E218" s="25">
        <v>0</v>
      </c>
      <c r="F218" s="25">
        <v>0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5">
        <v>0</v>
      </c>
      <c r="U218" s="25">
        <v>0</v>
      </c>
      <c r="V218" s="25">
        <v>0</v>
      </c>
      <c r="W218" s="25">
        <v>0</v>
      </c>
      <c r="X218" s="25">
        <v>0</v>
      </c>
      <c r="Y218" s="25">
        <v>0</v>
      </c>
      <c r="Z218" s="25">
        <v>0</v>
      </c>
      <c r="AA218" s="25">
        <v>0</v>
      </c>
      <c r="AB218" s="25">
        <v>0</v>
      </c>
      <c r="AC218" s="25">
        <v>0</v>
      </c>
      <c r="AD218" s="25">
        <v>0</v>
      </c>
      <c r="AE218" s="25">
        <v>0</v>
      </c>
      <c r="AF218" s="25">
        <v>0</v>
      </c>
    </row>
    <row r="219" spans="1:32" x14ac:dyDescent="0.25">
      <c r="A219" s="25" t="s">
        <v>288</v>
      </c>
      <c r="B219" s="25">
        <v>0</v>
      </c>
      <c r="C219" s="25">
        <v>0</v>
      </c>
      <c r="D219" s="25">
        <v>0</v>
      </c>
      <c r="E219" s="25">
        <v>0</v>
      </c>
      <c r="F219" s="25">
        <v>0</v>
      </c>
      <c r="G219" s="25">
        <v>0</v>
      </c>
      <c r="H219" s="25">
        <v>0</v>
      </c>
      <c r="I219" s="25">
        <v>0</v>
      </c>
      <c r="J219" s="25">
        <v>0</v>
      </c>
      <c r="K219" s="25">
        <v>0</v>
      </c>
      <c r="L219" s="25">
        <v>0</v>
      </c>
      <c r="M219" s="25">
        <v>0</v>
      </c>
      <c r="N219" s="25">
        <v>0</v>
      </c>
      <c r="O219" s="25">
        <v>0</v>
      </c>
      <c r="P219" s="25">
        <v>0</v>
      </c>
      <c r="Q219" s="25">
        <v>0</v>
      </c>
      <c r="R219" s="25">
        <v>0</v>
      </c>
      <c r="S219" s="25">
        <v>0</v>
      </c>
      <c r="T219" s="25">
        <v>0</v>
      </c>
      <c r="U219" s="25">
        <v>0</v>
      </c>
      <c r="V219" s="25">
        <v>0</v>
      </c>
      <c r="W219" s="25">
        <v>0</v>
      </c>
      <c r="X219" s="25">
        <v>0</v>
      </c>
      <c r="Y219" s="25">
        <v>0</v>
      </c>
      <c r="Z219" s="25">
        <v>0</v>
      </c>
      <c r="AA219" s="25">
        <v>0</v>
      </c>
      <c r="AB219" s="25">
        <v>0</v>
      </c>
      <c r="AC219" s="25">
        <v>0</v>
      </c>
      <c r="AD219" s="25">
        <v>0</v>
      </c>
      <c r="AE219" s="25">
        <v>0</v>
      </c>
      <c r="AF219" s="25">
        <v>0</v>
      </c>
    </row>
    <row r="220" spans="1:32" x14ac:dyDescent="0.25">
      <c r="A220" s="25" t="s">
        <v>289</v>
      </c>
      <c r="B220" s="25">
        <v>0</v>
      </c>
      <c r="C220" s="25">
        <v>0</v>
      </c>
      <c r="D220" s="25">
        <v>0</v>
      </c>
      <c r="E220" s="25">
        <v>0</v>
      </c>
      <c r="F220" s="25">
        <v>0</v>
      </c>
      <c r="G220" s="25">
        <v>0</v>
      </c>
      <c r="H220" s="25">
        <v>0</v>
      </c>
      <c r="I220" s="25">
        <v>0</v>
      </c>
      <c r="J220" s="25">
        <v>0</v>
      </c>
      <c r="K220" s="25">
        <v>0</v>
      </c>
      <c r="L220" s="25">
        <v>0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25">
        <v>0</v>
      </c>
      <c r="S220" s="25">
        <v>0</v>
      </c>
      <c r="T220" s="25">
        <v>0</v>
      </c>
      <c r="U220" s="25">
        <v>0</v>
      </c>
      <c r="V220" s="25">
        <v>0</v>
      </c>
      <c r="W220" s="25">
        <v>0</v>
      </c>
      <c r="X220" s="25">
        <v>0</v>
      </c>
      <c r="Y220" s="25">
        <v>0</v>
      </c>
      <c r="Z220" s="25">
        <v>0</v>
      </c>
      <c r="AA220" s="25">
        <v>0</v>
      </c>
      <c r="AB220" s="25">
        <v>0</v>
      </c>
      <c r="AC220" s="25">
        <v>0</v>
      </c>
      <c r="AD220" s="25">
        <v>0</v>
      </c>
      <c r="AE220" s="25">
        <v>0</v>
      </c>
      <c r="AF220" s="25">
        <v>0</v>
      </c>
    </row>
    <row r="221" spans="1:32" x14ac:dyDescent="0.25">
      <c r="A221" s="25" t="s">
        <v>290</v>
      </c>
      <c r="B221" s="25">
        <v>0</v>
      </c>
      <c r="C221" s="25">
        <v>0</v>
      </c>
      <c r="D221" s="25">
        <v>0</v>
      </c>
      <c r="E221" s="25">
        <v>0</v>
      </c>
      <c r="F221" s="25">
        <v>0</v>
      </c>
      <c r="G221" s="25">
        <v>0</v>
      </c>
      <c r="H221" s="25">
        <v>0</v>
      </c>
      <c r="I221" s="25">
        <v>0</v>
      </c>
      <c r="J221" s="25">
        <v>0</v>
      </c>
      <c r="K221" s="25">
        <v>0</v>
      </c>
      <c r="L221" s="25">
        <v>0</v>
      </c>
      <c r="M221" s="25">
        <v>0</v>
      </c>
      <c r="N221" s="25">
        <v>0</v>
      </c>
      <c r="O221" s="25">
        <v>0</v>
      </c>
      <c r="P221" s="25">
        <v>0</v>
      </c>
      <c r="Q221" s="25">
        <v>0</v>
      </c>
      <c r="R221" s="25">
        <v>0</v>
      </c>
      <c r="S221" s="25">
        <v>0</v>
      </c>
      <c r="T221" s="25">
        <v>0</v>
      </c>
      <c r="U221" s="25">
        <v>0</v>
      </c>
      <c r="V221" s="25">
        <v>0</v>
      </c>
      <c r="W221" s="25">
        <v>0</v>
      </c>
      <c r="X221" s="25">
        <v>0</v>
      </c>
      <c r="Y221" s="25">
        <v>0</v>
      </c>
      <c r="Z221" s="25">
        <v>0</v>
      </c>
      <c r="AA221" s="25">
        <v>0</v>
      </c>
      <c r="AB221" s="25">
        <v>0</v>
      </c>
      <c r="AC221" s="25">
        <v>0</v>
      </c>
      <c r="AD221" s="25">
        <v>0</v>
      </c>
      <c r="AE221" s="25">
        <v>0</v>
      </c>
      <c r="AF221" s="25">
        <v>0</v>
      </c>
    </row>
    <row r="222" spans="1:32" x14ac:dyDescent="0.25">
      <c r="A222" s="25" t="s">
        <v>291</v>
      </c>
      <c r="B222" s="25">
        <v>0</v>
      </c>
      <c r="C222" s="12">
        <v>2032070000000</v>
      </c>
      <c r="D222" s="12">
        <v>1725770000000</v>
      </c>
      <c r="E222" s="12">
        <v>1781100000000</v>
      </c>
      <c r="F222" s="12">
        <v>1903400000000</v>
      </c>
      <c r="G222" s="12">
        <v>1976380000000</v>
      </c>
      <c r="H222" s="12">
        <v>2015770000000</v>
      </c>
      <c r="I222" s="12">
        <v>2042630000000</v>
      </c>
      <c r="J222" s="12">
        <v>2082050000000</v>
      </c>
      <c r="K222" s="12">
        <v>2119730000000</v>
      </c>
      <c r="L222" s="12">
        <v>2151480000000</v>
      </c>
      <c r="M222" s="12">
        <v>2177440000000</v>
      </c>
      <c r="N222" s="12">
        <v>2212110000000</v>
      </c>
      <c r="O222" s="12">
        <v>2238120000000</v>
      </c>
      <c r="P222" s="12">
        <v>2274290000000</v>
      </c>
      <c r="Q222" s="12">
        <v>2290750000000</v>
      </c>
      <c r="R222" s="12">
        <v>2316520000000</v>
      </c>
      <c r="S222" s="12">
        <v>2279190000000</v>
      </c>
      <c r="T222" s="12">
        <v>2248430000000</v>
      </c>
      <c r="U222" s="12">
        <v>2217070000000</v>
      </c>
      <c r="V222" s="12">
        <v>2175480000000</v>
      </c>
      <c r="W222" s="12">
        <v>2144100000000</v>
      </c>
      <c r="X222" s="12">
        <v>2102260000000</v>
      </c>
      <c r="Y222" s="12">
        <v>2048630000000</v>
      </c>
      <c r="Z222" s="12">
        <v>2024650000000</v>
      </c>
      <c r="AA222" s="12">
        <v>2004570000000</v>
      </c>
      <c r="AB222" s="12">
        <v>1972990000000</v>
      </c>
      <c r="AC222" s="12">
        <v>1945640000000</v>
      </c>
      <c r="AD222" s="12">
        <v>1914920000000</v>
      </c>
      <c r="AE222" s="12">
        <v>1890910000000</v>
      </c>
      <c r="AF222" s="12">
        <v>1878480000000</v>
      </c>
    </row>
    <row r="223" spans="1:32" x14ac:dyDescent="0.25">
      <c r="A223" s="25" t="s">
        <v>292</v>
      </c>
      <c r="B223" s="25">
        <v>0</v>
      </c>
      <c r="C223" s="25">
        <v>0</v>
      </c>
      <c r="D223" s="25">
        <v>0</v>
      </c>
      <c r="E223" s="25">
        <v>0</v>
      </c>
      <c r="F223" s="25">
        <v>0</v>
      </c>
      <c r="G223" s="25">
        <v>0</v>
      </c>
      <c r="H223" s="25">
        <v>0</v>
      </c>
      <c r="I223" s="25">
        <v>0</v>
      </c>
      <c r="J223" s="25">
        <v>0</v>
      </c>
      <c r="K223" s="25">
        <v>0</v>
      </c>
      <c r="L223" s="25">
        <v>0</v>
      </c>
      <c r="M223" s="25">
        <v>0</v>
      </c>
      <c r="N223" s="25">
        <v>0</v>
      </c>
      <c r="O223" s="25">
        <v>0</v>
      </c>
      <c r="P223" s="25">
        <v>0</v>
      </c>
      <c r="Q223" s="25">
        <v>0</v>
      </c>
      <c r="R223" s="25">
        <v>0</v>
      </c>
      <c r="S223" s="25">
        <v>0</v>
      </c>
      <c r="T223" s="25">
        <v>0</v>
      </c>
      <c r="U223" s="25">
        <v>0</v>
      </c>
      <c r="V223" s="25">
        <v>0</v>
      </c>
      <c r="W223" s="25">
        <v>0</v>
      </c>
      <c r="X223" s="25">
        <v>0</v>
      </c>
      <c r="Y223" s="25">
        <v>0</v>
      </c>
      <c r="Z223" s="25">
        <v>0</v>
      </c>
      <c r="AA223" s="25">
        <v>0</v>
      </c>
      <c r="AB223" s="25">
        <v>0</v>
      </c>
      <c r="AC223" s="25">
        <v>0</v>
      </c>
      <c r="AD223" s="25">
        <v>0</v>
      </c>
      <c r="AE223" s="25">
        <v>0</v>
      </c>
      <c r="AF223" s="25">
        <v>0</v>
      </c>
    </row>
    <row r="224" spans="1:32" x14ac:dyDescent="0.25">
      <c r="A224" s="25" t="s">
        <v>293</v>
      </c>
      <c r="B224" s="25">
        <v>0</v>
      </c>
      <c r="C224" s="25">
        <v>0</v>
      </c>
      <c r="D224" s="25">
        <v>0</v>
      </c>
      <c r="E224" s="25">
        <v>0</v>
      </c>
      <c r="F224" s="25">
        <v>0</v>
      </c>
      <c r="G224" s="25">
        <v>0</v>
      </c>
      <c r="H224" s="25">
        <v>0</v>
      </c>
      <c r="I224" s="25">
        <v>0</v>
      </c>
      <c r="J224" s="25">
        <v>0</v>
      </c>
      <c r="K224" s="25">
        <v>0</v>
      </c>
      <c r="L224" s="25">
        <v>0</v>
      </c>
      <c r="M224" s="25">
        <v>0</v>
      </c>
      <c r="N224" s="25">
        <v>0</v>
      </c>
      <c r="O224" s="25">
        <v>0</v>
      </c>
      <c r="P224" s="25">
        <v>0</v>
      </c>
      <c r="Q224" s="25">
        <v>0</v>
      </c>
      <c r="R224" s="25">
        <v>0</v>
      </c>
      <c r="S224" s="25">
        <v>0</v>
      </c>
      <c r="T224" s="25">
        <v>0</v>
      </c>
      <c r="U224" s="25">
        <v>0</v>
      </c>
      <c r="V224" s="25">
        <v>0</v>
      </c>
      <c r="W224" s="25">
        <v>0</v>
      </c>
      <c r="X224" s="25">
        <v>0</v>
      </c>
      <c r="Y224" s="25">
        <v>0</v>
      </c>
      <c r="Z224" s="25">
        <v>0</v>
      </c>
      <c r="AA224" s="25">
        <v>0</v>
      </c>
      <c r="AB224" s="25">
        <v>0</v>
      </c>
      <c r="AC224" s="25">
        <v>0</v>
      </c>
      <c r="AD224" s="25">
        <v>0</v>
      </c>
      <c r="AE224" s="25">
        <v>0</v>
      </c>
      <c r="AF224" s="25">
        <v>0</v>
      </c>
    </row>
    <row r="225" spans="1:32" x14ac:dyDescent="0.25">
      <c r="A225" s="25" t="s">
        <v>294</v>
      </c>
      <c r="B225" s="12">
        <v>58337400000000</v>
      </c>
      <c r="C225" s="12">
        <v>61717000000000</v>
      </c>
      <c r="D225" s="12">
        <v>43634100000000</v>
      </c>
      <c r="E225" s="12">
        <v>46940900000000</v>
      </c>
      <c r="F225" s="12">
        <v>50364700000000</v>
      </c>
      <c r="G225" s="12">
        <v>52509500000000</v>
      </c>
      <c r="H225" s="12">
        <v>54607200000000</v>
      </c>
      <c r="I225" s="12">
        <v>56666000000000</v>
      </c>
      <c r="J225" s="12">
        <v>58725000000000</v>
      </c>
      <c r="K225" s="12">
        <v>60086900000000</v>
      </c>
      <c r="L225" s="12">
        <v>61462900000000</v>
      </c>
      <c r="M225" s="12">
        <v>62853600000000</v>
      </c>
      <c r="N225" s="12">
        <v>64348900000000</v>
      </c>
      <c r="O225" s="12">
        <v>65157600000000</v>
      </c>
      <c r="P225" s="12">
        <v>66071700000000</v>
      </c>
      <c r="Q225" s="12">
        <v>67014400000000</v>
      </c>
      <c r="R225" s="12">
        <v>67947200000000</v>
      </c>
      <c r="S225" s="12">
        <v>68859200000000</v>
      </c>
      <c r="T225" s="12">
        <v>69777000000000</v>
      </c>
      <c r="U225" s="12">
        <v>70724600000000</v>
      </c>
      <c r="V225" s="12">
        <v>71681000000000</v>
      </c>
      <c r="W225" s="12">
        <v>72653000000000</v>
      </c>
      <c r="X225" s="12">
        <v>73631900000000</v>
      </c>
      <c r="Y225" s="12">
        <v>74616500000000</v>
      </c>
      <c r="Z225" s="12">
        <v>75603400000000</v>
      </c>
      <c r="AA225" s="12">
        <v>76629000000000</v>
      </c>
      <c r="AB225" s="12">
        <v>77645400000000</v>
      </c>
      <c r="AC225" s="12">
        <v>78663500000000</v>
      </c>
      <c r="AD225" s="12">
        <v>79744900000000</v>
      </c>
      <c r="AE225" s="12">
        <v>80825800000000</v>
      </c>
      <c r="AF225" s="12">
        <v>81943500000000</v>
      </c>
    </row>
    <row r="226" spans="1:32" x14ac:dyDescent="0.25">
      <c r="A226" s="25" t="s">
        <v>295</v>
      </c>
      <c r="B226" s="12">
        <v>10780400000000</v>
      </c>
      <c r="C226" s="12">
        <v>10555400000000</v>
      </c>
      <c r="D226" s="12">
        <v>9162780000000</v>
      </c>
      <c r="E226" s="12">
        <v>10106900000000</v>
      </c>
      <c r="F226" s="12">
        <v>10983700000000</v>
      </c>
      <c r="G226" s="12">
        <v>11497200000000</v>
      </c>
      <c r="H226" s="12">
        <v>12005600000000</v>
      </c>
      <c r="I226" s="12">
        <v>12406200000000</v>
      </c>
      <c r="J226" s="12">
        <v>12836000000000</v>
      </c>
      <c r="K226" s="12">
        <v>13118700000000</v>
      </c>
      <c r="L226" s="12">
        <v>13402600000000</v>
      </c>
      <c r="M226" s="12">
        <v>13671500000000</v>
      </c>
      <c r="N226" s="12">
        <v>13958000000000</v>
      </c>
      <c r="O226" s="12">
        <v>14043100000000</v>
      </c>
      <c r="P226" s="12">
        <v>14165200000000</v>
      </c>
      <c r="Q226" s="12">
        <v>14299500000000</v>
      </c>
      <c r="R226" s="12">
        <v>14420300000000</v>
      </c>
      <c r="S226" s="12">
        <v>14540900000000</v>
      </c>
      <c r="T226" s="12">
        <v>14621700000000</v>
      </c>
      <c r="U226" s="12">
        <v>14744600000000</v>
      </c>
      <c r="V226" s="12">
        <v>14851700000000</v>
      </c>
      <c r="W226" s="12">
        <v>14970000000000</v>
      </c>
      <c r="X226" s="12">
        <v>15099200000000</v>
      </c>
      <c r="Y226" s="12">
        <v>15257800000000</v>
      </c>
      <c r="Z226" s="12">
        <v>15343000000000</v>
      </c>
      <c r="AA226" s="12">
        <v>15455400000000</v>
      </c>
      <c r="AB226" s="12">
        <v>15489300000000</v>
      </c>
      <c r="AC226" s="12">
        <v>15548100000000</v>
      </c>
      <c r="AD226" s="12">
        <v>15591000000000</v>
      </c>
      <c r="AE226" s="12">
        <v>15611900000000</v>
      </c>
      <c r="AF226" s="12">
        <v>15658400000000</v>
      </c>
    </row>
    <row r="227" spans="1:32" x14ac:dyDescent="0.25">
      <c r="A227" s="25" t="s">
        <v>296</v>
      </c>
      <c r="B227" s="12">
        <v>13455200000000</v>
      </c>
      <c r="C227" s="12">
        <v>13174300000000</v>
      </c>
      <c r="D227" s="12">
        <v>11436100000000</v>
      </c>
      <c r="E227" s="12">
        <v>12614500000000</v>
      </c>
      <c r="F227" s="12">
        <v>13708800000000</v>
      </c>
      <c r="G227" s="12">
        <v>14349800000000</v>
      </c>
      <c r="H227" s="12">
        <v>14984300000000</v>
      </c>
      <c r="I227" s="12">
        <v>15484300000000</v>
      </c>
      <c r="J227" s="12">
        <v>16020700000000</v>
      </c>
      <c r="K227" s="12">
        <v>16373500000000</v>
      </c>
      <c r="L227" s="12">
        <v>16727800000000</v>
      </c>
      <c r="M227" s="12">
        <v>17063600000000</v>
      </c>
      <c r="N227" s="12">
        <v>17421100000000</v>
      </c>
      <c r="O227" s="12">
        <v>17527300000000</v>
      </c>
      <c r="P227" s="12">
        <v>17679700000000</v>
      </c>
      <c r="Q227" s="12">
        <v>17847400000000</v>
      </c>
      <c r="R227" s="12">
        <v>17998100000000</v>
      </c>
      <c r="S227" s="12">
        <v>18148600000000</v>
      </c>
      <c r="T227" s="12">
        <v>18249400000000</v>
      </c>
      <c r="U227" s="12">
        <v>18402800000000</v>
      </c>
      <c r="V227" s="12">
        <v>18536500000000</v>
      </c>
      <c r="W227" s="12">
        <v>18684200000000</v>
      </c>
      <c r="X227" s="12">
        <v>18845500000000</v>
      </c>
      <c r="Y227" s="12">
        <v>19043400000000</v>
      </c>
      <c r="Z227" s="12">
        <v>19149700000000</v>
      </c>
      <c r="AA227" s="12">
        <v>19290000000000</v>
      </c>
      <c r="AB227" s="12">
        <v>19332300000000</v>
      </c>
      <c r="AC227" s="12">
        <v>19405800000000</v>
      </c>
      <c r="AD227" s="12">
        <v>19459200000000</v>
      </c>
      <c r="AE227" s="12">
        <v>19485300000000</v>
      </c>
      <c r="AF227" s="12">
        <v>19543300000000</v>
      </c>
    </row>
    <row r="228" spans="1:32" x14ac:dyDescent="0.25">
      <c r="A228" s="25" t="s">
        <v>297</v>
      </c>
      <c r="B228" s="12">
        <v>19025700000000</v>
      </c>
      <c r="C228" s="12">
        <v>18628500000000</v>
      </c>
      <c r="D228" s="12">
        <v>16170800000000</v>
      </c>
      <c r="E228" s="12">
        <v>17837000000000</v>
      </c>
      <c r="F228" s="12">
        <v>19384400000000</v>
      </c>
      <c r="G228" s="12">
        <v>20290800000000</v>
      </c>
      <c r="H228" s="12">
        <v>21188000000000</v>
      </c>
      <c r="I228" s="12">
        <v>21895000000000</v>
      </c>
      <c r="J228" s="12">
        <v>22653500000000</v>
      </c>
      <c r="K228" s="12">
        <v>23152300000000</v>
      </c>
      <c r="L228" s="12">
        <v>23653300000000</v>
      </c>
      <c r="M228" s="12">
        <v>24128100000000</v>
      </c>
      <c r="N228" s="12">
        <v>24633600000000</v>
      </c>
      <c r="O228" s="12">
        <v>24783800000000</v>
      </c>
      <c r="P228" s="12">
        <v>24999300000000</v>
      </c>
      <c r="Q228" s="12">
        <v>25236400000000</v>
      </c>
      <c r="R228" s="12">
        <v>25449400000000</v>
      </c>
      <c r="S228" s="12">
        <v>25662300000000</v>
      </c>
      <c r="T228" s="12">
        <v>25804900000000</v>
      </c>
      <c r="U228" s="12">
        <v>26021800000000</v>
      </c>
      <c r="V228" s="12">
        <v>26210800000000</v>
      </c>
      <c r="W228" s="12">
        <v>26419700000000</v>
      </c>
      <c r="X228" s="12">
        <v>26647700000000</v>
      </c>
      <c r="Y228" s="12">
        <v>26927600000000</v>
      </c>
      <c r="Z228" s="12">
        <v>27077900000000</v>
      </c>
      <c r="AA228" s="12">
        <v>27276200000000</v>
      </c>
      <c r="AB228" s="12">
        <v>27336100000000</v>
      </c>
      <c r="AC228" s="12">
        <v>27439900000000</v>
      </c>
      <c r="AD228" s="12">
        <v>27515600000000</v>
      </c>
      <c r="AE228" s="12">
        <v>27552500000000</v>
      </c>
      <c r="AF228" s="12">
        <v>27634500000000</v>
      </c>
    </row>
    <row r="229" spans="1:32" x14ac:dyDescent="0.25">
      <c r="A229" s="25" t="s">
        <v>298</v>
      </c>
      <c r="B229" s="12">
        <v>31216100000000</v>
      </c>
      <c r="C229" s="12">
        <v>40337900000000</v>
      </c>
      <c r="D229" s="12">
        <v>26813800000000</v>
      </c>
      <c r="E229" s="12">
        <v>23355200000000</v>
      </c>
      <c r="F229" s="12">
        <v>20174700000000</v>
      </c>
      <c r="G229" s="12">
        <v>18992900000000</v>
      </c>
      <c r="H229" s="12">
        <v>17601700000000</v>
      </c>
      <c r="I229" s="12">
        <v>18022200000000</v>
      </c>
      <c r="J229" s="12">
        <v>18590300000000</v>
      </c>
      <c r="K229" s="12">
        <v>19115300000000</v>
      </c>
      <c r="L229" s="12">
        <v>19372300000000</v>
      </c>
      <c r="M229" s="12">
        <v>19836000000000</v>
      </c>
      <c r="N229" s="12">
        <v>19904600000000</v>
      </c>
      <c r="O229" s="12">
        <v>20020600000000</v>
      </c>
      <c r="P229" s="12">
        <v>19930100000000</v>
      </c>
      <c r="Q229" s="12">
        <v>20072300000000</v>
      </c>
      <c r="R229" s="12">
        <v>20307100000000</v>
      </c>
      <c r="S229" s="12">
        <v>20110400000000</v>
      </c>
      <c r="T229" s="12">
        <v>19815900000000</v>
      </c>
      <c r="U229" s="12">
        <v>19899300000000</v>
      </c>
      <c r="V229" s="12">
        <v>19401700000000</v>
      </c>
      <c r="W229" s="12">
        <v>19410000000000</v>
      </c>
      <c r="X229" s="12">
        <v>19470800000000</v>
      </c>
      <c r="Y229" s="12">
        <v>19446500000000</v>
      </c>
      <c r="Z229" s="12">
        <v>19421200000000</v>
      </c>
      <c r="AA229" s="12">
        <v>19136100000000</v>
      </c>
      <c r="AB229" s="12">
        <v>18999300000000</v>
      </c>
      <c r="AC229" s="12">
        <v>19019300000000</v>
      </c>
      <c r="AD229" s="12">
        <v>18909300000000</v>
      </c>
      <c r="AE229" s="12">
        <v>18651400000000</v>
      </c>
      <c r="AF229" s="12">
        <v>18737000000000</v>
      </c>
    </row>
    <row r="230" spans="1:32" x14ac:dyDescent="0.25">
      <c r="A230" s="25" t="s">
        <v>299</v>
      </c>
      <c r="B230" s="12">
        <v>14459400000000</v>
      </c>
      <c r="C230" s="12">
        <v>17864200000000</v>
      </c>
      <c r="D230" s="12">
        <v>11725300000000</v>
      </c>
      <c r="E230" s="12">
        <v>10578900000000</v>
      </c>
      <c r="F230" s="12">
        <v>9310430000000</v>
      </c>
      <c r="G230" s="12">
        <v>8816050000000</v>
      </c>
      <c r="H230" s="12">
        <v>8215690000000</v>
      </c>
      <c r="I230" s="12">
        <v>8436310000000</v>
      </c>
      <c r="J230" s="12">
        <v>8714250000000</v>
      </c>
      <c r="K230" s="12">
        <v>8966990000000</v>
      </c>
      <c r="L230" s="12">
        <v>9106800000000</v>
      </c>
      <c r="M230" s="12">
        <v>9327680000000</v>
      </c>
      <c r="N230" s="12">
        <v>9373430000000</v>
      </c>
      <c r="O230" s="12">
        <v>9433120000000</v>
      </c>
      <c r="P230" s="12">
        <v>9400180000000</v>
      </c>
      <c r="Q230" s="12">
        <v>9477360000000</v>
      </c>
      <c r="R230" s="12">
        <v>9594400000000</v>
      </c>
      <c r="S230" s="12">
        <v>9513690000000</v>
      </c>
      <c r="T230" s="12">
        <v>9388750000000</v>
      </c>
      <c r="U230" s="12">
        <v>9439930000000</v>
      </c>
      <c r="V230" s="12">
        <v>9219090000000</v>
      </c>
      <c r="W230" s="12">
        <v>9232570000000</v>
      </c>
      <c r="X230" s="12">
        <v>9272760000000</v>
      </c>
      <c r="Y230" s="12">
        <v>9272860000000</v>
      </c>
      <c r="Z230" s="12">
        <v>9272360000000</v>
      </c>
      <c r="AA230" s="12">
        <v>9143780000000</v>
      </c>
      <c r="AB230" s="12">
        <v>9088230000000</v>
      </c>
      <c r="AC230" s="12">
        <v>9107970000000</v>
      </c>
      <c r="AD230" s="12">
        <v>9064980000000</v>
      </c>
      <c r="AE230" s="12">
        <v>8949760000000</v>
      </c>
      <c r="AF230" s="12">
        <v>8997850000000</v>
      </c>
    </row>
    <row r="231" spans="1:32" x14ac:dyDescent="0.25">
      <c r="A231" s="25" t="s">
        <v>300</v>
      </c>
      <c r="B231" s="12">
        <v>391908000000</v>
      </c>
      <c r="C231" s="12">
        <v>403073000000</v>
      </c>
      <c r="D231" s="12">
        <v>422932000000</v>
      </c>
      <c r="E231" s="12">
        <v>444252000000</v>
      </c>
      <c r="F231" s="12">
        <v>470238000000</v>
      </c>
      <c r="G231" s="12">
        <v>488303000000</v>
      </c>
      <c r="H231" s="12">
        <v>497728000000</v>
      </c>
      <c r="I231" s="12">
        <v>502910000000</v>
      </c>
      <c r="J231" s="12">
        <v>506379000000</v>
      </c>
      <c r="K231" s="12">
        <v>506451000000</v>
      </c>
      <c r="L231" s="12">
        <v>508118000000</v>
      </c>
      <c r="M231" s="12">
        <v>509916000000</v>
      </c>
      <c r="N231" s="12">
        <v>514236000000</v>
      </c>
      <c r="O231" s="12">
        <v>507645000000</v>
      </c>
      <c r="P231" s="12">
        <v>497988000000</v>
      </c>
      <c r="Q231" s="12">
        <v>500507000000</v>
      </c>
      <c r="R231" s="12">
        <v>503468000000</v>
      </c>
      <c r="S231" s="12">
        <v>505388000000</v>
      </c>
      <c r="T231" s="12">
        <v>511038000000</v>
      </c>
      <c r="U231" s="12">
        <v>516611000000</v>
      </c>
      <c r="V231" s="12">
        <v>524975000000</v>
      </c>
      <c r="W231" s="12">
        <v>537787000000</v>
      </c>
      <c r="X231" s="12">
        <v>545609000000</v>
      </c>
      <c r="Y231" s="12">
        <v>553569000000</v>
      </c>
      <c r="Z231" s="12">
        <v>561545000000</v>
      </c>
      <c r="AA231" s="12">
        <v>574980000000</v>
      </c>
      <c r="AB231" s="12">
        <v>586503000000</v>
      </c>
      <c r="AC231" s="12">
        <v>594022000000</v>
      </c>
      <c r="AD231" s="12">
        <v>603757000000</v>
      </c>
      <c r="AE231" s="12">
        <v>613116000000</v>
      </c>
      <c r="AF231" s="12">
        <v>624945000000</v>
      </c>
    </row>
    <row r="232" spans="1:32" x14ac:dyDescent="0.25">
      <c r="A232" s="25" t="s">
        <v>301</v>
      </c>
      <c r="B232" s="12">
        <v>3554280000000</v>
      </c>
      <c r="C232" s="12">
        <v>3555070000000</v>
      </c>
      <c r="D232" s="12">
        <v>3558580000000</v>
      </c>
      <c r="E232" s="12">
        <v>3746610000000</v>
      </c>
      <c r="F232" s="12">
        <v>3989680000000</v>
      </c>
      <c r="G232" s="12">
        <v>4107610000000</v>
      </c>
      <c r="H232" s="12">
        <v>4229150000000</v>
      </c>
      <c r="I232" s="12">
        <v>4364670000000</v>
      </c>
      <c r="J232" s="12">
        <v>4524140000000</v>
      </c>
      <c r="K232" s="12">
        <v>4664270000000</v>
      </c>
      <c r="L232" s="12">
        <v>4837110000000</v>
      </c>
      <c r="M232" s="12">
        <v>5049200000000</v>
      </c>
      <c r="N232" s="12">
        <v>5288930000000</v>
      </c>
      <c r="O232" s="12">
        <v>5492650000000</v>
      </c>
      <c r="P232" s="12">
        <v>5709140000000</v>
      </c>
      <c r="Q232" s="12">
        <v>5933030000000</v>
      </c>
      <c r="R232" s="12">
        <v>6150370000000</v>
      </c>
      <c r="S232" s="12">
        <v>6359100000000</v>
      </c>
      <c r="T232" s="12">
        <v>6550670000000</v>
      </c>
      <c r="U232" s="12">
        <v>6731450000000</v>
      </c>
      <c r="V232" s="12">
        <v>6881150000000</v>
      </c>
      <c r="W232" s="12">
        <v>7027390000000</v>
      </c>
      <c r="X232" s="12">
        <v>7173680000000</v>
      </c>
      <c r="Y232" s="12">
        <v>7333180000000</v>
      </c>
      <c r="Z232" s="12">
        <v>7480870000000</v>
      </c>
      <c r="AA232" s="12">
        <v>7640350000000</v>
      </c>
      <c r="AB232" s="12">
        <v>7792080000000</v>
      </c>
      <c r="AC232" s="12">
        <v>7958290000000</v>
      </c>
      <c r="AD232" s="12">
        <v>8110660000000</v>
      </c>
      <c r="AE232" s="12">
        <v>8261230000000</v>
      </c>
      <c r="AF232" s="12">
        <v>8414860000000</v>
      </c>
    </row>
    <row r="233" spans="1:32" x14ac:dyDescent="0.25">
      <c r="A233" s="25" t="s">
        <v>302</v>
      </c>
      <c r="B233" s="25">
        <v>0</v>
      </c>
      <c r="C233" s="12">
        <v>60043600000</v>
      </c>
      <c r="D233" s="12">
        <v>54438100000</v>
      </c>
      <c r="E233" s="12">
        <v>72503300000</v>
      </c>
      <c r="F233" s="12">
        <v>90649200000</v>
      </c>
      <c r="G233" s="12">
        <v>110724000000</v>
      </c>
      <c r="H233" s="12">
        <v>129165000000</v>
      </c>
      <c r="I233" s="12">
        <v>148832000000</v>
      </c>
      <c r="J233" s="12">
        <v>155863000000</v>
      </c>
      <c r="K233" s="12">
        <v>247468000000</v>
      </c>
      <c r="L233" s="12">
        <v>342608000000</v>
      </c>
      <c r="M233" s="12">
        <v>448083000000</v>
      </c>
      <c r="N233" s="12">
        <v>549240000000</v>
      </c>
      <c r="O233" s="12">
        <v>643763000000</v>
      </c>
      <c r="P233" s="12">
        <v>732957000000</v>
      </c>
      <c r="Q233" s="12">
        <v>820407000000</v>
      </c>
      <c r="R233" s="12">
        <v>910121000000</v>
      </c>
      <c r="S233" s="12">
        <v>891308000000</v>
      </c>
      <c r="T233" s="12">
        <v>882939000000</v>
      </c>
      <c r="U233" s="12">
        <v>881759000000</v>
      </c>
      <c r="V233" s="12">
        <v>864223000000</v>
      </c>
      <c r="W233" s="12">
        <v>865282000000</v>
      </c>
      <c r="X233" s="12">
        <v>858359000000</v>
      </c>
      <c r="Y233" s="12">
        <v>851747000000</v>
      </c>
      <c r="Z233" s="12">
        <v>849525000000</v>
      </c>
      <c r="AA233" s="12">
        <v>840800000000</v>
      </c>
      <c r="AB233" s="12">
        <v>833741000000</v>
      </c>
      <c r="AC233" s="12">
        <v>829694000000</v>
      </c>
      <c r="AD233" s="12">
        <v>817464000000</v>
      </c>
      <c r="AE233" s="12">
        <v>804639000000</v>
      </c>
      <c r="AF233" s="12">
        <v>797584000000</v>
      </c>
    </row>
    <row r="234" spans="1:32" x14ac:dyDescent="0.25">
      <c r="A234" s="25" t="s">
        <v>303</v>
      </c>
      <c r="B234" s="12">
        <v>253593000000000</v>
      </c>
      <c r="C234" s="12">
        <v>304599000000000</v>
      </c>
      <c r="D234" s="12">
        <v>203167000000000</v>
      </c>
      <c r="E234" s="12">
        <v>190286000000000</v>
      </c>
      <c r="F234" s="12">
        <v>179121000000000</v>
      </c>
      <c r="G234" s="12">
        <v>174472000000000</v>
      </c>
      <c r="H234" s="12">
        <v>167486000000000</v>
      </c>
      <c r="I234" s="12">
        <v>174048000000000</v>
      </c>
      <c r="J234" s="12">
        <v>182161000000000</v>
      </c>
      <c r="K234" s="12">
        <v>189032000000000</v>
      </c>
      <c r="L234" s="12">
        <v>194810000000000</v>
      </c>
      <c r="M234" s="12">
        <v>201186000000000</v>
      </c>
      <c r="N234" s="12">
        <v>204619000000000</v>
      </c>
      <c r="O234" s="12">
        <v>207096000000000</v>
      </c>
      <c r="P234" s="12">
        <v>209149000000000</v>
      </c>
      <c r="Q234" s="12">
        <v>212660000000000</v>
      </c>
      <c r="R234" s="12">
        <v>215739000000000</v>
      </c>
      <c r="S234" s="12">
        <v>215820000000000</v>
      </c>
      <c r="T234" s="12">
        <v>214473000000000</v>
      </c>
      <c r="U234" s="12">
        <v>216024000000000</v>
      </c>
      <c r="V234" s="12">
        <v>210277000000000</v>
      </c>
      <c r="W234" s="12">
        <v>209127000000000</v>
      </c>
      <c r="X234" s="12">
        <v>208687000000000</v>
      </c>
      <c r="Y234" s="12">
        <v>209456000000000</v>
      </c>
      <c r="Z234" s="12">
        <v>209440000000000</v>
      </c>
      <c r="AA234" s="12">
        <v>208104000000000</v>
      </c>
      <c r="AB234" s="12">
        <v>206356000000000</v>
      </c>
      <c r="AC234" s="12">
        <v>206189000000000</v>
      </c>
      <c r="AD234" s="12">
        <v>203903000000000</v>
      </c>
      <c r="AE234" s="12">
        <v>201410000000000</v>
      </c>
      <c r="AF234" s="12">
        <v>202172000000000</v>
      </c>
    </row>
    <row r="235" spans="1:32" x14ac:dyDescent="0.25">
      <c r="A235" s="25" t="s">
        <v>304</v>
      </c>
      <c r="B235" s="25">
        <v>0</v>
      </c>
      <c r="C235" s="25">
        <v>0</v>
      </c>
      <c r="D235" s="25">
        <v>0</v>
      </c>
      <c r="E235" s="25">
        <v>0</v>
      </c>
      <c r="F235" s="25">
        <v>0</v>
      </c>
      <c r="G235" s="25">
        <v>0</v>
      </c>
      <c r="H235" s="25">
        <v>0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5">
        <v>0</v>
      </c>
      <c r="O235" s="25">
        <v>0</v>
      </c>
      <c r="P235" s="25">
        <v>0</v>
      </c>
      <c r="Q235" s="25">
        <v>0</v>
      </c>
      <c r="R235" s="25">
        <v>0</v>
      </c>
      <c r="S235" s="25">
        <v>0</v>
      </c>
      <c r="T235" s="25">
        <v>0</v>
      </c>
      <c r="U235" s="25">
        <v>0</v>
      </c>
      <c r="V235" s="25">
        <v>0</v>
      </c>
      <c r="W235" s="25">
        <v>0</v>
      </c>
      <c r="X235" s="25">
        <v>0</v>
      </c>
      <c r="Y235" s="25">
        <v>0</v>
      </c>
      <c r="Z235" s="25">
        <v>0</v>
      </c>
      <c r="AA235" s="25">
        <v>0</v>
      </c>
      <c r="AB235" s="25">
        <v>0</v>
      </c>
      <c r="AC235" s="25">
        <v>0</v>
      </c>
      <c r="AD235" s="25">
        <v>0</v>
      </c>
      <c r="AE235" s="25">
        <v>0</v>
      </c>
      <c r="AF235" s="25">
        <v>0</v>
      </c>
    </row>
    <row r="236" spans="1:32" x14ac:dyDescent="0.25">
      <c r="A236" s="25" t="s">
        <v>305</v>
      </c>
      <c r="B236" s="25">
        <v>0</v>
      </c>
      <c r="C236" s="25">
        <v>0</v>
      </c>
      <c r="D236" s="25">
        <v>0</v>
      </c>
      <c r="E236" s="25">
        <v>0</v>
      </c>
      <c r="F236" s="25">
        <v>0</v>
      </c>
      <c r="G236" s="25">
        <v>0</v>
      </c>
      <c r="H236" s="25">
        <v>0</v>
      </c>
      <c r="I236" s="25">
        <v>0</v>
      </c>
      <c r="J236" s="25">
        <v>0</v>
      </c>
      <c r="K236" s="25">
        <v>0</v>
      </c>
      <c r="L236" s="25">
        <v>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25">
        <v>0</v>
      </c>
      <c r="S236" s="25">
        <v>0</v>
      </c>
      <c r="T236" s="25">
        <v>0</v>
      </c>
      <c r="U236" s="25">
        <v>0</v>
      </c>
      <c r="V236" s="25">
        <v>0</v>
      </c>
      <c r="W236" s="25">
        <v>0</v>
      </c>
      <c r="X236" s="25">
        <v>0</v>
      </c>
      <c r="Y236" s="25">
        <v>0</v>
      </c>
      <c r="Z236" s="25">
        <v>0</v>
      </c>
      <c r="AA236" s="25">
        <v>0</v>
      </c>
      <c r="AB236" s="25">
        <v>0</v>
      </c>
      <c r="AC236" s="25">
        <v>0</v>
      </c>
      <c r="AD236" s="25">
        <v>0</v>
      </c>
      <c r="AE236" s="25">
        <v>0</v>
      </c>
      <c r="AF236" s="25">
        <v>0</v>
      </c>
    </row>
    <row r="237" spans="1:32" x14ac:dyDescent="0.25">
      <c r="A237" s="25" t="s">
        <v>306</v>
      </c>
      <c r="B237" s="12">
        <v>368960000000</v>
      </c>
      <c r="C237" s="12">
        <v>368909000000</v>
      </c>
      <c r="D237" s="12">
        <v>377286000000</v>
      </c>
      <c r="E237" s="12">
        <v>403686000000</v>
      </c>
      <c r="F237" s="12">
        <v>429488000000</v>
      </c>
      <c r="G237" s="12">
        <v>446002000000</v>
      </c>
      <c r="H237" s="12">
        <v>462267000000</v>
      </c>
      <c r="I237" s="12">
        <v>480575000000</v>
      </c>
      <c r="J237" s="12">
        <v>512725000000</v>
      </c>
      <c r="K237" s="12">
        <v>597365000000</v>
      </c>
      <c r="L237" s="12">
        <v>685510000000</v>
      </c>
      <c r="M237" s="12">
        <v>778551000000</v>
      </c>
      <c r="N237" s="12">
        <v>871272000000</v>
      </c>
      <c r="O237" s="12">
        <v>959265000000</v>
      </c>
      <c r="P237" s="12">
        <v>1045690000000</v>
      </c>
      <c r="Q237" s="12">
        <v>1136330000000</v>
      </c>
      <c r="R237" s="12">
        <v>1222930000000</v>
      </c>
      <c r="S237" s="12">
        <v>1217530000000</v>
      </c>
      <c r="T237" s="12">
        <v>1212770000000</v>
      </c>
      <c r="U237" s="12">
        <v>1212720000000</v>
      </c>
      <c r="V237" s="12">
        <v>1202070000000</v>
      </c>
      <c r="W237" s="12">
        <v>1200060000000</v>
      </c>
      <c r="X237" s="12">
        <v>1198870000000</v>
      </c>
      <c r="Y237" s="12">
        <v>1197520000000</v>
      </c>
      <c r="Z237" s="12">
        <v>1195240000000</v>
      </c>
      <c r="AA237" s="12">
        <v>1189920000000</v>
      </c>
      <c r="AB237" s="12">
        <v>1187140000000</v>
      </c>
      <c r="AC237" s="12">
        <v>1185960000000</v>
      </c>
      <c r="AD237" s="12">
        <v>1181680000000</v>
      </c>
      <c r="AE237" s="12">
        <v>1175840000000</v>
      </c>
      <c r="AF237" s="12">
        <v>1175140000000</v>
      </c>
    </row>
    <row r="238" spans="1:32" x14ac:dyDescent="0.25">
      <c r="A238" s="25" t="s">
        <v>307</v>
      </c>
      <c r="B238" s="25">
        <v>0</v>
      </c>
      <c r="C238" s="25">
        <v>0</v>
      </c>
      <c r="D238" s="25">
        <v>0</v>
      </c>
      <c r="E238" s="25">
        <v>0</v>
      </c>
      <c r="F238" s="25">
        <v>0</v>
      </c>
      <c r="G238" s="25">
        <v>0</v>
      </c>
      <c r="H238" s="25">
        <v>0</v>
      </c>
      <c r="I238" s="25">
        <v>0</v>
      </c>
      <c r="J238" s="25">
        <v>0</v>
      </c>
      <c r="K238" s="25">
        <v>0</v>
      </c>
      <c r="L238" s="25">
        <v>0</v>
      </c>
      <c r="M238" s="25">
        <v>0</v>
      </c>
      <c r="N238" s="25">
        <v>0</v>
      </c>
      <c r="O238" s="25">
        <v>0</v>
      </c>
      <c r="P238" s="25">
        <v>0</v>
      </c>
      <c r="Q238" s="25">
        <v>0</v>
      </c>
      <c r="R238" s="25">
        <v>0</v>
      </c>
      <c r="S238" s="25">
        <v>0</v>
      </c>
      <c r="T238" s="25">
        <v>0</v>
      </c>
      <c r="U238" s="25">
        <v>0</v>
      </c>
      <c r="V238" s="25">
        <v>0</v>
      </c>
      <c r="W238" s="25">
        <v>0</v>
      </c>
      <c r="X238" s="25">
        <v>0</v>
      </c>
      <c r="Y238" s="25">
        <v>0</v>
      </c>
      <c r="Z238" s="25">
        <v>0</v>
      </c>
      <c r="AA238" s="25">
        <v>0</v>
      </c>
      <c r="AB238" s="25">
        <v>0</v>
      </c>
      <c r="AC238" s="25">
        <v>0</v>
      </c>
      <c r="AD238" s="25">
        <v>0</v>
      </c>
      <c r="AE238" s="25">
        <v>0</v>
      </c>
      <c r="AF238" s="25">
        <v>0</v>
      </c>
    </row>
    <row r="239" spans="1:32" x14ac:dyDescent="0.25">
      <c r="A239" s="25" t="s">
        <v>308</v>
      </c>
      <c r="B239" s="12">
        <v>12440400000000</v>
      </c>
      <c r="C239" s="12">
        <v>15369700000000</v>
      </c>
      <c r="D239" s="12">
        <v>10088000000000</v>
      </c>
      <c r="E239" s="12">
        <v>9101740000000</v>
      </c>
      <c r="F239" s="12">
        <v>8010360000000</v>
      </c>
      <c r="G239" s="12">
        <v>7585010000000</v>
      </c>
      <c r="H239" s="12">
        <v>7068480000000</v>
      </c>
      <c r="I239" s="12">
        <v>7258300000000</v>
      </c>
      <c r="J239" s="12">
        <v>7497420000000</v>
      </c>
      <c r="K239" s="12">
        <v>7714870000000</v>
      </c>
      <c r="L239" s="12">
        <v>7835160000000</v>
      </c>
      <c r="M239" s="12">
        <v>8025200000000</v>
      </c>
      <c r="N239" s="12">
        <v>8064560000000</v>
      </c>
      <c r="O239" s="12">
        <v>8115920000000</v>
      </c>
      <c r="P239" s="12">
        <v>8087570000000</v>
      </c>
      <c r="Q239" s="12">
        <v>8153980000000</v>
      </c>
      <c r="R239" s="12">
        <v>8254670000000</v>
      </c>
      <c r="S239" s="12">
        <v>8185230000000</v>
      </c>
      <c r="T239" s="12">
        <v>8077740000000</v>
      </c>
      <c r="U239" s="12">
        <v>8121770000000</v>
      </c>
      <c r="V239" s="12">
        <v>7931770000000</v>
      </c>
      <c r="W239" s="12">
        <v>7943360000000</v>
      </c>
      <c r="X239" s="12">
        <v>7977950000000</v>
      </c>
      <c r="Y239" s="12">
        <v>7978030000000</v>
      </c>
      <c r="Z239" s="12">
        <v>7977600000000</v>
      </c>
      <c r="AA239" s="12">
        <v>7866970000000</v>
      </c>
      <c r="AB239" s="12">
        <v>7819180000000</v>
      </c>
      <c r="AC239" s="12">
        <v>7836170000000</v>
      </c>
      <c r="AD239" s="12">
        <v>7799180000000</v>
      </c>
      <c r="AE239" s="12">
        <v>7700050000000</v>
      </c>
      <c r="AF239" s="12">
        <v>7741420000000</v>
      </c>
    </row>
    <row r="240" spans="1:32" x14ac:dyDescent="0.25">
      <c r="A240" s="25" t="s">
        <v>309</v>
      </c>
      <c r="B240" s="25">
        <v>0</v>
      </c>
      <c r="C240" s="25">
        <v>0</v>
      </c>
      <c r="D240" s="25">
        <v>0</v>
      </c>
      <c r="E240" s="25">
        <v>0</v>
      </c>
      <c r="F240" s="25">
        <v>0</v>
      </c>
      <c r="G240" s="25">
        <v>0</v>
      </c>
      <c r="H240" s="25">
        <v>0</v>
      </c>
      <c r="I240" s="25">
        <v>0</v>
      </c>
      <c r="J240" s="25">
        <v>0</v>
      </c>
      <c r="K240" s="25">
        <v>0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>
        <v>0</v>
      </c>
      <c r="S240" s="25">
        <v>0</v>
      </c>
      <c r="T240" s="25">
        <v>0</v>
      </c>
      <c r="U240" s="25">
        <v>0</v>
      </c>
      <c r="V240" s="25">
        <v>0</v>
      </c>
      <c r="W240" s="25">
        <v>0</v>
      </c>
      <c r="X240" s="25">
        <v>0</v>
      </c>
      <c r="Y240" s="25">
        <v>0</v>
      </c>
      <c r="Z240" s="25">
        <v>0</v>
      </c>
      <c r="AA240" s="25">
        <v>0</v>
      </c>
      <c r="AB240" s="25">
        <v>0</v>
      </c>
      <c r="AC240" s="25">
        <v>0</v>
      </c>
      <c r="AD240" s="25">
        <v>0</v>
      </c>
      <c r="AE240" s="25">
        <v>0</v>
      </c>
      <c r="AF240" s="25">
        <v>0</v>
      </c>
    </row>
    <row r="241" spans="1:32" x14ac:dyDescent="0.25">
      <c r="A241" s="25" t="s">
        <v>310</v>
      </c>
      <c r="B241" s="25">
        <v>0</v>
      </c>
      <c r="C241" s="25">
        <v>0</v>
      </c>
      <c r="D241" s="25">
        <v>0</v>
      </c>
      <c r="E241" s="25">
        <v>0</v>
      </c>
      <c r="F241" s="25">
        <v>0</v>
      </c>
      <c r="G241" s="25">
        <v>0</v>
      </c>
      <c r="H241" s="25">
        <v>0</v>
      </c>
      <c r="I241" s="25">
        <v>0</v>
      </c>
      <c r="J241" s="25">
        <v>0</v>
      </c>
      <c r="K241" s="25">
        <v>0</v>
      </c>
      <c r="L241" s="25">
        <v>0</v>
      </c>
      <c r="M241" s="25">
        <v>0</v>
      </c>
      <c r="N241" s="25">
        <v>0</v>
      </c>
      <c r="O241" s="25">
        <v>0</v>
      </c>
      <c r="P241" s="25">
        <v>0</v>
      </c>
      <c r="Q241" s="25">
        <v>0</v>
      </c>
      <c r="R241" s="25">
        <v>0</v>
      </c>
      <c r="S241" s="25">
        <v>0</v>
      </c>
      <c r="T241" s="25">
        <v>0</v>
      </c>
      <c r="U241" s="25">
        <v>0</v>
      </c>
      <c r="V241" s="25">
        <v>0</v>
      </c>
      <c r="W241" s="25">
        <v>0</v>
      </c>
      <c r="X241" s="25">
        <v>0</v>
      </c>
      <c r="Y241" s="25">
        <v>0</v>
      </c>
      <c r="Z241" s="25">
        <v>0</v>
      </c>
      <c r="AA241" s="25">
        <v>0</v>
      </c>
      <c r="AB241" s="25">
        <v>0</v>
      </c>
      <c r="AC241" s="25">
        <v>0</v>
      </c>
      <c r="AD241" s="25">
        <v>0</v>
      </c>
      <c r="AE241" s="25">
        <v>0</v>
      </c>
      <c r="AF241" s="25">
        <v>0</v>
      </c>
    </row>
    <row r="242" spans="1:32" x14ac:dyDescent="0.25">
      <c r="A242" s="25" t="s">
        <v>311</v>
      </c>
      <c r="B242" s="25">
        <v>0</v>
      </c>
      <c r="C242" s="25">
        <v>0</v>
      </c>
      <c r="D242" s="25">
        <v>0</v>
      </c>
      <c r="E242" s="25">
        <v>0</v>
      </c>
      <c r="F242" s="25">
        <v>0</v>
      </c>
      <c r="G242" s="25">
        <v>0</v>
      </c>
      <c r="H242" s="25">
        <v>0</v>
      </c>
      <c r="I242" s="25">
        <v>0</v>
      </c>
      <c r="J242" s="25">
        <v>0</v>
      </c>
      <c r="K242" s="25">
        <v>0</v>
      </c>
      <c r="L242" s="25">
        <v>0</v>
      </c>
      <c r="M242" s="25">
        <v>0</v>
      </c>
      <c r="N242" s="25">
        <v>0</v>
      </c>
      <c r="O242" s="25">
        <v>0</v>
      </c>
      <c r="P242" s="25">
        <v>0</v>
      </c>
      <c r="Q242" s="25">
        <v>0</v>
      </c>
      <c r="R242" s="25">
        <v>0</v>
      </c>
      <c r="S242" s="25">
        <v>0</v>
      </c>
      <c r="T242" s="25">
        <v>0</v>
      </c>
      <c r="U242" s="25">
        <v>0</v>
      </c>
      <c r="V242" s="25">
        <v>0</v>
      </c>
      <c r="W242" s="25">
        <v>0</v>
      </c>
      <c r="X242" s="25">
        <v>0</v>
      </c>
      <c r="Y242" s="25">
        <v>0</v>
      </c>
      <c r="Z242" s="25">
        <v>0</v>
      </c>
      <c r="AA242" s="25">
        <v>0</v>
      </c>
      <c r="AB242" s="25">
        <v>0</v>
      </c>
      <c r="AC242" s="25">
        <v>0</v>
      </c>
      <c r="AD242" s="25">
        <v>0</v>
      </c>
      <c r="AE242" s="25">
        <v>0</v>
      </c>
      <c r="AF242" s="25">
        <v>0</v>
      </c>
    </row>
    <row r="243" spans="1:32" x14ac:dyDescent="0.25">
      <c r="A243" s="25" t="s">
        <v>312</v>
      </c>
      <c r="B243" s="25">
        <v>0</v>
      </c>
      <c r="C243" s="25">
        <v>0</v>
      </c>
      <c r="D243" s="25">
        <v>0</v>
      </c>
      <c r="E243" s="25">
        <v>0</v>
      </c>
      <c r="F243" s="25">
        <v>0</v>
      </c>
      <c r="G243" s="25">
        <v>0</v>
      </c>
      <c r="H243" s="25">
        <v>0</v>
      </c>
      <c r="I243" s="25">
        <v>0</v>
      </c>
      <c r="J243" s="25">
        <v>0</v>
      </c>
      <c r="K243" s="25">
        <v>0</v>
      </c>
      <c r="L243" s="25">
        <v>0</v>
      </c>
      <c r="M243" s="25">
        <v>0</v>
      </c>
      <c r="N243" s="25">
        <v>0</v>
      </c>
      <c r="O243" s="25">
        <v>0</v>
      </c>
      <c r="P243" s="25">
        <v>0</v>
      </c>
      <c r="Q243" s="25">
        <v>0</v>
      </c>
      <c r="R243" s="25">
        <v>0</v>
      </c>
      <c r="S243" s="25">
        <v>0</v>
      </c>
      <c r="T243" s="25">
        <v>0</v>
      </c>
      <c r="U243" s="25">
        <v>0</v>
      </c>
      <c r="V243" s="25">
        <v>0</v>
      </c>
      <c r="W243" s="25">
        <v>0</v>
      </c>
      <c r="X243" s="25">
        <v>0</v>
      </c>
      <c r="Y243" s="25">
        <v>0</v>
      </c>
      <c r="Z243" s="25">
        <v>0</v>
      </c>
      <c r="AA243" s="25">
        <v>0</v>
      </c>
      <c r="AB243" s="25">
        <v>0</v>
      </c>
      <c r="AC243" s="25">
        <v>0</v>
      </c>
      <c r="AD243" s="25">
        <v>0</v>
      </c>
      <c r="AE243" s="25">
        <v>0</v>
      </c>
      <c r="AF243" s="25">
        <v>0</v>
      </c>
    </row>
    <row r="244" spans="1:32" x14ac:dyDescent="0.25">
      <c r="A244" s="25" t="s">
        <v>313</v>
      </c>
      <c r="B244" s="12">
        <v>995187000000</v>
      </c>
      <c r="C244" s="12">
        <v>1948010000000</v>
      </c>
      <c r="D244" s="12">
        <v>1498330000000</v>
      </c>
      <c r="E244" s="12">
        <v>1000540000000</v>
      </c>
      <c r="F244" s="12">
        <v>705636000000</v>
      </c>
      <c r="G244" s="12">
        <v>612102000000</v>
      </c>
      <c r="H244" s="12">
        <v>532455000000</v>
      </c>
      <c r="I244" s="12">
        <v>554344000000</v>
      </c>
      <c r="J244" s="12">
        <v>578570000000</v>
      </c>
      <c r="K244" s="12">
        <v>597667000000</v>
      </c>
      <c r="L244" s="12">
        <v>602263000000</v>
      </c>
      <c r="M244" s="12">
        <v>616869000000</v>
      </c>
      <c r="N244" s="12">
        <v>620275000000</v>
      </c>
      <c r="O244" s="12">
        <v>630112000000</v>
      </c>
      <c r="P244" s="12">
        <v>630992000000</v>
      </c>
      <c r="Q244" s="12">
        <v>640989000000</v>
      </c>
      <c r="R244" s="12">
        <v>652981000000</v>
      </c>
      <c r="S244" s="12">
        <v>645175000000</v>
      </c>
      <c r="T244" s="12">
        <v>632128000000</v>
      </c>
      <c r="U244" s="12">
        <v>640112000000</v>
      </c>
      <c r="V244" s="12">
        <v>616246000000</v>
      </c>
      <c r="W244" s="12">
        <v>615513000000</v>
      </c>
      <c r="X244" s="12">
        <v>616163000000</v>
      </c>
      <c r="Y244" s="12">
        <v>610477000000</v>
      </c>
      <c r="Z244" s="12">
        <v>606090000000</v>
      </c>
      <c r="AA244" s="12">
        <v>588493000000</v>
      </c>
      <c r="AB244" s="12">
        <v>581622000000</v>
      </c>
      <c r="AC244" s="12">
        <v>583465000000</v>
      </c>
      <c r="AD244" s="12">
        <v>575724000000</v>
      </c>
      <c r="AE244" s="12">
        <v>560036000000</v>
      </c>
      <c r="AF244" s="12">
        <v>559051000000</v>
      </c>
    </row>
    <row r="245" spans="1:32" x14ac:dyDescent="0.25">
      <c r="A245" s="25" t="s">
        <v>314</v>
      </c>
      <c r="B245" s="12">
        <v>563385000000</v>
      </c>
      <c r="C245" s="12">
        <v>1102790000000</v>
      </c>
      <c r="D245" s="12">
        <v>848221000000</v>
      </c>
      <c r="E245" s="12">
        <v>566413000000</v>
      </c>
      <c r="F245" s="12">
        <v>399467000000</v>
      </c>
      <c r="G245" s="12">
        <v>346516000000</v>
      </c>
      <c r="H245" s="12">
        <v>301427000000</v>
      </c>
      <c r="I245" s="12">
        <v>313819000000</v>
      </c>
      <c r="J245" s="12">
        <v>327534000000</v>
      </c>
      <c r="K245" s="12">
        <v>338344000000</v>
      </c>
      <c r="L245" s="12">
        <v>340946000000</v>
      </c>
      <c r="M245" s="12">
        <v>349215000000</v>
      </c>
      <c r="N245" s="12">
        <v>351143000000</v>
      </c>
      <c r="O245" s="12">
        <v>356712000000</v>
      </c>
      <c r="P245" s="12">
        <v>357211000000</v>
      </c>
      <c r="Q245" s="12">
        <v>362869000000</v>
      </c>
      <c r="R245" s="12">
        <v>369659000000</v>
      </c>
      <c r="S245" s="12">
        <v>365240000000</v>
      </c>
      <c r="T245" s="12">
        <v>357853000000</v>
      </c>
      <c r="U245" s="12">
        <v>362373000000</v>
      </c>
      <c r="V245" s="12">
        <v>348862000000</v>
      </c>
      <c r="W245" s="12">
        <v>348447000000</v>
      </c>
      <c r="X245" s="12">
        <v>348816000000</v>
      </c>
      <c r="Y245" s="12">
        <v>345597000000</v>
      </c>
      <c r="Z245" s="12">
        <v>343113000000</v>
      </c>
      <c r="AA245" s="12">
        <v>333152000000</v>
      </c>
      <c r="AB245" s="12">
        <v>329262000000</v>
      </c>
      <c r="AC245" s="12">
        <v>330305000000</v>
      </c>
      <c r="AD245" s="12">
        <v>325922000000</v>
      </c>
      <c r="AE245" s="12">
        <v>317042000000</v>
      </c>
      <c r="AF245" s="12">
        <v>316484000000</v>
      </c>
    </row>
    <row r="246" spans="1:32" x14ac:dyDescent="0.25">
      <c r="A246" s="25" t="s">
        <v>315</v>
      </c>
      <c r="B246" s="12">
        <v>45158500000000</v>
      </c>
      <c r="C246" s="12">
        <v>55792200000000</v>
      </c>
      <c r="D246" s="12">
        <v>36619400000000</v>
      </c>
      <c r="E246" s="12">
        <v>33039300000000</v>
      </c>
      <c r="F246" s="12">
        <v>29077600000000</v>
      </c>
      <c r="G246" s="12">
        <v>27533600000000</v>
      </c>
      <c r="H246" s="12">
        <v>25658600000000</v>
      </c>
      <c r="I246" s="12">
        <v>26347600000000</v>
      </c>
      <c r="J246" s="12">
        <v>27215600000000</v>
      </c>
      <c r="K246" s="12">
        <v>28005000000000</v>
      </c>
      <c r="L246" s="12">
        <v>28441600000000</v>
      </c>
      <c r="M246" s="12">
        <v>29131500000000</v>
      </c>
      <c r="N246" s="12">
        <v>29274300000000</v>
      </c>
      <c r="O246" s="12">
        <v>29460800000000</v>
      </c>
      <c r="P246" s="12">
        <v>29357900000000</v>
      </c>
      <c r="Q246" s="12">
        <v>29598900000000</v>
      </c>
      <c r="R246" s="12">
        <v>29964400000000</v>
      </c>
      <c r="S246" s="12">
        <v>29712400000000</v>
      </c>
      <c r="T246" s="12">
        <v>29322200000000</v>
      </c>
      <c r="U246" s="12">
        <v>29482000000000</v>
      </c>
      <c r="V246" s="12">
        <v>28792300000000</v>
      </c>
      <c r="W246" s="12">
        <v>28834400000000</v>
      </c>
      <c r="X246" s="12">
        <v>28959900000000</v>
      </c>
      <c r="Y246" s="12">
        <v>28960300000000</v>
      </c>
      <c r="Z246" s="12">
        <v>28958700000000</v>
      </c>
      <c r="AA246" s="12">
        <v>28557100000000</v>
      </c>
      <c r="AB246" s="12">
        <v>28383600000000</v>
      </c>
      <c r="AC246" s="12">
        <v>28445300000000</v>
      </c>
      <c r="AD246" s="12">
        <v>28311000000000</v>
      </c>
      <c r="AE246" s="12">
        <v>27951200000000</v>
      </c>
      <c r="AF246" s="12">
        <v>28101300000000</v>
      </c>
    </row>
    <row r="247" spans="1:32" x14ac:dyDescent="0.25">
      <c r="A247" s="25" t="s">
        <v>316</v>
      </c>
      <c r="B247" s="25">
        <v>0</v>
      </c>
      <c r="C247" s="12">
        <v>647363000000</v>
      </c>
      <c r="D247" s="12">
        <v>385197000000</v>
      </c>
      <c r="E247" s="12">
        <v>391633000000</v>
      </c>
      <c r="F247" s="12">
        <v>411424000000</v>
      </c>
      <c r="G247" s="12">
        <v>425244000000</v>
      </c>
      <c r="H247" s="12">
        <v>426527000000</v>
      </c>
      <c r="I247" s="12">
        <v>448862000000</v>
      </c>
      <c r="J247" s="12">
        <v>473450000000</v>
      </c>
      <c r="K247" s="12">
        <v>492664000000</v>
      </c>
      <c r="L247" s="12">
        <v>513184000000</v>
      </c>
      <c r="M247" s="12">
        <v>535925000000</v>
      </c>
      <c r="N247" s="12">
        <v>552279000000</v>
      </c>
      <c r="O247" s="12">
        <v>565616000000</v>
      </c>
      <c r="P247" s="12">
        <v>574465000000</v>
      </c>
      <c r="Q247" s="12">
        <v>587437000000</v>
      </c>
      <c r="R247" s="12">
        <v>597432000000</v>
      </c>
      <c r="S247" s="12">
        <v>583550000000</v>
      </c>
      <c r="T247" s="12">
        <v>576638000000</v>
      </c>
      <c r="U247" s="12">
        <v>569513000000</v>
      </c>
      <c r="V247" s="12">
        <v>556706000000</v>
      </c>
      <c r="W247" s="12">
        <v>549899000000</v>
      </c>
      <c r="X247" s="12">
        <v>545091000000</v>
      </c>
      <c r="Y247" s="12">
        <v>541522000000</v>
      </c>
      <c r="Z247" s="12">
        <v>539643000000</v>
      </c>
      <c r="AA247" s="12">
        <v>535089000000</v>
      </c>
      <c r="AB247" s="12">
        <v>532004000000</v>
      </c>
      <c r="AC247" s="12">
        <v>525605000000</v>
      </c>
      <c r="AD247" s="12">
        <v>518711000000</v>
      </c>
      <c r="AE247" s="12">
        <v>512844000000</v>
      </c>
      <c r="AF247" s="12">
        <v>508765000000</v>
      </c>
    </row>
    <row r="248" spans="1:32" x14ac:dyDescent="0.25">
      <c r="A248" s="25" t="s">
        <v>317</v>
      </c>
      <c r="B248" s="25">
        <v>0</v>
      </c>
      <c r="C248" s="25">
        <v>0</v>
      </c>
      <c r="D248" s="25">
        <v>0</v>
      </c>
      <c r="E248" s="25">
        <v>0</v>
      </c>
      <c r="F248" s="25">
        <v>0</v>
      </c>
      <c r="G248" s="25">
        <v>0</v>
      </c>
      <c r="H248" s="25">
        <v>0</v>
      </c>
      <c r="I248" s="25">
        <v>0</v>
      </c>
      <c r="J248" s="25">
        <v>0</v>
      </c>
      <c r="K248" s="25">
        <v>0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>
        <v>0</v>
      </c>
      <c r="T248" s="25">
        <v>0</v>
      </c>
      <c r="U248" s="25">
        <v>0</v>
      </c>
      <c r="V248" s="25">
        <v>0</v>
      </c>
      <c r="W248" s="25">
        <v>0</v>
      </c>
      <c r="X248" s="25">
        <v>0</v>
      </c>
      <c r="Y248" s="25">
        <v>0</v>
      </c>
      <c r="Z248" s="25">
        <v>0</v>
      </c>
      <c r="AA248" s="25">
        <v>0</v>
      </c>
      <c r="AB248" s="25">
        <v>0</v>
      </c>
      <c r="AC248" s="25">
        <v>0</v>
      </c>
      <c r="AD248" s="25">
        <v>0</v>
      </c>
      <c r="AE248" s="25">
        <v>0</v>
      </c>
      <c r="AF248" s="25">
        <v>0</v>
      </c>
    </row>
    <row r="249" spans="1:32" x14ac:dyDescent="0.25">
      <c r="A249" s="25" t="s">
        <v>318</v>
      </c>
      <c r="B249" s="12">
        <v>88182300000000</v>
      </c>
      <c r="C249" s="12">
        <v>86491200000000</v>
      </c>
      <c r="D249" s="12">
        <v>60269700000000</v>
      </c>
      <c r="E249" s="12">
        <v>65630700000000</v>
      </c>
      <c r="F249" s="12">
        <v>71761600000000</v>
      </c>
      <c r="G249" s="12">
        <v>76164500000000</v>
      </c>
      <c r="H249" s="12">
        <v>79948600000000</v>
      </c>
      <c r="I249" s="12">
        <v>82916900000000</v>
      </c>
      <c r="J249" s="12">
        <v>85447800000000</v>
      </c>
      <c r="K249" s="12">
        <v>87081300000000</v>
      </c>
      <c r="L249" s="12">
        <v>88769000000000</v>
      </c>
      <c r="M249" s="12">
        <v>90623500000000</v>
      </c>
      <c r="N249" s="12">
        <v>92652700000000</v>
      </c>
      <c r="O249" s="12">
        <v>93680800000000</v>
      </c>
      <c r="P249" s="12">
        <v>94741800000000</v>
      </c>
      <c r="Q249" s="12">
        <v>96136200000000</v>
      </c>
      <c r="R249" s="12">
        <v>97366700000000</v>
      </c>
      <c r="S249" s="12">
        <v>98426900000000</v>
      </c>
      <c r="T249" s="12">
        <v>99626200000000</v>
      </c>
      <c r="U249" s="12">
        <v>100847000000000</v>
      </c>
      <c r="V249" s="12">
        <v>102473000000000</v>
      </c>
      <c r="W249" s="12">
        <v>104301000000000</v>
      </c>
      <c r="X249" s="12">
        <v>105895000000000</v>
      </c>
      <c r="Y249" s="12">
        <v>107598000000000</v>
      </c>
      <c r="Z249" s="12">
        <v>109386000000000</v>
      </c>
      <c r="AA249" s="12">
        <v>111276000000000</v>
      </c>
      <c r="AB249" s="12">
        <v>113427000000000</v>
      </c>
      <c r="AC249" s="12">
        <v>115209000000000</v>
      </c>
      <c r="AD249" s="12">
        <v>117151000000000</v>
      </c>
      <c r="AE249" s="12">
        <v>119349000000000</v>
      </c>
      <c r="AF249" s="12">
        <v>121651000000000</v>
      </c>
    </row>
    <row r="250" spans="1:32" x14ac:dyDescent="0.25">
      <c r="A250" s="25" t="s">
        <v>319</v>
      </c>
      <c r="B250" s="12">
        <v>64134000000000</v>
      </c>
      <c r="C250" s="12">
        <v>67727500000000</v>
      </c>
      <c r="D250" s="12">
        <v>55057300000000</v>
      </c>
      <c r="E250" s="12">
        <v>97130800000000</v>
      </c>
      <c r="F250" s="12">
        <v>98488900000000</v>
      </c>
      <c r="G250" s="12">
        <v>99946200000000</v>
      </c>
      <c r="H250" s="12">
        <v>101258000000000</v>
      </c>
      <c r="I250" s="12">
        <v>102453000000000</v>
      </c>
      <c r="J250" s="12">
        <v>103601000000000</v>
      </c>
      <c r="K250" s="12">
        <v>104736000000000</v>
      </c>
      <c r="L250" s="12">
        <v>105864000000000</v>
      </c>
      <c r="M250" s="12">
        <v>107078000000000</v>
      </c>
      <c r="N250" s="12">
        <v>108991000000000</v>
      </c>
      <c r="O250" s="12">
        <v>110206000000000</v>
      </c>
      <c r="P250" s="12">
        <v>111743000000000</v>
      </c>
      <c r="Q250" s="12">
        <v>113368000000000</v>
      </c>
      <c r="R250" s="12">
        <v>114960000000000</v>
      </c>
      <c r="S250" s="12">
        <v>116770000000000</v>
      </c>
      <c r="T250" s="12">
        <v>118598000000000</v>
      </c>
      <c r="U250" s="12">
        <v>120444000000000</v>
      </c>
      <c r="V250" s="12">
        <v>122244000000000</v>
      </c>
      <c r="W250" s="12">
        <v>123941000000000</v>
      </c>
      <c r="X250" s="12">
        <v>125656000000000</v>
      </c>
      <c r="Y250" s="12">
        <v>127387000000000</v>
      </c>
      <c r="Z250" s="12">
        <v>129133000000000</v>
      </c>
      <c r="AA250" s="12">
        <v>130945000000000</v>
      </c>
      <c r="AB250" s="12">
        <v>132747000000000</v>
      </c>
      <c r="AC250" s="12">
        <v>134555000000000</v>
      </c>
      <c r="AD250" s="12">
        <v>136468000000000</v>
      </c>
      <c r="AE250" s="12">
        <v>138389000000000</v>
      </c>
      <c r="AF250" s="12">
        <v>140376000000000</v>
      </c>
    </row>
    <row r="251" spans="1:32" x14ac:dyDescent="0.25">
      <c r="A251" s="25" t="s">
        <v>320</v>
      </c>
      <c r="B251" s="25">
        <v>0</v>
      </c>
      <c r="C251" s="25">
        <v>0</v>
      </c>
      <c r="D251" s="25">
        <v>0</v>
      </c>
      <c r="E251" s="25">
        <v>0</v>
      </c>
      <c r="F251" s="25">
        <v>0</v>
      </c>
      <c r="G251" s="25">
        <v>0</v>
      </c>
      <c r="H251" s="25">
        <v>0</v>
      </c>
      <c r="I251" s="25">
        <v>0</v>
      </c>
      <c r="J251" s="25">
        <v>0</v>
      </c>
      <c r="K251" s="25">
        <v>0</v>
      </c>
      <c r="L251" s="25">
        <v>0</v>
      </c>
      <c r="M251" s="25">
        <v>0</v>
      </c>
      <c r="N251" s="25">
        <v>0</v>
      </c>
      <c r="O251" s="25">
        <v>0</v>
      </c>
      <c r="P251" s="25">
        <v>0</v>
      </c>
      <c r="Q251" s="25">
        <v>0</v>
      </c>
      <c r="R251" s="25">
        <v>0</v>
      </c>
      <c r="S251" s="25">
        <v>0</v>
      </c>
      <c r="T251" s="25">
        <v>0</v>
      </c>
      <c r="U251" s="25">
        <v>0</v>
      </c>
      <c r="V251" s="25">
        <v>0</v>
      </c>
      <c r="W251" s="25">
        <v>0</v>
      </c>
      <c r="X251" s="25">
        <v>0</v>
      </c>
      <c r="Y251" s="25">
        <v>0</v>
      </c>
      <c r="Z251" s="25">
        <v>0</v>
      </c>
      <c r="AA251" s="25">
        <v>0</v>
      </c>
      <c r="AB251" s="25">
        <v>0</v>
      </c>
      <c r="AC251" s="25">
        <v>0</v>
      </c>
      <c r="AD251" s="25">
        <v>0</v>
      </c>
      <c r="AE251" s="25">
        <v>0</v>
      </c>
      <c r="AF251" s="25">
        <v>0</v>
      </c>
    </row>
    <row r="252" spans="1:32" x14ac:dyDescent="0.25">
      <c r="A252" s="25" t="s">
        <v>321</v>
      </c>
      <c r="B252" s="25">
        <v>0</v>
      </c>
      <c r="C252" s="25">
        <v>0</v>
      </c>
      <c r="D252" s="25">
        <v>0</v>
      </c>
      <c r="E252" s="25">
        <v>0</v>
      </c>
      <c r="F252" s="25">
        <v>0</v>
      </c>
      <c r="G252" s="25">
        <v>0</v>
      </c>
      <c r="H252" s="25">
        <v>0</v>
      </c>
      <c r="I252" s="25">
        <v>0</v>
      </c>
      <c r="J252" s="25">
        <v>0</v>
      </c>
      <c r="K252" s="25">
        <v>0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5">
        <v>0</v>
      </c>
      <c r="U252" s="25">
        <v>0</v>
      </c>
      <c r="V252" s="25">
        <v>0</v>
      </c>
      <c r="W252" s="25">
        <v>0</v>
      </c>
      <c r="X252" s="25">
        <v>0</v>
      </c>
      <c r="Y252" s="25">
        <v>0</v>
      </c>
      <c r="Z252" s="25">
        <v>0</v>
      </c>
      <c r="AA252" s="25">
        <v>0</v>
      </c>
      <c r="AB252" s="25">
        <v>0</v>
      </c>
      <c r="AC252" s="25">
        <v>0</v>
      </c>
      <c r="AD252" s="25">
        <v>0</v>
      </c>
      <c r="AE252" s="25">
        <v>0</v>
      </c>
      <c r="AF252" s="25">
        <v>0</v>
      </c>
    </row>
    <row r="253" spans="1:32" x14ac:dyDescent="0.25">
      <c r="A253" s="25" t="s">
        <v>322</v>
      </c>
      <c r="B253" s="25">
        <v>0</v>
      </c>
      <c r="C253" s="25">
        <v>0</v>
      </c>
      <c r="D253" s="25">
        <v>0</v>
      </c>
      <c r="E253" s="25">
        <v>0</v>
      </c>
      <c r="F253" s="25">
        <v>0</v>
      </c>
      <c r="G253" s="25">
        <v>0</v>
      </c>
      <c r="H253" s="25">
        <v>0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  <c r="O253" s="25">
        <v>0</v>
      </c>
      <c r="P253" s="25">
        <v>0</v>
      </c>
      <c r="Q253" s="25">
        <v>0</v>
      </c>
      <c r="R253" s="25">
        <v>0</v>
      </c>
      <c r="S253" s="25">
        <v>0</v>
      </c>
      <c r="T253" s="25">
        <v>0</v>
      </c>
      <c r="U253" s="25">
        <v>0</v>
      </c>
      <c r="V253" s="25">
        <v>0</v>
      </c>
      <c r="W253" s="25">
        <v>0</v>
      </c>
      <c r="X253" s="25">
        <v>0</v>
      </c>
      <c r="Y253" s="25">
        <v>0</v>
      </c>
      <c r="Z253" s="25">
        <v>0</v>
      </c>
      <c r="AA253" s="25">
        <v>0</v>
      </c>
      <c r="AB253" s="25">
        <v>0</v>
      </c>
      <c r="AC253" s="25">
        <v>0</v>
      </c>
      <c r="AD253" s="25">
        <v>0</v>
      </c>
      <c r="AE253" s="25">
        <v>0</v>
      </c>
      <c r="AF253" s="25">
        <v>0</v>
      </c>
    </row>
    <row r="254" spans="1:32" x14ac:dyDescent="0.25">
      <c r="A254" s="25" t="s">
        <v>323</v>
      </c>
      <c r="B254" s="12">
        <v>7170720000000</v>
      </c>
      <c r="C254" s="12">
        <v>11153500000000</v>
      </c>
      <c r="D254" s="12">
        <v>7262260000000</v>
      </c>
      <c r="E254" s="12">
        <v>7722640000000</v>
      </c>
      <c r="F254" s="12">
        <v>6403740000000</v>
      </c>
      <c r="G254" s="12">
        <v>6046370000000</v>
      </c>
      <c r="H254" s="12">
        <v>5757580000000</v>
      </c>
      <c r="I254" s="12">
        <v>5759300000000</v>
      </c>
      <c r="J254" s="12">
        <v>5771210000000</v>
      </c>
      <c r="K254" s="12">
        <v>5793250000000</v>
      </c>
      <c r="L254" s="12">
        <v>5844610000000</v>
      </c>
      <c r="M254" s="12">
        <v>5838670000000</v>
      </c>
      <c r="N254" s="12">
        <v>5815940000000</v>
      </c>
      <c r="O254" s="12">
        <v>5823410000000</v>
      </c>
      <c r="P254" s="12">
        <v>5816230000000</v>
      </c>
      <c r="Q254" s="12">
        <v>5835500000000</v>
      </c>
      <c r="R254" s="12">
        <v>5880630000000</v>
      </c>
      <c r="S254" s="12">
        <v>5831030000000</v>
      </c>
      <c r="T254" s="12">
        <v>5783900000000</v>
      </c>
      <c r="U254" s="12">
        <v>5775980000000</v>
      </c>
      <c r="V254" s="12">
        <v>5715690000000</v>
      </c>
      <c r="W254" s="12">
        <v>5708670000000</v>
      </c>
      <c r="X254" s="12">
        <v>5710790000000</v>
      </c>
      <c r="Y254" s="12">
        <v>5706160000000</v>
      </c>
      <c r="Z254" s="12">
        <v>5676840000000</v>
      </c>
      <c r="AA254" s="12">
        <v>5663780000000</v>
      </c>
      <c r="AB254" s="12">
        <v>5645880000000</v>
      </c>
      <c r="AC254" s="12">
        <v>5643740000000</v>
      </c>
      <c r="AD254" s="12">
        <v>5654390000000</v>
      </c>
      <c r="AE254" s="12">
        <v>5641450000000</v>
      </c>
      <c r="AF254" s="12">
        <v>5667080000000</v>
      </c>
    </row>
    <row r="255" spans="1:32" x14ac:dyDescent="0.25">
      <c r="A255" s="25" t="s">
        <v>324</v>
      </c>
      <c r="B255" s="25">
        <v>0</v>
      </c>
      <c r="C255" s="25">
        <v>0</v>
      </c>
      <c r="D255" s="25">
        <v>0</v>
      </c>
      <c r="E255" s="12">
        <v>232489000000</v>
      </c>
      <c r="F255" s="12">
        <v>232223000000</v>
      </c>
      <c r="G255" s="12">
        <v>232766000000</v>
      </c>
      <c r="H255" s="12">
        <v>235643000000</v>
      </c>
      <c r="I255" s="12">
        <v>236474000000</v>
      </c>
      <c r="J255" s="12">
        <v>234278000000</v>
      </c>
      <c r="K255" s="12">
        <v>232321000000</v>
      </c>
      <c r="L255" s="12">
        <v>228433000000</v>
      </c>
      <c r="M255" s="12">
        <v>226742000000</v>
      </c>
      <c r="N255" s="12">
        <v>224838000000</v>
      </c>
      <c r="O255" s="12">
        <v>223118000000</v>
      </c>
      <c r="P255" s="12">
        <v>221741000000</v>
      </c>
      <c r="Q255" s="12">
        <v>221656000000</v>
      </c>
      <c r="R255" s="12">
        <v>221368000000</v>
      </c>
      <c r="S255" s="12">
        <v>219754000000</v>
      </c>
      <c r="T255" s="12">
        <v>219415000000</v>
      </c>
      <c r="U255" s="12">
        <v>219974000000</v>
      </c>
      <c r="V255" s="12">
        <v>220294000000</v>
      </c>
      <c r="W255" s="12">
        <v>221017000000</v>
      </c>
      <c r="X255" s="12">
        <v>222167000000</v>
      </c>
      <c r="Y255" s="12">
        <v>224618000000</v>
      </c>
      <c r="Z255" s="12">
        <v>226029000000</v>
      </c>
      <c r="AA255" s="12">
        <v>226856000000</v>
      </c>
      <c r="AB255" s="12">
        <v>227233000000</v>
      </c>
      <c r="AC255" s="12">
        <v>227450000000</v>
      </c>
      <c r="AD255" s="12">
        <v>228026000000</v>
      </c>
      <c r="AE255" s="12">
        <v>228815000000</v>
      </c>
      <c r="AF255" s="12">
        <v>229504000000</v>
      </c>
    </row>
    <row r="256" spans="1:32" x14ac:dyDescent="0.25">
      <c r="A256" s="25" t="s">
        <v>325</v>
      </c>
      <c r="B256" s="12">
        <v>7078500000000</v>
      </c>
      <c r="C256" s="12">
        <v>7073440000000</v>
      </c>
      <c r="D256" s="12">
        <v>5633470000000</v>
      </c>
      <c r="E256" s="12">
        <v>7169350000000</v>
      </c>
      <c r="F256" s="12">
        <v>7154380000000</v>
      </c>
      <c r="G256" s="12">
        <v>7316570000000</v>
      </c>
      <c r="H256" s="12">
        <v>7405510000000</v>
      </c>
      <c r="I256" s="12">
        <v>7340670000000</v>
      </c>
      <c r="J256" s="12">
        <v>7097010000000</v>
      </c>
      <c r="K256" s="12">
        <v>6901380000000</v>
      </c>
      <c r="L256" s="12">
        <v>6678730000000</v>
      </c>
      <c r="M256" s="12">
        <v>6631890000000</v>
      </c>
      <c r="N256" s="12">
        <v>6702110000000</v>
      </c>
      <c r="O256" s="12">
        <v>6663510000000</v>
      </c>
      <c r="P256" s="12">
        <v>6540260000000</v>
      </c>
      <c r="Q256" s="12">
        <v>6613750000000</v>
      </c>
      <c r="R256" s="12">
        <v>6726810000000</v>
      </c>
      <c r="S256" s="12">
        <v>6711140000000</v>
      </c>
      <c r="T256" s="12">
        <v>6748670000000</v>
      </c>
      <c r="U256" s="12">
        <v>6816380000000</v>
      </c>
      <c r="V256" s="12">
        <v>6908580000000</v>
      </c>
      <c r="W256" s="12">
        <v>7092460000000</v>
      </c>
      <c r="X256" s="12">
        <v>7220460000000</v>
      </c>
      <c r="Y256" s="12">
        <v>7386140000000</v>
      </c>
      <c r="Z256" s="12">
        <v>7546170000000</v>
      </c>
      <c r="AA256" s="12">
        <v>7780760000000</v>
      </c>
      <c r="AB256" s="12">
        <v>7994220000000</v>
      </c>
      <c r="AC256" s="12">
        <v>8116980000000</v>
      </c>
      <c r="AD256" s="12">
        <v>8227610000000</v>
      </c>
      <c r="AE256" s="12">
        <v>8327090000000</v>
      </c>
      <c r="AF256" s="12">
        <v>8470780000000</v>
      </c>
    </row>
    <row r="257" spans="1:32" x14ac:dyDescent="0.25">
      <c r="A257" s="25" t="s">
        <v>326</v>
      </c>
      <c r="B257" s="12">
        <v>2925640000000</v>
      </c>
      <c r="C257" s="12">
        <v>2836710000000</v>
      </c>
      <c r="D257" s="12">
        <v>2222870000000</v>
      </c>
      <c r="E257" s="12">
        <v>2596610000000</v>
      </c>
      <c r="F257" s="12">
        <v>2610060000000</v>
      </c>
      <c r="G257" s="12">
        <v>2604180000000</v>
      </c>
      <c r="H257" s="12">
        <v>2631740000000</v>
      </c>
      <c r="I257" s="12">
        <v>2644470000000</v>
      </c>
      <c r="J257" s="12">
        <v>2615710000000</v>
      </c>
      <c r="K257" s="12">
        <v>2580140000000</v>
      </c>
      <c r="L257" s="12">
        <v>2513490000000</v>
      </c>
      <c r="M257" s="12">
        <v>2480230000000</v>
      </c>
      <c r="N257" s="12">
        <v>2454830000000</v>
      </c>
      <c r="O257" s="12">
        <v>2427530000000</v>
      </c>
      <c r="P257" s="12">
        <v>2405090000000</v>
      </c>
      <c r="Q257" s="12">
        <v>2395950000000</v>
      </c>
      <c r="R257" s="12">
        <v>2382240000000</v>
      </c>
      <c r="S257" s="12">
        <v>2347810000000</v>
      </c>
      <c r="T257" s="12">
        <v>2330870000000</v>
      </c>
      <c r="U257" s="12">
        <v>2322350000000</v>
      </c>
      <c r="V257" s="12">
        <v>2303950000000</v>
      </c>
      <c r="W257" s="12">
        <v>2281460000000</v>
      </c>
      <c r="X257" s="12">
        <v>2260980000000</v>
      </c>
      <c r="Y257" s="12">
        <v>2258570000000</v>
      </c>
      <c r="Z257" s="12">
        <v>2240340000000</v>
      </c>
      <c r="AA257" s="12">
        <v>2233140000000</v>
      </c>
      <c r="AB257" s="12">
        <v>2217560000000</v>
      </c>
      <c r="AC257" s="12">
        <v>2205750000000</v>
      </c>
      <c r="AD257" s="12">
        <v>2193860000000</v>
      </c>
      <c r="AE257" s="12">
        <v>2178430000000</v>
      </c>
      <c r="AF257" s="12">
        <v>2163600000000</v>
      </c>
    </row>
    <row r="258" spans="1:32" x14ac:dyDescent="0.25">
      <c r="A258" s="25" t="s">
        <v>327</v>
      </c>
      <c r="B258" s="25">
        <v>0</v>
      </c>
      <c r="C258" s="12">
        <v>15374300000</v>
      </c>
      <c r="D258" s="12">
        <v>15788300000</v>
      </c>
      <c r="E258" s="12">
        <v>36767700000</v>
      </c>
      <c r="F258" s="12">
        <v>46823600000</v>
      </c>
      <c r="G258" s="12">
        <v>57929800000</v>
      </c>
      <c r="H258" s="12">
        <v>68886200000</v>
      </c>
      <c r="I258" s="12">
        <v>77286300000</v>
      </c>
      <c r="J258" s="12">
        <v>78241700000</v>
      </c>
      <c r="K258" s="12">
        <v>121276000000</v>
      </c>
      <c r="L258" s="12">
        <v>164429000000</v>
      </c>
      <c r="M258" s="12">
        <v>210945000000</v>
      </c>
      <c r="N258" s="12">
        <v>256827000000</v>
      </c>
      <c r="O258" s="12">
        <v>300240000000</v>
      </c>
      <c r="P258" s="12">
        <v>341946000000</v>
      </c>
      <c r="Q258" s="12">
        <v>382173000000</v>
      </c>
      <c r="R258" s="12">
        <v>423310000000</v>
      </c>
      <c r="S258" s="12">
        <v>416738000000</v>
      </c>
      <c r="T258" s="12">
        <v>416890000000</v>
      </c>
      <c r="U258" s="12">
        <v>417364000000</v>
      </c>
      <c r="V258" s="12">
        <v>416984000000</v>
      </c>
      <c r="W258" s="12">
        <v>420895000000</v>
      </c>
      <c r="X258" s="12">
        <v>420153000000</v>
      </c>
      <c r="Y258" s="12">
        <v>419086000000</v>
      </c>
      <c r="Z258" s="12">
        <v>420548000000</v>
      </c>
      <c r="AA258" s="12">
        <v>420783000000</v>
      </c>
      <c r="AB258" s="12">
        <v>421739000000</v>
      </c>
      <c r="AC258" s="12">
        <v>422025000000</v>
      </c>
      <c r="AD258" s="12">
        <v>420404000000</v>
      </c>
      <c r="AE258" s="12">
        <v>418987000000</v>
      </c>
      <c r="AF258" s="12">
        <v>417371000000</v>
      </c>
    </row>
    <row r="259" spans="1:32" x14ac:dyDescent="0.25">
      <c r="A259" s="25" t="s">
        <v>328</v>
      </c>
      <c r="B259" s="12">
        <v>3562480000000000</v>
      </c>
      <c r="C259" s="12">
        <v>3609630000000000</v>
      </c>
      <c r="D259" s="12">
        <v>3966280000000000</v>
      </c>
      <c r="E259" s="12">
        <v>4210840000000000</v>
      </c>
      <c r="F259" s="12">
        <v>4320710000000000</v>
      </c>
      <c r="G259" s="12">
        <v>4398550000000000</v>
      </c>
      <c r="H259" s="12">
        <v>4456750000000000</v>
      </c>
      <c r="I259" s="12">
        <v>4488070000000000</v>
      </c>
      <c r="J259" s="12">
        <v>4533440000000000</v>
      </c>
      <c r="K259" s="12">
        <v>4578830000000000</v>
      </c>
      <c r="L259" s="12">
        <v>4630920000000000</v>
      </c>
      <c r="M259" s="12">
        <v>4685960000000000</v>
      </c>
      <c r="N259" s="12">
        <v>4731030000000000</v>
      </c>
      <c r="O259" s="12">
        <v>4767750000000000</v>
      </c>
      <c r="P259" s="12">
        <v>4821790000000000</v>
      </c>
      <c r="Q259" s="12">
        <v>4880870000000000</v>
      </c>
      <c r="R259" s="12">
        <v>4927830000000000</v>
      </c>
      <c r="S259" s="12">
        <v>4978480000000000</v>
      </c>
      <c r="T259" s="12">
        <v>5021560000000000</v>
      </c>
      <c r="U259" s="12">
        <v>5062490000000000</v>
      </c>
      <c r="V259" s="12">
        <v>5070610000000000</v>
      </c>
      <c r="W259" s="12">
        <v>5089450000000000</v>
      </c>
      <c r="X259" s="12">
        <v>5114040000000000</v>
      </c>
      <c r="Y259" s="12">
        <v>5169930000000000</v>
      </c>
      <c r="Z259" s="12">
        <v>5207380000000000</v>
      </c>
      <c r="AA259" s="12">
        <v>5261600000000000</v>
      </c>
      <c r="AB259" s="12">
        <v>5284900000000000</v>
      </c>
      <c r="AC259" s="12">
        <v>5309430000000000</v>
      </c>
      <c r="AD259" s="12">
        <v>5325600000000000</v>
      </c>
      <c r="AE259" s="12">
        <v>5366930000000000</v>
      </c>
      <c r="AF259" s="12">
        <v>5417130000000000</v>
      </c>
    </row>
    <row r="260" spans="1:32" x14ac:dyDescent="0.25">
      <c r="A260" s="25" t="s">
        <v>329</v>
      </c>
      <c r="B260" s="12">
        <v>3653960000000</v>
      </c>
      <c r="C260" s="12">
        <v>4344560000000</v>
      </c>
      <c r="D260" s="12">
        <v>3133790000000</v>
      </c>
      <c r="E260" s="12">
        <v>5571180000000</v>
      </c>
      <c r="F260" s="12">
        <v>5270330000000</v>
      </c>
      <c r="G260" s="12">
        <v>5179750000000</v>
      </c>
      <c r="H260" s="12">
        <v>5130820000000</v>
      </c>
      <c r="I260" s="12">
        <v>5114480000000</v>
      </c>
      <c r="J260" s="12">
        <v>5039400000000</v>
      </c>
      <c r="K260" s="12">
        <v>4966440000000</v>
      </c>
      <c r="L260" s="12">
        <v>4824050000000</v>
      </c>
      <c r="M260" s="12">
        <v>4762520000000</v>
      </c>
      <c r="N260" s="12">
        <v>4718090000000</v>
      </c>
      <c r="O260" s="12">
        <v>4686720000000</v>
      </c>
      <c r="P260" s="12">
        <v>4653900000000</v>
      </c>
      <c r="Q260" s="12">
        <v>4655600000000</v>
      </c>
      <c r="R260" s="12">
        <v>4645880000000</v>
      </c>
      <c r="S260" s="12">
        <v>4588500000000</v>
      </c>
      <c r="T260" s="12">
        <v>4556950000000</v>
      </c>
      <c r="U260" s="12">
        <v>4558410000000</v>
      </c>
      <c r="V260" s="12">
        <v>4538120000000</v>
      </c>
      <c r="W260" s="12">
        <v>4531570000000</v>
      </c>
      <c r="X260" s="12">
        <v>4534790000000</v>
      </c>
      <c r="Y260" s="12">
        <v>4552760000000</v>
      </c>
      <c r="Z260" s="12">
        <v>4538260000000</v>
      </c>
      <c r="AA260" s="12">
        <v>4534640000000</v>
      </c>
      <c r="AB260" s="12">
        <v>4518410000000</v>
      </c>
      <c r="AC260" s="12">
        <v>4502220000000</v>
      </c>
      <c r="AD260" s="12">
        <v>4492540000000</v>
      </c>
      <c r="AE260" s="12">
        <v>4473760000000</v>
      </c>
      <c r="AF260" s="12">
        <v>4468370000000</v>
      </c>
    </row>
    <row r="261" spans="1:32" x14ac:dyDescent="0.25">
      <c r="A261" s="25" t="s">
        <v>330</v>
      </c>
      <c r="B261" s="25">
        <v>0</v>
      </c>
      <c r="C261" s="25">
        <v>0</v>
      </c>
      <c r="D261" s="25">
        <v>0</v>
      </c>
      <c r="E261" s="25">
        <v>0</v>
      </c>
      <c r="F261" s="25">
        <v>0</v>
      </c>
      <c r="G261" s="25">
        <v>0</v>
      </c>
      <c r="H261" s="25">
        <v>0</v>
      </c>
      <c r="I261" s="25">
        <v>0</v>
      </c>
      <c r="J261" s="25">
        <v>0</v>
      </c>
      <c r="K261" s="25">
        <v>0</v>
      </c>
      <c r="L261" s="25">
        <v>0</v>
      </c>
      <c r="M261" s="25">
        <v>0</v>
      </c>
      <c r="N261" s="25">
        <v>0</v>
      </c>
      <c r="O261" s="25">
        <v>0</v>
      </c>
      <c r="P261" s="25">
        <v>0</v>
      </c>
      <c r="Q261" s="25">
        <v>0</v>
      </c>
      <c r="R261" s="25">
        <v>0</v>
      </c>
      <c r="S261" s="25">
        <v>0</v>
      </c>
      <c r="T261" s="25">
        <v>0</v>
      </c>
      <c r="U261" s="25">
        <v>0</v>
      </c>
      <c r="V261" s="25">
        <v>0</v>
      </c>
      <c r="W261" s="25">
        <v>0</v>
      </c>
      <c r="X261" s="25">
        <v>0</v>
      </c>
      <c r="Y261" s="25">
        <v>0</v>
      </c>
      <c r="Z261" s="25">
        <v>0</v>
      </c>
      <c r="AA261" s="25">
        <v>0</v>
      </c>
      <c r="AB261" s="25">
        <v>0</v>
      </c>
      <c r="AC261" s="25">
        <v>0</v>
      </c>
      <c r="AD261" s="25">
        <v>0</v>
      </c>
      <c r="AE261" s="25">
        <v>0</v>
      </c>
      <c r="AF261" s="25">
        <v>0</v>
      </c>
    </row>
    <row r="262" spans="1:32" x14ac:dyDescent="0.25">
      <c r="A262" s="25" t="s">
        <v>331</v>
      </c>
      <c r="B262" s="12">
        <v>1888190000000</v>
      </c>
      <c r="C262" s="12">
        <v>1755720000000</v>
      </c>
      <c r="D262" s="12">
        <v>1403910000000</v>
      </c>
      <c r="E262" s="12">
        <v>1562150000000</v>
      </c>
      <c r="F262" s="12">
        <v>1557670000000</v>
      </c>
      <c r="G262" s="12">
        <v>1552710000000</v>
      </c>
      <c r="H262" s="12">
        <v>1567380000000</v>
      </c>
      <c r="I262" s="12">
        <v>1566130000000</v>
      </c>
      <c r="J262" s="12">
        <v>1546940000000</v>
      </c>
      <c r="K262" s="12">
        <v>1557190000000</v>
      </c>
      <c r="L262" s="12">
        <v>1550960000000</v>
      </c>
      <c r="M262" s="12">
        <v>1578040000000</v>
      </c>
      <c r="N262" s="12">
        <v>1609870000000</v>
      </c>
      <c r="O262" s="12">
        <v>1640030000000</v>
      </c>
      <c r="P262" s="12">
        <v>1669890000000</v>
      </c>
      <c r="Q262" s="12">
        <v>1711920000000</v>
      </c>
      <c r="R262" s="12">
        <v>1744550000000</v>
      </c>
      <c r="S262" s="12">
        <v>1720770000000</v>
      </c>
      <c r="T262" s="12">
        <v>1710630000000</v>
      </c>
      <c r="U262" s="12">
        <v>1700420000000</v>
      </c>
      <c r="V262" s="12">
        <v>1691870000000</v>
      </c>
      <c r="W262" s="12">
        <v>1683450000000</v>
      </c>
      <c r="X262" s="12">
        <v>1671670000000</v>
      </c>
      <c r="Y262" s="12">
        <v>1668250000000</v>
      </c>
      <c r="Z262" s="12">
        <v>1661530000000</v>
      </c>
      <c r="AA262" s="12">
        <v>1656500000000</v>
      </c>
      <c r="AB262" s="12">
        <v>1649710000000</v>
      </c>
      <c r="AC262" s="12">
        <v>1641090000000</v>
      </c>
      <c r="AD262" s="12">
        <v>1630420000000</v>
      </c>
      <c r="AE262" s="12">
        <v>1621890000000</v>
      </c>
      <c r="AF262" s="12">
        <v>1618290000000</v>
      </c>
    </row>
    <row r="263" spans="1:32" x14ac:dyDescent="0.25">
      <c r="A263" s="25" t="s">
        <v>332</v>
      </c>
      <c r="B263" s="12">
        <v>749962000000</v>
      </c>
      <c r="C263" s="12">
        <v>580094000000</v>
      </c>
      <c r="D263" s="12">
        <v>460517000000</v>
      </c>
      <c r="E263" s="12">
        <v>503353000000</v>
      </c>
      <c r="F263" s="12">
        <v>509061000000</v>
      </c>
      <c r="G263" s="12">
        <v>519386000000</v>
      </c>
      <c r="H263" s="12">
        <v>525856000000</v>
      </c>
      <c r="I263" s="12">
        <v>518247000000</v>
      </c>
      <c r="J263" s="12">
        <v>498749000000</v>
      </c>
      <c r="K263" s="12">
        <v>480073000000</v>
      </c>
      <c r="L263" s="12">
        <v>457171000000</v>
      </c>
      <c r="M263" s="12">
        <v>450652000000</v>
      </c>
      <c r="N263" s="12">
        <v>448552000000</v>
      </c>
      <c r="O263" s="12">
        <v>443132000000</v>
      </c>
      <c r="P263" s="12">
        <v>436554000000</v>
      </c>
      <c r="Q263" s="12">
        <v>433253000000</v>
      </c>
      <c r="R263" s="12">
        <v>427732000000</v>
      </c>
      <c r="S263" s="12">
        <v>418997000000</v>
      </c>
      <c r="T263" s="12">
        <v>414358000000</v>
      </c>
      <c r="U263" s="12">
        <v>411995000000</v>
      </c>
      <c r="V263" s="12">
        <v>405131000000</v>
      </c>
      <c r="W263" s="12">
        <v>399825000000</v>
      </c>
      <c r="X263" s="12">
        <v>397992000000</v>
      </c>
      <c r="Y263" s="12">
        <v>402191000000</v>
      </c>
      <c r="Z263" s="12">
        <v>400525000000</v>
      </c>
      <c r="AA263" s="12">
        <v>398959000000</v>
      </c>
      <c r="AB263" s="12">
        <v>393679000000</v>
      </c>
      <c r="AC263" s="12">
        <v>386519000000</v>
      </c>
      <c r="AD263" s="12">
        <v>380803000000</v>
      </c>
      <c r="AE263" s="12">
        <v>375896000000</v>
      </c>
      <c r="AF263" s="12">
        <v>375112000000</v>
      </c>
    </row>
    <row r="264" spans="1:32" x14ac:dyDescent="0.25">
      <c r="A264" s="25" t="s">
        <v>333</v>
      </c>
      <c r="B264" s="12">
        <v>792461000000</v>
      </c>
      <c r="C264" s="12">
        <v>668533000000</v>
      </c>
      <c r="D264" s="12">
        <v>528687000000</v>
      </c>
      <c r="E264" s="12">
        <v>779942000000</v>
      </c>
      <c r="F264" s="12">
        <v>782476000000</v>
      </c>
      <c r="G264" s="12">
        <v>788448000000</v>
      </c>
      <c r="H264" s="12">
        <v>802020000000</v>
      </c>
      <c r="I264" s="12">
        <v>798105000000</v>
      </c>
      <c r="J264" s="12">
        <v>778664000000</v>
      </c>
      <c r="K264" s="12">
        <v>759631000000</v>
      </c>
      <c r="L264" s="12">
        <v>732987000000</v>
      </c>
      <c r="M264" s="12">
        <v>725829000000</v>
      </c>
      <c r="N264" s="12">
        <v>723573000000</v>
      </c>
      <c r="O264" s="12">
        <v>719423000000</v>
      </c>
      <c r="P264" s="12">
        <v>713689000000</v>
      </c>
      <c r="Q264" s="12">
        <v>710966000000</v>
      </c>
      <c r="R264" s="12">
        <v>706739000000</v>
      </c>
      <c r="S264" s="12">
        <v>697053000000</v>
      </c>
      <c r="T264" s="12">
        <v>691943000000</v>
      </c>
      <c r="U264" s="12">
        <v>689993000000</v>
      </c>
      <c r="V264" s="12">
        <v>685734000000</v>
      </c>
      <c r="W264" s="12">
        <v>681680000000</v>
      </c>
      <c r="X264" s="12">
        <v>679492000000</v>
      </c>
      <c r="Y264" s="12">
        <v>683055000000</v>
      </c>
      <c r="Z264" s="12">
        <v>682508000000</v>
      </c>
      <c r="AA264" s="12">
        <v>680597000000</v>
      </c>
      <c r="AB264" s="12">
        <v>675242000000</v>
      </c>
      <c r="AC264" s="12">
        <v>668796000000</v>
      </c>
      <c r="AD264" s="12">
        <v>661501000000</v>
      </c>
      <c r="AE264" s="12">
        <v>655336000000</v>
      </c>
      <c r="AF264" s="12">
        <v>651273000000</v>
      </c>
    </row>
    <row r="265" spans="1:32" x14ac:dyDescent="0.25">
      <c r="A265" s="25" t="s">
        <v>334</v>
      </c>
      <c r="B265" s="12">
        <v>7233850000000</v>
      </c>
      <c r="C265" s="12">
        <v>7577790000000</v>
      </c>
      <c r="D265" s="12">
        <v>5821220000000</v>
      </c>
      <c r="E265" s="12">
        <v>10098300000000</v>
      </c>
      <c r="F265" s="12">
        <v>10102900000000</v>
      </c>
      <c r="G265" s="12">
        <v>10222500000000</v>
      </c>
      <c r="H265" s="12">
        <v>10399400000000</v>
      </c>
      <c r="I265" s="12">
        <v>10430600000000</v>
      </c>
      <c r="J265" s="12">
        <v>10261200000000</v>
      </c>
      <c r="K265" s="12">
        <v>10116500000000</v>
      </c>
      <c r="L265" s="12">
        <v>9843640000000</v>
      </c>
      <c r="M265" s="12">
        <v>9779450000000</v>
      </c>
      <c r="N265" s="12">
        <v>9762700000000</v>
      </c>
      <c r="O265" s="12">
        <v>9732400000000</v>
      </c>
      <c r="P265" s="12">
        <v>9729040000000</v>
      </c>
      <c r="Q265" s="12">
        <v>9795600000000</v>
      </c>
      <c r="R265" s="12">
        <v>9832530000000</v>
      </c>
      <c r="S265" s="12">
        <v>9774450000000</v>
      </c>
      <c r="T265" s="12">
        <v>9761190000000</v>
      </c>
      <c r="U265" s="12">
        <v>9785490000000</v>
      </c>
      <c r="V265" s="12">
        <v>9811360000000</v>
      </c>
      <c r="W265" s="12">
        <v>9879160000000</v>
      </c>
      <c r="X265" s="12">
        <v>9955740000000</v>
      </c>
      <c r="Y265" s="12">
        <v>10088500000000</v>
      </c>
      <c r="Z265" s="12">
        <v>10123500000000</v>
      </c>
      <c r="AA265" s="12">
        <v>10209100000000</v>
      </c>
      <c r="AB265" s="12">
        <v>10270900000000</v>
      </c>
      <c r="AC265" s="12">
        <v>10277400000000</v>
      </c>
      <c r="AD265" s="12">
        <v>10340700000000</v>
      </c>
      <c r="AE265" s="12">
        <v>10396600000000</v>
      </c>
      <c r="AF265" s="12">
        <v>10477500000000</v>
      </c>
    </row>
    <row r="266" spans="1:32" x14ac:dyDescent="0.25">
      <c r="A266" s="25" t="s">
        <v>335</v>
      </c>
      <c r="B266" s="12">
        <v>1436000000000</v>
      </c>
      <c r="C266" s="12">
        <v>2468720000000</v>
      </c>
      <c r="D266" s="12">
        <v>1524330000000</v>
      </c>
      <c r="E266" s="12">
        <v>1325780000000</v>
      </c>
      <c r="F266" s="12">
        <v>1026360000000</v>
      </c>
      <c r="G266" s="12">
        <v>947693000000</v>
      </c>
      <c r="H266" s="12">
        <v>875537000000</v>
      </c>
      <c r="I266" s="12">
        <v>868393000000</v>
      </c>
      <c r="J266" s="12">
        <v>866849000000</v>
      </c>
      <c r="K266" s="12">
        <v>870049000000</v>
      </c>
      <c r="L266" s="12">
        <v>871068000000</v>
      </c>
      <c r="M266" s="12">
        <v>876602000000</v>
      </c>
      <c r="N266" s="12">
        <v>873922000000</v>
      </c>
      <c r="O266" s="12">
        <v>879742000000</v>
      </c>
      <c r="P266" s="12">
        <v>879746000000</v>
      </c>
      <c r="Q266" s="12">
        <v>886449000000</v>
      </c>
      <c r="R266" s="12">
        <v>896001000000</v>
      </c>
      <c r="S266" s="12">
        <v>890446000000</v>
      </c>
      <c r="T266" s="12">
        <v>882234000000</v>
      </c>
      <c r="U266" s="12">
        <v>884687000000</v>
      </c>
      <c r="V266" s="12">
        <v>872894000000</v>
      </c>
      <c r="W266" s="12">
        <v>874857000000</v>
      </c>
      <c r="X266" s="12">
        <v>879073000000</v>
      </c>
      <c r="Y266" s="12">
        <v>881030000000</v>
      </c>
      <c r="Z266" s="12">
        <v>879410000000</v>
      </c>
      <c r="AA266" s="12">
        <v>878331000000</v>
      </c>
      <c r="AB266" s="12">
        <v>878736000000</v>
      </c>
      <c r="AC266" s="12">
        <v>881914000000</v>
      </c>
      <c r="AD266" s="12">
        <v>886236000000</v>
      </c>
      <c r="AE266" s="12">
        <v>885716000000</v>
      </c>
      <c r="AF266" s="12">
        <v>893955000000</v>
      </c>
    </row>
    <row r="267" spans="1:32" x14ac:dyDescent="0.25">
      <c r="A267" s="25" t="s">
        <v>336</v>
      </c>
      <c r="B267" s="12">
        <v>2195560000000</v>
      </c>
      <c r="C267" s="12">
        <v>2551300000000</v>
      </c>
      <c r="D267" s="12">
        <v>1882750000000</v>
      </c>
      <c r="E267" s="12">
        <v>2232260000000</v>
      </c>
      <c r="F267" s="12">
        <v>1954550000000</v>
      </c>
      <c r="G267" s="12">
        <v>1873200000000</v>
      </c>
      <c r="H267" s="12">
        <v>1794580000000</v>
      </c>
      <c r="I267" s="12">
        <v>1774980000000</v>
      </c>
      <c r="J267" s="12">
        <v>1742850000000</v>
      </c>
      <c r="K267" s="12">
        <v>1719950000000</v>
      </c>
      <c r="L267" s="12">
        <v>1683510000000</v>
      </c>
      <c r="M267" s="12">
        <v>1669530000000</v>
      </c>
      <c r="N267" s="12">
        <v>1645090000000</v>
      </c>
      <c r="O267" s="12">
        <v>1630460000000</v>
      </c>
      <c r="P267" s="12">
        <v>1611040000000</v>
      </c>
      <c r="Q267" s="12">
        <v>1608690000000</v>
      </c>
      <c r="R267" s="12">
        <v>1610920000000</v>
      </c>
      <c r="S267" s="12">
        <v>1594460000000</v>
      </c>
      <c r="T267" s="12">
        <v>1579130000000</v>
      </c>
      <c r="U267" s="12">
        <v>1580260000000</v>
      </c>
      <c r="V267" s="12">
        <v>1563710000000</v>
      </c>
      <c r="W267" s="12">
        <v>1563600000000</v>
      </c>
      <c r="X267" s="12">
        <v>1567010000000</v>
      </c>
      <c r="Y267" s="12">
        <v>1570710000000</v>
      </c>
      <c r="Z267" s="12">
        <v>1565540000000</v>
      </c>
      <c r="AA267" s="12">
        <v>1557470000000</v>
      </c>
      <c r="AB267" s="12">
        <v>1555730000000</v>
      </c>
      <c r="AC267" s="12">
        <v>1549650000000</v>
      </c>
      <c r="AD267" s="12">
        <v>1547440000000</v>
      </c>
      <c r="AE267" s="12">
        <v>1543550000000</v>
      </c>
      <c r="AF267" s="12">
        <v>1552660000000</v>
      </c>
    </row>
    <row r="268" spans="1:32" x14ac:dyDescent="0.25">
      <c r="A268" s="25" t="s">
        <v>337</v>
      </c>
      <c r="B268" s="12">
        <v>3541730000000</v>
      </c>
      <c r="C268" s="12">
        <v>4292540000000</v>
      </c>
      <c r="D268" s="12">
        <v>3032160000000</v>
      </c>
      <c r="E268" s="12">
        <v>3914600000000</v>
      </c>
      <c r="F268" s="12">
        <v>3490240000000</v>
      </c>
      <c r="G268" s="12">
        <v>3397270000000</v>
      </c>
      <c r="H268" s="12">
        <v>3302840000000</v>
      </c>
      <c r="I268" s="12">
        <v>3276430000000</v>
      </c>
      <c r="J268" s="12">
        <v>3226470000000</v>
      </c>
      <c r="K268" s="12">
        <v>3201110000000</v>
      </c>
      <c r="L268" s="12">
        <v>3129700000000</v>
      </c>
      <c r="M268" s="12">
        <v>3113630000000</v>
      </c>
      <c r="N268" s="12">
        <v>3089950000000</v>
      </c>
      <c r="O268" s="12">
        <v>3077960000000</v>
      </c>
      <c r="P268" s="12">
        <v>3066840000000</v>
      </c>
      <c r="Q268" s="12">
        <v>3082860000000</v>
      </c>
      <c r="R268" s="12">
        <v>3094900000000</v>
      </c>
      <c r="S268" s="12">
        <v>3061850000000</v>
      </c>
      <c r="T268" s="12">
        <v>3035050000000</v>
      </c>
      <c r="U268" s="12">
        <v>3033520000000</v>
      </c>
      <c r="V268" s="12">
        <v>3010540000000</v>
      </c>
      <c r="W268" s="12">
        <v>3015200000000</v>
      </c>
      <c r="X268" s="12">
        <v>3021250000000</v>
      </c>
      <c r="Y268" s="12">
        <v>3036330000000</v>
      </c>
      <c r="Z268" s="12">
        <v>3031230000000</v>
      </c>
      <c r="AA268" s="12">
        <v>3029910000000</v>
      </c>
      <c r="AB268" s="12">
        <v>3033200000000</v>
      </c>
      <c r="AC268" s="12">
        <v>3021580000000</v>
      </c>
      <c r="AD268" s="12">
        <v>3025250000000</v>
      </c>
      <c r="AE268" s="12">
        <v>3026870000000</v>
      </c>
      <c r="AF268" s="12">
        <v>3038840000000</v>
      </c>
    </row>
    <row r="269" spans="1:32" x14ac:dyDescent="0.25">
      <c r="A269" s="25" t="s">
        <v>338</v>
      </c>
      <c r="B269" s="12">
        <v>1190110000000</v>
      </c>
      <c r="C269" s="12">
        <v>1378330000000</v>
      </c>
      <c r="D269" s="12">
        <v>969263000000</v>
      </c>
      <c r="E269" s="12">
        <v>2769260000000</v>
      </c>
      <c r="F269" s="12">
        <v>2636650000000</v>
      </c>
      <c r="G269" s="12">
        <v>2614730000000</v>
      </c>
      <c r="H269" s="12">
        <v>2629430000000</v>
      </c>
      <c r="I269" s="12">
        <v>2649300000000</v>
      </c>
      <c r="J269" s="12">
        <v>2622510000000</v>
      </c>
      <c r="K269" s="12">
        <v>2569430000000</v>
      </c>
      <c r="L269" s="12">
        <v>2486840000000</v>
      </c>
      <c r="M269" s="12">
        <v>2455380000000</v>
      </c>
      <c r="N269" s="12">
        <v>2443270000000</v>
      </c>
      <c r="O269" s="12">
        <v>2439030000000</v>
      </c>
      <c r="P269" s="12">
        <v>2438340000000</v>
      </c>
      <c r="Q269" s="12">
        <v>2447070000000</v>
      </c>
      <c r="R269" s="12">
        <v>2451970000000</v>
      </c>
      <c r="S269" s="12">
        <v>2429620000000</v>
      </c>
      <c r="T269" s="12">
        <v>2412910000000</v>
      </c>
      <c r="U269" s="12">
        <v>2418700000000</v>
      </c>
      <c r="V269" s="12">
        <v>2408960000000</v>
      </c>
      <c r="W269" s="12">
        <v>2411080000000</v>
      </c>
      <c r="X269" s="12">
        <v>2415220000000</v>
      </c>
      <c r="Y269" s="12">
        <v>2422170000000</v>
      </c>
      <c r="Z269" s="12">
        <v>2419720000000</v>
      </c>
      <c r="AA269" s="12">
        <v>2412170000000</v>
      </c>
      <c r="AB269" s="12">
        <v>2401870000000</v>
      </c>
      <c r="AC269" s="12">
        <v>2392630000000</v>
      </c>
      <c r="AD269" s="12">
        <v>2375330000000</v>
      </c>
      <c r="AE269" s="12">
        <v>2355610000000</v>
      </c>
      <c r="AF269" s="12">
        <v>2340740000000</v>
      </c>
    </row>
    <row r="270" spans="1:32" x14ac:dyDescent="0.25">
      <c r="A270" s="25" t="s">
        <v>339</v>
      </c>
      <c r="B270" s="12">
        <v>673732000000</v>
      </c>
      <c r="C270" s="12">
        <v>780288000000</v>
      </c>
      <c r="D270" s="12">
        <v>548709000000</v>
      </c>
      <c r="E270" s="12">
        <v>1567700000000</v>
      </c>
      <c r="F270" s="12">
        <v>1492630000000</v>
      </c>
      <c r="G270" s="12">
        <v>1480220000000</v>
      </c>
      <c r="H270" s="12">
        <v>1488550000000</v>
      </c>
      <c r="I270" s="12">
        <v>1499790000000</v>
      </c>
      <c r="J270" s="12">
        <v>1484630000000</v>
      </c>
      <c r="K270" s="12">
        <v>1454580000000</v>
      </c>
      <c r="L270" s="12">
        <v>1407820000000</v>
      </c>
      <c r="M270" s="12">
        <v>1390010000000</v>
      </c>
      <c r="N270" s="12">
        <v>1383160000000</v>
      </c>
      <c r="O270" s="12">
        <v>1380760000000</v>
      </c>
      <c r="P270" s="12">
        <v>1380370000000</v>
      </c>
      <c r="Q270" s="12">
        <v>1385310000000</v>
      </c>
      <c r="R270" s="12">
        <v>1388080000000</v>
      </c>
      <c r="S270" s="12">
        <v>1375430000000</v>
      </c>
      <c r="T270" s="12">
        <v>1365970000000</v>
      </c>
      <c r="U270" s="12">
        <v>1369250000000</v>
      </c>
      <c r="V270" s="12">
        <v>1363730000000</v>
      </c>
      <c r="W270" s="12">
        <v>1364940000000</v>
      </c>
      <c r="X270" s="12">
        <v>1367280000000</v>
      </c>
      <c r="Y270" s="12">
        <v>1371210000000</v>
      </c>
      <c r="Z270" s="12">
        <v>1369830000000</v>
      </c>
      <c r="AA270" s="12">
        <v>1365550000000</v>
      </c>
      <c r="AB270" s="12">
        <v>1359720000000</v>
      </c>
      <c r="AC270" s="12">
        <v>1354490000000</v>
      </c>
      <c r="AD270" s="12">
        <v>1344700000000</v>
      </c>
      <c r="AE270" s="12">
        <v>1333530000000</v>
      </c>
      <c r="AF270" s="12">
        <v>1325110000000</v>
      </c>
    </row>
    <row r="271" spans="1:32" x14ac:dyDescent="0.25">
      <c r="A271" s="25" t="s">
        <v>340</v>
      </c>
      <c r="B271" s="25">
        <v>0</v>
      </c>
      <c r="C271" s="25">
        <v>0</v>
      </c>
      <c r="D271" s="25">
        <v>0</v>
      </c>
      <c r="E271" s="12">
        <v>726092000000</v>
      </c>
      <c r="F271" s="12">
        <v>725259000000</v>
      </c>
      <c r="G271" s="12">
        <v>726955000000</v>
      </c>
      <c r="H271" s="12">
        <v>735940000000</v>
      </c>
      <c r="I271" s="12">
        <v>738536000000</v>
      </c>
      <c r="J271" s="12">
        <v>731677000000</v>
      </c>
      <c r="K271" s="12">
        <v>725566000000</v>
      </c>
      <c r="L271" s="12">
        <v>713424000000</v>
      </c>
      <c r="M271" s="12">
        <v>708142000000</v>
      </c>
      <c r="N271" s="12">
        <v>702197000000</v>
      </c>
      <c r="O271" s="12">
        <v>696824000000</v>
      </c>
      <c r="P271" s="12">
        <v>692523000000</v>
      </c>
      <c r="Q271" s="12">
        <v>692258000000</v>
      </c>
      <c r="R271" s="12">
        <v>691359000000</v>
      </c>
      <c r="S271" s="12">
        <v>686317000000</v>
      </c>
      <c r="T271" s="12">
        <v>685258000000</v>
      </c>
      <c r="U271" s="12">
        <v>687006000000</v>
      </c>
      <c r="V271" s="12">
        <v>688004000000</v>
      </c>
      <c r="W271" s="12">
        <v>690264000000</v>
      </c>
      <c r="X271" s="12">
        <v>693853000000</v>
      </c>
      <c r="Y271" s="12">
        <v>701509000000</v>
      </c>
      <c r="Z271" s="12">
        <v>705917000000</v>
      </c>
      <c r="AA271" s="12">
        <v>708498000000</v>
      </c>
      <c r="AB271" s="12">
        <v>709676000000</v>
      </c>
      <c r="AC271" s="12">
        <v>710352000000</v>
      </c>
      <c r="AD271" s="12">
        <v>712151000000</v>
      </c>
      <c r="AE271" s="12">
        <v>714617000000</v>
      </c>
      <c r="AF271" s="12">
        <v>716769000000</v>
      </c>
    </row>
    <row r="272" spans="1:32" x14ac:dyDescent="0.25">
      <c r="A272" s="25" t="s">
        <v>341</v>
      </c>
      <c r="B272" s="25">
        <v>0</v>
      </c>
      <c r="C272" s="12">
        <v>165759000000</v>
      </c>
      <c r="D272" s="12">
        <v>111716000000</v>
      </c>
      <c r="E272" s="12">
        <v>198605000000</v>
      </c>
      <c r="F272" s="12">
        <v>212515000000</v>
      </c>
      <c r="G272" s="12">
        <v>222484000000</v>
      </c>
      <c r="H272" s="12">
        <v>227476000000</v>
      </c>
      <c r="I272" s="12">
        <v>233087000000</v>
      </c>
      <c r="J272" s="12">
        <v>237666000000</v>
      </c>
      <c r="K272" s="12">
        <v>241439000000</v>
      </c>
      <c r="L272" s="12">
        <v>246294000000</v>
      </c>
      <c r="M272" s="12">
        <v>252298000000</v>
      </c>
      <c r="N272" s="12">
        <v>258248000000</v>
      </c>
      <c r="O272" s="12">
        <v>263793000000</v>
      </c>
      <c r="P272" s="12">
        <v>268005000000</v>
      </c>
      <c r="Q272" s="12">
        <v>273648000000</v>
      </c>
      <c r="R272" s="12">
        <v>277874000000</v>
      </c>
      <c r="S272" s="12">
        <v>272844000000</v>
      </c>
      <c r="T272" s="12">
        <v>272267000000</v>
      </c>
      <c r="U272" s="12">
        <v>269568000000</v>
      </c>
      <c r="V272" s="12">
        <v>268608000000</v>
      </c>
      <c r="W272" s="12">
        <v>267485000000</v>
      </c>
      <c r="X272" s="12">
        <v>266813000000</v>
      </c>
      <c r="Y272" s="12">
        <v>266446000000</v>
      </c>
      <c r="Z272" s="12">
        <v>267144000000</v>
      </c>
      <c r="AA272" s="12">
        <v>267789000000</v>
      </c>
      <c r="AB272" s="12">
        <v>269108000000</v>
      </c>
      <c r="AC272" s="12">
        <v>267350000000</v>
      </c>
      <c r="AD272" s="12">
        <v>266762000000</v>
      </c>
      <c r="AE272" s="12">
        <v>267045000000</v>
      </c>
      <c r="AF272" s="12">
        <v>266233000000</v>
      </c>
    </row>
    <row r="273" spans="1:32" x14ac:dyDescent="0.25">
      <c r="A273" s="25" t="s">
        <v>342</v>
      </c>
      <c r="B273" s="25">
        <v>0</v>
      </c>
      <c r="C273" s="25">
        <v>0</v>
      </c>
      <c r="D273" s="25">
        <v>0</v>
      </c>
      <c r="E273" s="25">
        <v>0</v>
      </c>
      <c r="F273" s="25">
        <v>0</v>
      </c>
      <c r="G273" s="25">
        <v>0</v>
      </c>
      <c r="H273" s="25">
        <v>0</v>
      </c>
      <c r="I273" s="25">
        <v>0</v>
      </c>
      <c r="J273" s="25">
        <v>0</v>
      </c>
      <c r="K273" s="25">
        <v>0</v>
      </c>
      <c r="L273" s="25">
        <v>0</v>
      </c>
      <c r="M273" s="25">
        <v>0</v>
      </c>
      <c r="N273" s="25">
        <v>0</v>
      </c>
      <c r="O273" s="25">
        <v>0</v>
      </c>
      <c r="P273" s="25">
        <v>0</v>
      </c>
      <c r="Q273" s="25">
        <v>0</v>
      </c>
      <c r="R273" s="25">
        <v>0</v>
      </c>
      <c r="S273" s="25">
        <v>0</v>
      </c>
      <c r="T273" s="25">
        <v>0</v>
      </c>
      <c r="U273" s="25">
        <v>0</v>
      </c>
      <c r="V273" s="25">
        <v>0</v>
      </c>
      <c r="W273" s="25">
        <v>0</v>
      </c>
      <c r="X273" s="25">
        <v>0</v>
      </c>
      <c r="Y273" s="25">
        <v>0</v>
      </c>
      <c r="Z273" s="25">
        <v>0</v>
      </c>
      <c r="AA273" s="25">
        <v>0</v>
      </c>
      <c r="AB273" s="25">
        <v>0</v>
      </c>
      <c r="AC273" s="25">
        <v>0</v>
      </c>
      <c r="AD273" s="25">
        <v>0</v>
      </c>
      <c r="AE273" s="25">
        <v>0</v>
      </c>
      <c r="AF273" s="25">
        <v>0</v>
      </c>
    </row>
    <row r="274" spans="1:32" x14ac:dyDescent="0.25">
      <c r="A274" s="25" t="s">
        <v>343</v>
      </c>
      <c r="B274" s="12">
        <v>36703700000000</v>
      </c>
      <c r="C274" s="12">
        <v>35796300000000</v>
      </c>
      <c r="D274" s="12">
        <v>28565600000000</v>
      </c>
      <c r="E274" s="12">
        <v>59474200000000</v>
      </c>
      <c r="F274" s="12">
        <v>61440100000000</v>
      </c>
      <c r="G274" s="12">
        <v>63471800000000</v>
      </c>
      <c r="H274" s="12">
        <v>64926200000000</v>
      </c>
      <c r="I274" s="12">
        <v>65650400000000</v>
      </c>
      <c r="J274" s="12">
        <v>65984800000000</v>
      </c>
      <c r="K274" s="12">
        <v>66424400000000</v>
      </c>
      <c r="L274" s="12">
        <v>66906600000000</v>
      </c>
      <c r="M274" s="12">
        <v>67489000000000</v>
      </c>
      <c r="N274" s="12">
        <v>68185900000000</v>
      </c>
      <c r="O274" s="12">
        <v>68943500000000</v>
      </c>
      <c r="P274" s="12">
        <v>69716900000000</v>
      </c>
      <c r="Q274" s="12">
        <v>70750900000000</v>
      </c>
      <c r="R274" s="12">
        <v>71649300000000</v>
      </c>
      <c r="S274" s="12">
        <v>72425100000000</v>
      </c>
      <c r="T274" s="12">
        <v>73316200000000</v>
      </c>
      <c r="U274" s="12">
        <v>74193700000000</v>
      </c>
      <c r="V274" s="12">
        <v>75321100000000</v>
      </c>
      <c r="W274" s="12">
        <v>76594100000000</v>
      </c>
      <c r="X274" s="12">
        <v>77742200000000</v>
      </c>
      <c r="Y274" s="12">
        <v>78965200000000</v>
      </c>
      <c r="Z274" s="12">
        <v>80246000000000</v>
      </c>
      <c r="AA274" s="12">
        <v>81597500000000</v>
      </c>
      <c r="AB274" s="12">
        <v>83130800000000</v>
      </c>
      <c r="AC274" s="12">
        <v>84390000000000</v>
      </c>
      <c r="AD274" s="12">
        <v>85769600000000</v>
      </c>
      <c r="AE274" s="12">
        <v>87332200000000</v>
      </c>
      <c r="AF274" s="12">
        <v>88966500000000</v>
      </c>
    </row>
    <row r="275" spans="1:32" x14ac:dyDescent="0.25">
      <c r="A275" s="25" t="s">
        <v>344</v>
      </c>
      <c r="B275" s="25">
        <v>0</v>
      </c>
      <c r="C275" s="25">
        <v>0</v>
      </c>
      <c r="D275" s="25">
        <v>0</v>
      </c>
      <c r="E275" s="25">
        <v>0</v>
      </c>
      <c r="F275" s="25">
        <v>0</v>
      </c>
      <c r="G275" s="25">
        <v>0</v>
      </c>
      <c r="H275" s="25">
        <v>0</v>
      </c>
      <c r="I275" s="25">
        <v>0</v>
      </c>
      <c r="J275" s="25">
        <v>0</v>
      </c>
      <c r="K275" s="25">
        <v>0</v>
      </c>
      <c r="L275" s="25">
        <v>0</v>
      </c>
      <c r="M275" s="25">
        <v>0</v>
      </c>
      <c r="N275" s="25">
        <v>0</v>
      </c>
      <c r="O275" s="25">
        <v>0</v>
      </c>
      <c r="P275" s="25">
        <v>0</v>
      </c>
      <c r="Q275" s="25">
        <v>0</v>
      </c>
      <c r="R275" s="25">
        <v>0</v>
      </c>
      <c r="S275" s="25">
        <v>0</v>
      </c>
      <c r="T275" s="25">
        <v>0</v>
      </c>
      <c r="U275" s="25">
        <v>0</v>
      </c>
      <c r="V275" s="25">
        <v>0</v>
      </c>
      <c r="W275" s="25">
        <v>0</v>
      </c>
      <c r="X275" s="25">
        <v>0</v>
      </c>
      <c r="Y275" s="25">
        <v>0</v>
      </c>
      <c r="Z275" s="25">
        <v>0</v>
      </c>
      <c r="AA275" s="25">
        <v>0</v>
      </c>
      <c r="AB275" s="25">
        <v>0</v>
      </c>
      <c r="AC275" s="25">
        <v>0</v>
      </c>
      <c r="AD275" s="25">
        <v>0</v>
      </c>
      <c r="AE275" s="25">
        <v>0</v>
      </c>
      <c r="AF275" s="25">
        <v>0</v>
      </c>
    </row>
    <row r="276" spans="1:32" x14ac:dyDescent="0.25">
      <c r="A276" s="25" t="s">
        <v>345</v>
      </c>
      <c r="B276" s="25">
        <v>0</v>
      </c>
      <c r="C276" s="25">
        <v>0</v>
      </c>
      <c r="D276" s="25">
        <v>0</v>
      </c>
      <c r="E276" s="25">
        <v>0</v>
      </c>
      <c r="F276" s="25">
        <v>0</v>
      </c>
      <c r="G276" s="25">
        <v>0</v>
      </c>
      <c r="H276" s="25">
        <v>0</v>
      </c>
      <c r="I276" s="25">
        <v>0</v>
      </c>
      <c r="J276" s="25">
        <v>0</v>
      </c>
      <c r="K276" s="25">
        <v>0</v>
      </c>
      <c r="L276" s="25">
        <v>0</v>
      </c>
      <c r="M276" s="25">
        <v>0</v>
      </c>
      <c r="N276" s="25">
        <v>0</v>
      </c>
      <c r="O276" s="25">
        <v>0</v>
      </c>
      <c r="P276" s="25">
        <v>0</v>
      </c>
      <c r="Q276" s="25">
        <v>0</v>
      </c>
      <c r="R276" s="25">
        <v>0</v>
      </c>
      <c r="S276" s="25">
        <v>0</v>
      </c>
      <c r="T276" s="25">
        <v>0</v>
      </c>
      <c r="U276" s="25">
        <v>0</v>
      </c>
      <c r="V276" s="25">
        <v>0</v>
      </c>
      <c r="W276" s="25">
        <v>0</v>
      </c>
      <c r="X276" s="25">
        <v>0</v>
      </c>
      <c r="Y276" s="25">
        <v>0</v>
      </c>
      <c r="Z276" s="25">
        <v>0</v>
      </c>
      <c r="AA276" s="25">
        <v>0</v>
      </c>
      <c r="AB276" s="25">
        <v>0</v>
      </c>
      <c r="AC276" s="25">
        <v>0</v>
      </c>
      <c r="AD276" s="25">
        <v>0</v>
      </c>
      <c r="AE276" s="25">
        <v>0</v>
      </c>
      <c r="AF276" s="25">
        <v>0</v>
      </c>
    </row>
    <row r="277" spans="1:32" x14ac:dyDescent="0.25">
      <c r="A277" s="25" t="s">
        <v>346</v>
      </c>
      <c r="B277" s="25">
        <v>0</v>
      </c>
      <c r="C277" s="25">
        <v>0</v>
      </c>
      <c r="D277" s="25">
        <v>0</v>
      </c>
      <c r="E277" s="25">
        <v>0</v>
      </c>
      <c r="F277" s="25">
        <v>0</v>
      </c>
      <c r="G277" s="25">
        <v>0</v>
      </c>
      <c r="H277" s="25">
        <v>0</v>
      </c>
      <c r="I277" s="25">
        <v>0</v>
      </c>
      <c r="J277" s="25">
        <v>0</v>
      </c>
      <c r="K277" s="25">
        <v>0</v>
      </c>
      <c r="L277" s="25">
        <v>0</v>
      </c>
      <c r="M277" s="25">
        <v>0</v>
      </c>
      <c r="N277" s="25">
        <v>0</v>
      </c>
      <c r="O277" s="25">
        <v>0</v>
      </c>
      <c r="P277" s="25">
        <v>0</v>
      </c>
      <c r="Q277" s="25">
        <v>0</v>
      </c>
      <c r="R277" s="25">
        <v>0</v>
      </c>
      <c r="S277" s="25">
        <v>0</v>
      </c>
      <c r="T277" s="25">
        <v>0</v>
      </c>
      <c r="U277" s="25">
        <v>0</v>
      </c>
      <c r="V277" s="25">
        <v>0</v>
      </c>
      <c r="W277" s="25">
        <v>0</v>
      </c>
      <c r="X277" s="25">
        <v>0</v>
      </c>
      <c r="Y277" s="25">
        <v>0</v>
      </c>
      <c r="Z277" s="25">
        <v>0</v>
      </c>
      <c r="AA277" s="25">
        <v>0</v>
      </c>
      <c r="AB277" s="25">
        <v>0</v>
      </c>
      <c r="AC277" s="25">
        <v>0</v>
      </c>
      <c r="AD277" s="25">
        <v>0</v>
      </c>
      <c r="AE277" s="25">
        <v>0</v>
      </c>
      <c r="AF277" s="25">
        <v>0</v>
      </c>
    </row>
    <row r="278" spans="1:32" x14ac:dyDescent="0.25">
      <c r="A278" s="25" t="s">
        <v>347</v>
      </c>
      <c r="B278" s="25">
        <v>0</v>
      </c>
      <c r="C278" s="25">
        <v>0</v>
      </c>
      <c r="D278" s="25">
        <v>0</v>
      </c>
      <c r="E278" s="25">
        <v>0</v>
      </c>
      <c r="F278" s="25">
        <v>0</v>
      </c>
      <c r="G278" s="25">
        <v>0</v>
      </c>
      <c r="H278" s="25">
        <v>0</v>
      </c>
      <c r="I278" s="25">
        <v>0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  <c r="O278" s="25">
        <v>0</v>
      </c>
      <c r="P278" s="25">
        <v>0</v>
      </c>
      <c r="Q278" s="25">
        <v>0</v>
      </c>
      <c r="R278" s="25">
        <v>0</v>
      </c>
      <c r="S278" s="25">
        <v>0</v>
      </c>
      <c r="T278" s="25">
        <v>0</v>
      </c>
      <c r="U278" s="25">
        <v>0</v>
      </c>
      <c r="V278" s="25">
        <v>0</v>
      </c>
      <c r="W278" s="25">
        <v>0</v>
      </c>
      <c r="X278" s="25">
        <v>0</v>
      </c>
      <c r="Y278" s="25">
        <v>0</v>
      </c>
      <c r="Z278" s="25">
        <v>0</v>
      </c>
      <c r="AA278" s="25">
        <v>0</v>
      </c>
      <c r="AB278" s="25">
        <v>0</v>
      </c>
      <c r="AC278" s="25">
        <v>0</v>
      </c>
      <c r="AD278" s="25">
        <v>0</v>
      </c>
      <c r="AE278" s="25">
        <v>0</v>
      </c>
      <c r="AF278" s="25">
        <v>0</v>
      </c>
    </row>
    <row r="279" spans="1:32" x14ac:dyDescent="0.25">
      <c r="A279" s="25" t="s">
        <v>348</v>
      </c>
      <c r="B279" s="25">
        <v>0</v>
      </c>
      <c r="C279" s="25">
        <v>0</v>
      </c>
      <c r="D279" s="25">
        <v>0</v>
      </c>
      <c r="E279" s="25">
        <v>0</v>
      </c>
      <c r="F279" s="25">
        <v>0</v>
      </c>
      <c r="G279" s="25">
        <v>0</v>
      </c>
      <c r="H279" s="25">
        <v>0</v>
      </c>
      <c r="I279" s="25">
        <v>0</v>
      </c>
      <c r="J279" s="25">
        <v>0</v>
      </c>
      <c r="K279" s="25">
        <v>0</v>
      </c>
      <c r="L279" s="25">
        <v>0</v>
      </c>
      <c r="M279" s="25">
        <v>0</v>
      </c>
      <c r="N279" s="25">
        <v>0</v>
      </c>
      <c r="O279" s="25">
        <v>0</v>
      </c>
      <c r="P279" s="25">
        <v>0</v>
      </c>
      <c r="Q279" s="25">
        <v>0</v>
      </c>
      <c r="R279" s="25">
        <v>0</v>
      </c>
      <c r="S279" s="25">
        <v>0</v>
      </c>
      <c r="T279" s="25">
        <v>0</v>
      </c>
      <c r="U279" s="25">
        <v>0</v>
      </c>
      <c r="V279" s="25">
        <v>0</v>
      </c>
      <c r="W279" s="25">
        <v>0</v>
      </c>
      <c r="X279" s="25">
        <v>0</v>
      </c>
      <c r="Y279" s="25">
        <v>0</v>
      </c>
      <c r="Z279" s="25">
        <v>0</v>
      </c>
      <c r="AA279" s="25">
        <v>0</v>
      </c>
      <c r="AB279" s="25">
        <v>0</v>
      </c>
      <c r="AC279" s="25">
        <v>0</v>
      </c>
      <c r="AD279" s="25">
        <v>0</v>
      </c>
      <c r="AE279" s="25">
        <v>0</v>
      </c>
      <c r="AF279" s="25">
        <v>0</v>
      </c>
    </row>
    <row r="280" spans="1:32" x14ac:dyDescent="0.25">
      <c r="A280" s="25" t="s">
        <v>349</v>
      </c>
      <c r="B280" s="25">
        <v>0</v>
      </c>
      <c r="C280" s="25">
        <v>0</v>
      </c>
      <c r="D280" s="25">
        <v>0</v>
      </c>
      <c r="E280" s="25">
        <v>0</v>
      </c>
      <c r="F280" s="25">
        <v>0</v>
      </c>
      <c r="G280" s="25">
        <v>0</v>
      </c>
      <c r="H280" s="25">
        <v>0</v>
      </c>
      <c r="I280" s="25">
        <v>0</v>
      </c>
      <c r="J280" s="25">
        <v>0</v>
      </c>
      <c r="K280" s="25">
        <v>0</v>
      </c>
      <c r="L280" s="25">
        <v>0</v>
      </c>
      <c r="M280" s="25">
        <v>0</v>
      </c>
      <c r="N280" s="25">
        <v>0</v>
      </c>
      <c r="O280" s="25">
        <v>0</v>
      </c>
      <c r="P280" s="25">
        <v>0</v>
      </c>
      <c r="Q280" s="25">
        <v>0</v>
      </c>
      <c r="R280" s="25">
        <v>0</v>
      </c>
      <c r="S280" s="25">
        <v>0</v>
      </c>
      <c r="T280" s="25">
        <v>0</v>
      </c>
      <c r="U280" s="25">
        <v>0</v>
      </c>
      <c r="V280" s="25">
        <v>0</v>
      </c>
      <c r="W280" s="25">
        <v>0</v>
      </c>
      <c r="X280" s="25">
        <v>0</v>
      </c>
      <c r="Y280" s="25">
        <v>0</v>
      </c>
      <c r="Z280" s="25">
        <v>0</v>
      </c>
      <c r="AA280" s="25">
        <v>0</v>
      </c>
      <c r="AB280" s="25">
        <v>0</v>
      </c>
      <c r="AC280" s="25">
        <v>0</v>
      </c>
      <c r="AD280" s="25">
        <v>0</v>
      </c>
      <c r="AE280" s="25">
        <v>0</v>
      </c>
      <c r="AF280" s="25">
        <v>0</v>
      </c>
    </row>
    <row r="281" spans="1:32" x14ac:dyDescent="0.25">
      <c r="A281" s="25" t="s">
        <v>350</v>
      </c>
      <c r="B281" s="25">
        <v>0</v>
      </c>
      <c r="C281" s="25">
        <v>0</v>
      </c>
      <c r="D281" s="25">
        <v>0</v>
      </c>
      <c r="E281" s="25">
        <v>0</v>
      </c>
      <c r="F281" s="25">
        <v>0</v>
      </c>
      <c r="G281" s="25">
        <v>0</v>
      </c>
      <c r="H281" s="25">
        <v>0</v>
      </c>
      <c r="I281" s="25">
        <v>0</v>
      </c>
      <c r="J281" s="25">
        <v>0</v>
      </c>
      <c r="K281" s="25">
        <v>0</v>
      </c>
      <c r="L281" s="25">
        <v>0</v>
      </c>
      <c r="M281" s="25">
        <v>0</v>
      </c>
      <c r="N281" s="25">
        <v>0</v>
      </c>
      <c r="O281" s="25">
        <v>0</v>
      </c>
      <c r="P281" s="25">
        <v>0</v>
      </c>
      <c r="Q281" s="25">
        <v>0</v>
      </c>
      <c r="R281" s="25">
        <v>0</v>
      </c>
      <c r="S281" s="25">
        <v>0</v>
      </c>
      <c r="T281" s="25">
        <v>0</v>
      </c>
      <c r="U281" s="25">
        <v>0</v>
      </c>
      <c r="V281" s="25">
        <v>0</v>
      </c>
      <c r="W281" s="25">
        <v>0</v>
      </c>
      <c r="X281" s="25">
        <v>0</v>
      </c>
      <c r="Y281" s="25">
        <v>0</v>
      </c>
      <c r="Z281" s="25">
        <v>0</v>
      </c>
      <c r="AA281" s="25">
        <v>0</v>
      </c>
      <c r="AB281" s="25">
        <v>0</v>
      </c>
      <c r="AC281" s="25">
        <v>0</v>
      </c>
      <c r="AD281" s="25">
        <v>0</v>
      </c>
      <c r="AE281" s="25">
        <v>0</v>
      </c>
      <c r="AF281" s="25">
        <v>0</v>
      </c>
    </row>
    <row r="282" spans="1:32" x14ac:dyDescent="0.25">
      <c r="A282" s="25" t="s">
        <v>351</v>
      </c>
      <c r="B282" s="25">
        <v>0</v>
      </c>
      <c r="C282" s="25">
        <v>0</v>
      </c>
      <c r="D282" s="25">
        <v>0</v>
      </c>
      <c r="E282" s="25">
        <v>0</v>
      </c>
      <c r="F282" s="25">
        <v>0</v>
      </c>
      <c r="G282" s="25">
        <v>0</v>
      </c>
      <c r="H282" s="25">
        <v>0</v>
      </c>
      <c r="I282" s="25">
        <v>0</v>
      </c>
      <c r="J282" s="25">
        <v>0</v>
      </c>
      <c r="K282" s="25">
        <v>0</v>
      </c>
      <c r="L282" s="25">
        <v>0</v>
      </c>
      <c r="M282" s="25">
        <v>0</v>
      </c>
      <c r="N282" s="25">
        <v>0</v>
      </c>
      <c r="O282" s="25">
        <v>0</v>
      </c>
      <c r="P282" s="25">
        <v>0</v>
      </c>
      <c r="Q282" s="25">
        <v>0</v>
      </c>
      <c r="R282" s="25">
        <v>0</v>
      </c>
      <c r="S282" s="25">
        <v>0</v>
      </c>
      <c r="T282" s="25">
        <v>0</v>
      </c>
      <c r="U282" s="25">
        <v>0</v>
      </c>
      <c r="V282" s="25">
        <v>0</v>
      </c>
      <c r="W282" s="25">
        <v>0</v>
      </c>
      <c r="X282" s="25">
        <v>0</v>
      </c>
      <c r="Y282" s="25">
        <v>0</v>
      </c>
      <c r="Z282" s="25">
        <v>0</v>
      </c>
      <c r="AA282" s="25">
        <v>0</v>
      </c>
      <c r="AB282" s="25">
        <v>0</v>
      </c>
      <c r="AC282" s="25">
        <v>0</v>
      </c>
      <c r="AD282" s="25">
        <v>0</v>
      </c>
      <c r="AE282" s="25">
        <v>0</v>
      </c>
      <c r="AF282" s="25">
        <v>0</v>
      </c>
    </row>
    <row r="283" spans="1:32" x14ac:dyDescent="0.25">
      <c r="A283" s="25" t="s">
        <v>352</v>
      </c>
      <c r="B283" s="25">
        <v>0</v>
      </c>
      <c r="C283" s="25">
        <v>0</v>
      </c>
      <c r="D283" s="25">
        <v>0</v>
      </c>
      <c r="E283" s="25">
        <v>0</v>
      </c>
      <c r="F283" s="25">
        <v>0</v>
      </c>
      <c r="G283" s="25">
        <v>0</v>
      </c>
      <c r="H283" s="25">
        <v>0</v>
      </c>
      <c r="I283" s="25">
        <v>0</v>
      </c>
      <c r="J283" s="25">
        <v>0</v>
      </c>
      <c r="K283" s="25">
        <v>0</v>
      </c>
      <c r="L283" s="25">
        <v>0</v>
      </c>
      <c r="M283" s="25">
        <v>0</v>
      </c>
      <c r="N283" s="25">
        <v>0</v>
      </c>
      <c r="O283" s="25">
        <v>0</v>
      </c>
      <c r="P283" s="25">
        <v>0</v>
      </c>
      <c r="Q283" s="25">
        <v>0</v>
      </c>
      <c r="R283" s="25">
        <v>0</v>
      </c>
      <c r="S283" s="25">
        <v>0</v>
      </c>
      <c r="T283" s="25">
        <v>0</v>
      </c>
      <c r="U283" s="25">
        <v>0</v>
      </c>
      <c r="V283" s="25">
        <v>0</v>
      </c>
      <c r="W283" s="25">
        <v>0</v>
      </c>
      <c r="X283" s="25">
        <v>0</v>
      </c>
      <c r="Y283" s="25">
        <v>0</v>
      </c>
      <c r="Z283" s="25">
        <v>0</v>
      </c>
      <c r="AA283" s="25">
        <v>0</v>
      </c>
      <c r="AB283" s="25">
        <v>0</v>
      </c>
      <c r="AC283" s="25">
        <v>0</v>
      </c>
      <c r="AD283" s="25">
        <v>0</v>
      </c>
      <c r="AE283" s="25">
        <v>0</v>
      </c>
      <c r="AF283" s="25">
        <v>0</v>
      </c>
    </row>
    <row r="284" spans="1:32" x14ac:dyDescent="0.25">
      <c r="A284" s="25" t="s">
        <v>353</v>
      </c>
      <c r="B284" s="25">
        <v>0</v>
      </c>
      <c r="C284" s="25">
        <v>0</v>
      </c>
      <c r="D284" s="25">
        <v>0</v>
      </c>
      <c r="E284" s="25">
        <v>0</v>
      </c>
      <c r="F284" s="25">
        <v>0</v>
      </c>
      <c r="G284" s="25">
        <v>0</v>
      </c>
      <c r="H284" s="25">
        <v>0</v>
      </c>
      <c r="I284" s="25">
        <v>0</v>
      </c>
      <c r="J284" s="25">
        <v>0</v>
      </c>
      <c r="K284" s="25">
        <v>0</v>
      </c>
      <c r="L284" s="25">
        <v>0</v>
      </c>
      <c r="M284" s="25">
        <v>0</v>
      </c>
      <c r="N284" s="25">
        <v>0</v>
      </c>
      <c r="O284" s="25">
        <v>0</v>
      </c>
      <c r="P284" s="25">
        <v>0</v>
      </c>
      <c r="Q284" s="25">
        <v>0</v>
      </c>
      <c r="R284" s="25">
        <v>0</v>
      </c>
      <c r="S284" s="25">
        <v>0</v>
      </c>
      <c r="T284" s="25">
        <v>0</v>
      </c>
      <c r="U284" s="25">
        <v>0</v>
      </c>
      <c r="V284" s="25">
        <v>0</v>
      </c>
      <c r="W284" s="25">
        <v>0</v>
      </c>
      <c r="X284" s="25">
        <v>0</v>
      </c>
      <c r="Y284" s="25">
        <v>0</v>
      </c>
      <c r="Z284" s="25">
        <v>0</v>
      </c>
      <c r="AA284" s="25">
        <v>0</v>
      </c>
      <c r="AB284" s="25">
        <v>0</v>
      </c>
      <c r="AC284" s="25">
        <v>0</v>
      </c>
      <c r="AD284" s="25">
        <v>0</v>
      </c>
      <c r="AE284" s="25">
        <v>0</v>
      </c>
      <c r="AF284" s="25">
        <v>0</v>
      </c>
    </row>
    <row r="285" spans="1:32" x14ac:dyDescent="0.25">
      <c r="A285" s="25" t="s">
        <v>354</v>
      </c>
      <c r="B285" s="25">
        <v>0</v>
      </c>
      <c r="C285" s="25">
        <v>0</v>
      </c>
      <c r="D285" s="25">
        <v>0</v>
      </c>
      <c r="E285" s="25">
        <v>0</v>
      </c>
      <c r="F285" s="25">
        <v>0</v>
      </c>
      <c r="G285" s="25">
        <v>0</v>
      </c>
      <c r="H285" s="25">
        <v>0</v>
      </c>
      <c r="I285" s="25">
        <v>0</v>
      </c>
      <c r="J285" s="25">
        <v>0</v>
      </c>
      <c r="K285" s="25">
        <v>0</v>
      </c>
      <c r="L285" s="25">
        <v>0</v>
      </c>
      <c r="M285" s="25">
        <v>0</v>
      </c>
      <c r="N285" s="25">
        <v>0</v>
      </c>
      <c r="O285" s="25">
        <v>0</v>
      </c>
      <c r="P285" s="25">
        <v>0</v>
      </c>
      <c r="Q285" s="25">
        <v>0</v>
      </c>
      <c r="R285" s="25">
        <v>0</v>
      </c>
      <c r="S285" s="25">
        <v>0</v>
      </c>
      <c r="T285" s="25">
        <v>0</v>
      </c>
      <c r="U285" s="25">
        <v>0</v>
      </c>
      <c r="V285" s="25">
        <v>0</v>
      </c>
      <c r="W285" s="25">
        <v>0</v>
      </c>
      <c r="X285" s="25">
        <v>0</v>
      </c>
      <c r="Y285" s="25">
        <v>0</v>
      </c>
      <c r="Z285" s="25">
        <v>0</v>
      </c>
      <c r="AA285" s="25">
        <v>0</v>
      </c>
      <c r="AB285" s="25">
        <v>0</v>
      </c>
      <c r="AC285" s="25">
        <v>0</v>
      </c>
      <c r="AD285" s="25">
        <v>0</v>
      </c>
      <c r="AE285" s="25">
        <v>0</v>
      </c>
      <c r="AF285" s="25">
        <v>0</v>
      </c>
    </row>
    <row r="286" spans="1:32" x14ac:dyDescent="0.25">
      <c r="A286" s="25" t="s">
        <v>355</v>
      </c>
      <c r="B286" s="25">
        <v>0</v>
      </c>
      <c r="C286" s="25">
        <v>0</v>
      </c>
      <c r="D286" s="25">
        <v>0</v>
      </c>
      <c r="E286" s="25">
        <v>0</v>
      </c>
      <c r="F286" s="25">
        <v>0</v>
      </c>
      <c r="G286" s="25">
        <v>0</v>
      </c>
      <c r="H286" s="25">
        <v>0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  <c r="O286" s="25">
        <v>0</v>
      </c>
      <c r="P286" s="25">
        <v>0</v>
      </c>
      <c r="Q286" s="25">
        <v>0</v>
      </c>
      <c r="R286" s="25">
        <v>0</v>
      </c>
      <c r="S286" s="25">
        <v>0</v>
      </c>
      <c r="T286" s="25">
        <v>0</v>
      </c>
      <c r="U286" s="25">
        <v>0</v>
      </c>
      <c r="V286" s="25">
        <v>0</v>
      </c>
      <c r="W286" s="25">
        <v>0</v>
      </c>
      <c r="X286" s="25">
        <v>0</v>
      </c>
      <c r="Y286" s="25">
        <v>0</v>
      </c>
      <c r="Z286" s="25">
        <v>0</v>
      </c>
      <c r="AA286" s="25">
        <v>0</v>
      </c>
      <c r="AB286" s="25">
        <v>0</v>
      </c>
      <c r="AC286" s="25">
        <v>0</v>
      </c>
      <c r="AD286" s="25">
        <v>0</v>
      </c>
      <c r="AE286" s="25">
        <v>0</v>
      </c>
      <c r="AF286" s="25">
        <v>0</v>
      </c>
    </row>
    <row r="287" spans="1:32" x14ac:dyDescent="0.25">
      <c r="A287" s="25" t="s">
        <v>356</v>
      </c>
      <c r="B287" s="25">
        <v>0</v>
      </c>
      <c r="C287" s="25">
        <v>0</v>
      </c>
      <c r="D287" s="25">
        <v>0</v>
      </c>
      <c r="E287" s="25">
        <v>0</v>
      </c>
      <c r="F287" s="25">
        <v>0</v>
      </c>
      <c r="G287" s="25">
        <v>0</v>
      </c>
      <c r="H287" s="25">
        <v>0</v>
      </c>
      <c r="I287" s="25">
        <v>0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25">
        <v>0</v>
      </c>
      <c r="S287" s="25">
        <v>0</v>
      </c>
      <c r="T287" s="25">
        <v>0</v>
      </c>
      <c r="U287" s="25">
        <v>0</v>
      </c>
      <c r="V287" s="25">
        <v>0</v>
      </c>
      <c r="W287" s="25">
        <v>0</v>
      </c>
      <c r="X287" s="25">
        <v>0</v>
      </c>
      <c r="Y287" s="25">
        <v>0</v>
      </c>
      <c r="Z287" s="25">
        <v>0</v>
      </c>
      <c r="AA287" s="25">
        <v>0</v>
      </c>
      <c r="AB287" s="25">
        <v>0</v>
      </c>
      <c r="AC287" s="25">
        <v>0</v>
      </c>
      <c r="AD287" s="25">
        <v>0</v>
      </c>
      <c r="AE287" s="25">
        <v>0</v>
      </c>
      <c r="AF287" s="25">
        <v>0</v>
      </c>
    </row>
    <row r="288" spans="1:32" x14ac:dyDescent="0.25">
      <c r="A288" s="25" t="s">
        <v>357</v>
      </c>
      <c r="B288" s="25">
        <v>0</v>
      </c>
      <c r="C288" s="25">
        <v>0</v>
      </c>
      <c r="D288" s="25">
        <v>0</v>
      </c>
      <c r="E288" s="25">
        <v>0</v>
      </c>
      <c r="F288" s="25">
        <v>0</v>
      </c>
      <c r="G288" s="25">
        <v>0</v>
      </c>
      <c r="H288" s="25">
        <v>0</v>
      </c>
      <c r="I288" s="25">
        <v>0</v>
      </c>
      <c r="J288" s="25">
        <v>0</v>
      </c>
      <c r="K288" s="25">
        <v>0</v>
      </c>
      <c r="L288" s="25">
        <v>0</v>
      </c>
      <c r="M288" s="25">
        <v>0</v>
      </c>
      <c r="N288" s="25">
        <v>0</v>
      </c>
      <c r="O288" s="25">
        <v>0</v>
      </c>
      <c r="P288" s="25">
        <v>0</v>
      </c>
      <c r="Q288" s="25">
        <v>0</v>
      </c>
      <c r="R288" s="25">
        <v>0</v>
      </c>
      <c r="S288" s="25">
        <v>0</v>
      </c>
      <c r="T288" s="25">
        <v>0</v>
      </c>
      <c r="U288" s="25">
        <v>0</v>
      </c>
      <c r="V288" s="25">
        <v>0</v>
      </c>
      <c r="W288" s="25">
        <v>0</v>
      </c>
      <c r="X288" s="25">
        <v>0</v>
      </c>
      <c r="Y288" s="25">
        <v>0</v>
      </c>
      <c r="Z288" s="25">
        <v>0</v>
      </c>
      <c r="AA288" s="25">
        <v>0</v>
      </c>
      <c r="AB288" s="25">
        <v>0</v>
      </c>
      <c r="AC288" s="25">
        <v>0</v>
      </c>
      <c r="AD288" s="25">
        <v>0</v>
      </c>
      <c r="AE288" s="25">
        <v>0</v>
      </c>
      <c r="AF288" s="25">
        <v>0</v>
      </c>
    </row>
    <row r="289" spans="1:32" x14ac:dyDescent="0.25">
      <c r="A289" s="25" t="s">
        <v>358</v>
      </c>
      <c r="B289" s="25">
        <v>0</v>
      </c>
      <c r="C289" s="25">
        <v>0</v>
      </c>
      <c r="D289" s="25">
        <v>0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>
        <v>0</v>
      </c>
      <c r="K289" s="25">
        <v>0</v>
      </c>
      <c r="L289" s="25">
        <v>0</v>
      </c>
      <c r="M289" s="25">
        <v>0</v>
      </c>
      <c r="N289" s="25">
        <v>0</v>
      </c>
      <c r="O289" s="25">
        <v>0</v>
      </c>
      <c r="P289" s="25">
        <v>0</v>
      </c>
      <c r="Q289" s="25">
        <v>0</v>
      </c>
      <c r="R289" s="25">
        <v>0</v>
      </c>
      <c r="S289" s="25">
        <v>0</v>
      </c>
      <c r="T289" s="25">
        <v>0</v>
      </c>
      <c r="U289" s="25">
        <v>0</v>
      </c>
      <c r="V289" s="25">
        <v>0</v>
      </c>
      <c r="W289" s="25">
        <v>0</v>
      </c>
      <c r="X289" s="25">
        <v>0</v>
      </c>
      <c r="Y289" s="25">
        <v>0</v>
      </c>
      <c r="Z289" s="25">
        <v>0</v>
      </c>
      <c r="AA289" s="25">
        <v>0</v>
      </c>
      <c r="AB289" s="25">
        <v>0</v>
      </c>
      <c r="AC289" s="25">
        <v>0</v>
      </c>
      <c r="AD289" s="25">
        <v>0</v>
      </c>
      <c r="AE289" s="25">
        <v>0</v>
      </c>
      <c r="AF289" s="25">
        <v>0</v>
      </c>
    </row>
    <row r="290" spans="1:32" x14ac:dyDescent="0.25">
      <c r="A290" s="25" t="s">
        <v>359</v>
      </c>
      <c r="B290" s="25">
        <v>0</v>
      </c>
      <c r="C290" s="25">
        <v>0</v>
      </c>
      <c r="D290" s="25">
        <v>0</v>
      </c>
      <c r="E290" s="25">
        <v>0</v>
      </c>
      <c r="F290" s="25">
        <v>0</v>
      </c>
      <c r="G290" s="25">
        <v>0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  <c r="O290" s="25">
        <v>0</v>
      </c>
      <c r="P290" s="25">
        <v>0</v>
      </c>
      <c r="Q290" s="25">
        <v>0</v>
      </c>
      <c r="R290" s="25">
        <v>0</v>
      </c>
      <c r="S290" s="25">
        <v>0</v>
      </c>
      <c r="T290" s="25">
        <v>0</v>
      </c>
      <c r="U290" s="25">
        <v>0</v>
      </c>
      <c r="V290" s="25">
        <v>0</v>
      </c>
      <c r="W290" s="25">
        <v>0</v>
      </c>
      <c r="X290" s="25">
        <v>0</v>
      </c>
      <c r="Y290" s="25">
        <v>0</v>
      </c>
      <c r="Z290" s="25">
        <v>0</v>
      </c>
      <c r="AA290" s="25">
        <v>0</v>
      </c>
      <c r="AB290" s="25">
        <v>0</v>
      </c>
      <c r="AC290" s="25">
        <v>0</v>
      </c>
      <c r="AD290" s="25">
        <v>0</v>
      </c>
      <c r="AE290" s="25">
        <v>0</v>
      </c>
      <c r="AF290" s="25">
        <v>0</v>
      </c>
    </row>
    <row r="291" spans="1:32" x14ac:dyDescent="0.25">
      <c r="A291" s="25" t="s">
        <v>360</v>
      </c>
      <c r="B291" s="25">
        <v>0</v>
      </c>
      <c r="C291" s="25">
        <v>0</v>
      </c>
      <c r="D291" s="25">
        <v>0</v>
      </c>
      <c r="E291" s="25">
        <v>0</v>
      </c>
      <c r="F291" s="25">
        <v>0</v>
      </c>
      <c r="G291" s="25">
        <v>0</v>
      </c>
      <c r="H291" s="25">
        <v>0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5">
        <v>0</v>
      </c>
      <c r="O291" s="25">
        <v>0</v>
      </c>
      <c r="P291" s="25">
        <v>0</v>
      </c>
      <c r="Q291" s="25">
        <v>0</v>
      </c>
      <c r="R291" s="25">
        <v>0</v>
      </c>
      <c r="S291" s="25">
        <v>0</v>
      </c>
      <c r="T291" s="25">
        <v>0</v>
      </c>
      <c r="U291" s="25">
        <v>0</v>
      </c>
      <c r="V291" s="25">
        <v>0</v>
      </c>
      <c r="W291" s="25">
        <v>0</v>
      </c>
      <c r="X291" s="25">
        <v>0</v>
      </c>
      <c r="Y291" s="25">
        <v>0</v>
      </c>
      <c r="Z291" s="25">
        <v>0</v>
      </c>
      <c r="AA291" s="25">
        <v>0</v>
      </c>
      <c r="AB291" s="25">
        <v>0</v>
      </c>
      <c r="AC291" s="25">
        <v>0</v>
      </c>
      <c r="AD291" s="25">
        <v>0</v>
      </c>
      <c r="AE291" s="25">
        <v>0</v>
      </c>
      <c r="AF291" s="25">
        <v>0</v>
      </c>
    </row>
    <row r="292" spans="1:32" x14ac:dyDescent="0.25">
      <c r="A292" s="25" t="s">
        <v>361</v>
      </c>
      <c r="B292" s="25">
        <v>0</v>
      </c>
      <c r="C292" s="25">
        <v>0</v>
      </c>
      <c r="D292" s="25">
        <v>0</v>
      </c>
      <c r="E292" s="25">
        <v>0</v>
      </c>
      <c r="F292" s="25">
        <v>0</v>
      </c>
      <c r="G292" s="25">
        <v>0</v>
      </c>
      <c r="H292" s="25">
        <v>0</v>
      </c>
      <c r="I292" s="25">
        <v>0</v>
      </c>
      <c r="J292" s="25">
        <v>0</v>
      </c>
      <c r="K292" s="25">
        <v>0</v>
      </c>
      <c r="L292" s="25">
        <v>0</v>
      </c>
      <c r="M292" s="25">
        <v>0</v>
      </c>
      <c r="N292" s="25">
        <v>0</v>
      </c>
      <c r="O292" s="25">
        <v>0</v>
      </c>
      <c r="P292" s="25">
        <v>0</v>
      </c>
      <c r="Q292" s="25">
        <v>0</v>
      </c>
      <c r="R292" s="25">
        <v>0</v>
      </c>
      <c r="S292" s="25">
        <v>0</v>
      </c>
      <c r="T292" s="25">
        <v>0</v>
      </c>
      <c r="U292" s="25">
        <v>0</v>
      </c>
      <c r="V292" s="25">
        <v>0</v>
      </c>
      <c r="W292" s="25">
        <v>0</v>
      </c>
      <c r="X292" s="25">
        <v>0</v>
      </c>
      <c r="Y292" s="25">
        <v>0</v>
      </c>
      <c r="Z292" s="25">
        <v>0</v>
      </c>
      <c r="AA292" s="25">
        <v>0</v>
      </c>
      <c r="AB292" s="25">
        <v>0</v>
      </c>
      <c r="AC292" s="25">
        <v>0</v>
      </c>
      <c r="AD292" s="25">
        <v>0</v>
      </c>
      <c r="AE292" s="25">
        <v>0</v>
      </c>
      <c r="AF292" s="25">
        <v>0</v>
      </c>
    </row>
    <row r="293" spans="1:32" x14ac:dyDescent="0.25">
      <c r="A293" s="25" t="s">
        <v>362</v>
      </c>
      <c r="B293" s="25">
        <v>0</v>
      </c>
      <c r="C293" s="25">
        <v>0</v>
      </c>
      <c r="D293" s="25">
        <v>0</v>
      </c>
      <c r="E293" s="25">
        <v>0</v>
      </c>
      <c r="F293" s="25">
        <v>0</v>
      </c>
      <c r="G293" s="25">
        <v>0</v>
      </c>
      <c r="H293" s="25">
        <v>0</v>
      </c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5">
        <v>0</v>
      </c>
      <c r="O293" s="25">
        <v>0</v>
      </c>
      <c r="P293" s="25">
        <v>0</v>
      </c>
      <c r="Q293" s="25">
        <v>0</v>
      </c>
      <c r="R293" s="25">
        <v>0</v>
      </c>
      <c r="S293" s="25">
        <v>0</v>
      </c>
      <c r="T293" s="25">
        <v>0</v>
      </c>
      <c r="U293" s="25">
        <v>0</v>
      </c>
      <c r="V293" s="25">
        <v>0</v>
      </c>
      <c r="W293" s="25">
        <v>0</v>
      </c>
      <c r="X293" s="25">
        <v>0</v>
      </c>
      <c r="Y293" s="25">
        <v>0</v>
      </c>
      <c r="Z293" s="25">
        <v>0</v>
      </c>
      <c r="AA293" s="25">
        <v>0</v>
      </c>
      <c r="AB293" s="25">
        <v>0</v>
      </c>
      <c r="AC293" s="25">
        <v>0</v>
      </c>
      <c r="AD293" s="25">
        <v>0</v>
      </c>
      <c r="AE293" s="25">
        <v>0</v>
      </c>
      <c r="AF293" s="25">
        <v>0</v>
      </c>
    </row>
    <row r="294" spans="1:32" x14ac:dyDescent="0.25">
      <c r="A294" s="25" t="s">
        <v>363</v>
      </c>
      <c r="B294" s="25">
        <v>0</v>
      </c>
      <c r="C294" s="25">
        <v>0</v>
      </c>
      <c r="D294" s="25">
        <v>0</v>
      </c>
      <c r="E294" s="25">
        <v>0</v>
      </c>
      <c r="F294" s="25">
        <v>0</v>
      </c>
      <c r="G294" s="25">
        <v>0</v>
      </c>
      <c r="H294" s="25">
        <v>0</v>
      </c>
      <c r="I294" s="25">
        <v>0</v>
      </c>
      <c r="J294" s="25">
        <v>0</v>
      </c>
      <c r="K294" s="25">
        <v>0</v>
      </c>
      <c r="L294" s="25">
        <v>0</v>
      </c>
      <c r="M294" s="25">
        <v>0</v>
      </c>
      <c r="N294" s="25">
        <v>0</v>
      </c>
      <c r="O294" s="25">
        <v>0</v>
      </c>
      <c r="P294" s="25">
        <v>0</v>
      </c>
      <c r="Q294" s="25">
        <v>0</v>
      </c>
      <c r="R294" s="25">
        <v>0</v>
      </c>
      <c r="S294" s="25">
        <v>0</v>
      </c>
      <c r="T294" s="25">
        <v>0</v>
      </c>
      <c r="U294" s="25">
        <v>0</v>
      </c>
      <c r="V294" s="25">
        <v>0</v>
      </c>
      <c r="W294" s="25">
        <v>0</v>
      </c>
      <c r="X294" s="25">
        <v>0</v>
      </c>
      <c r="Y294" s="25">
        <v>0</v>
      </c>
      <c r="Z294" s="25">
        <v>0</v>
      </c>
      <c r="AA294" s="25">
        <v>0</v>
      </c>
      <c r="AB294" s="25">
        <v>0</v>
      </c>
      <c r="AC294" s="25">
        <v>0</v>
      </c>
      <c r="AD294" s="25">
        <v>0</v>
      </c>
      <c r="AE294" s="25">
        <v>0</v>
      </c>
      <c r="AF294" s="25">
        <v>0</v>
      </c>
    </row>
    <row r="295" spans="1:32" x14ac:dyDescent="0.25">
      <c r="A295" s="25" t="s">
        <v>364</v>
      </c>
      <c r="B295" s="25">
        <v>0</v>
      </c>
      <c r="C295" s="25">
        <v>0</v>
      </c>
      <c r="D295" s="25">
        <v>0</v>
      </c>
      <c r="E295" s="25">
        <v>0</v>
      </c>
      <c r="F295" s="25">
        <v>0</v>
      </c>
      <c r="G295" s="25">
        <v>0</v>
      </c>
      <c r="H295" s="25">
        <v>0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  <c r="O295" s="25">
        <v>0</v>
      </c>
      <c r="P295" s="25">
        <v>0</v>
      </c>
      <c r="Q295" s="25">
        <v>0</v>
      </c>
      <c r="R295" s="25">
        <v>0</v>
      </c>
      <c r="S295" s="25">
        <v>0</v>
      </c>
      <c r="T295" s="25">
        <v>0</v>
      </c>
      <c r="U295" s="25">
        <v>0</v>
      </c>
      <c r="V295" s="25">
        <v>0</v>
      </c>
      <c r="W295" s="25">
        <v>0</v>
      </c>
      <c r="X295" s="25">
        <v>0</v>
      </c>
      <c r="Y295" s="25">
        <v>0</v>
      </c>
      <c r="Z295" s="25">
        <v>0</v>
      </c>
      <c r="AA295" s="25">
        <v>0</v>
      </c>
      <c r="AB295" s="25">
        <v>0</v>
      </c>
      <c r="AC295" s="25">
        <v>0</v>
      </c>
      <c r="AD295" s="25">
        <v>0</v>
      </c>
      <c r="AE295" s="25">
        <v>0</v>
      </c>
      <c r="AF295" s="25">
        <v>0</v>
      </c>
    </row>
    <row r="296" spans="1:32" x14ac:dyDescent="0.25">
      <c r="A296" s="25" t="s">
        <v>365</v>
      </c>
      <c r="B296" s="25">
        <v>0</v>
      </c>
      <c r="C296" s="25">
        <v>0</v>
      </c>
      <c r="D296" s="25">
        <v>0</v>
      </c>
      <c r="E296" s="25">
        <v>0</v>
      </c>
      <c r="F296" s="25">
        <v>0</v>
      </c>
      <c r="G296" s="25">
        <v>0</v>
      </c>
      <c r="H296" s="25">
        <v>0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  <c r="O296" s="25">
        <v>0</v>
      </c>
      <c r="P296" s="25">
        <v>0</v>
      </c>
      <c r="Q296" s="25">
        <v>0</v>
      </c>
      <c r="R296" s="25">
        <v>0</v>
      </c>
      <c r="S296" s="25">
        <v>0</v>
      </c>
      <c r="T296" s="25">
        <v>0</v>
      </c>
      <c r="U296" s="25">
        <v>0</v>
      </c>
      <c r="V296" s="25">
        <v>0</v>
      </c>
      <c r="W296" s="25">
        <v>0</v>
      </c>
      <c r="X296" s="25">
        <v>0</v>
      </c>
      <c r="Y296" s="25">
        <v>0</v>
      </c>
      <c r="Z296" s="25">
        <v>0</v>
      </c>
      <c r="AA296" s="25">
        <v>0</v>
      </c>
      <c r="AB296" s="25">
        <v>0</v>
      </c>
      <c r="AC296" s="25">
        <v>0</v>
      </c>
      <c r="AD296" s="25">
        <v>0</v>
      </c>
      <c r="AE296" s="25">
        <v>0</v>
      </c>
      <c r="AF296" s="25">
        <v>0</v>
      </c>
    </row>
    <row r="297" spans="1:32" x14ac:dyDescent="0.25">
      <c r="A297" s="25" t="s">
        <v>366</v>
      </c>
      <c r="B297" s="25">
        <v>0</v>
      </c>
      <c r="C297" s="25">
        <v>0</v>
      </c>
      <c r="D297" s="25">
        <v>0</v>
      </c>
      <c r="E297" s="25">
        <v>0</v>
      </c>
      <c r="F297" s="25">
        <v>0</v>
      </c>
      <c r="G297" s="25">
        <v>0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5">
        <v>0</v>
      </c>
      <c r="O297" s="25">
        <v>0</v>
      </c>
      <c r="P297" s="25">
        <v>0</v>
      </c>
      <c r="Q297" s="25">
        <v>0</v>
      </c>
      <c r="R297" s="25">
        <v>0</v>
      </c>
      <c r="S297" s="25">
        <v>0</v>
      </c>
      <c r="T297" s="25">
        <v>0</v>
      </c>
      <c r="U297" s="25">
        <v>0</v>
      </c>
      <c r="V297" s="25">
        <v>0</v>
      </c>
      <c r="W297" s="25">
        <v>0</v>
      </c>
      <c r="X297" s="25">
        <v>0</v>
      </c>
      <c r="Y297" s="25">
        <v>0</v>
      </c>
      <c r="Z297" s="25">
        <v>0</v>
      </c>
      <c r="AA297" s="25">
        <v>0</v>
      </c>
      <c r="AB297" s="25">
        <v>0</v>
      </c>
      <c r="AC297" s="25">
        <v>0</v>
      </c>
      <c r="AD297" s="25">
        <v>0</v>
      </c>
      <c r="AE297" s="25">
        <v>0</v>
      </c>
      <c r="AF297" s="25">
        <v>0</v>
      </c>
    </row>
    <row r="298" spans="1:32" x14ac:dyDescent="0.25">
      <c r="A298" s="25" t="s">
        <v>367</v>
      </c>
      <c r="B298" s="25">
        <v>0</v>
      </c>
      <c r="C298" s="25">
        <v>0</v>
      </c>
      <c r="D298" s="25">
        <v>0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  <c r="O298" s="25">
        <v>0</v>
      </c>
      <c r="P298" s="25">
        <v>0</v>
      </c>
      <c r="Q298" s="25">
        <v>0</v>
      </c>
      <c r="R298" s="25">
        <v>0</v>
      </c>
      <c r="S298" s="25">
        <v>0</v>
      </c>
      <c r="T298" s="25">
        <v>0</v>
      </c>
      <c r="U298" s="25">
        <v>0</v>
      </c>
      <c r="V298" s="25">
        <v>0</v>
      </c>
      <c r="W298" s="25">
        <v>0</v>
      </c>
      <c r="X298" s="25">
        <v>0</v>
      </c>
      <c r="Y298" s="25">
        <v>0</v>
      </c>
      <c r="Z298" s="25">
        <v>0</v>
      </c>
      <c r="AA298" s="25">
        <v>0</v>
      </c>
      <c r="AB298" s="25">
        <v>0</v>
      </c>
      <c r="AC298" s="25">
        <v>0</v>
      </c>
      <c r="AD298" s="25">
        <v>0</v>
      </c>
      <c r="AE298" s="25">
        <v>0</v>
      </c>
      <c r="AF298" s="25">
        <v>0</v>
      </c>
    </row>
    <row r="299" spans="1:32" x14ac:dyDescent="0.25">
      <c r="A299" s="25" t="s">
        <v>368</v>
      </c>
      <c r="B299" s="25">
        <v>0</v>
      </c>
      <c r="C299" s="25">
        <v>0</v>
      </c>
      <c r="D299" s="25">
        <v>0</v>
      </c>
      <c r="E299" s="25">
        <v>0</v>
      </c>
      <c r="F299" s="25">
        <v>0</v>
      </c>
      <c r="G299" s="25">
        <v>0</v>
      </c>
      <c r="H299" s="25">
        <v>0</v>
      </c>
      <c r="I299" s="25">
        <v>0</v>
      </c>
      <c r="J299" s="25">
        <v>0</v>
      </c>
      <c r="K299" s="25">
        <v>0</v>
      </c>
      <c r="L299" s="25">
        <v>0</v>
      </c>
      <c r="M299" s="25">
        <v>0</v>
      </c>
      <c r="N299" s="25">
        <v>0</v>
      </c>
      <c r="O299" s="25">
        <v>0</v>
      </c>
      <c r="P299" s="25">
        <v>0</v>
      </c>
      <c r="Q299" s="25">
        <v>0</v>
      </c>
      <c r="R299" s="25">
        <v>0</v>
      </c>
      <c r="S299" s="25">
        <v>0</v>
      </c>
      <c r="T299" s="25">
        <v>0</v>
      </c>
      <c r="U299" s="25">
        <v>0</v>
      </c>
      <c r="V299" s="25">
        <v>0</v>
      </c>
      <c r="W299" s="25">
        <v>0</v>
      </c>
      <c r="X299" s="25">
        <v>0</v>
      </c>
      <c r="Y299" s="25">
        <v>0</v>
      </c>
      <c r="Z299" s="25">
        <v>0</v>
      </c>
      <c r="AA299" s="25">
        <v>0</v>
      </c>
      <c r="AB299" s="25">
        <v>0</v>
      </c>
      <c r="AC299" s="25">
        <v>0</v>
      </c>
      <c r="AD299" s="25">
        <v>0</v>
      </c>
      <c r="AE299" s="25">
        <v>0</v>
      </c>
      <c r="AF299" s="25">
        <v>0</v>
      </c>
    </row>
    <row r="300" spans="1:32" x14ac:dyDescent="0.25">
      <c r="A300" s="25" t="s">
        <v>369</v>
      </c>
      <c r="B300" s="12">
        <v>18574400000000</v>
      </c>
      <c r="C300" s="12">
        <v>31974100000000</v>
      </c>
      <c r="D300" s="12">
        <v>54316700000000</v>
      </c>
      <c r="E300" s="12">
        <v>85243100000000</v>
      </c>
      <c r="F300" s="12">
        <v>124785000000000</v>
      </c>
      <c r="G300" s="12">
        <v>174483000000000</v>
      </c>
      <c r="H300" s="12">
        <v>233197000000000</v>
      </c>
      <c r="I300" s="12">
        <v>299617000000000</v>
      </c>
      <c r="J300" s="12">
        <v>371608000000000</v>
      </c>
      <c r="K300" s="12">
        <v>449838000000000</v>
      </c>
      <c r="L300" s="12">
        <v>534451000000000</v>
      </c>
      <c r="M300" s="12">
        <v>623748000000000</v>
      </c>
      <c r="N300" s="12">
        <v>715297000000000</v>
      </c>
      <c r="O300" s="12">
        <v>802572000000000</v>
      </c>
      <c r="P300" s="12">
        <v>889428000000000</v>
      </c>
      <c r="Q300" s="12">
        <v>973222000000000</v>
      </c>
      <c r="R300" s="12">
        <v>1055680000000000</v>
      </c>
      <c r="S300" s="12">
        <v>1134250000000000</v>
      </c>
      <c r="T300" s="12">
        <v>1207920000000000</v>
      </c>
      <c r="U300" s="12">
        <v>1277420000000000</v>
      </c>
      <c r="V300" s="12">
        <v>1343410000000000</v>
      </c>
      <c r="W300" s="12">
        <v>1406450000000000</v>
      </c>
      <c r="X300" s="12">
        <v>1466900000000000</v>
      </c>
      <c r="Y300" s="12">
        <v>1524260000000000</v>
      </c>
      <c r="Z300" s="12">
        <v>1579820000000000</v>
      </c>
      <c r="AA300" s="12">
        <v>1634810000000000</v>
      </c>
      <c r="AB300" s="12">
        <v>1690230000000000</v>
      </c>
      <c r="AC300" s="12">
        <v>1745810000000000</v>
      </c>
      <c r="AD300" s="12">
        <v>1801110000000000</v>
      </c>
      <c r="AE300" s="12">
        <v>1856610000000000</v>
      </c>
      <c r="AF300" s="12">
        <v>1913370000000000</v>
      </c>
    </row>
    <row r="301" spans="1:32" x14ac:dyDescent="0.25">
      <c r="A301" s="25" t="s">
        <v>370</v>
      </c>
      <c r="B301" s="25">
        <v>0</v>
      </c>
      <c r="C301" s="25">
        <v>0</v>
      </c>
      <c r="D301" s="25">
        <v>0</v>
      </c>
      <c r="E301" s="25">
        <v>0</v>
      </c>
      <c r="F301" s="25">
        <v>0</v>
      </c>
      <c r="G301" s="25">
        <v>0</v>
      </c>
      <c r="H301" s="25">
        <v>0</v>
      </c>
      <c r="I301" s="25">
        <v>0</v>
      </c>
      <c r="J301" s="25">
        <v>0</v>
      </c>
      <c r="K301" s="25">
        <v>0</v>
      </c>
      <c r="L301" s="25">
        <v>0</v>
      </c>
      <c r="M301" s="25">
        <v>0</v>
      </c>
      <c r="N301" s="25">
        <v>0</v>
      </c>
      <c r="O301" s="25">
        <v>0</v>
      </c>
      <c r="P301" s="25">
        <v>0</v>
      </c>
      <c r="Q301" s="25">
        <v>0</v>
      </c>
      <c r="R301" s="25">
        <v>0</v>
      </c>
      <c r="S301" s="25">
        <v>0</v>
      </c>
      <c r="T301" s="25">
        <v>0</v>
      </c>
      <c r="U301" s="25">
        <v>0</v>
      </c>
      <c r="V301" s="25">
        <v>0</v>
      </c>
      <c r="W301" s="25">
        <v>0</v>
      </c>
      <c r="X301" s="25">
        <v>0</v>
      </c>
      <c r="Y301" s="25">
        <v>0</v>
      </c>
      <c r="Z301" s="25">
        <v>0</v>
      </c>
      <c r="AA301" s="25">
        <v>0</v>
      </c>
      <c r="AB301" s="25">
        <v>0</v>
      </c>
      <c r="AC301" s="25">
        <v>0</v>
      </c>
      <c r="AD301" s="25">
        <v>0</v>
      </c>
      <c r="AE301" s="25">
        <v>0</v>
      </c>
      <c r="AF301" s="25">
        <v>0</v>
      </c>
    </row>
    <row r="302" spans="1:32" x14ac:dyDescent="0.25">
      <c r="A302" s="25" t="s">
        <v>371</v>
      </c>
      <c r="B302" s="25">
        <v>0</v>
      </c>
      <c r="C302" s="25">
        <v>0</v>
      </c>
      <c r="D302" s="25">
        <v>0</v>
      </c>
      <c r="E302" s="25">
        <v>0</v>
      </c>
      <c r="F302" s="25">
        <v>0</v>
      </c>
      <c r="G302" s="25">
        <v>0</v>
      </c>
      <c r="H302" s="25">
        <v>0</v>
      </c>
      <c r="I302" s="25">
        <v>0</v>
      </c>
      <c r="J302" s="25">
        <v>0</v>
      </c>
      <c r="K302" s="25">
        <v>0</v>
      </c>
      <c r="L302" s="25">
        <v>0</v>
      </c>
      <c r="M302" s="25">
        <v>0</v>
      </c>
      <c r="N302" s="25">
        <v>0</v>
      </c>
      <c r="O302" s="25">
        <v>0</v>
      </c>
      <c r="P302" s="25">
        <v>0</v>
      </c>
      <c r="Q302" s="25">
        <v>0</v>
      </c>
      <c r="R302" s="25">
        <v>0</v>
      </c>
      <c r="S302" s="25">
        <v>0</v>
      </c>
      <c r="T302" s="25">
        <v>0</v>
      </c>
      <c r="U302" s="25">
        <v>0</v>
      </c>
      <c r="V302" s="25">
        <v>0</v>
      </c>
      <c r="W302" s="25">
        <v>0</v>
      </c>
      <c r="X302" s="25">
        <v>0</v>
      </c>
      <c r="Y302" s="25">
        <v>0</v>
      </c>
      <c r="Z302" s="25">
        <v>0</v>
      </c>
      <c r="AA302" s="25">
        <v>0</v>
      </c>
      <c r="AB302" s="25">
        <v>0</v>
      </c>
      <c r="AC302" s="25">
        <v>0</v>
      </c>
      <c r="AD302" s="25">
        <v>0</v>
      </c>
      <c r="AE302" s="25">
        <v>0</v>
      </c>
      <c r="AF302" s="25">
        <v>0</v>
      </c>
    </row>
    <row r="303" spans="1:32" x14ac:dyDescent="0.25">
      <c r="A303" s="25" t="s">
        <v>372</v>
      </c>
      <c r="B303" s="25">
        <v>0</v>
      </c>
      <c r="C303" s="25">
        <v>0</v>
      </c>
      <c r="D303" s="25">
        <v>0</v>
      </c>
      <c r="E303" s="25">
        <v>0</v>
      </c>
      <c r="F303" s="25">
        <v>0</v>
      </c>
      <c r="G303" s="25">
        <v>0</v>
      </c>
      <c r="H303" s="25">
        <v>0</v>
      </c>
      <c r="I303" s="25">
        <v>0</v>
      </c>
      <c r="J303" s="25">
        <v>0</v>
      </c>
      <c r="K303" s="25">
        <v>0</v>
      </c>
      <c r="L303" s="25">
        <v>0</v>
      </c>
      <c r="M303" s="25">
        <v>0</v>
      </c>
      <c r="N303" s="25">
        <v>0</v>
      </c>
      <c r="O303" s="25">
        <v>0</v>
      </c>
      <c r="P303" s="25">
        <v>0</v>
      </c>
      <c r="Q303" s="25">
        <v>0</v>
      </c>
      <c r="R303" s="25">
        <v>0</v>
      </c>
      <c r="S303" s="25">
        <v>0</v>
      </c>
      <c r="T303" s="25">
        <v>0</v>
      </c>
      <c r="U303" s="25">
        <v>0</v>
      </c>
      <c r="V303" s="25">
        <v>0</v>
      </c>
      <c r="W303" s="25">
        <v>0</v>
      </c>
      <c r="X303" s="25">
        <v>0</v>
      </c>
      <c r="Y303" s="25">
        <v>0</v>
      </c>
      <c r="Z303" s="25">
        <v>0</v>
      </c>
      <c r="AA303" s="25">
        <v>0</v>
      </c>
      <c r="AB303" s="25">
        <v>0</v>
      </c>
      <c r="AC303" s="25">
        <v>0</v>
      </c>
      <c r="AD303" s="25">
        <v>0</v>
      </c>
      <c r="AE303" s="25">
        <v>0</v>
      </c>
      <c r="AF303" s="25">
        <v>0</v>
      </c>
    </row>
    <row r="304" spans="1:32" x14ac:dyDescent="0.25">
      <c r="A304" s="25" t="s">
        <v>373</v>
      </c>
      <c r="B304" s="25">
        <v>0</v>
      </c>
      <c r="C304" s="25">
        <v>0</v>
      </c>
      <c r="D304" s="25">
        <v>0</v>
      </c>
      <c r="E304" s="25">
        <v>0</v>
      </c>
      <c r="F304" s="25">
        <v>0</v>
      </c>
      <c r="G304" s="25">
        <v>0</v>
      </c>
      <c r="H304" s="25">
        <v>0</v>
      </c>
      <c r="I304" s="25">
        <v>0</v>
      </c>
      <c r="J304" s="25">
        <v>0</v>
      </c>
      <c r="K304" s="25">
        <v>0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25">
        <v>0</v>
      </c>
      <c r="S304" s="25">
        <v>0</v>
      </c>
      <c r="T304" s="25">
        <v>0</v>
      </c>
      <c r="U304" s="25">
        <v>0</v>
      </c>
      <c r="V304" s="25">
        <v>0</v>
      </c>
      <c r="W304" s="25">
        <v>0</v>
      </c>
      <c r="X304" s="25">
        <v>0</v>
      </c>
      <c r="Y304" s="25">
        <v>0</v>
      </c>
      <c r="Z304" s="25">
        <v>0</v>
      </c>
      <c r="AA304" s="25">
        <v>0</v>
      </c>
      <c r="AB304" s="25">
        <v>0</v>
      </c>
      <c r="AC304" s="25">
        <v>0</v>
      </c>
      <c r="AD304" s="25">
        <v>0</v>
      </c>
      <c r="AE304" s="25">
        <v>0</v>
      </c>
      <c r="AF304" s="25">
        <v>0</v>
      </c>
    </row>
    <row r="305" spans="1:32" x14ac:dyDescent="0.25">
      <c r="A305" s="25" t="s">
        <v>374</v>
      </c>
      <c r="B305" s="25">
        <v>0</v>
      </c>
      <c r="C305" s="25">
        <v>0</v>
      </c>
      <c r="D305" s="25">
        <v>0</v>
      </c>
      <c r="E305" s="25">
        <v>0</v>
      </c>
      <c r="F305" s="25">
        <v>0</v>
      </c>
      <c r="G305" s="25">
        <v>0</v>
      </c>
      <c r="H305" s="25">
        <v>0</v>
      </c>
      <c r="I305" s="25">
        <v>0</v>
      </c>
      <c r="J305" s="25">
        <v>0</v>
      </c>
      <c r="K305" s="25">
        <v>0</v>
      </c>
      <c r="L305" s="25">
        <v>0</v>
      </c>
      <c r="M305" s="25">
        <v>0</v>
      </c>
      <c r="N305" s="25">
        <v>0</v>
      </c>
      <c r="O305" s="25">
        <v>0</v>
      </c>
      <c r="P305" s="25">
        <v>0</v>
      </c>
      <c r="Q305" s="25">
        <v>0</v>
      </c>
      <c r="R305" s="25">
        <v>0</v>
      </c>
      <c r="S305" s="25">
        <v>0</v>
      </c>
      <c r="T305" s="25">
        <v>0</v>
      </c>
      <c r="U305" s="25">
        <v>0</v>
      </c>
      <c r="V305" s="25">
        <v>0</v>
      </c>
      <c r="W305" s="25">
        <v>0</v>
      </c>
      <c r="X305" s="25">
        <v>0</v>
      </c>
      <c r="Y305" s="25">
        <v>0</v>
      </c>
      <c r="Z305" s="25">
        <v>0</v>
      </c>
      <c r="AA305" s="25">
        <v>0</v>
      </c>
      <c r="AB305" s="25">
        <v>0</v>
      </c>
      <c r="AC305" s="25">
        <v>0</v>
      </c>
      <c r="AD305" s="25">
        <v>0</v>
      </c>
      <c r="AE305" s="25">
        <v>0</v>
      </c>
      <c r="AF305" s="25">
        <v>0</v>
      </c>
    </row>
    <row r="306" spans="1:32" x14ac:dyDescent="0.25">
      <c r="A306" s="25" t="s">
        <v>375</v>
      </c>
      <c r="B306" s="25">
        <v>0</v>
      </c>
      <c r="C306" s="25">
        <v>0</v>
      </c>
      <c r="D306" s="25">
        <v>0</v>
      </c>
      <c r="E306" s="25">
        <v>0</v>
      </c>
      <c r="F306" s="25">
        <v>0</v>
      </c>
      <c r="G306" s="25">
        <v>0</v>
      </c>
      <c r="H306" s="25">
        <v>0</v>
      </c>
      <c r="I306" s="25">
        <v>0</v>
      </c>
      <c r="J306" s="25">
        <v>0</v>
      </c>
      <c r="K306" s="25">
        <v>0</v>
      </c>
      <c r="L306" s="25">
        <v>0</v>
      </c>
      <c r="M306" s="25">
        <v>0</v>
      </c>
      <c r="N306" s="25">
        <v>0</v>
      </c>
      <c r="O306" s="25">
        <v>0</v>
      </c>
      <c r="P306" s="25">
        <v>0</v>
      </c>
      <c r="Q306" s="25">
        <v>0</v>
      </c>
      <c r="R306" s="25">
        <v>0</v>
      </c>
      <c r="S306" s="25">
        <v>0</v>
      </c>
      <c r="T306" s="25">
        <v>0</v>
      </c>
      <c r="U306" s="25">
        <v>0</v>
      </c>
      <c r="V306" s="25">
        <v>0</v>
      </c>
      <c r="W306" s="25">
        <v>0</v>
      </c>
      <c r="X306" s="25">
        <v>0</v>
      </c>
      <c r="Y306" s="25">
        <v>0</v>
      </c>
      <c r="Z306" s="25">
        <v>0</v>
      </c>
      <c r="AA306" s="25">
        <v>0</v>
      </c>
      <c r="AB306" s="25">
        <v>0</v>
      </c>
      <c r="AC306" s="25">
        <v>0</v>
      </c>
      <c r="AD306" s="25">
        <v>0</v>
      </c>
      <c r="AE306" s="25">
        <v>0</v>
      </c>
      <c r="AF306" s="25">
        <v>0</v>
      </c>
    </row>
    <row r="307" spans="1:32" x14ac:dyDescent="0.25">
      <c r="A307" s="25" t="s">
        <v>376</v>
      </c>
      <c r="B307" s="25">
        <v>0</v>
      </c>
      <c r="C307" s="25">
        <v>0</v>
      </c>
      <c r="D307" s="25">
        <v>0</v>
      </c>
      <c r="E307" s="25">
        <v>0</v>
      </c>
      <c r="F307" s="25">
        <v>0</v>
      </c>
      <c r="G307" s="25">
        <v>0</v>
      </c>
      <c r="H307" s="25">
        <v>0</v>
      </c>
      <c r="I307" s="25">
        <v>0</v>
      </c>
      <c r="J307" s="25">
        <v>0</v>
      </c>
      <c r="K307" s="25">
        <v>0</v>
      </c>
      <c r="L307" s="25">
        <v>0</v>
      </c>
      <c r="M307" s="25">
        <v>0</v>
      </c>
      <c r="N307" s="25">
        <v>0</v>
      </c>
      <c r="O307" s="25">
        <v>0</v>
      </c>
      <c r="P307" s="25">
        <v>0</v>
      </c>
      <c r="Q307" s="25">
        <v>0</v>
      </c>
      <c r="R307" s="25">
        <v>0</v>
      </c>
      <c r="S307" s="25">
        <v>0</v>
      </c>
      <c r="T307" s="25">
        <v>0</v>
      </c>
      <c r="U307" s="25">
        <v>0</v>
      </c>
      <c r="V307" s="25">
        <v>0</v>
      </c>
      <c r="W307" s="25">
        <v>0</v>
      </c>
      <c r="X307" s="25">
        <v>0</v>
      </c>
      <c r="Y307" s="25">
        <v>0</v>
      </c>
      <c r="Z307" s="25">
        <v>0</v>
      </c>
      <c r="AA307" s="25">
        <v>0</v>
      </c>
      <c r="AB307" s="25">
        <v>0</v>
      </c>
      <c r="AC307" s="25">
        <v>0</v>
      </c>
      <c r="AD307" s="25">
        <v>0</v>
      </c>
      <c r="AE307" s="25">
        <v>0</v>
      </c>
      <c r="AF307" s="25">
        <v>0</v>
      </c>
    </row>
    <row r="308" spans="1:32" x14ac:dyDescent="0.25">
      <c r="A308" s="25" t="s">
        <v>377</v>
      </c>
      <c r="B308" s="25">
        <v>0</v>
      </c>
      <c r="C308" s="25">
        <v>0</v>
      </c>
      <c r="D308" s="25">
        <v>0</v>
      </c>
      <c r="E308" s="25">
        <v>0</v>
      </c>
      <c r="F308" s="25">
        <v>0</v>
      </c>
      <c r="G308" s="25">
        <v>0</v>
      </c>
      <c r="H308" s="25">
        <v>0</v>
      </c>
      <c r="I308" s="25">
        <v>0</v>
      </c>
      <c r="J308" s="25">
        <v>0</v>
      </c>
      <c r="K308" s="25">
        <v>0</v>
      </c>
      <c r="L308" s="25">
        <v>0</v>
      </c>
      <c r="M308" s="25">
        <v>0</v>
      </c>
      <c r="N308" s="25">
        <v>0</v>
      </c>
      <c r="O308" s="25">
        <v>0</v>
      </c>
      <c r="P308" s="25">
        <v>0</v>
      </c>
      <c r="Q308" s="25">
        <v>0</v>
      </c>
      <c r="R308" s="25">
        <v>0</v>
      </c>
      <c r="S308" s="25">
        <v>0</v>
      </c>
      <c r="T308" s="25">
        <v>0</v>
      </c>
      <c r="U308" s="25">
        <v>0</v>
      </c>
      <c r="V308" s="25">
        <v>0</v>
      </c>
      <c r="W308" s="25">
        <v>0</v>
      </c>
      <c r="X308" s="25">
        <v>0</v>
      </c>
      <c r="Y308" s="25">
        <v>0</v>
      </c>
      <c r="Z308" s="25">
        <v>0</v>
      </c>
      <c r="AA308" s="25">
        <v>0</v>
      </c>
      <c r="AB308" s="25">
        <v>0</v>
      </c>
      <c r="AC308" s="25">
        <v>0</v>
      </c>
      <c r="AD308" s="25">
        <v>0</v>
      </c>
      <c r="AE308" s="25">
        <v>0</v>
      </c>
      <c r="AF308" s="25">
        <v>0</v>
      </c>
    </row>
    <row r="309" spans="1:32" x14ac:dyDescent="0.25">
      <c r="A309" s="25" t="s">
        <v>378</v>
      </c>
      <c r="B309" s="25">
        <v>0</v>
      </c>
      <c r="C309" s="25">
        <v>0</v>
      </c>
      <c r="D309" s="25">
        <v>0</v>
      </c>
      <c r="E309" s="25">
        <v>0</v>
      </c>
      <c r="F309" s="25">
        <v>0</v>
      </c>
      <c r="G309" s="25">
        <v>0</v>
      </c>
      <c r="H309" s="25">
        <v>0</v>
      </c>
      <c r="I309" s="25">
        <v>0</v>
      </c>
      <c r="J309" s="25">
        <v>0</v>
      </c>
      <c r="K309" s="25">
        <v>0</v>
      </c>
      <c r="L309" s="25">
        <v>0</v>
      </c>
      <c r="M309" s="25">
        <v>0</v>
      </c>
      <c r="N309" s="25">
        <v>0</v>
      </c>
      <c r="O309" s="25">
        <v>0</v>
      </c>
      <c r="P309" s="25">
        <v>0</v>
      </c>
      <c r="Q309" s="25">
        <v>0</v>
      </c>
      <c r="R309" s="25">
        <v>0</v>
      </c>
      <c r="S309" s="25">
        <v>0</v>
      </c>
      <c r="T309" s="25">
        <v>0</v>
      </c>
      <c r="U309" s="25">
        <v>0</v>
      </c>
      <c r="V309" s="25">
        <v>0</v>
      </c>
      <c r="W309" s="25">
        <v>0</v>
      </c>
      <c r="X309" s="25">
        <v>0</v>
      </c>
      <c r="Y309" s="25">
        <v>0</v>
      </c>
      <c r="Z309" s="25">
        <v>0</v>
      </c>
      <c r="AA309" s="25">
        <v>0</v>
      </c>
      <c r="AB309" s="25">
        <v>0</v>
      </c>
      <c r="AC309" s="25">
        <v>0</v>
      </c>
      <c r="AD309" s="25">
        <v>0</v>
      </c>
      <c r="AE309" s="25">
        <v>0</v>
      </c>
      <c r="AF309" s="25">
        <v>0</v>
      </c>
    </row>
    <row r="310" spans="1:32" x14ac:dyDescent="0.25">
      <c r="A310" s="25" t="s">
        <v>379</v>
      </c>
      <c r="B310" s="25">
        <v>0</v>
      </c>
      <c r="C310" s="25">
        <v>0</v>
      </c>
      <c r="D310" s="25">
        <v>0</v>
      </c>
      <c r="E310" s="25">
        <v>0</v>
      </c>
      <c r="F310" s="25">
        <v>0</v>
      </c>
      <c r="G310" s="25">
        <v>0</v>
      </c>
      <c r="H310" s="25">
        <v>0</v>
      </c>
      <c r="I310" s="25">
        <v>0</v>
      </c>
      <c r="J310" s="25">
        <v>0</v>
      </c>
      <c r="K310" s="25">
        <v>0</v>
      </c>
      <c r="L310" s="25">
        <v>0</v>
      </c>
      <c r="M310" s="25">
        <v>0</v>
      </c>
      <c r="N310" s="25">
        <v>0</v>
      </c>
      <c r="O310" s="25">
        <v>0</v>
      </c>
      <c r="P310" s="25">
        <v>0</v>
      </c>
      <c r="Q310" s="25">
        <v>0</v>
      </c>
      <c r="R310" s="25">
        <v>0</v>
      </c>
      <c r="S310" s="25">
        <v>0</v>
      </c>
      <c r="T310" s="25">
        <v>0</v>
      </c>
      <c r="U310" s="25">
        <v>0</v>
      </c>
      <c r="V310" s="25">
        <v>0</v>
      </c>
      <c r="W310" s="25">
        <v>0</v>
      </c>
      <c r="X310" s="25">
        <v>0</v>
      </c>
      <c r="Y310" s="25">
        <v>0</v>
      </c>
      <c r="Z310" s="25">
        <v>0</v>
      </c>
      <c r="AA310" s="25">
        <v>0</v>
      </c>
      <c r="AB310" s="25">
        <v>0</v>
      </c>
      <c r="AC310" s="25">
        <v>0</v>
      </c>
      <c r="AD310" s="25">
        <v>0</v>
      </c>
      <c r="AE310" s="25">
        <v>0</v>
      </c>
      <c r="AF310" s="25">
        <v>0</v>
      </c>
    </row>
    <row r="311" spans="1:32" x14ac:dyDescent="0.25">
      <c r="A311" s="25" t="s">
        <v>380</v>
      </c>
      <c r="B311" s="12">
        <v>5762790000000</v>
      </c>
      <c r="C311" s="12">
        <v>5592970000000</v>
      </c>
      <c r="D311" s="12">
        <v>5347250000000</v>
      </c>
      <c r="E311" s="12">
        <v>5021240000000</v>
      </c>
      <c r="F311" s="12">
        <v>4608450000000</v>
      </c>
      <c r="G311" s="12">
        <v>4188510000000</v>
      </c>
      <c r="H311" s="12">
        <v>3763850000000</v>
      </c>
      <c r="I311" s="12">
        <v>3338480000000</v>
      </c>
      <c r="J311" s="12">
        <v>2920640000000</v>
      </c>
      <c r="K311" s="12">
        <v>2521240000000</v>
      </c>
      <c r="L311" s="12">
        <v>2143440000000</v>
      </c>
      <c r="M311" s="12">
        <v>1786240000000</v>
      </c>
      <c r="N311" s="12">
        <v>1445720000000</v>
      </c>
      <c r="O311" s="12">
        <v>1469950000000</v>
      </c>
      <c r="P311" s="12">
        <v>1495740000000</v>
      </c>
      <c r="Q311" s="12">
        <v>1550820000000</v>
      </c>
      <c r="R311" s="12">
        <v>1614290000000</v>
      </c>
      <c r="S311" s="12">
        <v>1678930000000</v>
      </c>
      <c r="T311" s="12">
        <v>1754450000000</v>
      </c>
      <c r="U311" s="12">
        <v>1840810000000</v>
      </c>
      <c r="V311" s="12">
        <v>1935250000000</v>
      </c>
      <c r="W311" s="12">
        <v>2033770000000</v>
      </c>
      <c r="X311" s="12">
        <v>2131390000000</v>
      </c>
      <c r="Y311" s="12">
        <v>2225140000000</v>
      </c>
      <c r="Z311" s="12">
        <v>2312530000000</v>
      </c>
      <c r="AA311" s="12">
        <v>2393410000000</v>
      </c>
      <c r="AB311" s="12">
        <v>2467020000000</v>
      </c>
      <c r="AC311" s="12">
        <v>2530030000000</v>
      </c>
      <c r="AD311" s="12">
        <v>2581020000000</v>
      </c>
      <c r="AE311" s="12">
        <v>2621460000000</v>
      </c>
      <c r="AF311" s="12">
        <v>2652040000000</v>
      </c>
    </row>
    <row r="312" spans="1:32" x14ac:dyDescent="0.25">
      <c r="A312" s="25" t="s">
        <v>381</v>
      </c>
      <c r="B312" s="25">
        <v>0</v>
      </c>
      <c r="C312" s="25">
        <v>0</v>
      </c>
      <c r="D312" s="25">
        <v>0</v>
      </c>
      <c r="E312" s="25">
        <v>0</v>
      </c>
      <c r="F312" s="25">
        <v>0</v>
      </c>
      <c r="G312" s="25">
        <v>0</v>
      </c>
      <c r="H312" s="25">
        <v>0</v>
      </c>
      <c r="I312" s="25">
        <v>0</v>
      </c>
      <c r="J312" s="25">
        <v>0</v>
      </c>
      <c r="K312" s="25">
        <v>0</v>
      </c>
      <c r="L312" s="25">
        <v>0</v>
      </c>
      <c r="M312" s="25">
        <v>0</v>
      </c>
      <c r="N312" s="25">
        <v>0</v>
      </c>
      <c r="O312" s="25">
        <v>0</v>
      </c>
      <c r="P312" s="25">
        <v>0</v>
      </c>
      <c r="Q312" s="25">
        <v>0</v>
      </c>
      <c r="R312" s="25">
        <v>0</v>
      </c>
      <c r="S312" s="25">
        <v>0</v>
      </c>
      <c r="T312" s="25">
        <v>0</v>
      </c>
      <c r="U312" s="25">
        <v>0</v>
      </c>
      <c r="V312" s="25">
        <v>0</v>
      </c>
      <c r="W312" s="25">
        <v>0</v>
      </c>
      <c r="X312" s="25">
        <v>0</v>
      </c>
      <c r="Y312" s="25">
        <v>0</v>
      </c>
      <c r="Z312" s="25">
        <v>0</v>
      </c>
      <c r="AA312" s="25">
        <v>0</v>
      </c>
      <c r="AB312" s="25">
        <v>0</v>
      </c>
      <c r="AC312" s="25">
        <v>0</v>
      </c>
      <c r="AD312" s="25">
        <v>0</v>
      </c>
      <c r="AE312" s="25">
        <v>0</v>
      </c>
      <c r="AF312" s="25">
        <v>0</v>
      </c>
    </row>
    <row r="313" spans="1:32" x14ac:dyDescent="0.25">
      <c r="A313" s="25" t="s">
        <v>382</v>
      </c>
      <c r="B313" s="25">
        <v>0</v>
      </c>
      <c r="C313" s="25">
        <v>0</v>
      </c>
      <c r="D313" s="25">
        <v>0</v>
      </c>
      <c r="E313" s="25">
        <v>0</v>
      </c>
      <c r="F313" s="25">
        <v>0</v>
      </c>
      <c r="G313" s="25">
        <v>0</v>
      </c>
      <c r="H313" s="25">
        <v>0</v>
      </c>
      <c r="I313" s="25">
        <v>0</v>
      </c>
      <c r="J313" s="25">
        <v>0</v>
      </c>
      <c r="K313" s="25">
        <v>0</v>
      </c>
      <c r="L313" s="25">
        <v>0</v>
      </c>
      <c r="M313" s="25">
        <v>0</v>
      </c>
      <c r="N313" s="25">
        <v>0</v>
      </c>
      <c r="O313" s="25">
        <v>0</v>
      </c>
      <c r="P313" s="25">
        <v>0</v>
      </c>
      <c r="Q313" s="25">
        <v>0</v>
      </c>
      <c r="R313" s="25">
        <v>0</v>
      </c>
      <c r="S313" s="25">
        <v>0</v>
      </c>
      <c r="T313" s="25">
        <v>0</v>
      </c>
      <c r="U313" s="25">
        <v>0</v>
      </c>
      <c r="V313" s="25">
        <v>0</v>
      </c>
      <c r="W313" s="25">
        <v>0</v>
      </c>
      <c r="X313" s="25">
        <v>0</v>
      </c>
      <c r="Y313" s="25">
        <v>0</v>
      </c>
      <c r="Z313" s="25">
        <v>0</v>
      </c>
      <c r="AA313" s="25">
        <v>0</v>
      </c>
      <c r="AB313" s="25">
        <v>0</v>
      </c>
      <c r="AC313" s="25">
        <v>0</v>
      </c>
      <c r="AD313" s="25">
        <v>0</v>
      </c>
      <c r="AE313" s="25">
        <v>0</v>
      </c>
      <c r="AF313" s="25">
        <v>0</v>
      </c>
    </row>
    <row r="314" spans="1:32" x14ac:dyDescent="0.25">
      <c r="A314" s="25" t="s">
        <v>383</v>
      </c>
      <c r="B314" s="25">
        <v>0</v>
      </c>
      <c r="C314" s="25">
        <v>0</v>
      </c>
      <c r="D314" s="25">
        <v>0</v>
      </c>
      <c r="E314" s="25">
        <v>0</v>
      </c>
      <c r="F314" s="25">
        <v>0</v>
      </c>
      <c r="G314" s="25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  <c r="O314" s="25">
        <v>0</v>
      </c>
      <c r="P314" s="25">
        <v>0</v>
      </c>
      <c r="Q314" s="25">
        <v>0</v>
      </c>
      <c r="R314" s="25">
        <v>0</v>
      </c>
      <c r="S314" s="25">
        <v>0</v>
      </c>
      <c r="T314" s="25">
        <v>0</v>
      </c>
      <c r="U314" s="25">
        <v>0</v>
      </c>
      <c r="V314" s="25">
        <v>0</v>
      </c>
      <c r="W314" s="25">
        <v>0</v>
      </c>
      <c r="X314" s="25">
        <v>0</v>
      </c>
      <c r="Y314" s="25">
        <v>0</v>
      </c>
      <c r="Z314" s="25">
        <v>0</v>
      </c>
      <c r="AA314" s="25">
        <v>0</v>
      </c>
      <c r="AB314" s="25">
        <v>0</v>
      </c>
      <c r="AC314" s="25">
        <v>0</v>
      </c>
      <c r="AD314" s="25">
        <v>0</v>
      </c>
      <c r="AE314" s="25">
        <v>0</v>
      </c>
      <c r="AF314" s="25">
        <v>0</v>
      </c>
    </row>
    <row r="315" spans="1:32" x14ac:dyDescent="0.25">
      <c r="A315" s="25" t="s">
        <v>384</v>
      </c>
      <c r="B315" s="25">
        <v>0</v>
      </c>
      <c r="C315" s="25">
        <v>0</v>
      </c>
      <c r="D315" s="25">
        <v>0</v>
      </c>
      <c r="E315" s="25">
        <v>0</v>
      </c>
      <c r="F315" s="25">
        <v>0</v>
      </c>
      <c r="G315" s="25">
        <v>0</v>
      </c>
      <c r="H315" s="25">
        <v>0</v>
      </c>
      <c r="I315" s="25">
        <v>0</v>
      </c>
      <c r="J315" s="25">
        <v>0</v>
      </c>
      <c r="K315" s="25">
        <v>0</v>
      </c>
      <c r="L315" s="25">
        <v>0</v>
      </c>
      <c r="M315" s="25">
        <v>0</v>
      </c>
      <c r="N315" s="25">
        <v>0</v>
      </c>
      <c r="O315" s="25">
        <v>0</v>
      </c>
      <c r="P315" s="25">
        <v>0</v>
      </c>
      <c r="Q315" s="25">
        <v>0</v>
      </c>
      <c r="R315" s="25">
        <v>0</v>
      </c>
      <c r="S315" s="25">
        <v>0</v>
      </c>
      <c r="T315" s="25">
        <v>0</v>
      </c>
      <c r="U315" s="25">
        <v>0</v>
      </c>
      <c r="V315" s="25">
        <v>0</v>
      </c>
      <c r="W315" s="25">
        <v>0</v>
      </c>
      <c r="X315" s="25">
        <v>0</v>
      </c>
      <c r="Y315" s="25">
        <v>0</v>
      </c>
      <c r="Z315" s="25">
        <v>0</v>
      </c>
      <c r="AA315" s="25">
        <v>0</v>
      </c>
      <c r="AB315" s="25">
        <v>0</v>
      </c>
      <c r="AC315" s="25">
        <v>0</v>
      </c>
      <c r="AD315" s="25">
        <v>0</v>
      </c>
      <c r="AE315" s="25">
        <v>0</v>
      </c>
      <c r="AF315" s="25">
        <v>0</v>
      </c>
    </row>
    <row r="316" spans="1:32" x14ac:dyDescent="0.25">
      <c r="A316" s="25" t="s">
        <v>385</v>
      </c>
      <c r="B316" s="25">
        <v>0</v>
      </c>
      <c r="C316" s="25">
        <v>0</v>
      </c>
      <c r="D316" s="25">
        <v>0</v>
      </c>
      <c r="E316" s="25">
        <v>0</v>
      </c>
      <c r="F316" s="25">
        <v>0</v>
      </c>
      <c r="G316" s="25">
        <v>0</v>
      </c>
      <c r="H316" s="25">
        <v>0</v>
      </c>
      <c r="I316" s="25">
        <v>0</v>
      </c>
      <c r="J316" s="25">
        <v>0</v>
      </c>
      <c r="K316" s="25">
        <v>0</v>
      </c>
      <c r="L316" s="25">
        <v>0</v>
      </c>
      <c r="M316" s="25">
        <v>0</v>
      </c>
      <c r="N316" s="25">
        <v>0</v>
      </c>
      <c r="O316" s="25">
        <v>0</v>
      </c>
      <c r="P316" s="25">
        <v>0</v>
      </c>
      <c r="Q316" s="25">
        <v>0</v>
      </c>
      <c r="R316" s="25">
        <v>0</v>
      </c>
      <c r="S316" s="25">
        <v>0</v>
      </c>
      <c r="T316" s="25">
        <v>0</v>
      </c>
      <c r="U316" s="25">
        <v>0</v>
      </c>
      <c r="V316" s="25">
        <v>0</v>
      </c>
      <c r="W316" s="25">
        <v>0</v>
      </c>
      <c r="X316" s="25">
        <v>0</v>
      </c>
      <c r="Y316" s="25">
        <v>0</v>
      </c>
      <c r="Z316" s="25">
        <v>0</v>
      </c>
      <c r="AA316" s="25">
        <v>0</v>
      </c>
      <c r="AB316" s="25">
        <v>0</v>
      </c>
      <c r="AC316" s="25">
        <v>0</v>
      </c>
      <c r="AD316" s="25">
        <v>0</v>
      </c>
      <c r="AE316" s="25">
        <v>0</v>
      </c>
      <c r="AF316" s="25">
        <v>0</v>
      </c>
    </row>
    <row r="317" spans="1:32" x14ac:dyDescent="0.25">
      <c r="A317" s="25" t="s">
        <v>386</v>
      </c>
      <c r="B317" s="25">
        <v>0</v>
      </c>
      <c r="C317" s="25">
        <v>0</v>
      </c>
      <c r="D317" s="25">
        <v>0</v>
      </c>
      <c r="E317" s="25">
        <v>0</v>
      </c>
      <c r="F317" s="25">
        <v>0</v>
      </c>
      <c r="G317" s="25">
        <v>0</v>
      </c>
      <c r="H317" s="25">
        <v>0</v>
      </c>
      <c r="I317" s="25">
        <v>0</v>
      </c>
      <c r="J317" s="25">
        <v>0</v>
      </c>
      <c r="K317" s="25">
        <v>0</v>
      </c>
      <c r="L317" s="25">
        <v>0</v>
      </c>
      <c r="M317" s="25">
        <v>0</v>
      </c>
      <c r="N317" s="25">
        <v>0</v>
      </c>
      <c r="O317" s="25">
        <v>0</v>
      </c>
      <c r="P317" s="25">
        <v>0</v>
      </c>
      <c r="Q317" s="25">
        <v>0</v>
      </c>
      <c r="R317" s="25">
        <v>0</v>
      </c>
      <c r="S317" s="25">
        <v>0</v>
      </c>
      <c r="T317" s="25">
        <v>0</v>
      </c>
      <c r="U317" s="25">
        <v>0</v>
      </c>
      <c r="V317" s="25">
        <v>0</v>
      </c>
      <c r="W317" s="25">
        <v>0</v>
      </c>
      <c r="X317" s="25">
        <v>0</v>
      </c>
      <c r="Y317" s="25">
        <v>0</v>
      </c>
      <c r="Z317" s="25">
        <v>0</v>
      </c>
      <c r="AA317" s="25">
        <v>0</v>
      </c>
      <c r="AB317" s="25">
        <v>0</v>
      </c>
      <c r="AC317" s="25">
        <v>0</v>
      </c>
      <c r="AD317" s="25">
        <v>0</v>
      </c>
      <c r="AE317" s="25">
        <v>0</v>
      </c>
      <c r="AF317" s="25">
        <v>0</v>
      </c>
    </row>
    <row r="318" spans="1:32" x14ac:dyDescent="0.25">
      <c r="A318" s="25" t="s">
        <v>387</v>
      </c>
      <c r="B318" s="25">
        <v>0</v>
      </c>
      <c r="C318" s="25">
        <v>0</v>
      </c>
      <c r="D318" s="25">
        <v>0</v>
      </c>
      <c r="E318" s="25">
        <v>0</v>
      </c>
      <c r="F318" s="25">
        <v>0</v>
      </c>
      <c r="G318" s="25">
        <v>0</v>
      </c>
      <c r="H318" s="25">
        <v>0</v>
      </c>
      <c r="I318" s="25">
        <v>0</v>
      </c>
      <c r="J318" s="25">
        <v>0</v>
      </c>
      <c r="K318" s="25">
        <v>0</v>
      </c>
      <c r="L318" s="25">
        <v>0</v>
      </c>
      <c r="M318" s="25">
        <v>0</v>
      </c>
      <c r="N318" s="25">
        <v>0</v>
      </c>
      <c r="O318" s="25">
        <v>0</v>
      </c>
      <c r="P318" s="25">
        <v>0</v>
      </c>
      <c r="Q318" s="25">
        <v>0</v>
      </c>
      <c r="R318" s="25">
        <v>0</v>
      </c>
      <c r="S318" s="25">
        <v>0</v>
      </c>
      <c r="T318" s="25">
        <v>0</v>
      </c>
      <c r="U318" s="25">
        <v>0</v>
      </c>
      <c r="V318" s="25">
        <v>0</v>
      </c>
      <c r="W318" s="25">
        <v>0</v>
      </c>
      <c r="X318" s="25">
        <v>0</v>
      </c>
      <c r="Y318" s="25">
        <v>0</v>
      </c>
      <c r="Z318" s="25">
        <v>0</v>
      </c>
      <c r="AA318" s="25">
        <v>0</v>
      </c>
      <c r="AB318" s="25">
        <v>0</v>
      </c>
      <c r="AC318" s="25">
        <v>0</v>
      </c>
      <c r="AD318" s="25">
        <v>0</v>
      </c>
      <c r="AE318" s="25">
        <v>0</v>
      </c>
      <c r="AF318" s="25">
        <v>0</v>
      </c>
    </row>
    <row r="319" spans="1:32" x14ac:dyDescent="0.25">
      <c r="A319" s="25" t="s">
        <v>388</v>
      </c>
      <c r="B319" s="25">
        <v>0</v>
      </c>
      <c r="C319" s="25">
        <v>0</v>
      </c>
      <c r="D319" s="25">
        <v>0</v>
      </c>
      <c r="E319" s="25">
        <v>0</v>
      </c>
      <c r="F319" s="25">
        <v>0</v>
      </c>
      <c r="G319" s="25">
        <v>0</v>
      </c>
      <c r="H319" s="25">
        <v>0</v>
      </c>
      <c r="I319" s="25">
        <v>0</v>
      </c>
      <c r="J319" s="25">
        <v>0</v>
      </c>
      <c r="K319" s="25">
        <v>0</v>
      </c>
      <c r="L319" s="25">
        <v>0</v>
      </c>
      <c r="M319" s="25">
        <v>0</v>
      </c>
      <c r="N319" s="25">
        <v>0</v>
      </c>
      <c r="O319" s="25">
        <v>0</v>
      </c>
      <c r="P319" s="25">
        <v>0</v>
      </c>
      <c r="Q319" s="25">
        <v>0</v>
      </c>
      <c r="R319" s="25">
        <v>0</v>
      </c>
      <c r="S319" s="25">
        <v>0</v>
      </c>
      <c r="T319" s="25">
        <v>0</v>
      </c>
      <c r="U319" s="25">
        <v>0</v>
      </c>
      <c r="V319" s="25">
        <v>0</v>
      </c>
      <c r="W319" s="25">
        <v>0</v>
      </c>
      <c r="X319" s="25">
        <v>0</v>
      </c>
      <c r="Y319" s="25">
        <v>0</v>
      </c>
      <c r="Z319" s="25">
        <v>0</v>
      </c>
      <c r="AA319" s="25">
        <v>0</v>
      </c>
      <c r="AB319" s="25">
        <v>0</v>
      </c>
      <c r="AC319" s="25">
        <v>0</v>
      </c>
      <c r="AD319" s="25">
        <v>0</v>
      </c>
      <c r="AE319" s="25">
        <v>0</v>
      </c>
      <c r="AF319" s="25">
        <v>0</v>
      </c>
    </row>
    <row r="320" spans="1:32" x14ac:dyDescent="0.25">
      <c r="A320" s="25" t="s">
        <v>389</v>
      </c>
      <c r="B320" s="25">
        <v>0</v>
      </c>
      <c r="C320" s="25">
        <v>0</v>
      </c>
      <c r="D320" s="25">
        <v>0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>
        <v>0</v>
      </c>
      <c r="K320" s="25">
        <v>0</v>
      </c>
      <c r="L320" s="25">
        <v>0</v>
      </c>
      <c r="M320" s="25">
        <v>0</v>
      </c>
      <c r="N320" s="25">
        <v>0</v>
      </c>
      <c r="O320" s="25">
        <v>0</v>
      </c>
      <c r="P320" s="25">
        <v>0</v>
      </c>
      <c r="Q320" s="25">
        <v>0</v>
      </c>
      <c r="R320" s="25">
        <v>0</v>
      </c>
      <c r="S320" s="25">
        <v>0</v>
      </c>
      <c r="T320" s="25">
        <v>0</v>
      </c>
      <c r="U320" s="25">
        <v>0</v>
      </c>
      <c r="V320" s="25">
        <v>0</v>
      </c>
      <c r="W320" s="25">
        <v>0</v>
      </c>
      <c r="X320" s="25">
        <v>0</v>
      </c>
      <c r="Y320" s="25">
        <v>0</v>
      </c>
      <c r="Z320" s="25">
        <v>0</v>
      </c>
      <c r="AA320" s="25">
        <v>0</v>
      </c>
      <c r="AB320" s="25">
        <v>0</v>
      </c>
      <c r="AC320" s="25">
        <v>0</v>
      </c>
      <c r="AD320" s="25">
        <v>0</v>
      </c>
      <c r="AE320" s="25">
        <v>0</v>
      </c>
      <c r="AF320" s="25">
        <v>0</v>
      </c>
    </row>
    <row r="321" spans="1:32" x14ac:dyDescent="0.25">
      <c r="A321" s="25" t="s">
        <v>390</v>
      </c>
      <c r="B321" s="25">
        <v>0</v>
      </c>
      <c r="C321" s="25">
        <v>0</v>
      </c>
      <c r="D321" s="25">
        <v>0</v>
      </c>
      <c r="E321" s="25">
        <v>0</v>
      </c>
      <c r="F321" s="25">
        <v>0</v>
      </c>
      <c r="G321" s="25">
        <v>0</v>
      </c>
      <c r="H321" s="25">
        <v>0</v>
      </c>
      <c r="I321" s="25">
        <v>0</v>
      </c>
      <c r="J321" s="25">
        <v>0</v>
      </c>
      <c r="K321" s="25">
        <v>0</v>
      </c>
      <c r="L321" s="25">
        <v>0</v>
      </c>
      <c r="M321" s="25">
        <v>0</v>
      </c>
      <c r="N321" s="25">
        <v>0</v>
      </c>
      <c r="O321" s="25">
        <v>0</v>
      </c>
      <c r="P321" s="25">
        <v>0</v>
      </c>
      <c r="Q321" s="25">
        <v>0</v>
      </c>
      <c r="R321" s="25">
        <v>0</v>
      </c>
      <c r="S321" s="25">
        <v>0</v>
      </c>
      <c r="T321" s="25">
        <v>0</v>
      </c>
      <c r="U321" s="25">
        <v>0</v>
      </c>
      <c r="V321" s="25">
        <v>0</v>
      </c>
      <c r="W321" s="25">
        <v>0</v>
      </c>
      <c r="X321" s="25">
        <v>0</v>
      </c>
      <c r="Y321" s="25">
        <v>0</v>
      </c>
      <c r="Z321" s="25">
        <v>0</v>
      </c>
      <c r="AA321" s="25">
        <v>0</v>
      </c>
      <c r="AB321" s="25">
        <v>0</v>
      </c>
      <c r="AC321" s="25">
        <v>0</v>
      </c>
      <c r="AD321" s="25">
        <v>0</v>
      </c>
      <c r="AE321" s="25">
        <v>0</v>
      </c>
      <c r="AF321" s="25">
        <v>0</v>
      </c>
    </row>
    <row r="322" spans="1:32" x14ac:dyDescent="0.25">
      <c r="A322" s="25" t="s">
        <v>391</v>
      </c>
      <c r="B322" s="12">
        <v>1.20346E+16</v>
      </c>
      <c r="C322" s="12">
        <v>1.23173E+16</v>
      </c>
      <c r="D322" s="12">
        <v>1.25222E+16</v>
      </c>
      <c r="E322" s="12">
        <v>1.25735E+16</v>
      </c>
      <c r="F322" s="12">
        <v>1.23905E+16</v>
      </c>
      <c r="G322" s="12">
        <v>1.21722E+16</v>
      </c>
      <c r="H322" s="12">
        <v>1.19181E+16</v>
      </c>
      <c r="I322" s="12">
        <v>1.16366E+16</v>
      </c>
      <c r="J322" s="12">
        <v>1.13412E+16</v>
      </c>
      <c r="K322" s="12">
        <v>1.1048E+16</v>
      </c>
      <c r="L322" s="12">
        <v>1.07618E+16</v>
      </c>
      <c r="M322" s="12">
        <v>1.04793E+16</v>
      </c>
      <c r="N322" s="12">
        <v>1.01835E+16</v>
      </c>
      <c r="O322" s="12">
        <v>9915030000000000</v>
      </c>
      <c r="P322" s="12">
        <v>9651050000000000</v>
      </c>
      <c r="Q322" s="12">
        <v>9399040000000000</v>
      </c>
      <c r="R322" s="12">
        <v>9159520000000000</v>
      </c>
      <c r="S322" s="12">
        <v>8941440000000000</v>
      </c>
      <c r="T322" s="12">
        <v>8744090000000000</v>
      </c>
      <c r="U322" s="12">
        <v>8570990000000000</v>
      </c>
      <c r="V322" s="12">
        <v>8414070000000000</v>
      </c>
      <c r="W322" s="12">
        <v>8267450000000000</v>
      </c>
      <c r="X322" s="12">
        <v>8134610000000000</v>
      </c>
      <c r="Y322" s="12">
        <v>8013300000000000</v>
      </c>
      <c r="Z322" s="12">
        <v>7899900000000000</v>
      </c>
      <c r="AA322" s="12">
        <v>7796620000000000</v>
      </c>
      <c r="AB322" s="12">
        <v>7704070000000000</v>
      </c>
      <c r="AC322" s="12">
        <v>7616430000000000</v>
      </c>
      <c r="AD322" s="12">
        <v>7533710000000000</v>
      </c>
      <c r="AE322" s="12">
        <v>7457930000000000</v>
      </c>
      <c r="AF322" s="12">
        <v>7389950000000000</v>
      </c>
    </row>
    <row r="323" spans="1:32" x14ac:dyDescent="0.25">
      <c r="A323" s="25" t="s">
        <v>392</v>
      </c>
      <c r="B323" s="25">
        <v>0</v>
      </c>
      <c r="C323" s="25">
        <v>0</v>
      </c>
      <c r="D323" s="25">
        <v>0</v>
      </c>
      <c r="E323" s="25">
        <v>0</v>
      </c>
      <c r="F323" s="25">
        <v>0</v>
      </c>
      <c r="G323" s="25">
        <v>0</v>
      </c>
      <c r="H323" s="25">
        <v>0</v>
      </c>
      <c r="I323" s="25">
        <v>0</v>
      </c>
      <c r="J323" s="25">
        <v>0</v>
      </c>
      <c r="K323" s="25">
        <v>0</v>
      </c>
      <c r="L323" s="25">
        <v>0</v>
      </c>
      <c r="M323" s="25">
        <v>0</v>
      </c>
      <c r="N323" s="25">
        <v>0</v>
      </c>
      <c r="O323" s="25">
        <v>0</v>
      </c>
      <c r="P323" s="25">
        <v>0</v>
      </c>
      <c r="Q323" s="25">
        <v>0</v>
      </c>
      <c r="R323" s="25">
        <v>0</v>
      </c>
      <c r="S323" s="25">
        <v>0</v>
      </c>
      <c r="T323" s="25">
        <v>0</v>
      </c>
      <c r="U323" s="25">
        <v>0</v>
      </c>
      <c r="V323" s="25">
        <v>0</v>
      </c>
      <c r="W323" s="25">
        <v>0</v>
      </c>
      <c r="X323" s="25">
        <v>0</v>
      </c>
      <c r="Y323" s="25">
        <v>0</v>
      </c>
      <c r="Z323" s="25">
        <v>0</v>
      </c>
      <c r="AA323" s="25">
        <v>0</v>
      </c>
      <c r="AB323" s="25">
        <v>0</v>
      </c>
      <c r="AC323" s="25">
        <v>0</v>
      </c>
      <c r="AD323" s="25">
        <v>0</v>
      </c>
      <c r="AE323" s="25">
        <v>0</v>
      </c>
      <c r="AF323" s="25">
        <v>0</v>
      </c>
    </row>
    <row r="324" spans="1:32" x14ac:dyDescent="0.25">
      <c r="A324" s="25" t="s">
        <v>393</v>
      </c>
      <c r="B324" s="12">
        <v>1366960000000000</v>
      </c>
      <c r="C324" s="12">
        <v>1399070000000000</v>
      </c>
      <c r="D324" s="12">
        <v>1422340000000000</v>
      </c>
      <c r="E324" s="12">
        <v>1428170000000000</v>
      </c>
      <c r="F324" s="12">
        <v>1407390000000000</v>
      </c>
      <c r="G324" s="12">
        <v>1382590000000000</v>
      </c>
      <c r="H324" s="12">
        <v>1353730000000000</v>
      </c>
      <c r="I324" s="12">
        <v>1321760000000000</v>
      </c>
      <c r="J324" s="12">
        <v>1288190000000000</v>
      </c>
      <c r="K324" s="12">
        <v>1254900000000000</v>
      </c>
      <c r="L324" s="12">
        <v>1222390000000000</v>
      </c>
      <c r="M324" s="12">
        <v>1190300000000000</v>
      </c>
      <c r="N324" s="12">
        <v>1156700000000000</v>
      </c>
      <c r="O324" s="12">
        <v>1126210000000000</v>
      </c>
      <c r="P324" s="12">
        <v>1096220000000000</v>
      </c>
      <c r="Q324" s="12">
        <v>1067600000000000</v>
      </c>
      <c r="R324" s="12">
        <v>1040390000000000</v>
      </c>
      <c r="S324" s="12">
        <v>1015620000000000</v>
      </c>
      <c r="T324" s="12">
        <v>993204000000000</v>
      </c>
      <c r="U324" s="12">
        <v>973542000000000</v>
      </c>
      <c r="V324" s="12">
        <v>955718000000000</v>
      </c>
      <c r="W324" s="12">
        <v>939064000000000</v>
      </c>
      <c r="X324" s="12">
        <v>923975000000000</v>
      </c>
      <c r="Y324" s="12">
        <v>910197000000000</v>
      </c>
      <c r="Z324" s="12">
        <v>897316000000000</v>
      </c>
      <c r="AA324" s="12">
        <v>885585000000000</v>
      </c>
      <c r="AB324" s="12">
        <v>875072000000000</v>
      </c>
      <c r="AC324" s="12">
        <v>865118000000000</v>
      </c>
      <c r="AD324" s="12">
        <v>855722000000000</v>
      </c>
      <c r="AE324" s="12">
        <v>847115000000000</v>
      </c>
      <c r="AF324" s="12">
        <v>839393000000000</v>
      </c>
    </row>
    <row r="325" spans="1:32" x14ac:dyDescent="0.25">
      <c r="A325" s="25" t="s">
        <v>394</v>
      </c>
      <c r="B325" s="25">
        <v>0</v>
      </c>
      <c r="C325" s="25">
        <v>0</v>
      </c>
      <c r="D325" s="25">
        <v>0</v>
      </c>
      <c r="E325" s="25">
        <v>0</v>
      </c>
      <c r="F325" s="25">
        <v>0</v>
      </c>
      <c r="G325" s="25">
        <v>0</v>
      </c>
      <c r="H325" s="25">
        <v>0</v>
      </c>
      <c r="I325" s="25">
        <v>0</v>
      </c>
      <c r="J325" s="25">
        <v>0</v>
      </c>
      <c r="K325" s="25">
        <v>0</v>
      </c>
      <c r="L325" s="25">
        <v>0</v>
      </c>
      <c r="M325" s="25">
        <v>0</v>
      </c>
      <c r="N325" s="25">
        <v>0</v>
      </c>
      <c r="O325" s="25">
        <v>0</v>
      </c>
      <c r="P325" s="25">
        <v>0</v>
      </c>
      <c r="Q325" s="25">
        <v>0</v>
      </c>
      <c r="R325" s="25">
        <v>0</v>
      </c>
      <c r="S325" s="25">
        <v>0</v>
      </c>
      <c r="T325" s="25">
        <v>0</v>
      </c>
      <c r="U325" s="25">
        <v>0</v>
      </c>
      <c r="V325" s="25">
        <v>0</v>
      </c>
      <c r="W325" s="25">
        <v>0</v>
      </c>
      <c r="X325" s="25">
        <v>0</v>
      </c>
      <c r="Y325" s="25">
        <v>0</v>
      </c>
      <c r="Z325" s="25">
        <v>0</v>
      </c>
      <c r="AA325" s="25">
        <v>0</v>
      </c>
      <c r="AB325" s="25">
        <v>0</v>
      </c>
      <c r="AC325" s="25">
        <v>0</v>
      </c>
      <c r="AD325" s="25">
        <v>0</v>
      </c>
      <c r="AE325" s="25">
        <v>0</v>
      </c>
      <c r="AF325" s="25">
        <v>0</v>
      </c>
    </row>
    <row r="326" spans="1:32" x14ac:dyDescent="0.25">
      <c r="A326" s="25" t="s">
        <v>395</v>
      </c>
      <c r="B326" s="25">
        <v>0</v>
      </c>
      <c r="C326" s="25">
        <v>0</v>
      </c>
      <c r="D326" s="25">
        <v>0</v>
      </c>
      <c r="E326" s="25">
        <v>0</v>
      </c>
      <c r="F326" s="25">
        <v>0</v>
      </c>
      <c r="G326" s="25">
        <v>0</v>
      </c>
      <c r="H326" s="25">
        <v>0</v>
      </c>
      <c r="I326" s="25">
        <v>0</v>
      </c>
      <c r="J326" s="25">
        <v>0</v>
      </c>
      <c r="K326" s="25">
        <v>0</v>
      </c>
      <c r="L326" s="25">
        <v>0</v>
      </c>
      <c r="M326" s="25">
        <v>0</v>
      </c>
      <c r="N326" s="25">
        <v>0</v>
      </c>
      <c r="O326" s="25">
        <v>0</v>
      </c>
      <c r="P326" s="25">
        <v>0</v>
      </c>
      <c r="Q326" s="25">
        <v>0</v>
      </c>
      <c r="R326" s="25">
        <v>0</v>
      </c>
      <c r="S326" s="25">
        <v>0</v>
      </c>
      <c r="T326" s="25">
        <v>0</v>
      </c>
      <c r="U326" s="25">
        <v>0</v>
      </c>
      <c r="V326" s="25">
        <v>0</v>
      </c>
      <c r="W326" s="25">
        <v>0</v>
      </c>
      <c r="X326" s="25">
        <v>0</v>
      </c>
      <c r="Y326" s="25">
        <v>0</v>
      </c>
      <c r="Z326" s="25">
        <v>0</v>
      </c>
      <c r="AA326" s="25">
        <v>0</v>
      </c>
      <c r="AB326" s="25">
        <v>0</v>
      </c>
      <c r="AC326" s="25">
        <v>0</v>
      </c>
      <c r="AD326" s="25">
        <v>0</v>
      </c>
      <c r="AE326" s="25">
        <v>0</v>
      </c>
      <c r="AF326" s="25">
        <v>0</v>
      </c>
    </row>
    <row r="327" spans="1:32" x14ac:dyDescent="0.25">
      <c r="A327" s="25" t="s">
        <v>396</v>
      </c>
      <c r="B327" s="25">
        <v>0</v>
      </c>
      <c r="C327" s="25">
        <v>0</v>
      </c>
      <c r="D327" s="25">
        <v>0</v>
      </c>
      <c r="E327" s="25">
        <v>0</v>
      </c>
      <c r="F327" s="25">
        <v>0</v>
      </c>
      <c r="G327" s="25">
        <v>0</v>
      </c>
      <c r="H327" s="25">
        <v>0</v>
      </c>
      <c r="I327" s="25">
        <v>0</v>
      </c>
      <c r="J327" s="25">
        <v>0</v>
      </c>
      <c r="K327" s="25">
        <v>0</v>
      </c>
      <c r="L327" s="25">
        <v>0</v>
      </c>
      <c r="M327" s="25">
        <v>0</v>
      </c>
      <c r="N327" s="25">
        <v>0</v>
      </c>
      <c r="O327" s="25">
        <v>0</v>
      </c>
      <c r="P327" s="25">
        <v>0</v>
      </c>
      <c r="Q327" s="25">
        <v>0</v>
      </c>
      <c r="R327" s="25">
        <v>0</v>
      </c>
      <c r="S327" s="25">
        <v>0</v>
      </c>
      <c r="T327" s="25">
        <v>0</v>
      </c>
      <c r="U327" s="25">
        <v>0</v>
      </c>
      <c r="V327" s="25">
        <v>0</v>
      </c>
      <c r="W327" s="25">
        <v>0</v>
      </c>
      <c r="X327" s="25">
        <v>0</v>
      </c>
      <c r="Y327" s="25">
        <v>0</v>
      </c>
      <c r="Z327" s="25">
        <v>0</v>
      </c>
      <c r="AA327" s="25">
        <v>0</v>
      </c>
      <c r="AB327" s="25">
        <v>0</v>
      </c>
      <c r="AC327" s="25">
        <v>0</v>
      </c>
      <c r="AD327" s="25">
        <v>0</v>
      </c>
      <c r="AE327" s="25">
        <v>0</v>
      </c>
      <c r="AF327" s="25">
        <v>0</v>
      </c>
    </row>
    <row r="328" spans="1:32" x14ac:dyDescent="0.25">
      <c r="A328" s="25" t="s">
        <v>397</v>
      </c>
      <c r="B328" s="25">
        <v>0</v>
      </c>
      <c r="C328" s="25">
        <v>0</v>
      </c>
      <c r="D328" s="25">
        <v>0</v>
      </c>
      <c r="E328" s="25">
        <v>0</v>
      </c>
      <c r="F328" s="25">
        <v>0</v>
      </c>
      <c r="G328" s="25">
        <v>0</v>
      </c>
      <c r="H328" s="25">
        <v>0</v>
      </c>
      <c r="I328" s="25">
        <v>0</v>
      </c>
      <c r="J328" s="25">
        <v>0</v>
      </c>
      <c r="K328" s="25">
        <v>0</v>
      </c>
      <c r="L328" s="25">
        <v>0</v>
      </c>
      <c r="M328" s="25">
        <v>0</v>
      </c>
      <c r="N328" s="25">
        <v>0</v>
      </c>
      <c r="O328" s="25">
        <v>0</v>
      </c>
      <c r="P328" s="25">
        <v>0</v>
      </c>
      <c r="Q328" s="25">
        <v>0</v>
      </c>
      <c r="R328" s="25">
        <v>0</v>
      </c>
      <c r="S328" s="25">
        <v>0</v>
      </c>
      <c r="T328" s="25">
        <v>0</v>
      </c>
      <c r="U328" s="25">
        <v>0</v>
      </c>
      <c r="V328" s="25">
        <v>0</v>
      </c>
      <c r="W328" s="25">
        <v>0</v>
      </c>
      <c r="X328" s="25">
        <v>0</v>
      </c>
      <c r="Y328" s="25">
        <v>0</v>
      </c>
      <c r="Z328" s="25">
        <v>0</v>
      </c>
      <c r="AA328" s="25">
        <v>0</v>
      </c>
      <c r="AB328" s="25">
        <v>0</v>
      </c>
      <c r="AC328" s="25">
        <v>0</v>
      </c>
      <c r="AD328" s="25">
        <v>0</v>
      </c>
      <c r="AE328" s="25">
        <v>0</v>
      </c>
      <c r="AF328" s="25">
        <v>0</v>
      </c>
    </row>
    <row r="329" spans="1:32" x14ac:dyDescent="0.25">
      <c r="A329" s="25" t="s">
        <v>398</v>
      </c>
      <c r="B329" s="25">
        <v>0</v>
      </c>
      <c r="C329" s="25">
        <v>0</v>
      </c>
      <c r="D329" s="25">
        <v>0</v>
      </c>
      <c r="E329" s="25">
        <v>0</v>
      </c>
      <c r="F329" s="25">
        <v>0</v>
      </c>
      <c r="G329" s="25">
        <v>0</v>
      </c>
      <c r="H329" s="25">
        <v>0</v>
      </c>
      <c r="I329" s="25">
        <v>0</v>
      </c>
      <c r="J329" s="25">
        <v>0</v>
      </c>
      <c r="K329" s="25">
        <v>0</v>
      </c>
      <c r="L329" s="25">
        <v>0</v>
      </c>
      <c r="M329" s="25">
        <v>0</v>
      </c>
      <c r="N329" s="25">
        <v>0</v>
      </c>
      <c r="O329" s="25">
        <v>0</v>
      </c>
      <c r="P329" s="25">
        <v>0</v>
      </c>
      <c r="Q329" s="25">
        <v>0</v>
      </c>
      <c r="R329" s="25">
        <v>0</v>
      </c>
      <c r="S329" s="25">
        <v>0</v>
      </c>
      <c r="T329" s="25">
        <v>0</v>
      </c>
      <c r="U329" s="25">
        <v>0</v>
      </c>
      <c r="V329" s="25">
        <v>0</v>
      </c>
      <c r="W329" s="25">
        <v>0</v>
      </c>
      <c r="X329" s="25">
        <v>0</v>
      </c>
      <c r="Y329" s="25">
        <v>0</v>
      </c>
      <c r="Z329" s="25">
        <v>0</v>
      </c>
      <c r="AA329" s="25">
        <v>0</v>
      </c>
      <c r="AB329" s="25">
        <v>0</v>
      </c>
      <c r="AC329" s="25">
        <v>0</v>
      </c>
      <c r="AD329" s="25">
        <v>0</v>
      </c>
      <c r="AE329" s="25">
        <v>0</v>
      </c>
      <c r="AF329" s="25">
        <v>0</v>
      </c>
    </row>
    <row r="330" spans="1:32" x14ac:dyDescent="0.25">
      <c r="A330" s="25" t="s">
        <v>399</v>
      </c>
      <c r="B330" s="25">
        <v>0</v>
      </c>
      <c r="C330" s="25">
        <v>0</v>
      </c>
      <c r="D330" s="25">
        <v>0</v>
      </c>
      <c r="E330" s="25">
        <v>0</v>
      </c>
      <c r="F330" s="25">
        <v>0</v>
      </c>
      <c r="G330" s="25">
        <v>0</v>
      </c>
      <c r="H330" s="25">
        <v>0</v>
      </c>
      <c r="I330" s="25">
        <v>0</v>
      </c>
      <c r="J330" s="25">
        <v>0</v>
      </c>
      <c r="K330" s="25">
        <v>0</v>
      </c>
      <c r="L330" s="25">
        <v>0</v>
      </c>
      <c r="M330" s="25">
        <v>0</v>
      </c>
      <c r="N330" s="25">
        <v>0</v>
      </c>
      <c r="O330" s="25">
        <v>0</v>
      </c>
      <c r="P330" s="25">
        <v>0</v>
      </c>
      <c r="Q330" s="25">
        <v>0</v>
      </c>
      <c r="R330" s="25">
        <v>0</v>
      </c>
      <c r="S330" s="25">
        <v>0</v>
      </c>
      <c r="T330" s="25">
        <v>0</v>
      </c>
      <c r="U330" s="25">
        <v>0</v>
      </c>
      <c r="V330" s="25">
        <v>0</v>
      </c>
      <c r="W330" s="25">
        <v>0</v>
      </c>
      <c r="X330" s="25">
        <v>0</v>
      </c>
      <c r="Y330" s="25">
        <v>0</v>
      </c>
      <c r="Z330" s="25">
        <v>0</v>
      </c>
      <c r="AA330" s="25">
        <v>0</v>
      </c>
      <c r="AB330" s="25">
        <v>0</v>
      </c>
      <c r="AC330" s="25">
        <v>0</v>
      </c>
      <c r="AD330" s="25">
        <v>0</v>
      </c>
      <c r="AE330" s="25">
        <v>0</v>
      </c>
      <c r="AF330" s="25">
        <v>0</v>
      </c>
    </row>
    <row r="331" spans="1:32" x14ac:dyDescent="0.25">
      <c r="A331" s="25" t="s">
        <v>400</v>
      </c>
      <c r="B331" s="25">
        <v>0</v>
      </c>
      <c r="C331" s="25">
        <v>0</v>
      </c>
      <c r="D331" s="25">
        <v>0</v>
      </c>
      <c r="E331" s="25">
        <v>0</v>
      </c>
      <c r="F331" s="25">
        <v>0</v>
      </c>
      <c r="G331" s="25">
        <v>0</v>
      </c>
      <c r="H331" s="25">
        <v>0</v>
      </c>
      <c r="I331" s="25">
        <v>0</v>
      </c>
      <c r="J331" s="25">
        <v>0</v>
      </c>
      <c r="K331" s="25">
        <v>0</v>
      </c>
      <c r="L331" s="25">
        <v>0</v>
      </c>
      <c r="M331" s="25">
        <v>0</v>
      </c>
      <c r="N331" s="25">
        <v>0</v>
      </c>
      <c r="O331" s="25">
        <v>0</v>
      </c>
      <c r="P331" s="25">
        <v>0</v>
      </c>
      <c r="Q331" s="25">
        <v>0</v>
      </c>
      <c r="R331" s="25">
        <v>0</v>
      </c>
      <c r="S331" s="25">
        <v>0</v>
      </c>
      <c r="T331" s="25">
        <v>0</v>
      </c>
      <c r="U331" s="25">
        <v>0</v>
      </c>
      <c r="V331" s="25">
        <v>0</v>
      </c>
      <c r="W331" s="25">
        <v>0</v>
      </c>
      <c r="X331" s="25">
        <v>0</v>
      </c>
      <c r="Y331" s="25">
        <v>0</v>
      </c>
      <c r="Z331" s="25">
        <v>0</v>
      </c>
      <c r="AA331" s="25">
        <v>0</v>
      </c>
      <c r="AB331" s="25">
        <v>0</v>
      </c>
      <c r="AC331" s="25">
        <v>0</v>
      </c>
      <c r="AD331" s="25">
        <v>0</v>
      </c>
      <c r="AE331" s="25">
        <v>0</v>
      </c>
      <c r="AF331" s="25">
        <v>0</v>
      </c>
    </row>
    <row r="332" spans="1:32" x14ac:dyDescent="0.25">
      <c r="A332" s="25" t="s">
        <v>401</v>
      </c>
      <c r="B332" s="25">
        <v>0</v>
      </c>
      <c r="C332" s="25">
        <v>0</v>
      </c>
      <c r="D332" s="25">
        <v>0</v>
      </c>
      <c r="E332" s="25">
        <v>0</v>
      </c>
      <c r="F332" s="25">
        <v>0</v>
      </c>
      <c r="G332" s="25">
        <v>0</v>
      </c>
      <c r="H332" s="25">
        <v>0</v>
      </c>
      <c r="I332" s="25">
        <v>0</v>
      </c>
      <c r="J332" s="25">
        <v>0</v>
      </c>
      <c r="K332" s="25">
        <v>0</v>
      </c>
      <c r="L332" s="25">
        <v>0</v>
      </c>
      <c r="M332" s="25">
        <v>0</v>
      </c>
      <c r="N332" s="25">
        <v>0</v>
      </c>
      <c r="O332" s="25">
        <v>0</v>
      </c>
      <c r="P332" s="25">
        <v>0</v>
      </c>
      <c r="Q332" s="25">
        <v>0</v>
      </c>
      <c r="R332" s="25">
        <v>0</v>
      </c>
      <c r="S332" s="25">
        <v>0</v>
      </c>
      <c r="T332" s="25">
        <v>0</v>
      </c>
      <c r="U332" s="25">
        <v>0</v>
      </c>
      <c r="V332" s="25">
        <v>0</v>
      </c>
      <c r="W332" s="25">
        <v>0</v>
      </c>
      <c r="X332" s="25">
        <v>0</v>
      </c>
      <c r="Y332" s="25">
        <v>0</v>
      </c>
      <c r="Z332" s="25">
        <v>0</v>
      </c>
      <c r="AA332" s="25">
        <v>0</v>
      </c>
      <c r="AB332" s="25">
        <v>0</v>
      </c>
      <c r="AC332" s="25">
        <v>0</v>
      </c>
      <c r="AD332" s="25">
        <v>0</v>
      </c>
      <c r="AE332" s="25">
        <v>0</v>
      </c>
      <c r="AF332" s="25">
        <v>0</v>
      </c>
    </row>
    <row r="333" spans="1:32" x14ac:dyDescent="0.25">
      <c r="A333" s="25" t="s">
        <v>402</v>
      </c>
      <c r="B333" s="12">
        <v>49773800000000</v>
      </c>
      <c r="C333" s="12">
        <v>48456600000000</v>
      </c>
      <c r="D333" s="12">
        <v>46405900000000</v>
      </c>
      <c r="E333" s="12">
        <v>44296500000000</v>
      </c>
      <c r="F333" s="12">
        <v>41069500000000</v>
      </c>
      <c r="G333" s="12">
        <v>37978700000000</v>
      </c>
      <c r="H333" s="12">
        <v>34955800000000</v>
      </c>
      <c r="I333" s="12">
        <v>32040800000000</v>
      </c>
      <c r="J333" s="12">
        <v>29317900000000</v>
      </c>
      <c r="K333" s="12">
        <v>26833400000000</v>
      </c>
      <c r="L333" s="12">
        <v>24642200000000</v>
      </c>
      <c r="M333" s="12">
        <v>22718700000000</v>
      </c>
      <c r="N333" s="12">
        <v>20979100000000</v>
      </c>
      <c r="O333" s="12">
        <v>22705700000000</v>
      </c>
      <c r="P333" s="12">
        <v>24363200000000</v>
      </c>
      <c r="Q333" s="12">
        <v>26078400000000</v>
      </c>
      <c r="R333" s="12">
        <v>27726000000000</v>
      </c>
      <c r="S333" s="12">
        <v>29368000000000</v>
      </c>
      <c r="T333" s="12">
        <v>30963700000000</v>
      </c>
      <c r="U333" s="12">
        <v>32668700000000</v>
      </c>
      <c r="V333" s="12">
        <v>34375700000000</v>
      </c>
      <c r="W333" s="12">
        <v>36069000000000</v>
      </c>
      <c r="X333" s="12">
        <v>37782300000000</v>
      </c>
      <c r="Y333" s="12">
        <v>39380400000000</v>
      </c>
      <c r="Z333" s="12">
        <v>40952200000000</v>
      </c>
      <c r="AA333" s="12">
        <v>42588700000000</v>
      </c>
      <c r="AB333" s="12">
        <v>44204000000000</v>
      </c>
      <c r="AC333" s="12">
        <v>45827300000000</v>
      </c>
      <c r="AD333" s="12">
        <v>47407400000000</v>
      </c>
      <c r="AE333" s="12">
        <v>49008000000000</v>
      </c>
      <c r="AF333" s="12">
        <v>50671200000000</v>
      </c>
    </row>
    <row r="334" spans="1:32" x14ac:dyDescent="0.25">
      <c r="A334" s="25" t="s">
        <v>403</v>
      </c>
      <c r="B334" s="25">
        <v>0</v>
      </c>
      <c r="C334" s="25">
        <v>0</v>
      </c>
      <c r="D334" s="25">
        <v>0</v>
      </c>
      <c r="E334" s="25">
        <v>0</v>
      </c>
      <c r="F334" s="25">
        <v>0</v>
      </c>
      <c r="G334" s="25">
        <v>0</v>
      </c>
      <c r="H334" s="25">
        <v>0</v>
      </c>
      <c r="I334" s="25">
        <v>0</v>
      </c>
      <c r="J334" s="25">
        <v>0</v>
      </c>
      <c r="K334" s="25">
        <v>0</v>
      </c>
      <c r="L334" s="25">
        <v>0</v>
      </c>
      <c r="M334" s="25">
        <v>0</v>
      </c>
      <c r="N334" s="25">
        <v>0</v>
      </c>
      <c r="O334" s="25">
        <v>0</v>
      </c>
      <c r="P334" s="25">
        <v>0</v>
      </c>
      <c r="Q334" s="25">
        <v>0</v>
      </c>
      <c r="R334" s="25">
        <v>0</v>
      </c>
      <c r="S334" s="25">
        <v>0</v>
      </c>
      <c r="T334" s="25">
        <v>0</v>
      </c>
      <c r="U334" s="25">
        <v>0</v>
      </c>
      <c r="V334" s="25">
        <v>0</v>
      </c>
      <c r="W334" s="25">
        <v>0</v>
      </c>
      <c r="X334" s="25">
        <v>0</v>
      </c>
      <c r="Y334" s="25">
        <v>0</v>
      </c>
      <c r="Z334" s="25">
        <v>0</v>
      </c>
      <c r="AA334" s="25">
        <v>0</v>
      </c>
      <c r="AB334" s="25">
        <v>0</v>
      </c>
      <c r="AC334" s="25">
        <v>0</v>
      </c>
      <c r="AD334" s="25">
        <v>0</v>
      </c>
      <c r="AE334" s="25">
        <v>0</v>
      </c>
      <c r="AF334" s="25">
        <v>0</v>
      </c>
    </row>
    <row r="335" spans="1:32" x14ac:dyDescent="0.25">
      <c r="A335" s="25" t="s">
        <v>404</v>
      </c>
      <c r="B335" s="12">
        <v>2239920000000</v>
      </c>
      <c r="C335" s="12">
        <v>1911250000000</v>
      </c>
      <c r="D335" s="12">
        <v>1830360000000</v>
      </c>
      <c r="E335" s="12">
        <v>1317370000000</v>
      </c>
      <c r="F335" s="12">
        <v>1219970000000</v>
      </c>
      <c r="G335" s="12">
        <v>1090660000000</v>
      </c>
      <c r="H335" s="12">
        <v>1000380000000</v>
      </c>
      <c r="I335" s="12">
        <v>934912000000</v>
      </c>
      <c r="J335" s="12">
        <v>868181000000</v>
      </c>
      <c r="K335" s="12">
        <v>814403000000</v>
      </c>
      <c r="L335" s="12">
        <v>752287000000</v>
      </c>
      <c r="M335" s="12">
        <v>668490000000</v>
      </c>
      <c r="N335" s="12">
        <v>606480000000</v>
      </c>
      <c r="O335" s="12">
        <v>653276000000</v>
      </c>
      <c r="P335" s="12">
        <v>707117000000</v>
      </c>
      <c r="Q335" s="12">
        <v>786393000000</v>
      </c>
      <c r="R335" s="12">
        <v>843592000000</v>
      </c>
      <c r="S335" s="12">
        <v>913684000000</v>
      </c>
      <c r="T335" s="12">
        <v>1059060000000</v>
      </c>
      <c r="U335" s="12">
        <v>1127040000000</v>
      </c>
      <c r="V335" s="12">
        <v>1201650000000</v>
      </c>
      <c r="W335" s="12">
        <v>1289450000000</v>
      </c>
      <c r="X335" s="12">
        <v>1364190000000</v>
      </c>
      <c r="Y335" s="12">
        <v>1524490000000</v>
      </c>
      <c r="Z335" s="12">
        <v>1686540000000</v>
      </c>
      <c r="AA335" s="12">
        <v>1779850000000</v>
      </c>
      <c r="AB335" s="12">
        <v>1910810000000</v>
      </c>
      <c r="AC335" s="12">
        <v>2015610000000</v>
      </c>
      <c r="AD335" s="12">
        <v>2154310000000</v>
      </c>
      <c r="AE335" s="12">
        <v>2289180000000</v>
      </c>
      <c r="AF335" s="12">
        <v>2397130000000</v>
      </c>
    </row>
    <row r="336" spans="1:32" x14ac:dyDescent="0.25">
      <c r="A336" s="25" t="s">
        <v>405</v>
      </c>
      <c r="B336" s="25">
        <v>0</v>
      </c>
      <c r="C336" s="25">
        <v>0</v>
      </c>
      <c r="D336" s="25">
        <v>0</v>
      </c>
      <c r="E336" s="25">
        <v>0</v>
      </c>
      <c r="F336" s="25">
        <v>0</v>
      </c>
      <c r="G336" s="25">
        <v>0</v>
      </c>
      <c r="H336" s="25">
        <v>0</v>
      </c>
      <c r="I336" s="25">
        <v>0</v>
      </c>
      <c r="J336" s="25">
        <v>0</v>
      </c>
      <c r="K336" s="25">
        <v>0</v>
      </c>
      <c r="L336" s="25">
        <v>0</v>
      </c>
      <c r="M336" s="25">
        <v>0</v>
      </c>
      <c r="N336" s="25">
        <v>0</v>
      </c>
      <c r="O336" s="25">
        <v>0</v>
      </c>
      <c r="P336" s="25">
        <v>0</v>
      </c>
      <c r="Q336" s="25">
        <v>0</v>
      </c>
      <c r="R336" s="25">
        <v>0</v>
      </c>
      <c r="S336" s="25">
        <v>0</v>
      </c>
      <c r="T336" s="25">
        <v>0</v>
      </c>
      <c r="U336" s="25">
        <v>0</v>
      </c>
      <c r="V336" s="25">
        <v>0</v>
      </c>
      <c r="W336" s="25">
        <v>0</v>
      </c>
      <c r="X336" s="25">
        <v>0</v>
      </c>
      <c r="Y336" s="25">
        <v>0</v>
      </c>
      <c r="Z336" s="25">
        <v>0</v>
      </c>
      <c r="AA336" s="25">
        <v>0</v>
      </c>
      <c r="AB336" s="25">
        <v>0</v>
      </c>
      <c r="AC336" s="25">
        <v>0</v>
      </c>
      <c r="AD336" s="25">
        <v>0</v>
      </c>
      <c r="AE336" s="25">
        <v>0</v>
      </c>
      <c r="AF336" s="25">
        <v>0</v>
      </c>
    </row>
    <row r="337" spans="1:32" x14ac:dyDescent="0.25">
      <c r="A337" s="25" t="s">
        <v>406</v>
      </c>
      <c r="B337" s="25">
        <v>0</v>
      </c>
      <c r="C337" s="25">
        <v>0</v>
      </c>
      <c r="D337" s="25">
        <v>0</v>
      </c>
      <c r="E337" s="25">
        <v>0</v>
      </c>
      <c r="F337" s="25">
        <v>0</v>
      </c>
      <c r="G337" s="25">
        <v>0</v>
      </c>
      <c r="H337" s="25">
        <v>0</v>
      </c>
      <c r="I337" s="25">
        <v>0</v>
      </c>
      <c r="J337" s="25">
        <v>0</v>
      </c>
      <c r="K337" s="25">
        <v>0</v>
      </c>
      <c r="L337" s="25">
        <v>0</v>
      </c>
      <c r="M337" s="25">
        <v>0</v>
      </c>
      <c r="N337" s="25">
        <v>0</v>
      </c>
      <c r="O337" s="25">
        <v>0</v>
      </c>
      <c r="P337" s="25">
        <v>0</v>
      </c>
      <c r="Q337" s="25">
        <v>0</v>
      </c>
      <c r="R337" s="25">
        <v>0</v>
      </c>
      <c r="S337" s="25">
        <v>0</v>
      </c>
      <c r="T337" s="25">
        <v>0</v>
      </c>
      <c r="U337" s="25">
        <v>0</v>
      </c>
      <c r="V337" s="25">
        <v>0</v>
      </c>
      <c r="W337" s="25">
        <v>0</v>
      </c>
      <c r="X337" s="25">
        <v>0</v>
      </c>
      <c r="Y337" s="25">
        <v>0</v>
      </c>
      <c r="Z337" s="25">
        <v>0</v>
      </c>
      <c r="AA337" s="25">
        <v>0</v>
      </c>
      <c r="AB337" s="25">
        <v>0</v>
      </c>
      <c r="AC337" s="25">
        <v>0</v>
      </c>
      <c r="AD337" s="25">
        <v>0</v>
      </c>
      <c r="AE337" s="25">
        <v>0</v>
      </c>
      <c r="AF337" s="25">
        <v>0</v>
      </c>
    </row>
    <row r="338" spans="1:32" x14ac:dyDescent="0.25">
      <c r="A338" s="25" t="s">
        <v>407</v>
      </c>
      <c r="B338" s="25">
        <v>0</v>
      </c>
      <c r="C338" s="25">
        <v>0</v>
      </c>
      <c r="D338" s="25">
        <v>0</v>
      </c>
      <c r="E338" s="25">
        <v>0</v>
      </c>
      <c r="F338" s="25">
        <v>0</v>
      </c>
      <c r="G338" s="25">
        <v>0</v>
      </c>
      <c r="H338" s="25">
        <v>0</v>
      </c>
      <c r="I338" s="25">
        <v>0</v>
      </c>
      <c r="J338" s="25">
        <v>0</v>
      </c>
      <c r="K338" s="25">
        <v>0</v>
      </c>
      <c r="L338" s="25">
        <v>0</v>
      </c>
      <c r="M338" s="25">
        <v>0</v>
      </c>
      <c r="N338" s="25">
        <v>0</v>
      </c>
      <c r="O338" s="25">
        <v>0</v>
      </c>
      <c r="P338" s="25">
        <v>0</v>
      </c>
      <c r="Q338" s="25">
        <v>0</v>
      </c>
      <c r="R338" s="25">
        <v>0</v>
      </c>
      <c r="S338" s="25">
        <v>0</v>
      </c>
      <c r="T338" s="25">
        <v>0</v>
      </c>
      <c r="U338" s="25">
        <v>0</v>
      </c>
      <c r="V338" s="25">
        <v>0</v>
      </c>
      <c r="W338" s="25">
        <v>0</v>
      </c>
      <c r="X338" s="25">
        <v>0</v>
      </c>
      <c r="Y338" s="25">
        <v>0</v>
      </c>
      <c r="Z338" s="25">
        <v>0</v>
      </c>
      <c r="AA338" s="25">
        <v>0</v>
      </c>
      <c r="AB338" s="25">
        <v>0</v>
      </c>
      <c r="AC338" s="25">
        <v>0</v>
      </c>
      <c r="AD338" s="25">
        <v>0</v>
      </c>
      <c r="AE338" s="25">
        <v>0</v>
      </c>
      <c r="AF338" s="25">
        <v>0</v>
      </c>
    </row>
    <row r="339" spans="1:32" x14ac:dyDescent="0.25">
      <c r="A339" s="25" t="s">
        <v>408</v>
      </c>
      <c r="B339" s="25">
        <v>0</v>
      </c>
      <c r="C339" s="25">
        <v>0</v>
      </c>
      <c r="D339" s="25">
        <v>0</v>
      </c>
      <c r="E339" s="25">
        <v>0</v>
      </c>
      <c r="F339" s="25">
        <v>0</v>
      </c>
      <c r="G339" s="25">
        <v>0</v>
      </c>
      <c r="H339" s="25">
        <v>0</v>
      </c>
      <c r="I339" s="25">
        <v>0</v>
      </c>
      <c r="J339" s="25">
        <v>0</v>
      </c>
      <c r="K339" s="25">
        <v>0</v>
      </c>
      <c r="L339" s="25">
        <v>0</v>
      </c>
      <c r="M339" s="25">
        <v>0</v>
      </c>
      <c r="N339" s="25">
        <v>0</v>
      </c>
      <c r="O339" s="25">
        <v>0</v>
      </c>
      <c r="P339" s="25">
        <v>0</v>
      </c>
      <c r="Q339" s="25">
        <v>0</v>
      </c>
      <c r="R339" s="25">
        <v>0</v>
      </c>
      <c r="S339" s="25">
        <v>0</v>
      </c>
      <c r="T339" s="25">
        <v>0</v>
      </c>
      <c r="U339" s="25">
        <v>0</v>
      </c>
      <c r="V339" s="25">
        <v>0</v>
      </c>
      <c r="W339" s="25">
        <v>0</v>
      </c>
      <c r="X339" s="25">
        <v>0</v>
      </c>
      <c r="Y339" s="25">
        <v>0</v>
      </c>
      <c r="Z339" s="25">
        <v>0</v>
      </c>
      <c r="AA339" s="25">
        <v>0</v>
      </c>
      <c r="AB339" s="25">
        <v>0</v>
      </c>
      <c r="AC339" s="25">
        <v>0</v>
      </c>
      <c r="AD339" s="25">
        <v>0</v>
      </c>
      <c r="AE339" s="25">
        <v>0</v>
      </c>
      <c r="AF339" s="25">
        <v>0</v>
      </c>
    </row>
    <row r="340" spans="1:32" x14ac:dyDescent="0.25">
      <c r="A340" s="25" t="s">
        <v>409</v>
      </c>
      <c r="B340" s="12">
        <v>9754140000000</v>
      </c>
      <c r="C340" s="12">
        <v>11159100000000</v>
      </c>
      <c r="D340" s="12">
        <v>12843000000000</v>
      </c>
      <c r="E340" s="12">
        <v>14431800000000</v>
      </c>
      <c r="F340" s="12">
        <v>15800600000000</v>
      </c>
      <c r="G340" s="12">
        <v>17110700000000</v>
      </c>
      <c r="H340" s="12">
        <v>18365000000000</v>
      </c>
      <c r="I340" s="12">
        <v>19611300000000</v>
      </c>
      <c r="J340" s="12">
        <v>20892400000000</v>
      </c>
      <c r="K340" s="12">
        <v>22322500000000</v>
      </c>
      <c r="L340" s="12">
        <v>23950700000000</v>
      </c>
      <c r="M340" s="12">
        <v>25828300000000</v>
      </c>
      <c r="N340" s="12">
        <v>27930400000000</v>
      </c>
      <c r="O340" s="12">
        <v>29322800000000</v>
      </c>
      <c r="P340" s="12">
        <v>31024200000000</v>
      </c>
      <c r="Q340" s="12">
        <v>32902100000000</v>
      </c>
      <c r="R340" s="12">
        <v>35199300000000</v>
      </c>
      <c r="S340" s="12">
        <v>37857500000000</v>
      </c>
      <c r="T340" s="12">
        <v>40883500000000</v>
      </c>
      <c r="U340" s="12">
        <v>44234900000000</v>
      </c>
      <c r="V340" s="12">
        <v>47780100000000</v>
      </c>
      <c r="W340" s="12">
        <v>51415000000000</v>
      </c>
      <c r="X340" s="12">
        <v>55034600000000</v>
      </c>
      <c r="Y340" s="12">
        <v>58564900000000</v>
      </c>
      <c r="Z340" s="12">
        <v>61910800000000</v>
      </c>
      <c r="AA340" s="12">
        <v>65036100000000</v>
      </c>
      <c r="AB340" s="12">
        <v>67921800000000</v>
      </c>
      <c r="AC340" s="12">
        <v>70474000000000</v>
      </c>
      <c r="AD340" s="12">
        <v>72652900000000</v>
      </c>
      <c r="AE340" s="12">
        <v>74482500000000</v>
      </c>
      <c r="AF340" s="12">
        <v>76002200000000</v>
      </c>
    </row>
    <row r="341" spans="1:32" x14ac:dyDescent="0.25">
      <c r="A341" s="25" t="s">
        <v>410</v>
      </c>
      <c r="B341" s="25">
        <v>0</v>
      </c>
      <c r="C341" s="25">
        <v>0</v>
      </c>
      <c r="D341" s="25">
        <v>0</v>
      </c>
      <c r="E341" s="25">
        <v>0</v>
      </c>
      <c r="F341" s="25">
        <v>0</v>
      </c>
      <c r="G341" s="25">
        <v>0</v>
      </c>
      <c r="H341" s="25">
        <v>0</v>
      </c>
      <c r="I341" s="25">
        <v>0</v>
      </c>
      <c r="J341" s="25">
        <v>0</v>
      </c>
      <c r="K341" s="25">
        <v>0</v>
      </c>
      <c r="L341" s="25">
        <v>0</v>
      </c>
      <c r="M341" s="25">
        <v>0</v>
      </c>
      <c r="N341" s="25">
        <v>0</v>
      </c>
      <c r="O341" s="25">
        <v>0</v>
      </c>
      <c r="P341" s="25">
        <v>0</v>
      </c>
      <c r="Q341" s="25">
        <v>0</v>
      </c>
      <c r="R341" s="25">
        <v>0</v>
      </c>
      <c r="S341" s="25">
        <v>0</v>
      </c>
      <c r="T341" s="25">
        <v>0</v>
      </c>
      <c r="U341" s="25">
        <v>0</v>
      </c>
      <c r="V341" s="25">
        <v>0</v>
      </c>
      <c r="W341" s="25">
        <v>0</v>
      </c>
      <c r="X341" s="25">
        <v>0</v>
      </c>
      <c r="Y341" s="25">
        <v>0</v>
      </c>
      <c r="Z341" s="25">
        <v>0</v>
      </c>
      <c r="AA341" s="25">
        <v>0</v>
      </c>
      <c r="AB341" s="25">
        <v>0</v>
      </c>
      <c r="AC341" s="25">
        <v>0</v>
      </c>
      <c r="AD341" s="25">
        <v>0</v>
      </c>
      <c r="AE341" s="25">
        <v>0</v>
      </c>
      <c r="AF341" s="25">
        <v>0</v>
      </c>
    </row>
    <row r="342" spans="1:32" x14ac:dyDescent="0.25">
      <c r="A342" s="25" t="s">
        <v>411</v>
      </c>
      <c r="B342" s="12">
        <v>7964700000000</v>
      </c>
      <c r="C342" s="12">
        <v>9109910000000</v>
      </c>
      <c r="D342" s="12">
        <v>10486900000000</v>
      </c>
      <c r="E342" s="12">
        <v>11781600000000</v>
      </c>
      <c r="F342" s="12">
        <v>12899000000000</v>
      </c>
      <c r="G342" s="12">
        <v>13968600000000</v>
      </c>
      <c r="H342" s="12">
        <v>14992500000000</v>
      </c>
      <c r="I342" s="12">
        <v>16013500000000</v>
      </c>
      <c r="J342" s="12">
        <v>17059600000000</v>
      </c>
      <c r="K342" s="12">
        <v>18227400000000</v>
      </c>
      <c r="L342" s="12">
        <v>19556900000000</v>
      </c>
      <c r="M342" s="12">
        <v>21090000000000</v>
      </c>
      <c r="N342" s="12">
        <v>22806400000000</v>
      </c>
      <c r="O342" s="12">
        <v>23943400000000</v>
      </c>
      <c r="P342" s="12">
        <v>25332700000000</v>
      </c>
      <c r="Q342" s="12">
        <v>26866000000000</v>
      </c>
      <c r="R342" s="12">
        <v>28741800000000</v>
      </c>
      <c r="S342" s="12">
        <v>30912400000000</v>
      </c>
      <c r="T342" s="12">
        <v>33383200000000</v>
      </c>
      <c r="U342" s="12">
        <v>36119800000000</v>
      </c>
      <c r="V342" s="12">
        <v>39005900000000</v>
      </c>
      <c r="W342" s="12">
        <v>41973400000000</v>
      </c>
      <c r="X342" s="12">
        <v>44928300000000</v>
      </c>
      <c r="Y342" s="12">
        <v>47810300000000</v>
      </c>
      <c r="Z342" s="12">
        <v>50541700000000</v>
      </c>
      <c r="AA342" s="12">
        <v>53093100000000</v>
      </c>
      <c r="AB342" s="12">
        <v>55448900000000</v>
      </c>
      <c r="AC342" s="12">
        <v>57532400000000</v>
      </c>
      <c r="AD342" s="12">
        <v>59298000000000</v>
      </c>
      <c r="AE342" s="12">
        <v>60791300000000</v>
      </c>
      <c r="AF342" s="12">
        <v>62031600000000</v>
      </c>
    </row>
    <row r="343" spans="1:32" x14ac:dyDescent="0.25">
      <c r="A343" s="25" t="s">
        <v>412</v>
      </c>
      <c r="B343" s="25">
        <v>0</v>
      </c>
      <c r="C343" s="25">
        <v>0</v>
      </c>
      <c r="D343" s="25">
        <v>0</v>
      </c>
      <c r="E343" s="25">
        <v>0</v>
      </c>
      <c r="F343" s="25">
        <v>0</v>
      </c>
      <c r="G343" s="25">
        <v>0</v>
      </c>
      <c r="H343" s="25">
        <v>0</v>
      </c>
      <c r="I343" s="25">
        <v>0</v>
      </c>
      <c r="J343" s="25">
        <v>0</v>
      </c>
      <c r="K343" s="25">
        <v>0</v>
      </c>
      <c r="L343" s="25">
        <v>0</v>
      </c>
      <c r="M343" s="25">
        <v>0</v>
      </c>
      <c r="N343" s="25">
        <v>0</v>
      </c>
      <c r="O343" s="25">
        <v>0</v>
      </c>
      <c r="P343" s="25">
        <v>0</v>
      </c>
      <c r="Q343" s="25">
        <v>0</v>
      </c>
      <c r="R343" s="25">
        <v>0</v>
      </c>
      <c r="S343" s="25">
        <v>0</v>
      </c>
      <c r="T343" s="25">
        <v>0</v>
      </c>
      <c r="U343" s="25">
        <v>0</v>
      </c>
      <c r="V343" s="25">
        <v>0</v>
      </c>
      <c r="W343" s="25">
        <v>0</v>
      </c>
      <c r="X343" s="25">
        <v>0</v>
      </c>
      <c r="Y343" s="25">
        <v>0</v>
      </c>
      <c r="Z343" s="25">
        <v>0</v>
      </c>
      <c r="AA343" s="25">
        <v>0</v>
      </c>
      <c r="AB343" s="25">
        <v>0</v>
      </c>
      <c r="AC343" s="25">
        <v>0</v>
      </c>
      <c r="AD343" s="25">
        <v>0</v>
      </c>
      <c r="AE343" s="25">
        <v>0</v>
      </c>
      <c r="AF343" s="25">
        <v>0</v>
      </c>
    </row>
    <row r="344" spans="1:32" x14ac:dyDescent="0.25">
      <c r="A344" s="25" t="s">
        <v>413</v>
      </c>
      <c r="B344" s="12">
        <v>15961300000</v>
      </c>
      <c r="C344" s="12">
        <v>20289300000</v>
      </c>
      <c r="D344" s="12">
        <v>21015900000</v>
      </c>
      <c r="E344" s="12">
        <v>26239700000</v>
      </c>
      <c r="F344" s="12">
        <v>28728400000</v>
      </c>
      <c r="G344" s="12">
        <v>31110400000</v>
      </c>
      <c r="H344" s="12">
        <v>33390800000</v>
      </c>
      <c r="I344" s="12">
        <v>32091200000</v>
      </c>
      <c r="J344" s="12">
        <v>34187600000</v>
      </c>
      <c r="K344" s="12">
        <v>36527800000</v>
      </c>
      <c r="L344" s="12">
        <v>39192100000</v>
      </c>
      <c r="M344" s="12">
        <v>42264500000</v>
      </c>
      <c r="N344" s="12">
        <v>45704300000</v>
      </c>
      <c r="O344" s="12">
        <v>47982700000</v>
      </c>
      <c r="P344" s="12">
        <v>50766900000</v>
      </c>
      <c r="Q344" s="12">
        <v>53839700000</v>
      </c>
      <c r="R344" s="12">
        <v>57598800000</v>
      </c>
      <c r="S344" s="12">
        <v>61948700000</v>
      </c>
      <c r="T344" s="12">
        <v>66900300000</v>
      </c>
      <c r="U344" s="12">
        <v>72384400000</v>
      </c>
      <c r="V344" s="12">
        <v>86872800000</v>
      </c>
      <c r="W344" s="12">
        <v>93481900000</v>
      </c>
      <c r="X344" s="12">
        <v>100063000000</v>
      </c>
      <c r="Y344" s="12">
        <v>106482000000</v>
      </c>
      <c r="Z344" s="12">
        <v>112565000000</v>
      </c>
      <c r="AA344" s="12">
        <v>118248000000</v>
      </c>
      <c r="AB344" s="12">
        <v>123494000000</v>
      </c>
      <c r="AC344" s="12">
        <v>128135000000</v>
      </c>
      <c r="AD344" s="12">
        <v>145306000000</v>
      </c>
      <c r="AE344" s="12">
        <v>148965000000</v>
      </c>
      <c r="AF344" s="12">
        <v>152004000000</v>
      </c>
    </row>
    <row r="345" spans="1:32" x14ac:dyDescent="0.25">
      <c r="A345" s="25" t="s">
        <v>414</v>
      </c>
      <c r="B345" s="25">
        <v>0</v>
      </c>
      <c r="C345" s="25">
        <v>0</v>
      </c>
      <c r="D345" s="25">
        <v>0</v>
      </c>
      <c r="E345" s="25">
        <v>0</v>
      </c>
      <c r="F345" s="25">
        <v>0</v>
      </c>
      <c r="G345" s="25">
        <v>0</v>
      </c>
      <c r="H345" s="25">
        <v>0</v>
      </c>
      <c r="I345" s="25">
        <v>0</v>
      </c>
      <c r="J345" s="25">
        <v>0</v>
      </c>
      <c r="K345" s="25">
        <v>0</v>
      </c>
      <c r="L345" s="25">
        <v>0</v>
      </c>
      <c r="M345" s="25">
        <v>0</v>
      </c>
      <c r="N345" s="25">
        <v>0</v>
      </c>
      <c r="O345" s="25">
        <v>0</v>
      </c>
      <c r="P345" s="25">
        <v>0</v>
      </c>
      <c r="Q345" s="25">
        <v>0</v>
      </c>
      <c r="R345" s="25">
        <v>0</v>
      </c>
      <c r="S345" s="25">
        <v>0</v>
      </c>
      <c r="T345" s="25">
        <v>0</v>
      </c>
      <c r="U345" s="25">
        <v>0</v>
      </c>
      <c r="V345" s="25">
        <v>0</v>
      </c>
      <c r="W345" s="25">
        <v>0</v>
      </c>
      <c r="X345" s="25">
        <v>0</v>
      </c>
      <c r="Y345" s="25">
        <v>0</v>
      </c>
      <c r="Z345" s="25">
        <v>0</v>
      </c>
      <c r="AA345" s="25">
        <v>0</v>
      </c>
      <c r="AB345" s="25">
        <v>0</v>
      </c>
      <c r="AC345" s="25">
        <v>0</v>
      </c>
      <c r="AD345" s="25">
        <v>0</v>
      </c>
      <c r="AE345" s="25">
        <v>0</v>
      </c>
      <c r="AF345" s="25">
        <v>0</v>
      </c>
    </row>
    <row r="346" spans="1:32" x14ac:dyDescent="0.25">
      <c r="A346" s="25" t="s">
        <v>415</v>
      </c>
      <c r="B346" s="25">
        <v>0</v>
      </c>
      <c r="C346" s="25">
        <v>0</v>
      </c>
      <c r="D346" s="25">
        <v>0</v>
      </c>
      <c r="E346" s="25">
        <v>0</v>
      </c>
      <c r="F346" s="25">
        <v>0</v>
      </c>
      <c r="G346" s="25">
        <v>0</v>
      </c>
      <c r="H346" s="25">
        <v>0</v>
      </c>
      <c r="I346" s="25">
        <v>0</v>
      </c>
      <c r="J346" s="25">
        <v>0</v>
      </c>
      <c r="K346" s="25">
        <v>0</v>
      </c>
      <c r="L346" s="25">
        <v>0</v>
      </c>
      <c r="M346" s="25">
        <v>0</v>
      </c>
      <c r="N346" s="25">
        <v>0</v>
      </c>
      <c r="O346" s="25">
        <v>0</v>
      </c>
      <c r="P346" s="25">
        <v>0</v>
      </c>
      <c r="Q346" s="25">
        <v>0</v>
      </c>
      <c r="R346" s="25">
        <v>0</v>
      </c>
      <c r="S346" s="25">
        <v>0</v>
      </c>
      <c r="T346" s="25">
        <v>0</v>
      </c>
      <c r="U346" s="25">
        <v>0</v>
      </c>
      <c r="V346" s="25">
        <v>0</v>
      </c>
      <c r="W346" s="25">
        <v>0</v>
      </c>
      <c r="X346" s="25">
        <v>0</v>
      </c>
      <c r="Y346" s="25">
        <v>0</v>
      </c>
      <c r="Z346" s="25">
        <v>0</v>
      </c>
      <c r="AA346" s="25">
        <v>0</v>
      </c>
      <c r="AB346" s="25">
        <v>0</v>
      </c>
      <c r="AC346" s="25">
        <v>0</v>
      </c>
      <c r="AD346" s="25">
        <v>0</v>
      </c>
      <c r="AE346" s="25">
        <v>0</v>
      </c>
      <c r="AF346" s="25">
        <v>0</v>
      </c>
    </row>
    <row r="347" spans="1:32" x14ac:dyDescent="0.25">
      <c r="A347" s="25" t="s">
        <v>416</v>
      </c>
      <c r="B347" s="25">
        <v>0</v>
      </c>
      <c r="C347" s="25">
        <v>0</v>
      </c>
      <c r="D347" s="25">
        <v>0</v>
      </c>
      <c r="E347" s="25">
        <v>0</v>
      </c>
      <c r="F347" s="25">
        <v>0</v>
      </c>
      <c r="G347" s="25">
        <v>0</v>
      </c>
      <c r="H347" s="25">
        <v>0</v>
      </c>
      <c r="I347" s="25">
        <v>0</v>
      </c>
      <c r="J347" s="25">
        <v>0</v>
      </c>
      <c r="K347" s="25">
        <v>0</v>
      </c>
      <c r="L347" s="25">
        <v>0</v>
      </c>
      <c r="M347" s="25">
        <v>0</v>
      </c>
      <c r="N347" s="25">
        <v>0</v>
      </c>
      <c r="O347" s="25">
        <v>0</v>
      </c>
      <c r="P347" s="25">
        <v>0</v>
      </c>
      <c r="Q347" s="25">
        <v>0</v>
      </c>
      <c r="R347" s="25">
        <v>0</v>
      </c>
      <c r="S347" s="25">
        <v>0</v>
      </c>
      <c r="T347" s="25">
        <v>0</v>
      </c>
      <c r="U347" s="25">
        <v>0</v>
      </c>
      <c r="V347" s="25">
        <v>0</v>
      </c>
      <c r="W347" s="25">
        <v>0</v>
      </c>
      <c r="X347" s="25">
        <v>0</v>
      </c>
      <c r="Y347" s="25">
        <v>0</v>
      </c>
      <c r="Z347" s="25">
        <v>0</v>
      </c>
      <c r="AA347" s="25">
        <v>0</v>
      </c>
      <c r="AB347" s="25">
        <v>0</v>
      </c>
      <c r="AC347" s="25">
        <v>0</v>
      </c>
      <c r="AD347" s="25">
        <v>0</v>
      </c>
      <c r="AE347" s="25">
        <v>0</v>
      </c>
      <c r="AF347" s="25">
        <v>0</v>
      </c>
    </row>
    <row r="348" spans="1:32" x14ac:dyDescent="0.25">
      <c r="A348" s="25" t="s">
        <v>417</v>
      </c>
      <c r="B348" s="25">
        <v>0</v>
      </c>
      <c r="C348" s="25">
        <v>0</v>
      </c>
      <c r="D348" s="25">
        <v>0</v>
      </c>
      <c r="E348" s="25">
        <v>0</v>
      </c>
      <c r="F348" s="25">
        <v>0</v>
      </c>
      <c r="G348" s="25">
        <v>0</v>
      </c>
      <c r="H348" s="25">
        <v>0</v>
      </c>
      <c r="I348" s="25">
        <v>0</v>
      </c>
      <c r="J348" s="25">
        <v>0</v>
      </c>
      <c r="K348" s="25">
        <v>0</v>
      </c>
      <c r="L348" s="25">
        <v>0</v>
      </c>
      <c r="M348" s="25">
        <v>0</v>
      </c>
      <c r="N348" s="25">
        <v>0</v>
      </c>
      <c r="O348" s="25">
        <v>0</v>
      </c>
      <c r="P348" s="25">
        <v>0</v>
      </c>
      <c r="Q348" s="25">
        <v>0</v>
      </c>
      <c r="R348" s="25">
        <v>0</v>
      </c>
      <c r="S348" s="25">
        <v>0</v>
      </c>
      <c r="T348" s="25">
        <v>0</v>
      </c>
      <c r="U348" s="25">
        <v>0</v>
      </c>
      <c r="V348" s="25">
        <v>0</v>
      </c>
      <c r="W348" s="25">
        <v>0</v>
      </c>
      <c r="X348" s="25">
        <v>0</v>
      </c>
      <c r="Y348" s="25">
        <v>0</v>
      </c>
      <c r="Z348" s="25">
        <v>0</v>
      </c>
      <c r="AA348" s="25">
        <v>0</v>
      </c>
      <c r="AB348" s="25">
        <v>0</v>
      </c>
      <c r="AC348" s="25">
        <v>0</v>
      </c>
      <c r="AD348" s="25">
        <v>0</v>
      </c>
      <c r="AE348" s="25">
        <v>0</v>
      </c>
      <c r="AF348" s="25">
        <v>0</v>
      </c>
    </row>
    <row r="349" spans="1:32" x14ac:dyDescent="0.25">
      <c r="A349" s="25" t="s">
        <v>418</v>
      </c>
      <c r="B349" s="25">
        <v>0</v>
      </c>
      <c r="C349" s="25">
        <v>0</v>
      </c>
      <c r="D349" s="25">
        <v>0</v>
      </c>
      <c r="E349" s="25">
        <v>0</v>
      </c>
      <c r="F349" s="25">
        <v>0</v>
      </c>
      <c r="G349" s="25">
        <v>0</v>
      </c>
      <c r="H349" s="25">
        <v>0</v>
      </c>
      <c r="I349" s="25">
        <v>0</v>
      </c>
      <c r="J349" s="25">
        <v>0</v>
      </c>
      <c r="K349" s="25">
        <v>0</v>
      </c>
      <c r="L349" s="25">
        <v>0</v>
      </c>
      <c r="M349" s="25">
        <v>0</v>
      </c>
      <c r="N349" s="25">
        <v>0</v>
      </c>
      <c r="O349" s="25">
        <v>0</v>
      </c>
      <c r="P349" s="25">
        <v>0</v>
      </c>
      <c r="Q349" s="25">
        <v>0</v>
      </c>
      <c r="R349" s="25">
        <v>0</v>
      </c>
      <c r="S349" s="25">
        <v>0</v>
      </c>
      <c r="T349" s="25">
        <v>0</v>
      </c>
      <c r="U349" s="25">
        <v>0</v>
      </c>
      <c r="V349" s="25">
        <v>0</v>
      </c>
      <c r="W349" s="25">
        <v>0</v>
      </c>
      <c r="X349" s="25">
        <v>0</v>
      </c>
      <c r="Y349" s="25">
        <v>0</v>
      </c>
      <c r="Z349" s="25">
        <v>0</v>
      </c>
      <c r="AA349" s="25">
        <v>0</v>
      </c>
      <c r="AB349" s="25">
        <v>0</v>
      </c>
      <c r="AC349" s="25">
        <v>0</v>
      </c>
      <c r="AD349" s="25">
        <v>0</v>
      </c>
      <c r="AE349" s="25">
        <v>0</v>
      </c>
      <c r="AF349" s="25">
        <v>0</v>
      </c>
    </row>
    <row r="350" spans="1:32" x14ac:dyDescent="0.25">
      <c r="A350" s="25" t="s">
        <v>419</v>
      </c>
      <c r="B350" s="25">
        <v>0</v>
      </c>
      <c r="C350" s="25">
        <v>0</v>
      </c>
      <c r="D350" s="25">
        <v>0</v>
      </c>
      <c r="E350" s="25">
        <v>0</v>
      </c>
      <c r="F350" s="25">
        <v>0</v>
      </c>
      <c r="G350" s="25">
        <v>0</v>
      </c>
      <c r="H350" s="25">
        <v>0</v>
      </c>
      <c r="I350" s="25">
        <v>0</v>
      </c>
      <c r="J350" s="25">
        <v>0</v>
      </c>
      <c r="K350" s="25">
        <v>0</v>
      </c>
      <c r="L350" s="25">
        <v>0</v>
      </c>
      <c r="M350" s="25">
        <v>0</v>
      </c>
      <c r="N350" s="25">
        <v>0</v>
      </c>
      <c r="O350" s="25">
        <v>0</v>
      </c>
      <c r="P350" s="25">
        <v>0</v>
      </c>
      <c r="Q350" s="25">
        <v>0</v>
      </c>
      <c r="R350" s="25">
        <v>0</v>
      </c>
      <c r="S350" s="25">
        <v>0</v>
      </c>
      <c r="T350" s="25">
        <v>0</v>
      </c>
      <c r="U350" s="25">
        <v>0</v>
      </c>
      <c r="V350" s="25">
        <v>0</v>
      </c>
      <c r="W350" s="25">
        <v>0</v>
      </c>
      <c r="X350" s="25">
        <v>0</v>
      </c>
      <c r="Y350" s="25">
        <v>0</v>
      </c>
      <c r="Z350" s="25">
        <v>0</v>
      </c>
      <c r="AA350" s="25">
        <v>0</v>
      </c>
      <c r="AB350" s="25">
        <v>0</v>
      </c>
      <c r="AC350" s="25">
        <v>0</v>
      </c>
      <c r="AD350" s="25">
        <v>0</v>
      </c>
      <c r="AE350" s="25">
        <v>0</v>
      </c>
      <c r="AF350" s="25">
        <v>0</v>
      </c>
    </row>
    <row r="351" spans="1:32" x14ac:dyDescent="0.25">
      <c r="A351" s="25" t="s">
        <v>420</v>
      </c>
      <c r="B351" s="25">
        <v>0</v>
      </c>
      <c r="C351" s="25">
        <v>0</v>
      </c>
      <c r="D351" s="25">
        <v>0</v>
      </c>
      <c r="E351" s="25">
        <v>0</v>
      </c>
      <c r="F351" s="25">
        <v>0</v>
      </c>
      <c r="G351" s="25">
        <v>0</v>
      </c>
      <c r="H351" s="25">
        <v>0</v>
      </c>
      <c r="I351" s="25">
        <v>0</v>
      </c>
      <c r="J351" s="25">
        <v>0</v>
      </c>
      <c r="K351" s="25">
        <v>0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0</v>
      </c>
      <c r="R351" s="25">
        <v>0</v>
      </c>
      <c r="S351" s="25">
        <v>0</v>
      </c>
      <c r="T351" s="25">
        <v>0</v>
      </c>
      <c r="U351" s="25">
        <v>0</v>
      </c>
      <c r="V351" s="25">
        <v>0</v>
      </c>
      <c r="W351" s="25">
        <v>0</v>
      </c>
      <c r="X351" s="25">
        <v>0</v>
      </c>
      <c r="Y351" s="25">
        <v>0</v>
      </c>
      <c r="Z351" s="25">
        <v>0</v>
      </c>
      <c r="AA351" s="25">
        <v>0</v>
      </c>
      <c r="AB351" s="25">
        <v>0</v>
      </c>
      <c r="AC351" s="25">
        <v>0</v>
      </c>
      <c r="AD351" s="25">
        <v>0</v>
      </c>
      <c r="AE351" s="25">
        <v>0</v>
      </c>
      <c r="AF351" s="25">
        <v>0</v>
      </c>
    </row>
    <row r="352" spans="1:32" x14ac:dyDescent="0.25">
      <c r="A352" s="25" t="s">
        <v>421</v>
      </c>
      <c r="B352" s="25">
        <v>0</v>
      </c>
      <c r="C352" s="25">
        <v>0</v>
      </c>
      <c r="D352" s="25">
        <v>0</v>
      </c>
      <c r="E352" s="25">
        <v>0</v>
      </c>
      <c r="F352" s="25">
        <v>0</v>
      </c>
      <c r="G352" s="25">
        <v>0</v>
      </c>
      <c r="H352" s="25">
        <v>0</v>
      </c>
      <c r="I352" s="25">
        <v>0</v>
      </c>
      <c r="J352" s="25">
        <v>0</v>
      </c>
      <c r="K352" s="25">
        <v>0</v>
      </c>
      <c r="L352" s="25">
        <v>0</v>
      </c>
      <c r="M352" s="25">
        <v>0</v>
      </c>
      <c r="N352" s="25">
        <v>0</v>
      </c>
      <c r="O352" s="25">
        <v>0</v>
      </c>
      <c r="P352" s="25">
        <v>0</v>
      </c>
      <c r="Q352" s="25">
        <v>0</v>
      </c>
      <c r="R352" s="25">
        <v>0</v>
      </c>
      <c r="S352" s="25">
        <v>0</v>
      </c>
      <c r="T352" s="25">
        <v>0</v>
      </c>
      <c r="U352" s="25">
        <v>0</v>
      </c>
      <c r="V352" s="25">
        <v>0</v>
      </c>
      <c r="W352" s="25">
        <v>0</v>
      </c>
      <c r="X352" s="25">
        <v>0</v>
      </c>
      <c r="Y352" s="25">
        <v>0</v>
      </c>
      <c r="Z352" s="25">
        <v>0</v>
      </c>
      <c r="AA352" s="25">
        <v>0</v>
      </c>
      <c r="AB352" s="25">
        <v>0</v>
      </c>
      <c r="AC352" s="25">
        <v>0</v>
      </c>
      <c r="AD352" s="25">
        <v>0</v>
      </c>
      <c r="AE352" s="25">
        <v>0</v>
      </c>
      <c r="AF352" s="25">
        <v>0</v>
      </c>
    </row>
    <row r="353" spans="1:32" x14ac:dyDescent="0.25">
      <c r="A353" s="25" t="s">
        <v>422</v>
      </c>
      <c r="B353" s="25">
        <v>0</v>
      </c>
      <c r="C353" s="25">
        <v>0</v>
      </c>
      <c r="D353" s="25">
        <v>0</v>
      </c>
      <c r="E353" s="25">
        <v>0</v>
      </c>
      <c r="F353" s="25">
        <v>0</v>
      </c>
      <c r="G353" s="25">
        <v>0</v>
      </c>
      <c r="H353" s="25">
        <v>0</v>
      </c>
      <c r="I353" s="25">
        <v>0</v>
      </c>
      <c r="J353" s="25">
        <v>0</v>
      </c>
      <c r="K353" s="25">
        <v>0</v>
      </c>
      <c r="L353" s="25">
        <v>0</v>
      </c>
      <c r="M353" s="25">
        <v>0</v>
      </c>
      <c r="N353" s="25">
        <v>0</v>
      </c>
      <c r="O353" s="25">
        <v>0</v>
      </c>
      <c r="P353" s="25">
        <v>0</v>
      </c>
      <c r="Q353" s="25">
        <v>0</v>
      </c>
      <c r="R353" s="25">
        <v>0</v>
      </c>
      <c r="S353" s="25">
        <v>0</v>
      </c>
      <c r="T353" s="25">
        <v>0</v>
      </c>
      <c r="U353" s="25">
        <v>0</v>
      </c>
      <c r="V353" s="25">
        <v>0</v>
      </c>
      <c r="W353" s="25">
        <v>0</v>
      </c>
      <c r="X353" s="25">
        <v>0</v>
      </c>
      <c r="Y353" s="25">
        <v>0</v>
      </c>
      <c r="Z353" s="25">
        <v>0</v>
      </c>
      <c r="AA353" s="25">
        <v>0</v>
      </c>
      <c r="AB353" s="25">
        <v>0</v>
      </c>
      <c r="AC353" s="25">
        <v>0</v>
      </c>
      <c r="AD353" s="25">
        <v>0</v>
      </c>
      <c r="AE353" s="25">
        <v>0</v>
      </c>
      <c r="AF353" s="25">
        <v>0</v>
      </c>
    </row>
    <row r="354" spans="1:32" x14ac:dyDescent="0.25">
      <c r="A354" s="25" t="s">
        <v>423</v>
      </c>
      <c r="B354" s="25">
        <v>0</v>
      </c>
      <c r="C354" s="25">
        <v>0</v>
      </c>
      <c r="D354" s="25">
        <v>0</v>
      </c>
      <c r="E354" s="25">
        <v>0</v>
      </c>
      <c r="F354" s="25">
        <v>0</v>
      </c>
      <c r="G354" s="25">
        <v>0</v>
      </c>
      <c r="H354" s="25">
        <v>0</v>
      </c>
      <c r="I354" s="25">
        <v>0</v>
      </c>
      <c r="J354" s="25">
        <v>0</v>
      </c>
      <c r="K354" s="25">
        <v>0</v>
      </c>
      <c r="L354" s="25">
        <v>0</v>
      </c>
      <c r="M354" s="25">
        <v>0</v>
      </c>
      <c r="N354" s="25">
        <v>0</v>
      </c>
      <c r="O354" s="25">
        <v>0</v>
      </c>
      <c r="P354" s="25">
        <v>0</v>
      </c>
      <c r="Q354" s="25">
        <v>0</v>
      </c>
      <c r="R354" s="25">
        <v>0</v>
      </c>
      <c r="S354" s="25">
        <v>0</v>
      </c>
      <c r="T354" s="25">
        <v>0</v>
      </c>
      <c r="U354" s="25">
        <v>0</v>
      </c>
      <c r="V354" s="25">
        <v>0</v>
      </c>
      <c r="W354" s="25">
        <v>0</v>
      </c>
      <c r="X354" s="25">
        <v>0</v>
      </c>
      <c r="Y354" s="25">
        <v>0</v>
      </c>
      <c r="Z354" s="25">
        <v>0</v>
      </c>
      <c r="AA354" s="25">
        <v>0</v>
      </c>
      <c r="AB354" s="25">
        <v>0</v>
      </c>
      <c r="AC354" s="25">
        <v>0</v>
      </c>
      <c r="AD354" s="25">
        <v>0</v>
      </c>
      <c r="AE354" s="25">
        <v>0</v>
      </c>
      <c r="AF354" s="25">
        <v>0</v>
      </c>
    </row>
    <row r="355" spans="1:32" x14ac:dyDescent="0.25">
      <c r="A355" s="25" t="s">
        <v>424</v>
      </c>
      <c r="B355" s="25">
        <v>0</v>
      </c>
      <c r="C355" s="25">
        <v>0</v>
      </c>
      <c r="D355" s="25">
        <v>0</v>
      </c>
      <c r="E355" s="25">
        <v>0</v>
      </c>
      <c r="F355" s="25">
        <v>0</v>
      </c>
      <c r="G355" s="25">
        <v>0</v>
      </c>
      <c r="H355" s="25">
        <v>0</v>
      </c>
      <c r="I355" s="25">
        <v>0</v>
      </c>
      <c r="J355" s="25">
        <v>0</v>
      </c>
      <c r="K355" s="25">
        <v>0</v>
      </c>
      <c r="L355" s="25">
        <v>0</v>
      </c>
      <c r="M355" s="25">
        <v>0</v>
      </c>
      <c r="N355" s="25">
        <v>0</v>
      </c>
      <c r="O355" s="25">
        <v>0</v>
      </c>
      <c r="P355" s="25">
        <v>0</v>
      </c>
      <c r="Q355" s="25">
        <v>0</v>
      </c>
      <c r="R355" s="25">
        <v>0</v>
      </c>
      <c r="S355" s="25">
        <v>0</v>
      </c>
      <c r="T355" s="25">
        <v>0</v>
      </c>
      <c r="U355" s="25">
        <v>0</v>
      </c>
      <c r="V355" s="25">
        <v>0</v>
      </c>
      <c r="W355" s="25">
        <v>0</v>
      </c>
      <c r="X355" s="25">
        <v>0</v>
      </c>
      <c r="Y355" s="25">
        <v>0</v>
      </c>
      <c r="Z355" s="25">
        <v>0</v>
      </c>
      <c r="AA355" s="25">
        <v>0</v>
      </c>
      <c r="AB355" s="25">
        <v>0</v>
      </c>
      <c r="AC355" s="25">
        <v>0</v>
      </c>
      <c r="AD355" s="25">
        <v>0</v>
      </c>
      <c r="AE355" s="25">
        <v>0</v>
      </c>
      <c r="AF355" s="25">
        <v>0</v>
      </c>
    </row>
    <row r="356" spans="1:32" x14ac:dyDescent="0.25">
      <c r="A356" s="25" t="s">
        <v>425</v>
      </c>
      <c r="B356" s="25">
        <v>0</v>
      </c>
      <c r="C356" s="25">
        <v>0</v>
      </c>
      <c r="D356" s="25">
        <v>0</v>
      </c>
      <c r="E356" s="25">
        <v>0</v>
      </c>
      <c r="F356" s="25">
        <v>0</v>
      </c>
      <c r="G356" s="25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>
        <v>0</v>
      </c>
      <c r="T356" s="25">
        <v>0</v>
      </c>
      <c r="U356" s="25">
        <v>0</v>
      </c>
      <c r="V356" s="25">
        <v>0</v>
      </c>
      <c r="W356" s="25">
        <v>0</v>
      </c>
      <c r="X356" s="25">
        <v>0</v>
      </c>
      <c r="Y356" s="25">
        <v>0</v>
      </c>
      <c r="Z356" s="25">
        <v>0</v>
      </c>
      <c r="AA356" s="25">
        <v>0</v>
      </c>
      <c r="AB356" s="25">
        <v>0</v>
      </c>
      <c r="AC356" s="25">
        <v>0</v>
      </c>
      <c r="AD356" s="25">
        <v>0</v>
      </c>
      <c r="AE356" s="25">
        <v>0</v>
      </c>
      <c r="AF356" s="25">
        <v>0</v>
      </c>
    </row>
    <row r="357" spans="1:32" x14ac:dyDescent="0.25">
      <c r="A357" s="25" t="s">
        <v>426</v>
      </c>
      <c r="B357" s="25">
        <v>0</v>
      </c>
      <c r="C357" s="25">
        <v>0</v>
      </c>
      <c r="D357" s="25">
        <v>0</v>
      </c>
      <c r="E357" s="25">
        <v>0</v>
      </c>
      <c r="F357" s="25">
        <v>0</v>
      </c>
      <c r="G357" s="25">
        <v>0</v>
      </c>
      <c r="H357" s="25">
        <v>0</v>
      </c>
      <c r="I357" s="25">
        <v>0</v>
      </c>
      <c r="J357" s="25">
        <v>0</v>
      </c>
      <c r="K357" s="25">
        <v>0</v>
      </c>
      <c r="L357" s="25">
        <v>0</v>
      </c>
      <c r="M357" s="25">
        <v>0</v>
      </c>
      <c r="N357" s="25">
        <v>0</v>
      </c>
      <c r="O357" s="25">
        <v>0</v>
      </c>
      <c r="P357" s="25">
        <v>0</v>
      </c>
      <c r="Q357" s="25">
        <v>0</v>
      </c>
      <c r="R357" s="25">
        <v>0</v>
      </c>
      <c r="S357" s="25">
        <v>0</v>
      </c>
      <c r="T357" s="25">
        <v>0</v>
      </c>
      <c r="U357" s="25">
        <v>0</v>
      </c>
      <c r="V357" s="25">
        <v>0</v>
      </c>
      <c r="W357" s="25">
        <v>0</v>
      </c>
      <c r="X357" s="25">
        <v>0</v>
      </c>
      <c r="Y357" s="25">
        <v>0</v>
      </c>
      <c r="Z357" s="25">
        <v>0</v>
      </c>
      <c r="AA357" s="25">
        <v>0</v>
      </c>
      <c r="AB357" s="25">
        <v>0</v>
      </c>
      <c r="AC357" s="25">
        <v>0</v>
      </c>
      <c r="AD357" s="25">
        <v>0</v>
      </c>
      <c r="AE357" s="25">
        <v>0</v>
      </c>
      <c r="AF357" s="25">
        <v>0</v>
      </c>
    </row>
    <row r="358" spans="1:32" x14ac:dyDescent="0.25">
      <c r="A358" s="25" t="s">
        <v>427</v>
      </c>
      <c r="B358" s="12">
        <v>5381250000000</v>
      </c>
      <c r="C358" s="12">
        <v>5240860000000</v>
      </c>
      <c r="D358" s="12">
        <v>5052890000000</v>
      </c>
      <c r="E358" s="12">
        <v>4786110000000</v>
      </c>
      <c r="F358" s="12">
        <v>4424430000000</v>
      </c>
      <c r="G358" s="12">
        <v>4053090000000</v>
      </c>
      <c r="H358" s="12">
        <v>3674870000000</v>
      </c>
      <c r="I358" s="12">
        <v>3292560000000</v>
      </c>
      <c r="J358" s="12">
        <v>2912840000000</v>
      </c>
      <c r="K358" s="12">
        <v>2545860000000</v>
      </c>
      <c r="L358" s="12">
        <v>2194470000000</v>
      </c>
      <c r="M358" s="12">
        <v>1857620000000</v>
      </c>
      <c r="N358" s="12">
        <v>1533710000000</v>
      </c>
      <c r="O358" s="12">
        <v>1521940000000</v>
      </c>
      <c r="P358" s="12">
        <v>1519670000000</v>
      </c>
      <c r="Q358" s="12">
        <v>1504100000000</v>
      </c>
      <c r="R358" s="12">
        <v>1489530000000</v>
      </c>
      <c r="S358" s="12">
        <v>1479550000000</v>
      </c>
      <c r="T358" s="12">
        <v>1474580000000</v>
      </c>
      <c r="U358" s="12">
        <v>1476200000000</v>
      </c>
      <c r="V358" s="12">
        <v>1483170000000</v>
      </c>
      <c r="W358" s="12">
        <v>1494940000000</v>
      </c>
      <c r="X358" s="12">
        <v>1508050000000</v>
      </c>
      <c r="Y358" s="12">
        <v>1521860000000</v>
      </c>
      <c r="Z358" s="12">
        <v>1535770000000</v>
      </c>
      <c r="AA358" s="12">
        <v>1550620000000</v>
      </c>
      <c r="AB358" s="12">
        <v>1566990000000</v>
      </c>
      <c r="AC358" s="12">
        <v>1583270000000</v>
      </c>
      <c r="AD358" s="12">
        <v>1599470000000</v>
      </c>
      <c r="AE358" s="12">
        <v>1616390000000</v>
      </c>
      <c r="AF358" s="12">
        <v>1634550000000</v>
      </c>
    </row>
    <row r="359" spans="1:32" x14ac:dyDescent="0.25">
      <c r="A359" s="25" t="s">
        <v>428</v>
      </c>
      <c r="B359" s="25">
        <v>0</v>
      </c>
      <c r="C359" s="25">
        <v>0</v>
      </c>
      <c r="D359" s="25">
        <v>0</v>
      </c>
      <c r="E359" s="25">
        <v>0</v>
      </c>
      <c r="F359" s="25">
        <v>0</v>
      </c>
      <c r="G359" s="25">
        <v>0</v>
      </c>
      <c r="H359" s="25">
        <v>0</v>
      </c>
      <c r="I359" s="25">
        <v>0</v>
      </c>
      <c r="J359" s="25">
        <v>0</v>
      </c>
      <c r="K359" s="25">
        <v>0</v>
      </c>
      <c r="L359" s="25">
        <v>0</v>
      </c>
      <c r="M359" s="25">
        <v>0</v>
      </c>
      <c r="N359" s="25">
        <v>0</v>
      </c>
      <c r="O359" s="25">
        <v>0</v>
      </c>
      <c r="P359" s="25">
        <v>0</v>
      </c>
      <c r="Q359" s="25">
        <v>0</v>
      </c>
      <c r="R359" s="25">
        <v>0</v>
      </c>
      <c r="S359" s="25">
        <v>0</v>
      </c>
      <c r="T359" s="25">
        <v>0</v>
      </c>
      <c r="U359" s="25">
        <v>0</v>
      </c>
      <c r="V359" s="25">
        <v>0</v>
      </c>
      <c r="W359" s="25">
        <v>0</v>
      </c>
      <c r="X359" s="25">
        <v>0</v>
      </c>
      <c r="Y359" s="25">
        <v>0</v>
      </c>
      <c r="Z359" s="25">
        <v>0</v>
      </c>
      <c r="AA359" s="25">
        <v>0</v>
      </c>
      <c r="AB359" s="25">
        <v>0</v>
      </c>
      <c r="AC359" s="25">
        <v>0</v>
      </c>
      <c r="AD359" s="25">
        <v>0</v>
      </c>
      <c r="AE359" s="25">
        <v>0</v>
      </c>
      <c r="AF359" s="25">
        <v>0</v>
      </c>
    </row>
    <row r="360" spans="1:32" x14ac:dyDescent="0.25">
      <c r="A360" s="25" t="s">
        <v>429</v>
      </c>
      <c r="B360" s="25">
        <v>0</v>
      </c>
      <c r="C360" s="25">
        <v>0</v>
      </c>
      <c r="D360" s="25">
        <v>0</v>
      </c>
      <c r="E360" s="25">
        <v>0</v>
      </c>
      <c r="F360" s="25">
        <v>0</v>
      </c>
      <c r="G360" s="25">
        <v>0</v>
      </c>
      <c r="H360" s="25">
        <v>0</v>
      </c>
      <c r="I360" s="25">
        <v>0</v>
      </c>
      <c r="J360" s="25">
        <v>0</v>
      </c>
      <c r="K360" s="25">
        <v>0</v>
      </c>
      <c r="L360" s="25">
        <v>0</v>
      </c>
      <c r="M360" s="25">
        <v>0</v>
      </c>
      <c r="N360" s="25">
        <v>0</v>
      </c>
      <c r="O360" s="25">
        <v>0</v>
      </c>
      <c r="P360" s="25">
        <v>0</v>
      </c>
      <c r="Q360" s="25">
        <v>0</v>
      </c>
      <c r="R360" s="25">
        <v>0</v>
      </c>
      <c r="S360" s="25">
        <v>0</v>
      </c>
      <c r="T360" s="25">
        <v>0</v>
      </c>
      <c r="U360" s="25">
        <v>0</v>
      </c>
      <c r="V360" s="25">
        <v>0</v>
      </c>
      <c r="W360" s="25">
        <v>0</v>
      </c>
      <c r="X360" s="25">
        <v>0</v>
      </c>
      <c r="Y360" s="25">
        <v>0</v>
      </c>
      <c r="Z360" s="25">
        <v>0</v>
      </c>
      <c r="AA360" s="25">
        <v>0</v>
      </c>
      <c r="AB360" s="25">
        <v>0</v>
      </c>
      <c r="AC360" s="25">
        <v>0</v>
      </c>
      <c r="AD360" s="25">
        <v>0</v>
      </c>
      <c r="AE360" s="25">
        <v>0</v>
      </c>
      <c r="AF360" s="25">
        <v>0</v>
      </c>
    </row>
    <row r="361" spans="1:32" x14ac:dyDescent="0.25">
      <c r="A361" s="25" t="s">
        <v>430</v>
      </c>
      <c r="B361" s="25">
        <v>0</v>
      </c>
      <c r="C361" s="25">
        <v>0</v>
      </c>
      <c r="D361" s="25">
        <v>0</v>
      </c>
      <c r="E361" s="25">
        <v>0</v>
      </c>
      <c r="F361" s="25">
        <v>0</v>
      </c>
      <c r="G361" s="25">
        <v>0</v>
      </c>
      <c r="H361" s="25">
        <v>0</v>
      </c>
      <c r="I361" s="25">
        <v>0</v>
      </c>
      <c r="J361" s="25">
        <v>0</v>
      </c>
      <c r="K361" s="25">
        <v>0</v>
      </c>
      <c r="L361" s="25">
        <v>0</v>
      </c>
      <c r="M361" s="25">
        <v>0</v>
      </c>
      <c r="N361" s="25">
        <v>0</v>
      </c>
      <c r="O361" s="25">
        <v>0</v>
      </c>
      <c r="P361" s="25">
        <v>0</v>
      </c>
      <c r="Q361" s="25">
        <v>0</v>
      </c>
      <c r="R361" s="25">
        <v>0</v>
      </c>
      <c r="S361" s="25">
        <v>0</v>
      </c>
      <c r="T361" s="25">
        <v>0</v>
      </c>
      <c r="U361" s="25">
        <v>0</v>
      </c>
      <c r="V361" s="25">
        <v>0</v>
      </c>
      <c r="W361" s="25">
        <v>0</v>
      </c>
      <c r="X361" s="25">
        <v>0</v>
      </c>
      <c r="Y361" s="25">
        <v>0</v>
      </c>
      <c r="Z361" s="25">
        <v>0</v>
      </c>
      <c r="AA361" s="25">
        <v>0</v>
      </c>
      <c r="AB361" s="25">
        <v>0</v>
      </c>
      <c r="AC361" s="25">
        <v>0</v>
      </c>
      <c r="AD361" s="25">
        <v>0</v>
      </c>
      <c r="AE361" s="25">
        <v>0</v>
      </c>
      <c r="AF361" s="25">
        <v>0</v>
      </c>
    </row>
    <row r="362" spans="1:32" x14ac:dyDescent="0.25">
      <c r="A362" s="25" t="s">
        <v>431</v>
      </c>
      <c r="B362" s="25">
        <v>0</v>
      </c>
      <c r="C362" s="25">
        <v>0</v>
      </c>
      <c r="D362" s="25">
        <v>0</v>
      </c>
      <c r="E362" s="25">
        <v>0</v>
      </c>
      <c r="F362" s="25">
        <v>0</v>
      </c>
      <c r="G362" s="25">
        <v>0</v>
      </c>
      <c r="H362" s="25">
        <v>0</v>
      </c>
      <c r="I362" s="25">
        <v>0</v>
      </c>
      <c r="J362" s="25">
        <v>0</v>
      </c>
      <c r="K362" s="25">
        <v>0</v>
      </c>
      <c r="L362" s="25">
        <v>0</v>
      </c>
      <c r="M362" s="25">
        <v>0</v>
      </c>
      <c r="N362" s="25">
        <v>0</v>
      </c>
      <c r="O362" s="25">
        <v>0</v>
      </c>
      <c r="P362" s="25">
        <v>0</v>
      </c>
      <c r="Q362" s="25">
        <v>0</v>
      </c>
      <c r="R362" s="25">
        <v>0</v>
      </c>
      <c r="S362" s="25">
        <v>0</v>
      </c>
      <c r="T362" s="25">
        <v>0</v>
      </c>
      <c r="U362" s="25">
        <v>0</v>
      </c>
      <c r="V362" s="25">
        <v>0</v>
      </c>
      <c r="W362" s="25">
        <v>0</v>
      </c>
      <c r="X362" s="25">
        <v>0</v>
      </c>
      <c r="Y362" s="25">
        <v>0</v>
      </c>
      <c r="Z362" s="25">
        <v>0</v>
      </c>
      <c r="AA362" s="25">
        <v>0</v>
      </c>
      <c r="AB362" s="25">
        <v>0</v>
      </c>
      <c r="AC362" s="25">
        <v>0</v>
      </c>
      <c r="AD362" s="25">
        <v>0</v>
      </c>
      <c r="AE362" s="25">
        <v>0</v>
      </c>
      <c r="AF362" s="25">
        <v>0</v>
      </c>
    </row>
    <row r="363" spans="1:32" x14ac:dyDescent="0.25">
      <c r="A363" s="25" t="s">
        <v>432</v>
      </c>
      <c r="B363" s="25">
        <v>0</v>
      </c>
      <c r="C363" s="25">
        <v>0</v>
      </c>
      <c r="D363" s="25">
        <v>0</v>
      </c>
      <c r="E363" s="25">
        <v>0</v>
      </c>
      <c r="F363" s="25">
        <v>0</v>
      </c>
      <c r="G363" s="25">
        <v>0</v>
      </c>
      <c r="H363" s="25">
        <v>0</v>
      </c>
      <c r="I363" s="25">
        <v>0</v>
      </c>
      <c r="J363" s="25">
        <v>0</v>
      </c>
      <c r="K363" s="25">
        <v>0</v>
      </c>
      <c r="L363" s="25">
        <v>0</v>
      </c>
      <c r="M363" s="25">
        <v>0</v>
      </c>
      <c r="N363" s="25">
        <v>0</v>
      </c>
      <c r="O363" s="25">
        <v>0</v>
      </c>
      <c r="P363" s="25">
        <v>0</v>
      </c>
      <c r="Q363" s="25">
        <v>0</v>
      </c>
      <c r="R363" s="25">
        <v>0</v>
      </c>
      <c r="S363" s="25">
        <v>0</v>
      </c>
      <c r="T363" s="25">
        <v>0</v>
      </c>
      <c r="U363" s="25">
        <v>0</v>
      </c>
      <c r="V363" s="25">
        <v>0</v>
      </c>
      <c r="W363" s="25">
        <v>0</v>
      </c>
      <c r="X363" s="25">
        <v>0</v>
      </c>
      <c r="Y363" s="25">
        <v>0</v>
      </c>
      <c r="Z363" s="25">
        <v>0</v>
      </c>
      <c r="AA363" s="25">
        <v>0</v>
      </c>
      <c r="AB363" s="25">
        <v>0</v>
      </c>
      <c r="AC363" s="25">
        <v>0</v>
      </c>
      <c r="AD363" s="25">
        <v>0</v>
      </c>
      <c r="AE363" s="25">
        <v>0</v>
      </c>
      <c r="AF363" s="25">
        <v>0</v>
      </c>
    </row>
    <row r="364" spans="1:32" x14ac:dyDescent="0.25">
      <c r="A364" s="25" t="s">
        <v>433</v>
      </c>
      <c r="B364" s="25">
        <v>0</v>
      </c>
      <c r="C364" s="25">
        <v>0</v>
      </c>
      <c r="D364" s="25">
        <v>0</v>
      </c>
      <c r="E364" s="25">
        <v>0</v>
      </c>
      <c r="F364" s="25">
        <v>0</v>
      </c>
      <c r="G364" s="25">
        <v>0</v>
      </c>
      <c r="H364" s="25">
        <v>0</v>
      </c>
      <c r="I364" s="25">
        <v>0</v>
      </c>
      <c r="J364" s="25">
        <v>0</v>
      </c>
      <c r="K364" s="25">
        <v>0</v>
      </c>
      <c r="L364" s="25">
        <v>0</v>
      </c>
      <c r="M364" s="25">
        <v>0</v>
      </c>
      <c r="N364" s="25">
        <v>0</v>
      </c>
      <c r="O364" s="25">
        <v>0</v>
      </c>
      <c r="P364" s="25">
        <v>0</v>
      </c>
      <c r="Q364" s="25">
        <v>0</v>
      </c>
      <c r="R364" s="25">
        <v>0</v>
      </c>
      <c r="S364" s="25">
        <v>0</v>
      </c>
      <c r="T364" s="25">
        <v>0</v>
      </c>
      <c r="U364" s="25">
        <v>0</v>
      </c>
      <c r="V364" s="25">
        <v>0</v>
      </c>
      <c r="W364" s="25">
        <v>0</v>
      </c>
      <c r="X364" s="25">
        <v>0</v>
      </c>
      <c r="Y364" s="25">
        <v>0</v>
      </c>
      <c r="Z364" s="25">
        <v>0</v>
      </c>
      <c r="AA364" s="25">
        <v>0</v>
      </c>
      <c r="AB364" s="25">
        <v>0</v>
      </c>
      <c r="AC364" s="25">
        <v>0</v>
      </c>
      <c r="AD364" s="25">
        <v>0</v>
      </c>
      <c r="AE364" s="25">
        <v>0</v>
      </c>
      <c r="AF364" s="25">
        <v>0</v>
      </c>
    </row>
    <row r="365" spans="1:32" x14ac:dyDescent="0.25">
      <c r="A365" s="25" t="s">
        <v>434</v>
      </c>
      <c r="B365" s="25">
        <v>0</v>
      </c>
      <c r="C365" s="25">
        <v>0</v>
      </c>
      <c r="D365" s="25">
        <v>0</v>
      </c>
      <c r="E365" s="25">
        <v>0</v>
      </c>
      <c r="F365" s="25">
        <v>0</v>
      </c>
      <c r="G365" s="25">
        <v>0</v>
      </c>
      <c r="H365" s="25">
        <v>0</v>
      </c>
      <c r="I365" s="25">
        <v>0</v>
      </c>
      <c r="J365" s="25">
        <v>0</v>
      </c>
      <c r="K365" s="25">
        <v>0</v>
      </c>
      <c r="L365" s="25">
        <v>0</v>
      </c>
      <c r="M365" s="25">
        <v>0</v>
      </c>
      <c r="N365" s="25">
        <v>0</v>
      </c>
      <c r="O365" s="25">
        <v>0</v>
      </c>
      <c r="P365" s="25">
        <v>0</v>
      </c>
      <c r="Q365" s="25">
        <v>0</v>
      </c>
      <c r="R365" s="25">
        <v>0</v>
      </c>
      <c r="S365" s="25">
        <v>0</v>
      </c>
      <c r="T365" s="25">
        <v>0</v>
      </c>
      <c r="U365" s="25">
        <v>0</v>
      </c>
      <c r="V365" s="25">
        <v>0</v>
      </c>
      <c r="W365" s="25">
        <v>0</v>
      </c>
      <c r="X365" s="25">
        <v>0</v>
      </c>
      <c r="Y365" s="25">
        <v>0</v>
      </c>
      <c r="Z365" s="25">
        <v>0</v>
      </c>
      <c r="AA365" s="25">
        <v>0</v>
      </c>
      <c r="AB365" s="25">
        <v>0</v>
      </c>
      <c r="AC365" s="25">
        <v>0</v>
      </c>
      <c r="AD365" s="25">
        <v>0</v>
      </c>
      <c r="AE365" s="25">
        <v>0</v>
      </c>
      <c r="AF365" s="25">
        <v>0</v>
      </c>
    </row>
    <row r="366" spans="1:32" x14ac:dyDescent="0.25">
      <c r="A366" s="25" t="s">
        <v>435</v>
      </c>
      <c r="B366" s="25">
        <v>0</v>
      </c>
      <c r="C366" s="25">
        <v>0</v>
      </c>
      <c r="D366" s="25">
        <v>0</v>
      </c>
      <c r="E366" s="25">
        <v>0</v>
      </c>
      <c r="F366" s="25">
        <v>0</v>
      </c>
      <c r="G366" s="25">
        <v>0</v>
      </c>
      <c r="H366" s="25">
        <v>0</v>
      </c>
      <c r="I366" s="25">
        <v>0</v>
      </c>
      <c r="J366" s="25">
        <v>0</v>
      </c>
      <c r="K366" s="25">
        <v>0</v>
      </c>
      <c r="L366" s="25">
        <v>0</v>
      </c>
      <c r="M366" s="25">
        <v>0</v>
      </c>
      <c r="N366" s="25">
        <v>0</v>
      </c>
      <c r="O366" s="25">
        <v>0</v>
      </c>
      <c r="P366" s="25">
        <v>0</v>
      </c>
      <c r="Q366" s="25">
        <v>0</v>
      </c>
      <c r="R366" s="25">
        <v>0</v>
      </c>
      <c r="S366" s="25">
        <v>0</v>
      </c>
      <c r="T366" s="25">
        <v>0</v>
      </c>
      <c r="U366" s="25">
        <v>0</v>
      </c>
      <c r="V366" s="25">
        <v>0</v>
      </c>
      <c r="W366" s="25">
        <v>0</v>
      </c>
      <c r="X366" s="25">
        <v>0</v>
      </c>
      <c r="Y366" s="25">
        <v>0</v>
      </c>
      <c r="Z366" s="25">
        <v>0</v>
      </c>
      <c r="AA366" s="25">
        <v>0</v>
      </c>
      <c r="AB366" s="25">
        <v>0</v>
      </c>
      <c r="AC366" s="25">
        <v>0</v>
      </c>
      <c r="AD366" s="25">
        <v>0</v>
      </c>
      <c r="AE366" s="25">
        <v>0</v>
      </c>
      <c r="AF366" s="25">
        <v>0</v>
      </c>
    </row>
    <row r="367" spans="1:32" x14ac:dyDescent="0.25">
      <c r="A367" s="25" t="s">
        <v>436</v>
      </c>
      <c r="B367" s="25">
        <v>0</v>
      </c>
      <c r="C367" s="25">
        <v>0</v>
      </c>
      <c r="D367" s="25">
        <v>0</v>
      </c>
      <c r="E367" s="25">
        <v>0</v>
      </c>
      <c r="F367" s="25">
        <v>0</v>
      </c>
      <c r="G367" s="25">
        <v>0</v>
      </c>
      <c r="H367" s="25">
        <v>0</v>
      </c>
      <c r="I367" s="25">
        <v>0</v>
      </c>
      <c r="J367" s="25">
        <v>0</v>
      </c>
      <c r="K367" s="25">
        <v>0</v>
      </c>
      <c r="L367" s="25">
        <v>0</v>
      </c>
      <c r="M367" s="25">
        <v>0</v>
      </c>
      <c r="N367" s="25">
        <v>0</v>
      </c>
      <c r="O367" s="25">
        <v>0</v>
      </c>
      <c r="P367" s="25">
        <v>0</v>
      </c>
      <c r="Q367" s="25">
        <v>0</v>
      </c>
      <c r="R367" s="25">
        <v>0</v>
      </c>
      <c r="S367" s="25">
        <v>0</v>
      </c>
      <c r="T367" s="25">
        <v>0</v>
      </c>
      <c r="U367" s="25">
        <v>0</v>
      </c>
      <c r="V367" s="25">
        <v>0</v>
      </c>
      <c r="W367" s="25">
        <v>0</v>
      </c>
      <c r="X367" s="25">
        <v>0</v>
      </c>
      <c r="Y367" s="25">
        <v>0</v>
      </c>
      <c r="Z367" s="25">
        <v>0</v>
      </c>
      <c r="AA367" s="25">
        <v>0</v>
      </c>
      <c r="AB367" s="25">
        <v>0</v>
      </c>
      <c r="AC367" s="25">
        <v>0</v>
      </c>
      <c r="AD367" s="25">
        <v>0</v>
      </c>
      <c r="AE367" s="25">
        <v>0</v>
      </c>
      <c r="AF367" s="25">
        <v>0</v>
      </c>
    </row>
    <row r="368" spans="1:32" x14ac:dyDescent="0.25">
      <c r="A368" s="25" t="s">
        <v>437</v>
      </c>
      <c r="B368" s="25">
        <v>0</v>
      </c>
      <c r="C368" s="25">
        <v>0</v>
      </c>
      <c r="D368" s="25">
        <v>0</v>
      </c>
      <c r="E368" s="25">
        <v>0</v>
      </c>
      <c r="F368" s="25">
        <v>0</v>
      </c>
      <c r="G368" s="25">
        <v>0</v>
      </c>
      <c r="H368" s="25">
        <v>0</v>
      </c>
      <c r="I368" s="25">
        <v>0</v>
      </c>
      <c r="J368" s="25">
        <v>0</v>
      </c>
      <c r="K368" s="25">
        <v>0</v>
      </c>
      <c r="L368" s="25">
        <v>0</v>
      </c>
      <c r="M368" s="25">
        <v>0</v>
      </c>
      <c r="N368" s="25">
        <v>0</v>
      </c>
      <c r="O368" s="25">
        <v>0</v>
      </c>
      <c r="P368" s="25">
        <v>0</v>
      </c>
      <c r="Q368" s="25">
        <v>0</v>
      </c>
      <c r="R368" s="25">
        <v>0</v>
      </c>
      <c r="S368" s="25">
        <v>0</v>
      </c>
      <c r="T368" s="25">
        <v>0</v>
      </c>
      <c r="U368" s="25">
        <v>0</v>
      </c>
      <c r="V368" s="25">
        <v>0</v>
      </c>
      <c r="W368" s="25">
        <v>0</v>
      </c>
      <c r="X368" s="25">
        <v>0</v>
      </c>
      <c r="Y368" s="25">
        <v>0</v>
      </c>
      <c r="Z368" s="25">
        <v>0</v>
      </c>
      <c r="AA368" s="25">
        <v>0</v>
      </c>
      <c r="AB368" s="25">
        <v>0</v>
      </c>
      <c r="AC368" s="25">
        <v>0</v>
      </c>
      <c r="AD368" s="25">
        <v>0</v>
      </c>
      <c r="AE368" s="25">
        <v>0</v>
      </c>
      <c r="AF368" s="25">
        <v>0</v>
      </c>
    </row>
    <row r="369" spans="1:32" x14ac:dyDescent="0.25">
      <c r="A369" s="25" t="s">
        <v>438</v>
      </c>
      <c r="B369" s="12">
        <v>173331000000</v>
      </c>
      <c r="C369" s="12">
        <v>166616000000</v>
      </c>
      <c r="D369" s="12">
        <v>157932000000</v>
      </c>
      <c r="E369" s="12">
        <v>146431000000</v>
      </c>
      <c r="F369" s="12">
        <v>131964000000</v>
      </c>
      <c r="G369" s="12">
        <v>117349000000</v>
      </c>
      <c r="H369" s="12">
        <v>102696000000</v>
      </c>
      <c r="I369" s="12">
        <v>88198200000</v>
      </c>
      <c r="J369" s="12">
        <v>74264900000</v>
      </c>
      <c r="K369" s="12">
        <v>61466100000</v>
      </c>
      <c r="L369" s="12">
        <v>50126100000</v>
      </c>
      <c r="M369" s="12">
        <v>40218800000</v>
      </c>
      <c r="N369" s="12">
        <v>31733600000</v>
      </c>
      <c r="O369" s="12">
        <v>39814100000</v>
      </c>
      <c r="P369" s="12">
        <v>49607100000</v>
      </c>
      <c r="Q369" s="12">
        <v>61140000000</v>
      </c>
      <c r="R369" s="12">
        <v>74909000000</v>
      </c>
      <c r="S369" s="12">
        <v>90693100000</v>
      </c>
      <c r="T369" s="12">
        <v>108515000000</v>
      </c>
      <c r="U369" s="12">
        <v>128339000000</v>
      </c>
      <c r="V369" s="12">
        <v>149941000000</v>
      </c>
      <c r="W369" s="12">
        <v>173020000000</v>
      </c>
      <c r="X369" s="12">
        <v>197066000000</v>
      </c>
      <c r="Y369" s="12">
        <v>221776000000</v>
      </c>
      <c r="Z369" s="12">
        <v>246874000000</v>
      </c>
      <c r="AA369" s="12">
        <v>272358000000</v>
      </c>
      <c r="AB369" s="12">
        <v>297871000000</v>
      </c>
      <c r="AC369" s="12">
        <v>322870000000</v>
      </c>
      <c r="AD369" s="12">
        <v>347156000000</v>
      </c>
      <c r="AE369" s="12">
        <v>370384000000</v>
      </c>
      <c r="AF369" s="12">
        <v>392818000000</v>
      </c>
    </row>
    <row r="370" spans="1:32" x14ac:dyDescent="0.25">
      <c r="A370" s="25" t="s">
        <v>439</v>
      </c>
      <c r="B370" s="12">
        <v>252751000000</v>
      </c>
      <c r="C370" s="12">
        <v>1523850000000</v>
      </c>
      <c r="D370" s="12">
        <v>4385880000000</v>
      </c>
      <c r="E370" s="12">
        <v>8787080000000</v>
      </c>
      <c r="F370" s="12">
        <v>15253100000000</v>
      </c>
      <c r="G370" s="12">
        <v>23772100000000</v>
      </c>
      <c r="H370" s="12">
        <v>33791700000000</v>
      </c>
      <c r="I370" s="12">
        <v>44696400000000</v>
      </c>
      <c r="J370" s="12">
        <v>56242600000000</v>
      </c>
      <c r="K370" s="12">
        <v>68627100000000</v>
      </c>
      <c r="L370" s="12">
        <v>81655000000000</v>
      </c>
      <c r="M370" s="12">
        <v>95345000000000</v>
      </c>
      <c r="N370" s="12">
        <v>109514000000000</v>
      </c>
      <c r="O370" s="12">
        <v>124012000000000</v>
      </c>
      <c r="P370" s="12">
        <v>137903000000000</v>
      </c>
      <c r="Q370" s="12">
        <v>151798000000000</v>
      </c>
      <c r="R370" s="12">
        <v>164675000000000</v>
      </c>
      <c r="S370" s="12">
        <v>176770000000000</v>
      </c>
      <c r="T370" s="12">
        <v>187250000000000</v>
      </c>
      <c r="U370" s="12">
        <v>196020000000000</v>
      </c>
      <c r="V370" s="12">
        <v>203586000000000</v>
      </c>
      <c r="W370" s="12">
        <v>210774000000000</v>
      </c>
      <c r="X370" s="12">
        <v>217862000000000</v>
      </c>
      <c r="Y370" s="12">
        <v>224619000000000</v>
      </c>
      <c r="Z370" s="12">
        <v>231167000000000</v>
      </c>
      <c r="AA370" s="12">
        <v>237263000000000</v>
      </c>
      <c r="AB370" s="12">
        <v>243470000000000</v>
      </c>
      <c r="AC370" s="12">
        <v>249359000000000</v>
      </c>
      <c r="AD370" s="12">
        <v>254766000000000</v>
      </c>
      <c r="AE370" s="12">
        <v>260474000000000</v>
      </c>
      <c r="AF370" s="12">
        <v>266696000000000</v>
      </c>
    </row>
    <row r="371" spans="1:32" x14ac:dyDescent="0.25">
      <c r="A371" s="25" t="s">
        <v>440</v>
      </c>
      <c r="B371" s="25">
        <v>0</v>
      </c>
      <c r="C371" s="25">
        <v>0</v>
      </c>
      <c r="D371" s="25">
        <v>0</v>
      </c>
      <c r="E371" s="25">
        <v>0</v>
      </c>
      <c r="F371" s="25">
        <v>0</v>
      </c>
      <c r="G371" s="25">
        <v>0</v>
      </c>
      <c r="H371" s="25">
        <v>0</v>
      </c>
      <c r="I371" s="25">
        <v>0</v>
      </c>
      <c r="J371" s="25">
        <v>0</v>
      </c>
      <c r="K371" s="25">
        <v>0</v>
      </c>
      <c r="L371" s="25">
        <v>0</v>
      </c>
      <c r="M371" s="25">
        <v>0</v>
      </c>
      <c r="N371" s="25">
        <v>0</v>
      </c>
      <c r="O371" s="25">
        <v>0</v>
      </c>
      <c r="P371" s="25">
        <v>0</v>
      </c>
      <c r="Q371" s="25">
        <v>0</v>
      </c>
      <c r="R371" s="25">
        <v>0</v>
      </c>
      <c r="S371" s="25">
        <v>0</v>
      </c>
      <c r="T371" s="25">
        <v>0</v>
      </c>
      <c r="U371" s="25">
        <v>0</v>
      </c>
      <c r="V371" s="25">
        <v>0</v>
      </c>
      <c r="W371" s="25">
        <v>0</v>
      </c>
      <c r="X371" s="25">
        <v>0</v>
      </c>
      <c r="Y371" s="25">
        <v>0</v>
      </c>
      <c r="Z371" s="25">
        <v>0</v>
      </c>
      <c r="AA371" s="25">
        <v>0</v>
      </c>
      <c r="AB371" s="25">
        <v>0</v>
      </c>
      <c r="AC371" s="25">
        <v>0</v>
      </c>
      <c r="AD371" s="25">
        <v>0</v>
      </c>
      <c r="AE371" s="25">
        <v>0</v>
      </c>
      <c r="AF371" s="25">
        <v>0</v>
      </c>
    </row>
    <row r="372" spans="1:32" x14ac:dyDescent="0.25">
      <c r="A372" s="25" t="s">
        <v>441</v>
      </c>
      <c r="B372" s="25">
        <v>0</v>
      </c>
      <c r="C372" s="25">
        <v>0</v>
      </c>
      <c r="D372" s="25">
        <v>0</v>
      </c>
      <c r="E372" s="25">
        <v>0</v>
      </c>
      <c r="F372" s="25">
        <v>0</v>
      </c>
      <c r="G372" s="25">
        <v>0</v>
      </c>
      <c r="H372" s="25">
        <v>0</v>
      </c>
      <c r="I372" s="25">
        <v>0</v>
      </c>
      <c r="J372" s="25">
        <v>0</v>
      </c>
      <c r="K372" s="25">
        <v>0</v>
      </c>
      <c r="L372" s="25">
        <v>0</v>
      </c>
      <c r="M372" s="25">
        <v>0</v>
      </c>
      <c r="N372" s="25">
        <v>0</v>
      </c>
      <c r="O372" s="25">
        <v>0</v>
      </c>
      <c r="P372" s="25">
        <v>0</v>
      </c>
      <c r="Q372" s="25">
        <v>0</v>
      </c>
      <c r="R372" s="25">
        <v>0</v>
      </c>
      <c r="S372" s="25">
        <v>0</v>
      </c>
      <c r="T372" s="25">
        <v>0</v>
      </c>
      <c r="U372" s="25">
        <v>0</v>
      </c>
      <c r="V372" s="25">
        <v>0</v>
      </c>
      <c r="W372" s="25">
        <v>0</v>
      </c>
      <c r="X372" s="25">
        <v>0</v>
      </c>
      <c r="Y372" s="25">
        <v>0</v>
      </c>
      <c r="Z372" s="25">
        <v>0</v>
      </c>
      <c r="AA372" s="25">
        <v>0</v>
      </c>
      <c r="AB372" s="25">
        <v>0</v>
      </c>
      <c r="AC372" s="25">
        <v>0</v>
      </c>
      <c r="AD372" s="25">
        <v>0</v>
      </c>
      <c r="AE372" s="25">
        <v>0</v>
      </c>
      <c r="AF372" s="25">
        <v>0</v>
      </c>
    </row>
    <row r="373" spans="1:32" x14ac:dyDescent="0.25">
      <c r="A373" s="25" t="s">
        <v>442</v>
      </c>
      <c r="B373" s="25">
        <v>0</v>
      </c>
      <c r="C373" s="25">
        <v>0</v>
      </c>
      <c r="D373" s="25">
        <v>0</v>
      </c>
      <c r="E373" s="25">
        <v>0</v>
      </c>
      <c r="F373" s="25">
        <v>0</v>
      </c>
      <c r="G373" s="25">
        <v>0</v>
      </c>
      <c r="H373" s="25">
        <v>0</v>
      </c>
      <c r="I373" s="25">
        <v>0</v>
      </c>
      <c r="J373" s="25">
        <v>0</v>
      </c>
      <c r="K373" s="25">
        <v>0</v>
      </c>
      <c r="L373" s="25">
        <v>0</v>
      </c>
      <c r="M373" s="25">
        <v>0</v>
      </c>
      <c r="N373" s="25">
        <v>0</v>
      </c>
      <c r="O373" s="25">
        <v>0</v>
      </c>
      <c r="P373" s="25">
        <v>0</v>
      </c>
      <c r="Q373" s="25">
        <v>0</v>
      </c>
      <c r="R373" s="25">
        <v>0</v>
      </c>
      <c r="S373" s="25">
        <v>0</v>
      </c>
      <c r="T373" s="25">
        <v>0</v>
      </c>
      <c r="U373" s="25">
        <v>0</v>
      </c>
      <c r="V373" s="25">
        <v>0</v>
      </c>
      <c r="W373" s="25">
        <v>0</v>
      </c>
      <c r="X373" s="25">
        <v>0</v>
      </c>
      <c r="Y373" s="25">
        <v>0</v>
      </c>
      <c r="Z373" s="25">
        <v>0</v>
      </c>
      <c r="AA373" s="25">
        <v>0</v>
      </c>
      <c r="AB373" s="25">
        <v>0</v>
      </c>
      <c r="AC373" s="25">
        <v>0</v>
      </c>
      <c r="AD373" s="25">
        <v>0</v>
      </c>
      <c r="AE373" s="25">
        <v>0</v>
      </c>
      <c r="AF373" s="25">
        <v>0</v>
      </c>
    </row>
    <row r="374" spans="1:32" x14ac:dyDescent="0.25">
      <c r="A374" s="25" t="s">
        <v>443</v>
      </c>
      <c r="B374" s="25">
        <v>0</v>
      </c>
      <c r="C374" s="25">
        <v>0</v>
      </c>
      <c r="D374" s="25">
        <v>0</v>
      </c>
      <c r="E374" s="25">
        <v>0</v>
      </c>
      <c r="F374" s="25">
        <v>0</v>
      </c>
      <c r="G374" s="25">
        <v>0</v>
      </c>
      <c r="H374" s="25">
        <v>0</v>
      </c>
      <c r="I374" s="25">
        <v>0</v>
      </c>
      <c r="J374" s="25">
        <v>0</v>
      </c>
      <c r="K374" s="25">
        <v>0</v>
      </c>
      <c r="L374" s="25">
        <v>0</v>
      </c>
      <c r="M374" s="25">
        <v>0</v>
      </c>
      <c r="N374" s="25">
        <v>0</v>
      </c>
      <c r="O374" s="25">
        <v>0</v>
      </c>
      <c r="P374" s="25">
        <v>0</v>
      </c>
      <c r="Q374" s="25">
        <v>0</v>
      </c>
      <c r="R374" s="25">
        <v>0</v>
      </c>
      <c r="S374" s="25">
        <v>0</v>
      </c>
      <c r="T374" s="25">
        <v>0</v>
      </c>
      <c r="U374" s="25">
        <v>0</v>
      </c>
      <c r="V374" s="25">
        <v>0</v>
      </c>
      <c r="W374" s="25">
        <v>0</v>
      </c>
      <c r="X374" s="25">
        <v>0</v>
      </c>
      <c r="Y374" s="25">
        <v>0</v>
      </c>
      <c r="Z374" s="25">
        <v>0</v>
      </c>
      <c r="AA374" s="25">
        <v>0</v>
      </c>
      <c r="AB374" s="25">
        <v>0</v>
      </c>
      <c r="AC374" s="25">
        <v>0</v>
      </c>
      <c r="AD374" s="25">
        <v>0</v>
      </c>
      <c r="AE374" s="25">
        <v>0</v>
      </c>
      <c r="AF374" s="25">
        <v>0</v>
      </c>
    </row>
    <row r="375" spans="1:32" x14ac:dyDescent="0.25">
      <c r="A375" s="25" t="s">
        <v>444</v>
      </c>
      <c r="B375" s="25">
        <v>0</v>
      </c>
      <c r="C375" s="25">
        <v>0</v>
      </c>
      <c r="D375" s="25">
        <v>0</v>
      </c>
      <c r="E375" s="25">
        <v>0</v>
      </c>
      <c r="F375" s="25">
        <v>0</v>
      </c>
      <c r="G375" s="25">
        <v>0</v>
      </c>
      <c r="H375" s="25">
        <v>0</v>
      </c>
      <c r="I375" s="25">
        <v>0</v>
      </c>
      <c r="J375" s="25">
        <v>0</v>
      </c>
      <c r="K375" s="25">
        <v>0</v>
      </c>
      <c r="L375" s="25">
        <v>0</v>
      </c>
      <c r="M375" s="25">
        <v>0</v>
      </c>
      <c r="N375" s="25">
        <v>0</v>
      </c>
      <c r="O375" s="25">
        <v>0</v>
      </c>
      <c r="P375" s="25">
        <v>0</v>
      </c>
      <c r="Q375" s="25">
        <v>0</v>
      </c>
      <c r="R375" s="25">
        <v>0</v>
      </c>
      <c r="S375" s="25">
        <v>0</v>
      </c>
      <c r="T375" s="25">
        <v>0</v>
      </c>
      <c r="U375" s="25">
        <v>0</v>
      </c>
      <c r="V375" s="25">
        <v>0</v>
      </c>
      <c r="W375" s="25">
        <v>0</v>
      </c>
      <c r="X375" s="25">
        <v>0</v>
      </c>
      <c r="Y375" s="25">
        <v>0</v>
      </c>
      <c r="Z375" s="25">
        <v>0</v>
      </c>
      <c r="AA375" s="25">
        <v>0</v>
      </c>
      <c r="AB375" s="25">
        <v>0</v>
      </c>
      <c r="AC375" s="25">
        <v>0</v>
      </c>
      <c r="AD375" s="25">
        <v>0</v>
      </c>
      <c r="AE375" s="25">
        <v>0</v>
      </c>
      <c r="AF375" s="25">
        <v>0</v>
      </c>
    </row>
    <row r="376" spans="1:32" x14ac:dyDescent="0.25">
      <c r="A376" s="25" t="s">
        <v>445</v>
      </c>
      <c r="B376" s="25">
        <v>0</v>
      </c>
      <c r="C376" s="25">
        <v>0</v>
      </c>
      <c r="D376" s="25">
        <v>0</v>
      </c>
      <c r="E376" s="25">
        <v>0</v>
      </c>
      <c r="F376" s="25">
        <v>0</v>
      </c>
      <c r="G376" s="25">
        <v>0</v>
      </c>
      <c r="H376" s="25">
        <v>0</v>
      </c>
      <c r="I376" s="25">
        <v>0</v>
      </c>
      <c r="J376" s="25">
        <v>0</v>
      </c>
      <c r="K376" s="25">
        <v>0</v>
      </c>
      <c r="L376" s="25">
        <v>0</v>
      </c>
      <c r="M376" s="25">
        <v>0</v>
      </c>
      <c r="N376" s="25">
        <v>0</v>
      </c>
      <c r="O376" s="25">
        <v>0</v>
      </c>
      <c r="P376" s="25">
        <v>0</v>
      </c>
      <c r="Q376" s="25">
        <v>0</v>
      </c>
      <c r="R376" s="25">
        <v>0</v>
      </c>
      <c r="S376" s="25">
        <v>0</v>
      </c>
      <c r="T376" s="25">
        <v>0</v>
      </c>
      <c r="U376" s="25">
        <v>0</v>
      </c>
      <c r="V376" s="25">
        <v>0</v>
      </c>
      <c r="W376" s="25">
        <v>0</v>
      </c>
      <c r="X376" s="25">
        <v>0</v>
      </c>
      <c r="Y376" s="25">
        <v>0</v>
      </c>
      <c r="Z376" s="25">
        <v>0</v>
      </c>
      <c r="AA376" s="25">
        <v>0</v>
      </c>
      <c r="AB376" s="25">
        <v>0</v>
      </c>
      <c r="AC376" s="25">
        <v>0</v>
      </c>
      <c r="AD376" s="25">
        <v>0</v>
      </c>
      <c r="AE376" s="25">
        <v>0</v>
      </c>
      <c r="AF376" s="25">
        <v>0</v>
      </c>
    </row>
    <row r="377" spans="1:32" x14ac:dyDescent="0.25">
      <c r="A377" s="25" t="s">
        <v>446</v>
      </c>
      <c r="B377" s="25">
        <v>0</v>
      </c>
      <c r="C377" s="25">
        <v>0</v>
      </c>
      <c r="D377" s="25">
        <v>0</v>
      </c>
      <c r="E377" s="25">
        <v>0</v>
      </c>
      <c r="F377" s="25">
        <v>0</v>
      </c>
      <c r="G377" s="25">
        <v>0</v>
      </c>
      <c r="H377" s="25">
        <v>0</v>
      </c>
      <c r="I377" s="25">
        <v>0</v>
      </c>
      <c r="J377" s="25">
        <v>0</v>
      </c>
      <c r="K377" s="25">
        <v>0</v>
      </c>
      <c r="L377" s="25">
        <v>0</v>
      </c>
      <c r="M377" s="25">
        <v>0</v>
      </c>
      <c r="N377" s="25">
        <v>0</v>
      </c>
      <c r="O377" s="25">
        <v>0</v>
      </c>
      <c r="P377" s="25">
        <v>0</v>
      </c>
      <c r="Q377" s="25">
        <v>0</v>
      </c>
      <c r="R377" s="25">
        <v>0</v>
      </c>
      <c r="S377" s="25">
        <v>0</v>
      </c>
      <c r="T377" s="25">
        <v>0</v>
      </c>
      <c r="U377" s="25">
        <v>0</v>
      </c>
      <c r="V377" s="25">
        <v>0</v>
      </c>
      <c r="W377" s="25">
        <v>0</v>
      </c>
      <c r="X377" s="25">
        <v>0</v>
      </c>
      <c r="Y377" s="25">
        <v>0</v>
      </c>
      <c r="Z377" s="25">
        <v>0</v>
      </c>
      <c r="AA377" s="25">
        <v>0</v>
      </c>
      <c r="AB377" s="25">
        <v>0</v>
      </c>
      <c r="AC377" s="25">
        <v>0</v>
      </c>
      <c r="AD377" s="25">
        <v>0</v>
      </c>
      <c r="AE377" s="25">
        <v>0</v>
      </c>
      <c r="AF377" s="25">
        <v>0</v>
      </c>
    </row>
    <row r="378" spans="1:32" x14ac:dyDescent="0.25">
      <c r="A378" s="25" t="s">
        <v>447</v>
      </c>
      <c r="B378" s="25">
        <v>0</v>
      </c>
      <c r="C378" s="25">
        <v>0</v>
      </c>
      <c r="D378" s="25">
        <v>0</v>
      </c>
      <c r="E378" s="25">
        <v>0</v>
      </c>
      <c r="F378" s="25">
        <v>0</v>
      </c>
      <c r="G378" s="25">
        <v>0</v>
      </c>
      <c r="H378" s="25">
        <v>0</v>
      </c>
      <c r="I378" s="25">
        <v>0</v>
      </c>
      <c r="J378" s="25">
        <v>0</v>
      </c>
      <c r="K378" s="25">
        <v>0</v>
      </c>
      <c r="L378" s="25">
        <v>0</v>
      </c>
      <c r="M378" s="25">
        <v>0</v>
      </c>
      <c r="N378" s="25">
        <v>0</v>
      </c>
      <c r="O378" s="25">
        <v>0</v>
      </c>
      <c r="P378" s="25">
        <v>0</v>
      </c>
      <c r="Q378" s="25">
        <v>0</v>
      </c>
      <c r="R378" s="25">
        <v>0</v>
      </c>
      <c r="S378" s="25">
        <v>0</v>
      </c>
      <c r="T378" s="25">
        <v>0</v>
      </c>
      <c r="U378" s="25">
        <v>0</v>
      </c>
      <c r="V378" s="25">
        <v>0</v>
      </c>
      <c r="W378" s="25">
        <v>0</v>
      </c>
      <c r="X378" s="25">
        <v>0</v>
      </c>
      <c r="Y378" s="25">
        <v>0</v>
      </c>
      <c r="Z378" s="25">
        <v>0</v>
      </c>
      <c r="AA378" s="25">
        <v>0</v>
      </c>
      <c r="AB378" s="25">
        <v>0</v>
      </c>
      <c r="AC378" s="25">
        <v>0</v>
      </c>
      <c r="AD378" s="25">
        <v>0</v>
      </c>
      <c r="AE378" s="25">
        <v>0</v>
      </c>
      <c r="AF378" s="25">
        <v>0</v>
      </c>
    </row>
    <row r="379" spans="1:32" x14ac:dyDescent="0.25">
      <c r="A379" s="25" t="s">
        <v>448</v>
      </c>
      <c r="B379" s="25">
        <v>0</v>
      </c>
      <c r="C379" s="25">
        <v>0</v>
      </c>
      <c r="D379" s="25">
        <v>0</v>
      </c>
      <c r="E379" s="25">
        <v>0</v>
      </c>
      <c r="F379" s="25">
        <v>0</v>
      </c>
      <c r="G379" s="25">
        <v>0</v>
      </c>
      <c r="H379" s="25">
        <v>0</v>
      </c>
      <c r="I379" s="25">
        <v>0</v>
      </c>
      <c r="J379" s="25">
        <v>0</v>
      </c>
      <c r="K379" s="25">
        <v>0</v>
      </c>
      <c r="L379" s="25">
        <v>0</v>
      </c>
      <c r="M379" s="25">
        <v>0</v>
      </c>
      <c r="N379" s="25">
        <v>0</v>
      </c>
      <c r="O379" s="25">
        <v>0</v>
      </c>
      <c r="P379" s="25">
        <v>0</v>
      </c>
      <c r="Q379" s="25">
        <v>0</v>
      </c>
      <c r="R379" s="25">
        <v>0</v>
      </c>
      <c r="S379" s="25">
        <v>0</v>
      </c>
      <c r="T379" s="25">
        <v>0</v>
      </c>
      <c r="U379" s="25">
        <v>0</v>
      </c>
      <c r="V379" s="25">
        <v>0</v>
      </c>
      <c r="W379" s="25">
        <v>0</v>
      </c>
      <c r="X379" s="25">
        <v>0</v>
      </c>
      <c r="Y379" s="25">
        <v>0</v>
      </c>
      <c r="Z379" s="25">
        <v>0</v>
      </c>
      <c r="AA379" s="25">
        <v>0</v>
      </c>
      <c r="AB379" s="25">
        <v>0</v>
      </c>
      <c r="AC379" s="25">
        <v>0</v>
      </c>
      <c r="AD379" s="25">
        <v>0</v>
      </c>
      <c r="AE379" s="25">
        <v>0</v>
      </c>
      <c r="AF379" s="25">
        <v>0</v>
      </c>
    </row>
    <row r="380" spans="1:32" x14ac:dyDescent="0.25">
      <c r="A380" s="25" t="s">
        <v>449</v>
      </c>
      <c r="B380" s="25">
        <v>0</v>
      </c>
      <c r="C380" s="25">
        <v>0</v>
      </c>
      <c r="D380" s="25">
        <v>0</v>
      </c>
      <c r="E380" s="25">
        <v>0</v>
      </c>
      <c r="F380" s="25">
        <v>0</v>
      </c>
      <c r="G380" s="25">
        <v>0</v>
      </c>
      <c r="H380" s="25">
        <v>0</v>
      </c>
      <c r="I380" s="25">
        <v>0</v>
      </c>
      <c r="J380" s="25">
        <v>0</v>
      </c>
      <c r="K380" s="25">
        <v>0</v>
      </c>
      <c r="L380" s="25">
        <v>0</v>
      </c>
      <c r="M380" s="25">
        <v>0</v>
      </c>
      <c r="N380" s="25">
        <v>0</v>
      </c>
      <c r="O380" s="25">
        <v>0</v>
      </c>
      <c r="P380" s="25">
        <v>0</v>
      </c>
      <c r="Q380" s="25">
        <v>0</v>
      </c>
      <c r="R380" s="25">
        <v>0</v>
      </c>
      <c r="S380" s="25">
        <v>0</v>
      </c>
      <c r="T380" s="25">
        <v>0</v>
      </c>
      <c r="U380" s="25">
        <v>0</v>
      </c>
      <c r="V380" s="25">
        <v>0</v>
      </c>
      <c r="W380" s="25">
        <v>0</v>
      </c>
      <c r="X380" s="25">
        <v>0</v>
      </c>
      <c r="Y380" s="25">
        <v>0</v>
      </c>
      <c r="Z380" s="25">
        <v>0</v>
      </c>
      <c r="AA380" s="25">
        <v>0</v>
      </c>
      <c r="AB380" s="25">
        <v>0</v>
      </c>
      <c r="AC380" s="25">
        <v>0</v>
      </c>
      <c r="AD380" s="25">
        <v>0</v>
      </c>
      <c r="AE380" s="25">
        <v>0</v>
      </c>
      <c r="AF380" s="25">
        <v>0</v>
      </c>
    </row>
    <row r="381" spans="1:32" x14ac:dyDescent="0.25">
      <c r="A381" s="25" t="s">
        <v>450</v>
      </c>
      <c r="B381" s="12">
        <v>1900870000000</v>
      </c>
      <c r="C381" s="12">
        <v>1972440000000</v>
      </c>
      <c r="D381" s="12">
        <v>1896930000000</v>
      </c>
      <c r="E381" s="12">
        <v>1796880000000</v>
      </c>
      <c r="F381" s="12">
        <v>1689370000000</v>
      </c>
      <c r="G381" s="12">
        <v>1580440000000</v>
      </c>
      <c r="H381" s="12">
        <v>1465450000000</v>
      </c>
      <c r="I381" s="12">
        <v>1344520000000</v>
      </c>
      <c r="J381" s="12">
        <v>1224340000000</v>
      </c>
      <c r="K381" s="12">
        <v>1105440000000</v>
      </c>
      <c r="L381" s="12">
        <v>986412000000</v>
      </c>
      <c r="M381" s="12">
        <v>868299000000</v>
      </c>
      <c r="N381" s="12">
        <v>750378000000</v>
      </c>
      <c r="O381" s="12">
        <v>633407000000</v>
      </c>
      <c r="P381" s="12">
        <v>645541000000</v>
      </c>
      <c r="Q381" s="12">
        <v>650861000000</v>
      </c>
      <c r="R381" s="12">
        <v>669622000000</v>
      </c>
      <c r="S381" s="12">
        <v>689018000000</v>
      </c>
      <c r="T381" s="12">
        <v>701636000000</v>
      </c>
      <c r="U381" s="12">
        <v>714967000000</v>
      </c>
      <c r="V381" s="12">
        <v>730227000000</v>
      </c>
      <c r="W381" s="12">
        <v>748088000000</v>
      </c>
      <c r="X381" s="12">
        <v>767435000000</v>
      </c>
      <c r="Y381" s="12">
        <v>786978000000</v>
      </c>
      <c r="Z381" s="12">
        <v>805815000000</v>
      </c>
      <c r="AA381" s="12">
        <v>823256000000</v>
      </c>
      <c r="AB381" s="12">
        <v>842208000000</v>
      </c>
      <c r="AC381" s="12">
        <v>860534000000</v>
      </c>
      <c r="AD381" s="12">
        <v>877081000000</v>
      </c>
      <c r="AE381" s="12">
        <v>895331000000</v>
      </c>
      <c r="AF381" s="12">
        <v>915445000000</v>
      </c>
    </row>
    <row r="382" spans="1:32" x14ac:dyDescent="0.25">
      <c r="A382" s="25" t="s">
        <v>451</v>
      </c>
      <c r="B382" s="25">
        <v>0</v>
      </c>
      <c r="C382" s="25">
        <v>0</v>
      </c>
      <c r="D382" s="25">
        <v>0</v>
      </c>
      <c r="E382" s="25">
        <v>0</v>
      </c>
      <c r="F382" s="25">
        <v>0</v>
      </c>
      <c r="G382" s="25">
        <v>0</v>
      </c>
      <c r="H382" s="25">
        <v>0</v>
      </c>
      <c r="I382" s="25">
        <v>0</v>
      </c>
      <c r="J382" s="25">
        <v>0</v>
      </c>
      <c r="K382" s="25">
        <v>0</v>
      </c>
      <c r="L382" s="25">
        <v>0</v>
      </c>
      <c r="M382" s="25">
        <v>0</v>
      </c>
      <c r="N382" s="25">
        <v>0</v>
      </c>
      <c r="O382" s="25">
        <v>0</v>
      </c>
      <c r="P382" s="25">
        <v>0</v>
      </c>
      <c r="Q382" s="25">
        <v>0</v>
      </c>
      <c r="R382" s="25">
        <v>0</v>
      </c>
      <c r="S382" s="25">
        <v>0</v>
      </c>
      <c r="T382" s="25">
        <v>0</v>
      </c>
      <c r="U382" s="25">
        <v>0</v>
      </c>
      <c r="V382" s="25">
        <v>0</v>
      </c>
      <c r="W382" s="25">
        <v>0</v>
      </c>
      <c r="X382" s="25">
        <v>0</v>
      </c>
      <c r="Y382" s="25">
        <v>0</v>
      </c>
      <c r="Z382" s="25">
        <v>0</v>
      </c>
      <c r="AA382" s="25">
        <v>0</v>
      </c>
      <c r="AB382" s="25">
        <v>0</v>
      </c>
      <c r="AC382" s="25">
        <v>0</v>
      </c>
      <c r="AD382" s="25">
        <v>0</v>
      </c>
      <c r="AE382" s="25">
        <v>0</v>
      </c>
      <c r="AF382" s="25">
        <v>0</v>
      </c>
    </row>
    <row r="383" spans="1:32" x14ac:dyDescent="0.25">
      <c r="A383" s="25" t="s">
        <v>452</v>
      </c>
      <c r="B383" s="25">
        <v>0</v>
      </c>
      <c r="C383" s="25">
        <v>0</v>
      </c>
      <c r="D383" s="25">
        <v>0</v>
      </c>
      <c r="E383" s="25">
        <v>0</v>
      </c>
      <c r="F383" s="25">
        <v>0</v>
      </c>
      <c r="G383" s="25">
        <v>0</v>
      </c>
      <c r="H383" s="25">
        <v>0</v>
      </c>
      <c r="I383" s="25">
        <v>0</v>
      </c>
      <c r="J383" s="25">
        <v>0</v>
      </c>
      <c r="K383" s="25">
        <v>0</v>
      </c>
      <c r="L383" s="25">
        <v>0</v>
      </c>
      <c r="M383" s="25">
        <v>0</v>
      </c>
      <c r="N383" s="25">
        <v>0</v>
      </c>
      <c r="O383" s="25">
        <v>0</v>
      </c>
      <c r="P383" s="25">
        <v>0</v>
      </c>
      <c r="Q383" s="25">
        <v>0</v>
      </c>
      <c r="R383" s="25">
        <v>0</v>
      </c>
      <c r="S383" s="25">
        <v>0</v>
      </c>
      <c r="T383" s="25">
        <v>0</v>
      </c>
      <c r="U383" s="25">
        <v>0</v>
      </c>
      <c r="V383" s="25">
        <v>0</v>
      </c>
      <c r="W383" s="25">
        <v>0</v>
      </c>
      <c r="X383" s="25">
        <v>0</v>
      </c>
      <c r="Y383" s="25">
        <v>0</v>
      </c>
      <c r="Z383" s="25">
        <v>0</v>
      </c>
      <c r="AA383" s="25">
        <v>0</v>
      </c>
      <c r="AB383" s="25">
        <v>0</v>
      </c>
      <c r="AC383" s="25">
        <v>0</v>
      </c>
      <c r="AD383" s="25">
        <v>0</v>
      </c>
      <c r="AE383" s="25">
        <v>0</v>
      </c>
      <c r="AF383" s="25">
        <v>0</v>
      </c>
    </row>
    <row r="384" spans="1:32" x14ac:dyDescent="0.25">
      <c r="A384" s="25" t="s">
        <v>453</v>
      </c>
      <c r="B384" s="25">
        <v>0</v>
      </c>
      <c r="C384" s="25">
        <v>0</v>
      </c>
      <c r="D384" s="25">
        <v>0</v>
      </c>
      <c r="E384" s="25">
        <v>0</v>
      </c>
      <c r="F384" s="25">
        <v>0</v>
      </c>
      <c r="G384" s="25">
        <v>0</v>
      </c>
      <c r="H384" s="25">
        <v>0</v>
      </c>
      <c r="I384" s="25">
        <v>0</v>
      </c>
      <c r="J384" s="25">
        <v>0</v>
      </c>
      <c r="K384" s="25">
        <v>0</v>
      </c>
      <c r="L384" s="25">
        <v>0</v>
      </c>
      <c r="M384" s="25">
        <v>0</v>
      </c>
      <c r="N384" s="25">
        <v>0</v>
      </c>
      <c r="O384" s="25">
        <v>0</v>
      </c>
      <c r="P384" s="25">
        <v>0</v>
      </c>
      <c r="Q384" s="25">
        <v>0</v>
      </c>
      <c r="R384" s="25">
        <v>0</v>
      </c>
      <c r="S384" s="25">
        <v>0</v>
      </c>
      <c r="T384" s="25">
        <v>0</v>
      </c>
      <c r="U384" s="25">
        <v>0</v>
      </c>
      <c r="V384" s="25">
        <v>0</v>
      </c>
      <c r="W384" s="25">
        <v>0</v>
      </c>
      <c r="X384" s="25">
        <v>0</v>
      </c>
      <c r="Y384" s="25">
        <v>0</v>
      </c>
      <c r="Z384" s="25">
        <v>0</v>
      </c>
      <c r="AA384" s="25">
        <v>0</v>
      </c>
      <c r="AB384" s="25">
        <v>0</v>
      </c>
      <c r="AC384" s="25">
        <v>0</v>
      </c>
      <c r="AD384" s="25">
        <v>0</v>
      </c>
      <c r="AE384" s="25">
        <v>0</v>
      </c>
      <c r="AF384" s="25">
        <v>0</v>
      </c>
    </row>
    <row r="385" spans="1:32" x14ac:dyDescent="0.25">
      <c r="A385" s="25" t="s">
        <v>454</v>
      </c>
      <c r="B385" s="25">
        <v>0</v>
      </c>
      <c r="C385" s="25">
        <v>0</v>
      </c>
      <c r="D385" s="25">
        <v>0</v>
      </c>
      <c r="E385" s="25">
        <v>0</v>
      </c>
      <c r="F385" s="25">
        <v>0</v>
      </c>
      <c r="G385" s="25">
        <v>0</v>
      </c>
      <c r="H385" s="25">
        <v>0</v>
      </c>
      <c r="I385" s="25">
        <v>0</v>
      </c>
      <c r="J385" s="25">
        <v>0</v>
      </c>
      <c r="K385" s="25">
        <v>0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>
        <v>0</v>
      </c>
      <c r="T385" s="25">
        <v>0</v>
      </c>
      <c r="U385" s="25">
        <v>0</v>
      </c>
      <c r="V385" s="25">
        <v>0</v>
      </c>
      <c r="W385" s="25">
        <v>0</v>
      </c>
      <c r="X385" s="25">
        <v>0</v>
      </c>
      <c r="Y385" s="25">
        <v>0</v>
      </c>
      <c r="Z385" s="25">
        <v>0</v>
      </c>
      <c r="AA385" s="25">
        <v>0</v>
      </c>
      <c r="AB385" s="25">
        <v>0</v>
      </c>
      <c r="AC385" s="25">
        <v>0</v>
      </c>
      <c r="AD385" s="25">
        <v>0</v>
      </c>
      <c r="AE385" s="25">
        <v>0</v>
      </c>
      <c r="AF385" s="25">
        <v>0</v>
      </c>
    </row>
    <row r="386" spans="1:32" x14ac:dyDescent="0.25">
      <c r="A386" s="25" t="s">
        <v>455</v>
      </c>
      <c r="B386" s="25">
        <v>0</v>
      </c>
      <c r="C386" s="25">
        <v>0</v>
      </c>
      <c r="D386" s="25">
        <v>0</v>
      </c>
      <c r="E386" s="25">
        <v>0</v>
      </c>
      <c r="F386" s="25">
        <v>0</v>
      </c>
      <c r="G386" s="25">
        <v>0</v>
      </c>
      <c r="H386" s="25">
        <v>0</v>
      </c>
      <c r="I386" s="25">
        <v>0</v>
      </c>
      <c r="J386" s="25">
        <v>0</v>
      </c>
      <c r="K386" s="25">
        <v>0</v>
      </c>
      <c r="L386" s="25">
        <v>0</v>
      </c>
      <c r="M386" s="25">
        <v>0</v>
      </c>
      <c r="N386" s="25">
        <v>0</v>
      </c>
      <c r="O386" s="25">
        <v>0</v>
      </c>
      <c r="P386" s="25">
        <v>0</v>
      </c>
      <c r="Q386" s="25">
        <v>0</v>
      </c>
      <c r="R386" s="25">
        <v>0</v>
      </c>
      <c r="S386" s="25">
        <v>0</v>
      </c>
      <c r="T386" s="25">
        <v>0</v>
      </c>
      <c r="U386" s="25">
        <v>0</v>
      </c>
      <c r="V386" s="25">
        <v>0</v>
      </c>
      <c r="W386" s="25">
        <v>0</v>
      </c>
      <c r="X386" s="25">
        <v>0</v>
      </c>
      <c r="Y386" s="25">
        <v>0</v>
      </c>
      <c r="Z386" s="25">
        <v>0</v>
      </c>
      <c r="AA386" s="25">
        <v>0</v>
      </c>
      <c r="AB386" s="25">
        <v>0</v>
      </c>
      <c r="AC386" s="25">
        <v>0</v>
      </c>
      <c r="AD386" s="25">
        <v>0</v>
      </c>
      <c r="AE386" s="25">
        <v>0</v>
      </c>
      <c r="AF386" s="25">
        <v>0</v>
      </c>
    </row>
    <row r="387" spans="1:32" x14ac:dyDescent="0.25">
      <c r="A387" s="25" t="s">
        <v>456</v>
      </c>
      <c r="B387" s="25">
        <v>0</v>
      </c>
      <c r="C387" s="25">
        <v>0</v>
      </c>
      <c r="D387" s="25">
        <v>0</v>
      </c>
      <c r="E387" s="25">
        <v>0</v>
      </c>
      <c r="F387" s="25">
        <v>0</v>
      </c>
      <c r="G387" s="25">
        <v>0</v>
      </c>
      <c r="H387" s="25">
        <v>0</v>
      </c>
      <c r="I387" s="25">
        <v>0</v>
      </c>
      <c r="J387" s="25">
        <v>0</v>
      </c>
      <c r="K387" s="25">
        <v>0</v>
      </c>
      <c r="L387" s="25">
        <v>0</v>
      </c>
      <c r="M387" s="25">
        <v>0</v>
      </c>
      <c r="N387" s="25">
        <v>0</v>
      </c>
      <c r="O387" s="25">
        <v>0</v>
      </c>
      <c r="P387" s="25">
        <v>0</v>
      </c>
      <c r="Q387" s="25">
        <v>0</v>
      </c>
      <c r="R387" s="25">
        <v>0</v>
      </c>
      <c r="S387" s="25">
        <v>0</v>
      </c>
      <c r="T387" s="25">
        <v>0</v>
      </c>
      <c r="U387" s="25">
        <v>0</v>
      </c>
      <c r="V387" s="25">
        <v>0</v>
      </c>
      <c r="W387" s="25">
        <v>0</v>
      </c>
      <c r="X387" s="25">
        <v>0</v>
      </c>
      <c r="Y387" s="25">
        <v>0</v>
      </c>
      <c r="Z387" s="25">
        <v>0</v>
      </c>
      <c r="AA387" s="25">
        <v>0</v>
      </c>
      <c r="AB387" s="25">
        <v>0</v>
      </c>
      <c r="AC387" s="25">
        <v>0</v>
      </c>
      <c r="AD387" s="25">
        <v>0</v>
      </c>
      <c r="AE387" s="25">
        <v>0</v>
      </c>
      <c r="AF387" s="25">
        <v>0</v>
      </c>
    </row>
    <row r="388" spans="1:32" x14ac:dyDescent="0.25">
      <c r="A388" s="25" t="s">
        <v>457</v>
      </c>
      <c r="B388" s="25">
        <v>0</v>
      </c>
      <c r="C388" s="25">
        <v>0</v>
      </c>
      <c r="D388" s="25">
        <v>0</v>
      </c>
      <c r="E388" s="25">
        <v>0</v>
      </c>
      <c r="F388" s="25">
        <v>0</v>
      </c>
      <c r="G388" s="25">
        <v>0</v>
      </c>
      <c r="H388" s="25">
        <v>0</v>
      </c>
      <c r="I388" s="25">
        <v>0</v>
      </c>
      <c r="J388" s="25">
        <v>0</v>
      </c>
      <c r="K388" s="25">
        <v>0</v>
      </c>
      <c r="L388" s="25">
        <v>0</v>
      </c>
      <c r="M388" s="25">
        <v>0</v>
      </c>
      <c r="N388" s="25">
        <v>0</v>
      </c>
      <c r="O388" s="25">
        <v>0</v>
      </c>
      <c r="P388" s="25">
        <v>0</v>
      </c>
      <c r="Q388" s="25">
        <v>0</v>
      </c>
      <c r="R388" s="25">
        <v>0</v>
      </c>
      <c r="S388" s="25">
        <v>0</v>
      </c>
      <c r="T388" s="25">
        <v>0</v>
      </c>
      <c r="U388" s="25">
        <v>0</v>
      </c>
      <c r="V388" s="25">
        <v>0</v>
      </c>
      <c r="W388" s="25">
        <v>0</v>
      </c>
      <c r="X388" s="25">
        <v>0</v>
      </c>
      <c r="Y388" s="25">
        <v>0</v>
      </c>
      <c r="Z388" s="25">
        <v>0</v>
      </c>
      <c r="AA388" s="25">
        <v>0</v>
      </c>
      <c r="AB388" s="25">
        <v>0</v>
      </c>
      <c r="AC388" s="25">
        <v>0</v>
      </c>
      <c r="AD388" s="25">
        <v>0</v>
      </c>
      <c r="AE388" s="25">
        <v>0</v>
      </c>
      <c r="AF388" s="25">
        <v>0</v>
      </c>
    </row>
    <row r="389" spans="1:32" x14ac:dyDescent="0.25">
      <c r="A389" s="25" t="s">
        <v>458</v>
      </c>
      <c r="B389" s="25">
        <v>0</v>
      </c>
      <c r="C389" s="25">
        <v>0</v>
      </c>
      <c r="D389" s="25">
        <v>0</v>
      </c>
      <c r="E389" s="25">
        <v>0</v>
      </c>
      <c r="F389" s="25">
        <v>0</v>
      </c>
      <c r="G389" s="25">
        <v>0</v>
      </c>
      <c r="H389" s="25">
        <v>0</v>
      </c>
      <c r="I389" s="25">
        <v>0</v>
      </c>
      <c r="J389" s="25">
        <v>0</v>
      </c>
      <c r="K389" s="25">
        <v>0</v>
      </c>
      <c r="L389" s="25">
        <v>0</v>
      </c>
      <c r="M389" s="25">
        <v>0</v>
      </c>
      <c r="N389" s="25">
        <v>0</v>
      </c>
      <c r="O389" s="25">
        <v>0</v>
      </c>
      <c r="P389" s="25">
        <v>0</v>
      </c>
      <c r="Q389" s="25">
        <v>0</v>
      </c>
      <c r="R389" s="25">
        <v>0</v>
      </c>
      <c r="S389" s="25">
        <v>0</v>
      </c>
      <c r="T389" s="25">
        <v>0</v>
      </c>
      <c r="U389" s="25">
        <v>0</v>
      </c>
      <c r="V389" s="25">
        <v>0</v>
      </c>
      <c r="W389" s="25">
        <v>0</v>
      </c>
      <c r="X389" s="25">
        <v>0</v>
      </c>
      <c r="Y389" s="25">
        <v>0</v>
      </c>
      <c r="Z389" s="25">
        <v>0</v>
      </c>
      <c r="AA389" s="25">
        <v>0</v>
      </c>
      <c r="AB389" s="25">
        <v>0</v>
      </c>
      <c r="AC389" s="25">
        <v>0</v>
      </c>
      <c r="AD389" s="25">
        <v>0</v>
      </c>
      <c r="AE389" s="25">
        <v>0</v>
      </c>
      <c r="AF389" s="25">
        <v>0</v>
      </c>
    </row>
    <row r="390" spans="1:32" x14ac:dyDescent="0.25">
      <c r="A390" s="25" t="s">
        <v>459</v>
      </c>
      <c r="B390" s="25">
        <v>0</v>
      </c>
      <c r="C390" s="25">
        <v>0</v>
      </c>
      <c r="D390" s="25">
        <v>0</v>
      </c>
      <c r="E390" s="25">
        <v>0</v>
      </c>
      <c r="F390" s="25">
        <v>0</v>
      </c>
      <c r="G390" s="25">
        <v>0</v>
      </c>
      <c r="H390" s="25">
        <v>0</v>
      </c>
      <c r="I390" s="25">
        <v>0</v>
      </c>
      <c r="J390" s="25">
        <v>0</v>
      </c>
      <c r="K390" s="25">
        <v>0</v>
      </c>
      <c r="L390" s="25">
        <v>0</v>
      </c>
      <c r="M390" s="25">
        <v>0</v>
      </c>
      <c r="N390" s="25">
        <v>0</v>
      </c>
      <c r="O390" s="25">
        <v>0</v>
      </c>
      <c r="P390" s="25">
        <v>0</v>
      </c>
      <c r="Q390" s="25">
        <v>0</v>
      </c>
      <c r="R390" s="25">
        <v>0</v>
      </c>
      <c r="S390" s="25">
        <v>0</v>
      </c>
      <c r="T390" s="25">
        <v>0</v>
      </c>
      <c r="U390" s="25">
        <v>0</v>
      </c>
      <c r="V390" s="25">
        <v>0</v>
      </c>
      <c r="W390" s="25">
        <v>0</v>
      </c>
      <c r="X390" s="25">
        <v>0</v>
      </c>
      <c r="Y390" s="25">
        <v>0</v>
      </c>
      <c r="Z390" s="25">
        <v>0</v>
      </c>
      <c r="AA390" s="25">
        <v>0</v>
      </c>
      <c r="AB390" s="25">
        <v>0</v>
      </c>
      <c r="AC390" s="25">
        <v>0</v>
      </c>
      <c r="AD390" s="25">
        <v>0</v>
      </c>
      <c r="AE390" s="25">
        <v>0</v>
      </c>
      <c r="AF390" s="25">
        <v>0</v>
      </c>
    </row>
    <row r="391" spans="1:32" x14ac:dyDescent="0.25">
      <c r="A391" s="25" t="s">
        <v>460</v>
      </c>
      <c r="B391" s="25">
        <v>0</v>
      </c>
      <c r="C391" s="25">
        <v>0</v>
      </c>
      <c r="D391" s="25">
        <v>0</v>
      </c>
      <c r="E391" s="25">
        <v>0</v>
      </c>
      <c r="F391" s="25">
        <v>0</v>
      </c>
      <c r="G391" s="25">
        <v>0</v>
      </c>
      <c r="H391" s="25">
        <v>0</v>
      </c>
      <c r="I391" s="25">
        <v>0</v>
      </c>
      <c r="J391" s="25">
        <v>0</v>
      </c>
      <c r="K391" s="25">
        <v>0</v>
      </c>
      <c r="L391" s="25">
        <v>0</v>
      </c>
      <c r="M391" s="25">
        <v>0</v>
      </c>
      <c r="N391" s="25">
        <v>0</v>
      </c>
      <c r="O391" s="25">
        <v>0</v>
      </c>
      <c r="P391" s="25">
        <v>0</v>
      </c>
      <c r="Q391" s="25">
        <v>0</v>
      </c>
      <c r="R391" s="25">
        <v>0</v>
      </c>
      <c r="S391" s="25">
        <v>0</v>
      </c>
      <c r="T391" s="25">
        <v>0</v>
      </c>
      <c r="U391" s="25">
        <v>0</v>
      </c>
      <c r="V391" s="25">
        <v>0</v>
      </c>
      <c r="W391" s="25">
        <v>0</v>
      </c>
      <c r="X391" s="25">
        <v>0</v>
      </c>
      <c r="Y391" s="25">
        <v>0</v>
      </c>
      <c r="Z391" s="25">
        <v>0</v>
      </c>
      <c r="AA391" s="25">
        <v>0</v>
      </c>
      <c r="AB391" s="25">
        <v>0</v>
      </c>
      <c r="AC391" s="25">
        <v>0</v>
      </c>
      <c r="AD391" s="25">
        <v>0</v>
      </c>
      <c r="AE391" s="25">
        <v>0</v>
      </c>
      <c r="AF391" s="25">
        <v>0</v>
      </c>
    </row>
    <row r="392" spans="1:32" x14ac:dyDescent="0.25">
      <c r="A392" s="25" t="s">
        <v>461</v>
      </c>
      <c r="B392" s="12">
        <v>950324000000000</v>
      </c>
      <c r="C392" s="12">
        <v>1042870000000000</v>
      </c>
      <c r="D392" s="12">
        <v>1078700000000000</v>
      </c>
      <c r="E392" s="12">
        <v>1100410000000000</v>
      </c>
      <c r="F392" s="12">
        <v>1113920000000000</v>
      </c>
      <c r="G392" s="12">
        <v>1127680000000000</v>
      </c>
      <c r="H392" s="12">
        <v>1138660000000000</v>
      </c>
      <c r="I392" s="12">
        <v>1146840000000000</v>
      </c>
      <c r="J392" s="12">
        <v>1157900000000000</v>
      </c>
      <c r="K392" s="12">
        <v>1170760000000000</v>
      </c>
      <c r="L392" s="12">
        <v>1182840000000000</v>
      </c>
      <c r="M392" s="12">
        <v>1195270000000000</v>
      </c>
      <c r="N392" s="12">
        <v>1208720000000000</v>
      </c>
      <c r="O392" s="12">
        <v>1222690000000000</v>
      </c>
      <c r="P392" s="12">
        <v>1236370000000000</v>
      </c>
      <c r="Q392" s="12">
        <v>1251390000000000</v>
      </c>
      <c r="R392" s="12">
        <v>1260950000000000</v>
      </c>
      <c r="S392" s="12">
        <v>1276660000000000</v>
      </c>
      <c r="T392" s="12">
        <v>1293300000000000</v>
      </c>
      <c r="U392" s="12">
        <v>1311180000000000</v>
      </c>
      <c r="V392" s="12">
        <v>1329670000000000</v>
      </c>
      <c r="W392" s="12">
        <v>1350020000000000</v>
      </c>
      <c r="X392" s="12">
        <v>1371880000000000</v>
      </c>
      <c r="Y392" s="12">
        <v>1393580000000000</v>
      </c>
      <c r="Z392" s="12">
        <v>1415690000000000</v>
      </c>
      <c r="AA392" s="12">
        <v>1438370000000000</v>
      </c>
      <c r="AB392" s="12">
        <v>1462700000000000</v>
      </c>
      <c r="AC392" s="12">
        <v>1486090000000000</v>
      </c>
      <c r="AD392" s="12">
        <v>1508360000000000</v>
      </c>
      <c r="AE392" s="12">
        <v>1534070000000000</v>
      </c>
      <c r="AF392" s="12">
        <v>1563130000000000</v>
      </c>
    </row>
    <row r="393" spans="1:32" x14ac:dyDescent="0.25">
      <c r="A393" s="25" t="s">
        <v>462</v>
      </c>
      <c r="B393" s="25">
        <v>0</v>
      </c>
      <c r="C393" s="25">
        <v>0</v>
      </c>
      <c r="D393" s="25">
        <v>0</v>
      </c>
      <c r="E393" s="25">
        <v>0</v>
      </c>
      <c r="F393" s="25">
        <v>0</v>
      </c>
      <c r="G393" s="25">
        <v>0</v>
      </c>
      <c r="H393" s="25">
        <v>0</v>
      </c>
      <c r="I393" s="25">
        <v>0</v>
      </c>
      <c r="J393" s="25">
        <v>0</v>
      </c>
      <c r="K393" s="25">
        <v>0</v>
      </c>
      <c r="L393" s="25">
        <v>0</v>
      </c>
      <c r="M393" s="25">
        <v>0</v>
      </c>
      <c r="N393" s="25">
        <v>0</v>
      </c>
      <c r="O393" s="25">
        <v>0</v>
      </c>
      <c r="P393" s="25">
        <v>0</v>
      </c>
      <c r="Q393" s="25">
        <v>0</v>
      </c>
      <c r="R393" s="25">
        <v>0</v>
      </c>
      <c r="S393" s="25">
        <v>0</v>
      </c>
      <c r="T393" s="25">
        <v>0</v>
      </c>
      <c r="U393" s="25">
        <v>0</v>
      </c>
      <c r="V393" s="25">
        <v>0</v>
      </c>
      <c r="W393" s="25">
        <v>0</v>
      </c>
      <c r="X393" s="25">
        <v>0</v>
      </c>
      <c r="Y393" s="25">
        <v>0</v>
      </c>
      <c r="Z393" s="25">
        <v>0</v>
      </c>
      <c r="AA393" s="25">
        <v>0</v>
      </c>
      <c r="AB393" s="25">
        <v>0</v>
      </c>
      <c r="AC393" s="25">
        <v>0</v>
      </c>
      <c r="AD393" s="25">
        <v>0</v>
      </c>
      <c r="AE393" s="25">
        <v>0</v>
      </c>
      <c r="AF393" s="25">
        <v>0</v>
      </c>
    </row>
    <row r="394" spans="1:32" x14ac:dyDescent="0.25">
      <c r="A394" s="25" t="s">
        <v>463</v>
      </c>
      <c r="B394" s="12">
        <v>107943000000000</v>
      </c>
      <c r="C394" s="12">
        <v>118455000000000</v>
      </c>
      <c r="D394" s="12">
        <v>122525000000000</v>
      </c>
      <c r="E394" s="12">
        <v>124990000000000</v>
      </c>
      <c r="F394" s="12">
        <v>126525000000000</v>
      </c>
      <c r="G394" s="12">
        <v>128089000000000</v>
      </c>
      <c r="H394" s="12">
        <v>129335000000000</v>
      </c>
      <c r="I394" s="12">
        <v>130265000000000</v>
      </c>
      <c r="J394" s="12">
        <v>131521000000000</v>
      </c>
      <c r="K394" s="12">
        <v>132982000000000</v>
      </c>
      <c r="L394" s="12">
        <v>134354000000000</v>
      </c>
      <c r="M394" s="12">
        <v>135766000000000</v>
      </c>
      <c r="N394" s="12">
        <v>137293000000000</v>
      </c>
      <c r="O394" s="12">
        <v>138880000000000</v>
      </c>
      <c r="P394" s="12">
        <v>140434000000000</v>
      </c>
      <c r="Q394" s="12">
        <v>142140000000000</v>
      </c>
      <c r="R394" s="12">
        <v>143225000000000</v>
      </c>
      <c r="S394" s="12">
        <v>145010000000000</v>
      </c>
      <c r="T394" s="12">
        <v>146901000000000</v>
      </c>
      <c r="U394" s="12">
        <v>148932000000000</v>
      </c>
      <c r="V394" s="12">
        <v>151031000000000</v>
      </c>
      <c r="W394" s="12">
        <v>153343000000000</v>
      </c>
      <c r="X394" s="12">
        <v>155826000000000</v>
      </c>
      <c r="Y394" s="12">
        <v>158291000000000</v>
      </c>
      <c r="Z394" s="12">
        <v>160802000000000</v>
      </c>
      <c r="AA394" s="12">
        <v>163379000000000</v>
      </c>
      <c r="AB394" s="12">
        <v>166142000000000</v>
      </c>
      <c r="AC394" s="12">
        <v>168798000000000</v>
      </c>
      <c r="AD394" s="12">
        <v>171328000000000</v>
      </c>
      <c r="AE394" s="12">
        <v>174248000000000</v>
      </c>
      <c r="AF394" s="12">
        <v>177549000000000</v>
      </c>
    </row>
    <row r="395" spans="1:32" x14ac:dyDescent="0.25">
      <c r="A395" s="25" t="s">
        <v>464</v>
      </c>
      <c r="B395" s="25">
        <v>0</v>
      </c>
      <c r="C395" s="25">
        <v>0</v>
      </c>
      <c r="D395" s="25">
        <v>0</v>
      </c>
      <c r="E395" s="25">
        <v>0</v>
      </c>
      <c r="F395" s="25">
        <v>0</v>
      </c>
      <c r="G395" s="25">
        <v>0</v>
      </c>
      <c r="H395" s="25">
        <v>0</v>
      </c>
      <c r="I395" s="25">
        <v>0</v>
      </c>
      <c r="J395" s="25">
        <v>0</v>
      </c>
      <c r="K395" s="25">
        <v>0</v>
      </c>
      <c r="L395" s="25">
        <v>0</v>
      </c>
      <c r="M395" s="25">
        <v>0</v>
      </c>
      <c r="N395" s="25">
        <v>0</v>
      </c>
      <c r="O395" s="25">
        <v>0</v>
      </c>
      <c r="P395" s="25">
        <v>0</v>
      </c>
      <c r="Q395" s="25">
        <v>0</v>
      </c>
      <c r="R395" s="25">
        <v>0</v>
      </c>
      <c r="S395" s="25">
        <v>0</v>
      </c>
      <c r="T395" s="25">
        <v>0</v>
      </c>
      <c r="U395" s="25">
        <v>0</v>
      </c>
      <c r="V395" s="25">
        <v>0</v>
      </c>
      <c r="W395" s="25">
        <v>0</v>
      </c>
      <c r="X395" s="25">
        <v>0</v>
      </c>
      <c r="Y395" s="25">
        <v>0</v>
      </c>
      <c r="Z395" s="25">
        <v>0</v>
      </c>
      <c r="AA395" s="25">
        <v>0</v>
      </c>
      <c r="AB395" s="25">
        <v>0</v>
      </c>
      <c r="AC395" s="25">
        <v>0</v>
      </c>
      <c r="AD395" s="25">
        <v>0</v>
      </c>
      <c r="AE395" s="25">
        <v>0</v>
      </c>
      <c r="AF395" s="25">
        <v>0</v>
      </c>
    </row>
    <row r="396" spans="1:32" x14ac:dyDescent="0.25">
      <c r="A396" s="25" t="s">
        <v>465</v>
      </c>
      <c r="B396" s="25">
        <v>0</v>
      </c>
      <c r="C396" s="25">
        <v>0</v>
      </c>
      <c r="D396" s="25">
        <v>0</v>
      </c>
      <c r="E396" s="25">
        <v>0</v>
      </c>
      <c r="F396" s="25">
        <v>0</v>
      </c>
      <c r="G396" s="25">
        <v>0</v>
      </c>
      <c r="H396" s="25">
        <v>0</v>
      </c>
      <c r="I396" s="25">
        <v>0</v>
      </c>
      <c r="J396" s="25">
        <v>0</v>
      </c>
      <c r="K396" s="25">
        <v>0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25">
        <v>0</v>
      </c>
      <c r="V396" s="25">
        <v>0</v>
      </c>
      <c r="W396" s="25">
        <v>0</v>
      </c>
      <c r="X396" s="25">
        <v>0</v>
      </c>
      <c r="Y396" s="25">
        <v>0</v>
      </c>
      <c r="Z396" s="25">
        <v>0</v>
      </c>
      <c r="AA396" s="25">
        <v>0</v>
      </c>
      <c r="AB396" s="25">
        <v>0</v>
      </c>
      <c r="AC396" s="25">
        <v>0</v>
      </c>
      <c r="AD396" s="25">
        <v>0</v>
      </c>
      <c r="AE396" s="25">
        <v>0</v>
      </c>
      <c r="AF396" s="25">
        <v>0</v>
      </c>
    </row>
    <row r="397" spans="1:32" x14ac:dyDescent="0.25">
      <c r="A397" s="25" t="s">
        <v>466</v>
      </c>
      <c r="B397" s="25">
        <v>0</v>
      </c>
      <c r="C397" s="25">
        <v>0</v>
      </c>
      <c r="D397" s="25">
        <v>0</v>
      </c>
      <c r="E397" s="25">
        <v>0</v>
      </c>
      <c r="F397" s="25">
        <v>0</v>
      </c>
      <c r="G397" s="25">
        <v>0</v>
      </c>
      <c r="H397" s="25">
        <v>0</v>
      </c>
      <c r="I397" s="25">
        <v>0</v>
      </c>
      <c r="J397" s="25">
        <v>0</v>
      </c>
      <c r="K397" s="25">
        <v>0</v>
      </c>
      <c r="L397" s="25">
        <v>0</v>
      </c>
      <c r="M397" s="25">
        <v>0</v>
      </c>
      <c r="N397" s="25">
        <v>0</v>
      </c>
      <c r="O397" s="25">
        <v>0</v>
      </c>
      <c r="P397" s="25">
        <v>0</v>
      </c>
      <c r="Q397" s="25">
        <v>0</v>
      </c>
      <c r="R397" s="25">
        <v>0</v>
      </c>
      <c r="S397" s="25">
        <v>0</v>
      </c>
      <c r="T397" s="25">
        <v>0</v>
      </c>
      <c r="U397" s="25">
        <v>0</v>
      </c>
      <c r="V397" s="25">
        <v>0</v>
      </c>
      <c r="W397" s="25">
        <v>0</v>
      </c>
      <c r="X397" s="25">
        <v>0</v>
      </c>
      <c r="Y397" s="25">
        <v>0</v>
      </c>
      <c r="Z397" s="25">
        <v>0</v>
      </c>
      <c r="AA397" s="25">
        <v>0</v>
      </c>
      <c r="AB397" s="25">
        <v>0</v>
      </c>
      <c r="AC397" s="25">
        <v>0</v>
      </c>
      <c r="AD397" s="25">
        <v>0</v>
      </c>
      <c r="AE397" s="25">
        <v>0</v>
      </c>
      <c r="AF397" s="25">
        <v>0</v>
      </c>
    </row>
    <row r="398" spans="1:32" x14ac:dyDescent="0.25">
      <c r="A398" s="25" t="s">
        <v>467</v>
      </c>
      <c r="B398" s="25">
        <v>0</v>
      </c>
      <c r="C398" s="25">
        <v>0</v>
      </c>
      <c r="D398" s="25">
        <v>0</v>
      </c>
      <c r="E398" s="25">
        <v>0</v>
      </c>
      <c r="F398" s="25">
        <v>0</v>
      </c>
      <c r="G398" s="25">
        <v>0</v>
      </c>
      <c r="H398" s="25">
        <v>0</v>
      </c>
      <c r="I398" s="25">
        <v>0</v>
      </c>
      <c r="J398" s="25">
        <v>0</v>
      </c>
      <c r="K398" s="25">
        <v>0</v>
      </c>
      <c r="L398" s="25">
        <v>0</v>
      </c>
      <c r="M398" s="25">
        <v>0</v>
      </c>
      <c r="N398" s="25">
        <v>0</v>
      </c>
      <c r="O398" s="25">
        <v>0</v>
      </c>
      <c r="P398" s="25">
        <v>0</v>
      </c>
      <c r="Q398" s="25">
        <v>0</v>
      </c>
      <c r="R398" s="25">
        <v>0</v>
      </c>
      <c r="S398" s="25">
        <v>0</v>
      </c>
      <c r="T398" s="25">
        <v>0</v>
      </c>
      <c r="U398" s="25">
        <v>0</v>
      </c>
      <c r="V398" s="25">
        <v>0</v>
      </c>
      <c r="W398" s="25">
        <v>0</v>
      </c>
      <c r="X398" s="25">
        <v>0</v>
      </c>
      <c r="Y398" s="25">
        <v>0</v>
      </c>
      <c r="Z398" s="25">
        <v>0</v>
      </c>
      <c r="AA398" s="25">
        <v>0</v>
      </c>
      <c r="AB398" s="25">
        <v>0</v>
      </c>
      <c r="AC398" s="25">
        <v>0</v>
      </c>
      <c r="AD398" s="25">
        <v>0</v>
      </c>
      <c r="AE398" s="25">
        <v>0</v>
      </c>
      <c r="AF398" s="25">
        <v>0</v>
      </c>
    </row>
    <row r="399" spans="1:32" x14ac:dyDescent="0.25">
      <c r="A399" s="25" t="s">
        <v>468</v>
      </c>
      <c r="B399" s="25">
        <v>0</v>
      </c>
      <c r="C399" s="25">
        <v>0</v>
      </c>
      <c r="D399" s="25">
        <v>0</v>
      </c>
      <c r="E399" s="25">
        <v>0</v>
      </c>
      <c r="F399" s="25">
        <v>0</v>
      </c>
      <c r="G399" s="25">
        <v>0</v>
      </c>
      <c r="H399" s="25">
        <v>0</v>
      </c>
      <c r="I399" s="25">
        <v>0</v>
      </c>
      <c r="J399" s="25">
        <v>0</v>
      </c>
      <c r="K399" s="25">
        <v>0</v>
      </c>
      <c r="L399" s="25">
        <v>0</v>
      </c>
      <c r="M399" s="25">
        <v>0</v>
      </c>
      <c r="N399" s="25">
        <v>0</v>
      </c>
      <c r="O399" s="25">
        <v>0</v>
      </c>
      <c r="P399" s="25">
        <v>0</v>
      </c>
      <c r="Q399" s="25">
        <v>0</v>
      </c>
      <c r="R399" s="25">
        <v>0</v>
      </c>
      <c r="S399" s="25">
        <v>0</v>
      </c>
      <c r="T399" s="25">
        <v>0</v>
      </c>
      <c r="U399" s="25">
        <v>0</v>
      </c>
      <c r="V399" s="25">
        <v>0</v>
      </c>
      <c r="W399" s="25">
        <v>0</v>
      </c>
      <c r="X399" s="25">
        <v>0</v>
      </c>
      <c r="Y399" s="25">
        <v>0</v>
      </c>
      <c r="Z399" s="25">
        <v>0</v>
      </c>
      <c r="AA399" s="25">
        <v>0</v>
      </c>
      <c r="AB399" s="25">
        <v>0</v>
      </c>
      <c r="AC399" s="25">
        <v>0</v>
      </c>
      <c r="AD399" s="25">
        <v>0</v>
      </c>
      <c r="AE399" s="25">
        <v>0</v>
      </c>
      <c r="AF399" s="25">
        <v>0</v>
      </c>
    </row>
    <row r="400" spans="1:32" x14ac:dyDescent="0.25">
      <c r="A400" s="25" t="s">
        <v>469</v>
      </c>
      <c r="B400" s="25">
        <v>0</v>
      </c>
      <c r="C400" s="25">
        <v>0</v>
      </c>
      <c r="D400" s="25">
        <v>0</v>
      </c>
      <c r="E400" s="25">
        <v>0</v>
      </c>
      <c r="F400" s="25">
        <v>0</v>
      </c>
      <c r="G400" s="25">
        <v>0</v>
      </c>
      <c r="H400" s="25">
        <v>0</v>
      </c>
      <c r="I400" s="25">
        <v>0</v>
      </c>
      <c r="J400" s="25">
        <v>0</v>
      </c>
      <c r="K400" s="25">
        <v>0</v>
      </c>
      <c r="L400" s="25">
        <v>0</v>
      </c>
      <c r="M400" s="25">
        <v>0</v>
      </c>
      <c r="N400" s="25">
        <v>0</v>
      </c>
      <c r="O400" s="25">
        <v>0</v>
      </c>
      <c r="P400" s="25">
        <v>0</v>
      </c>
      <c r="Q400" s="25">
        <v>0</v>
      </c>
      <c r="R400" s="25">
        <v>0</v>
      </c>
      <c r="S400" s="25">
        <v>0</v>
      </c>
      <c r="T400" s="25">
        <v>0</v>
      </c>
      <c r="U400" s="25">
        <v>0</v>
      </c>
      <c r="V400" s="25">
        <v>0</v>
      </c>
      <c r="W400" s="25">
        <v>0</v>
      </c>
      <c r="X400" s="25">
        <v>0</v>
      </c>
      <c r="Y400" s="25">
        <v>0</v>
      </c>
      <c r="Z400" s="25">
        <v>0</v>
      </c>
      <c r="AA400" s="25">
        <v>0</v>
      </c>
      <c r="AB400" s="25">
        <v>0</v>
      </c>
      <c r="AC400" s="25">
        <v>0</v>
      </c>
      <c r="AD400" s="25">
        <v>0</v>
      </c>
      <c r="AE400" s="25">
        <v>0</v>
      </c>
      <c r="AF400" s="25">
        <v>0</v>
      </c>
    </row>
    <row r="401" spans="1:32" x14ac:dyDescent="0.25">
      <c r="A401" s="25" t="s">
        <v>470</v>
      </c>
      <c r="B401" s="25">
        <v>0</v>
      </c>
      <c r="C401" s="25">
        <v>0</v>
      </c>
      <c r="D401" s="25">
        <v>0</v>
      </c>
      <c r="E401" s="25">
        <v>0</v>
      </c>
      <c r="F401" s="25">
        <v>0</v>
      </c>
      <c r="G401" s="25">
        <v>0</v>
      </c>
      <c r="H401" s="25">
        <v>0</v>
      </c>
      <c r="I401" s="25">
        <v>0</v>
      </c>
      <c r="J401" s="25">
        <v>0</v>
      </c>
      <c r="K401" s="25">
        <v>0</v>
      </c>
      <c r="L401" s="25">
        <v>0</v>
      </c>
      <c r="M401" s="25">
        <v>0</v>
      </c>
      <c r="N401" s="25">
        <v>0</v>
      </c>
      <c r="O401" s="25">
        <v>0</v>
      </c>
      <c r="P401" s="25">
        <v>0</v>
      </c>
      <c r="Q401" s="25">
        <v>0</v>
      </c>
      <c r="R401" s="25">
        <v>0</v>
      </c>
      <c r="S401" s="25">
        <v>0</v>
      </c>
      <c r="T401" s="25">
        <v>0</v>
      </c>
      <c r="U401" s="25">
        <v>0</v>
      </c>
      <c r="V401" s="25">
        <v>0</v>
      </c>
      <c r="W401" s="25">
        <v>0</v>
      </c>
      <c r="X401" s="25">
        <v>0</v>
      </c>
      <c r="Y401" s="25">
        <v>0</v>
      </c>
      <c r="Z401" s="25">
        <v>0</v>
      </c>
      <c r="AA401" s="25">
        <v>0</v>
      </c>
      <c r="AB401" s="25">
        <v>0</v>
      </c>
      <c r="AC401" s="25">
        <v>0</v>
      </c>
      <c r="AD401" s="25">
        <v>0</v>
      </c>
      <c r="AE401" s="25">
        <v>0</v>
      </c>
      <c r="AF401" s="25">
        <v>0</v>
      </c>
    </row>
    <row r="402" spans="1:32" x14ac:dyDescent="0.25">
      <c r="A402" s="25" t="s">
        <v>471</v>
      </c>
      <c r="B402" s="25">
        <v>0</v>
      </c>
      <c r="C402" s="25">
        <v>0</v>
      </c>
      <c r="D402" s="25">
        <v>0</v>
      </c>
      <c r="E402" s="25">
        <v>0</v>
      </c>
      <c r="F402" s="25">
        <v>0</v>
      </c>
      <c r="G402" s="25">
        <v>0</v>
      </c>
      <c r="H402" s="25">
        <v>0</v>
      </c>
      <c r="I402" s="25">
        <v>0</v>
      </c>
      <c r="J402" s="25">
        <v>0</v>
      </c>
      <c r="K402" s="25">
        <v>0</v>
      </c>
      <c r="L402" s="25">
        <v>0</v>
      </c>
      <c r="M402" s="25">
        <v>0</v>
      </c>
      <c r="N402" s="25">
        <v>0</v>
      </c>
      <c r="O402" s="25">
        <v>0</v>
      </c>
      <c r="P402" s="25">
        <v>0</v>
      </c>
      <c r="Q402" s="25">
        <v>0</v>
      </c>
      <c r="R402" s="25">
        <v>0</v>
      </c>
      <c r="S402" s="25">
        <v>0</v>
      </c>
      <c r="T402" s="25">
        <v>0</v>
      </c>
      <c r="U402" s="25">
        <v>0</v>
      </c>
      <c r="V402" s="25">
        <v>0</v>
      </c>
      <c r="W402" s="25">
        <v>0</v>
      </c>
      <c r="X402" s="25">
        <v>0</v>
      </c>
      <c r="Y402" s="25">
        <v>0</v>
      </c>
      <c r="Z402" s="25">
        <v>0</v>
      </c>
      <c r="AA402" s="25">
        <v>0</v>
      </c>
      <c r="AB402" s="25">
        <v>0</v>
      </c>
      <c r="AC402" s="25">
        <v>0</v>
      </c>
      <c r="AD402" s="25">
        <v>0</v>
      </c>
      <c r="AE402" s="25">
        <v>0</v>
      </c>
      <c r="AF402" s="25">
        <v>0</v>
      </c>
    </row>
    <row r="403" spans="1:32" x14ac:dyDescent="0.25">
      <c r="A403" s="25" t="s">
        <v>472</v>
      </c>
      <c r="B403" s="25">
        <v>1156000000000000</v>
      </c>
      <c r="C403" s="25">
        <v>1256240000000000</v>
      </c>
      <c r="D403" s="25">
        <v>1262240000000000</v>
      </c>
      <c r="E403" s="25">
        <v>1270540000000000</v>
      </c>
      <c r="F403" s="25">
        <v>1257510000000000</v>
      </c>
      <c r="G403" s="25">
        <v>1245830000000000</v>
      </c>
      <c r="H403" s="25">
        <v>1230450000000000</v>
      </c>
      <c r="I403" s="25">
        <v>1211500000000000</v>
      </c>
      <c r="J403" s="25">
        <v>1195810000000000</v>
      </c>
      <c r="K403" s="25">
        <v>1181400000000000</v>
      </c>
      <c r="L403" s="25">
        <v>1168150000000000</v>
      </c>
      <c r="M403" s="25">
        <v>1156280000000000</v>
      </c>
      <c r="N403" s="25">
        <v>1144830000000000</v>
      </c>
      <c r="O403" s="25">
        <v>1133440000000000</v>
      </c>
      <c r="P403" s="25">
        <v>1143360000000000</v>
      </c>
      <c r="Q403" s="25">
        <v>1152030000000000</v>
      </c>
      <c r="R403" s="25">
        <v>1172290000000000</v>
      </c>
      <c r="S403" s="25">
        <v>1188970000000000</v>
      </c>
      <c r="T403" s="25">
        <v>1204080000000000</v>
      </c>
      <c r="U403" s="25">
        <v>1222440000000000</v>
      </c>
      <c r="V403" s="25">
        <v>1240560000000000</v>
      </c>
      <c r="W403" s="25">
        <v>1259320000000000</v>
      </c>
      <c r="X403" s="25">
        <v>1279310000000000</v>
      </c>
      <c r="Y403" s="25">
        <v>1296310000000000</v>
      </c>
      <c r="Z403" s="25">
        <v>1312200000000000</v>
      </c>
      <c r="AA403" s="25">
        <v>1330640000000000</v>
      </c>
      <c r="AB403" s="25">
        <v>1348970000000000</v>
      </c>
      <c r="AC403" s="25">
        <v>1367140000000000</v>
      </c>
      <c r="AD403" s="25">
        <v>1382840000000000</v>
      </c>
      <c r="AE403" s="25">
        <v>1402190000000000</v>
      </c>
      <c r="AF403" s="25">
        <v>1426390000000000</v>
      </c>
    </row>
    <row r="404" spans="1:32" x14ac:dyDescent="0.25">
      <c r="A404" s="25" t="s">
        <v>473</v>
      </c>
      <c r="B404" s="25">
        <v>0</v>
      </c>
      <c r="C404" s="25">
        <v>0</v>
      </c>
      <c r="D404" s="25">
        <v>0</v>
      </c>
      <c r="E404" s="25">
        <v>0</v>
      </c>
      <c r="F404" s="25">
        <v>0</v>
      </c>
      <c r="G404" s="25">
        <v>0</v>
      </c>
      <c r="H404" s="25">
        <v>0</v>
      </c>
      <c r="I404" s="25">
        <v>0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>
        <v>0</v>
      </c>
      <c r="R404" s="25">
        <v>0</v>
      </c>
      <c r="S404" s="25">
        <v>0</v>
      </c>
      <c r="T404" s="25">
        <v>0</v>
      </c>
      <c r="U404" s="25">
        <v>0</v>
      </c>
      <c r="V404" s="25">
        <v>0</v>
      </c>
      <c r="W404" s="25">
        <v>0</v>
      </c>
      <c r="X404" s="25">
        <v>0</v>
      </c>
      <c r="Y404" s="25">
        <v>0</v>
      </c>
      <c r="Z404" s="25">
        <v>0</v>
      </c>
      <c r="AA404" s="25">
        <v>0</v>
      </c>
      <c r="AB404" s="25">
        <v>0</v>
      </c>
      <c r="AC404" s="25">
        <v>0</v>
      </c>
      <c r="AD404" s="25">
        <v>0</v>
      </c>
      <c r="AE404" s="25">
        <v>0</v>
      </c>
      <c r="AF404" s="25">
        <v>0</v>
      </c>
    </row>
    <row r="405" spans="1:32" x14ac:dyDescent="0.25">
      <c r="A405" s="25" t="s">
        <v>474</v>
      </c>
      <c r="B405" s="25">
        <v>52022400000000</v>
      </c>
      <c r="C405" s="25">
        <v>49549200000000</v>
      </c>
      <c r="D405" s="25">
        <v>49785900000000</v>
      </c>
      <c r="E405" s="25">
        <v>37785800000000</v>
      </c>
      <c r="F405" s="25">
        <v>37354500000000</v>
      </c>
      <c r="G405" s="25">
        <v>35777400000000</v>
      </c>
      <c r="H405" s="25">
        <v>35213500000000</v>
      </c>
      <c r="I405" s="25">
        <v>35350000000000</v>
      </c>
      <c r="J405" s="25">
        <v>35411100000000</v>
      </c>
      <c r="K405" s="25">
        <v>35856000000000</v>
      </c>
      <c r="L405" s="25">
        <v>35661800000000</v>
      </c>
      <c r="M405" s="25">
        <v>34023200000000</v>
      </c>
      <c r="N405" s="25">
        <v>33095600000000</v>
      </c>
      <c r="O405" s="25">
        <v>32610800000000</v>
      </c>
      <c r="P405" s="25">
        <v>33184900000000</v>
      </c>
      <c r="Q405" s="25">
        <v>34739300000000</v>
      </c>
      <c r="R405" s="25">
        <v>35668000000000</v>
      </c>
      <c r="S405" s="25">
        <v>36990800000000</v>
      </c>
      <c r="T405" s="25">
        <v>41183700000000</v>
      </c>
      <c r="U405" s="25">
        <v>42173200000000</v>
      </c>
      <c r="V405" s="25">
        <v>43365300000000</v>
      </c>
      <c r="W405" s="25">
        <v>45020400000000</v>
      </c>
      <c r="X405" s="25">
        <v>46191600000000</v>
      </c>
      <c r="Y405" s="25">
        <v>50182600000000</v>
      </c>
      <c r="Z405" s="25">
        <v>54040500000000</v>
      </c>
      <c r="AA405" s="25">
        <v>55609300000000</v>
      </c>
      <c r="AB405" s="25">
        <v>58312300000000</v>
      </c>
      <c r="AC405" s="25">
        <v>60130300000000</v>
      </c>
      <c r="AD405" s="25">
        <v>62839700000000</v>
      </c>
      <c r="AE405" s="25">
        <v>65496700000000</v>
      </c>
      <c r="AF405" s="25">
        <v>67479000000000</v>
      </c>
    </row>
    <row r="406" spans="1:32" x14ac:dyDescent="0.25">
      <c r="A406" s="25" t="s">
        <v>475</v>
      </c>
      <c r="B406" s="25">
        <v>0</v>
      </c>
      <c r="C406" s="25">
        <v>0</v>
      </c>
      <c r="D406" s="25">
        <v>0</v>
      </c>
      <c r="E406" s="25">
        <v>0</v>
      </c>
      <c r="F406" s="25">
        <v>0</v>
      </c>
      <c r="G406" s="25">
        <v>0</v>
      </c>
      <c r="H406" s="25">
        <v>0</v>
      </c>
      <c r="I406" s="25">
        <v>0</v>
      </c>
      <c r="J406" s="25">
        <v>0</v>
      </c>
      <c r="K406" s="25">
        <v>0</v>
      </c>
      <c r="L406" s="25">
        <v>0</v>
      </c>
      <c r="M406" s="25">
        <v>0</v>
      </c>
      <c r="N406" s="25">
        <v>0</v>
      </c>
      <c r="O406" s="25">
        <v>0</v>
      </c>
      <c r="P406" s="25">
        <v>0</v>
      </c>
      <c r="Q406" s="25">
        <v>0</v>
      </c>
      <c r="R406" s="25">
        <v>0</v>
      </c>
      <c r="S406" s="25">
        <v>0</v>
      </c>
      <c r="T406" s="25">
        <v>0</v>
      </c>
      <c r="U406" s="25">
        <v>0</v>
      </c>
      <c r="V406" s="25">
        <v>0</v>
      </c>
      <c r="W406" s="25">
        <v>0</v>
      </c>
      <c r="X406" s="25">
        <v>0</v>
      </c>
      <c r="Y406" s="25">
        <v>0</v>
      </c>
      <c r="Z406" s="25">
        <v>0</v>
      </c>
      <c r="AA406" s="25">
        <v>0</v>
      </c>
      <c r="AB406" s="25">
        <v>0</v>
      </c>
      <c r="AC406" s="25">
        <v>0</v>
      </c>
      <c r="AD406" s="25">
        <v>0</v>
      </c>
      <c r="AE406" s="25">
        <v>0</v>
      </c>
      <c r="AF406" s="25">
        <v>0</v>
      </c>
    </row>
    <row r="407" spans="1:32" x14ac:dyDescent="0.25">
      <c r="A407" s="25" t="s">
        <v>476</v>
      </c>
      <c r="B407" s="25">
        <v>0</v>
      </c>
      <c r="C407" s="25">
        <v>0</v>
      </c>
      <c r="D407" s="25">
        <v>0</v>
      </c>
      <c r="E407" s="25">
        <v>0</v>
      </c>
      <c r="F407" s="25">
        <v>0</v>
      </c>
      <c r="G407" s="25">
        <v>0</v>
      </c>
      <c r="H407" s="25">
        <v>0</v>
      </c>
      <c r="I407" s="25">
        <v>0</v>
      </c>
      <c r="J407" s="25">
        <v>0</v>
      </c>
      <c r="K407" s="25">
        <v>0</v>
      </c>
      <c r="L407" s="25">
        <v>0</v>
      </c>
      <c r="M407" s="25">
        <v>0</v>
      </c>
      <c r="N407" s="25">
        <v>0</v>
      </c>
      <c r="O407" s="25">
        <v>0</v>
      </c>
      <c r="P407" s="25">
        <v>0</v>
      </c>
      <c r="Q407" s="25">
        <v>0</v>
      </c>
      <c r="R407" s="25">
        <v>0</v>
      </c>
      <c r="S407" s="25">
        <v>0</v>
      </c>
      <c r="T407" s="25">
        <v>0</v>
      </c>
      <c r="U407" s="25">
        <v>0</v>
      </c>
      <c r="V407" s="25">
        <v>0</v>
      </c>
      <c r="W407" s="25">
        <v>0</v>
      </c>
      <c r="X407" s="25">
        <v>0</v>
      </c>
      <c r="Y407" s="25">
        <v>0</v>
      </c>
      <c r="Z407" s="25">
        <v>0</v>
      </c>
      <c r="AA407" s="25">
        <v>0</v>
      </c>
      <c r="AB407" s="25">
        <v>0</v>
      </c>
      <c r="AC407" s="25">
        <v>0</v>
      </c>
      <c r="AD407" s="25">
        <v>0</v>
      </c>
      <c r="AE407" s="25">
        <v>0</v>
      </c>
      <c r="AF407" s="25">
        <v>0</v>
      </c>
    </row>
    <row r="408" spans="1:32" x14ac:dyDescent="0.25">
      <c r="A408" s="25" t="s">
        <v>477</v>
      </c>
      <c r="B408" s="25">
        <v>0</v>
      </c>
      <c r="C408" s="25">
        <v>0</v>
      </c>
      <c r="D408" s="25">
        <v>0</v>
      </c>
      <c r="E408" s="25">
        <v>0</v>
      </c>
      <c r="F408" s="25">
        <v>0</v>
      </c>
      <c r="G408" s="25">
        <v>0</v>
      </c>
      <c r="H408" s="25">
        <v>0</v>
      </c>
      <c r="I408" s="25">
        <v>0</v>
      </c>
      <c r="J408" s="25">
        <v>0</v>
      </c>
      <c r="K408" s="25">
        <v>0</v>
      </c>
      <c r="L408" s="25">
        <v>0</v>
      </c>
      <c r="M408" s="25">
        <v>0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5">
        <v>0</v>
      </c>
      <c r="T408" s="25">
        <v>0</v>
      </c>
      <c r="U408" s="25">
        <v>0</v>
      </c>
      <c r="V408" s="25">
        <v>0</v>
      </c>
      <c r="W408" s="25">
        <v>0</v>
      </c>
      <c r="X408" s="25">
        <v>0</v>
      </c>
      <c r="Y408" s="25">
        <v>0</v>
      </c>
      <c r="Z408" s="25">
        <v>0</v>
      </c>
      <c r="AA408" s="25">
        <v>0</v>
      </c>
      <c r="AB408" s="25">
        <v>0</v>
      </c>
      <c r="AC408" s="25">
        <v>0</v>
      </c>
      <c r="AD408" s="25">
        <v>0</v>
      </c>
      <c r="AE408" s="25">
        <v>0</v>
      </c>
      <c r="AF408" s="25">
        <v>0</v>
      </c>
    </row>
    <row r="409" spans="1:32" x14ac:dyDescent="0.25">
      <c r="A409" s="25" t="s">
        <v>478</v>
      </c>
      <c r="B409" s="25">
        <v>0</v>
      </c>
      <c r="C409" s="25">
        <v>0</v>
      </c>
      <c r="D409" s="25">
        <v>0</v>
      </c>
      <c r="E409" s="25">
        <v>0</v>
      </c>
      <c r="F409" s="25">
        <v>0</v>
      </c>
      <c r="G409" s="25">
        <v>0</v>
      </c>
      <c r="H409" s="25">
        <v>0</v>
      </c>
      <c r="I409" s="25">
        <v>0</v>
      </c>
      <c r="J409" s="25">
        <v>0</v>
      </c>
      <c r="K409" s="25">
        <v>0</v>
      </c>
      <c r="L409" s="25">
        <v>0</v>
      </c>
      <c r="M409" s="25">
        <v>0</v>
      </c>
      <c r="N409" s="25">
        <v>0</v>
      </c>
      <c r="O409" s="25">
        <v>0</v>
      </c>
      <c r="P409" s="25">
        <v>0</v>
      </c>
      <c r="Q409" s="25">
        <v>0</v>
      </c>
      <c r="R409" s="25">
        <v>0</v>
      </c>
      <c r="S409" s="25">
        <v>0</v>
      </c>
      <c r="T409" s="25">
        <v>0</v>
      </c>
      <c r="U409" s="25">
        <v>0</v>
      </c>
      <c r="V409" s="25">
        <v>0</v>
      </c>
      <c r="W409" s="25">
        <v>0</v>
      </c>
      <c r="X409" s="25">
        <v>0</v>
      </c>
      <c r="Y409" s="25">
        <v>0</v>
      </c>
      <c r="Z409" s="25">
        <v>0</v>
      </c>
      <c r="AA409" s="25">
        <v>0</v>
      </c>
      <c r="AB409" s="25">
        <v>0</v>
      </c>
      <c r="AC409" s="25">
        <v>0</v>
      </c>
      <c r="AD409" s="25">
        <v>0</v>
      </c>
      <c r="AE409" s="25">
        <v>0</v>
      </c>
      <c r="AF409" s="25">
        <v>0</v>
      </c>
    </row>
    <row r="410" spans="1:32" x14ac:dyDescent="0.25">
      <c r="A410" s="25" t="s">
        <v>479</v>
      </c>
      <c r="B410" s="12">
        <v>0</v>
      </c>
      <c r="C410" s="12">
        <v>17989500000</v>
      </c>
      <c r="D410" s="12">
        <v>48481600000</v>
      </c>
      <c r="E410" s="12">
        <v>87233200000</v>
      </c>
      <c r="F410" s="12">
        <v>137818000000</v>
      </c>
      <c r="G410" s="12">
        <v>203552000000</v>
      </c>
      <c r="H410" s="12">
        <v>287983000000</v>
      </c>
      <c r="I410" s="12">
        <v>396129000000</v>
      </c>
      <c r="J410" s="12">
        <v>536578000000</v>
      </c>
      <c r="K410" s="12">
        <v>721634000000</v>
      </c>
      <c r="L410" s="12">
        <v>961698000000</v>
      </c>
      <c r="M410" s="12">
        <v>1272280000000</v>
      </c>
      <c r="N410" s="12">
        <v>1664540000000</v>
      </c>
      <c r="O410" s="12">
        <v>2149300000000</v>
      </c>
      <c r="P410" s="12">
        <v>2726340000000</v>
      </c>
      <c r="Q410" s="12">
        <v>3410060000000</v>
      </c>
      <c r="R410" s="12">
        <v>4202550000000</v>
      </c>
      <c r="S410" s="12">
        <v>5115820000000</v>
      </c>
      <c r="T410" s="12">
        <v>6134920000000</v>
      </c>
      <c r="U410" s="12">
        <v>7240310000000</v>
      </c>
      <c r="V410" s="12">
        <v>8419360000000</v>
      </c>
      <c r="W410" s="12">
        <v>9664950000000</v>
      </c>
      <c r="X410" s="12">
        <v>10959400000000</v>
      </c>
      <c r="Y410" s="12">
        <v>12274500000000</v>
      </c>
      <c r="Z410" s="12">
        <v>13596800000000</v>
      </c>
      <c r="AA410" s="12">
        <v>14898100000000</v>
      </c>
      <c r="AB410" s="12">
        <v>16180900000000</v>
      </c>
      <c r="AC410" s="12">
        <v>17398100000000</v>
      </c>
      <c r="AD410" s="12">
        <v>18518100000000</v>
      </c>
      <c r="AE410" s="12">
        <v>19592200000000</v>
      </c>
      <c r="AF410" s="12">
        <v>20623400000000</v>
      </c>
    </row>
    <row r="411" spans="1:32" x14ac:dyDescent="0.25">
      <c r="A411" s="25" t="s">
        <v>480</v>
      </c>
      <c r="B411" s="25">
        <v>0</v>
      </c>
      <c r="C411" s="25">
        <v>0</v>
      </c>
      <c r="D411" s="25">
        <v>0</v>
      </c>
      <c r="E411" s="25">
        <v>0</v>
      </c>
      <c r="F411" s="25">
        <v>0</v>
      </c>
      <c r="G411" s="25">
        <v>0</v>
      </c>
      <c r="H411" s="25">
        <v>0</v>
      </c>
      <c r="I411" s="25">
        <v>0</v>
      </c>
      <c r="J411" s="25">
        <v>0</v>
      </c>
      <c r="K411" s="25">
        <v>0</v>
      </c>
      <c r="L411" s="25">
        <v>0</v>
      </c>
      <c r="M411" s="25">
        <v>0</v>
      </c>
      <c r="N411" s="25">
        <v>0</v>
      </c>
      <c r="O411" s="25">
        <v>0</v>
      </c>
      <c r="P411" s="25">
        <v>0</v>
      </c>
      <c r="Q411" s="25">
        <v>0</v>
      </c>
      <c r="R411" s="25">
        <v>0</v>
      </c>
      <c r="S411" s="25">
        <v>0</v>
      </c>
      <c r="T411" s="25">
        <v>0</v>
      </c>
      <c r="U411" s="25">
        <v>0</v>
      </c>
      <c r="V411" s="25">
        <v>0</v>
      </c>
      <c r="W411" s="25">
        <v>0</v>
      </c>
      <c r="X411" s="25">
        <v>0</v>
      </c>
      <c r="Y411" s="25">
        <v>0</v>
      </c>
      <c r="Z411" s="25">
        <v>0</v>
      </c>
      <c r="AA411" s="25">
        <v>0</v>
      </c>
      <c r="AB411" s="25">
        <v>0</v>
      </c>
      <c r="AC411" s="25">
        <v>0</v>
      </c>
      <c r="AD411" s="25">
        <v>0</v>
      </c>
      <c r="AE411" s="25">
        <v>0</v>
      </c>
      <c r="AF411" s="25">
        <v>0</v>
      </c>
    </row>
    <row r="412" spans="1:32" x14ac:dyDescent="0.25">
      <c r="A412" s="25" t="s">
        <v>481</v>
      </c>
      <c r="B412" s="12">
        <v>0</v>
      </c>
      <c r="C412" s="12">
        <v>14565000000</v>
      </c>
      <c r="D412" s="12">
        <v>39252500000</v>
      </c>
      <c r="E412" s="12">
        <v>70563800000</v>
      </c>
      <c r="F412" s="12">
        <v>111432000000</v>
      </c>
      <c r="G412" s="12">
        <v>164507000000</v>
      </c>
      <c r="H412" s="12">
        <v>232638000000</v>
      </c>
      <c r="I412" s="12">
        <v>319928000000</v>
      </c>
      <c r="J412" s="12">
        <v>433165000000</v>
      </c>
      <c r="K412" s="12">
        <v>582424000000</v>
      </c>
      <c r="L412" s="12">
        <v>775828000000</v>
      </c>
      <c r="M412" s="12">
        <v>1025920000000</v>
      </c>
      <c r="N412" s="12">
        <v>1341620000000</v>
      </c>
      <c r="O412" s="12">
        <v>1731160000000</v>
      </c>
      <c r="P412" s="12">
        <v>2194950000000</v>
      </c>
      <c r="Q412" s="12">
        <v>2743540000000</v>
      </c>
      <c r="R412" s="12">
        <v>3378850000000</v>
      </c>
      <c r="S412" s="12">
        <v>4110330000000</v>
      </c>
      <c r="T412" s="12">
        <v>4925790000000</v>
      </c>
      <c r="U412" s="12">
        <v>5809360000000</v>
      </c>
      <c r="V412" s="12">
        <v>6749260000000</v>
      </c>
      <c r="W412" s="12">
        <v>7742500000000</v>
      </c>
      <c r="X412" s="12">
        <v>8771490000000</v>
      </c>
      <c r="Y412" s="12">
        <v>9815110000000</v>
      </c>
      <c r="Z412" s="12">
        <v>10862600000000</v>
      </c>
      <c r="AA412" s="12">
        <v>11891400000000</v>
      </c>
      <c r="AB412" s="12">
        <v>12903500000000</v>
      </c>
      <c r="AC412" s="12">
        <v>13861500000000</v>
      </c>
      <c r="AD412" s="12">
        <v>14737100000000</v>
      </c>
      <c r="AE412" s="12">
        <v>15574100000000</v>
      </c>
      <c r="AF412" s="12">
        <v>16378700000000</v>
      </c>
    </row>
    <row r="413" spans="1:32" x14ac:dyDescent="0.25">
      <c r="A413" s="25" t="s">
        <v>482</v>
      </c>
      <c r="B413" s="25">
        <v>0</v>
      </c>
      <c r="C413" s="25">
        <v>0</v>
      </c>
      <c r="D413" s="25">
        <v>0</v>
      </c>
      <c r="E413" s="25">
        <v>0</v>
      </c>
      <c r="F413" s="25">
        <v>0</v>
      </c>
      <c r="G413" s="25">
        <v>0</v>
      </c>
      <c r="H413" s="25">
        <v>0</v>
      </c>
      <c r="I413" s="25">
        <v>0</v>
      </c>
      <c r="J413" s="25">
        <v>0</v>
      </c>
      <c r="K413" s="25">
        <v>0</v>
      </c>
      <c r="L413" s="25">
        <v>0</v>
      </c>
      <c r="M413" s="25">
        <v>0</v>
      </c>
      <c r="N413" s="25">
        <v>0</v>
      </c>
      <c r="O413" s="25">
        <v>0</v>
      </c>
      <c r="P413" s="25">
        <v>0</v>
      </c>
      <c r="Q413" s="25">
        <v>0</v>
      </c>
      <c r="R413" s="25">
        <v>0</v>
      </c>
      <c r="S413" s="25">
        <v>0</v>
      </c>
      <c r="T413" s="25">
        <v>0</v>
      </c>
      <c r="U413" s="25">
        <v>0</v>
      </c>
      <c r="V413" s="25">
        <v>0</v>
      </c>
      <c r="W413" s="25">
        <v>0</v>
      </c>
      <c r="X413" s="25">
        <v>0</v>
      </c>
      <c r="Y413" s="25">
        <v>0</v>
      </c>
      <c r="Z413" s="25">
        <v>0</v>
      </c>
      <c r="AA413" s="25">
        <v>0</v>
      </c>
      <c r="AB413" s="25">
        <v>0</v>
      </c>
      <c r="AC413" s="25">
        <v>0</v>
      </c>
      <c r="AD413" s="25">
        <v>0</v>
      </c>
      <c r="AE413" s="25">
        <v>0</v>
      </c>
      <c r="AF413" s="25">
        <v>0</v>
      </c>
    </row>
    <row r="414" spans="1:32" x14ac:dyDescent="0.25">
      <c r="A414" s="25" t="s">
        <v>483</v>
      </c>
      <c r="B414" s="12">
        <v>0</v>
      </c>
      <c r="C414" s="12">
        <v>153728000</v>
      </c>
      <c r="D414" s="12">
        <v>414298000</v>
      </c>
      <c r="E414" s="12">
        <v>808890000</v>
      </c>
      <c r="F414" s="12">
        <v>1328070000</v>
      </c>
      <c r="G414" s="12">
        <v>2035520000</v>
      </c>
      <c r="H414" s="12">
        <v>2984550000</v>
      </c>
      <c r="I414" s="12">
        <v>4177360000</v>
      </c>
      <c r="J414" s="12">
        <v>5853580000</v>
      </c>
      <c r="K414" s="12">
        <v>8003570000</v>
      </c>
      <c r="L414" s="12">
        <v>11015800000</v>
      </c>
      <c r="M414" s="12">
        <v>15036000000</v>
      </c>
      <c r="N414" s="12">
        <v>20277100000</v>
      </c>
      <c r="O414" s="12">
        <v>27354700000</v>
      </c>
      <c r="P414" s="12">
        <v>35690300000</v>
      </c>
      <c r="Q414" s="12">
        <v>46500800000</v>
      </c>
      <c r="R414" s="12">
        <v>59599800000</v>
      </c>
      <c r="S414" s="12">
        <v>75342000000</v>
      </c>
      <c r="T414" s="12">
        <v>93697000000</v>
      </c>
      <c r="U414" s="12">
        <v>114528000000</v>
      </c>
      <c r="V414" s="12">
        <v>139302000000</v>
      </c>
      <c r="W414" s="12">
        <v>165183000000</v>
      </c>
      <c r="X414" s="12">
        <v>195276000000</v>
      </c>
      <c r="Y414" s="12">
        <v>227636000000</v>
      </c>
      <c r="Z414" s="12">
        <v>262048000000</v>
      </c>
      <c r="AA414" s="12">
        <v>297962000000</v>
      </c>
      <c r="AB414" s="12">
        <v>335385000000</v>
      </c>
      <c r="AC414" s="12">
        <v>373267000000</v>
      </c>
      <c r="AD414" s="12">
        <v>414133000000</v>
      </c>
      <c r="AE414" s="12">
        <v>455965000000</v>
      </c>
      <c r="AF414" s="12">
        <v>494961000000</v>
      </c>
    </row>
    <row r="415" spans="1:32" x14ac:dyDescent="0.25">
      <c r="A415" s="25" t="s">
        <v>484</v>
      </c>
      <c r="B415" s="25">
        <v>0</v>
      </c>
      <c r="C415" s="25">
        <v>0</v>
      </c>
      <c r="D415" s="25">
        <v>0</v>
      </c>
      <c r="E415" s="25">
        <v>0</v>
      </c>
      <c r="F415" s="25">
        <v>0</v>
      </c>
      <c r="G415" s="25">
        <v>0</v>
      </c>
      <c r="H415" s="25">
        <v>0</v>
      </c>
      <c r="I415" s="25">
        <v>0</v>
      </c>
      <c r="J415" s="25">
        <v>0</v>
      </c>
      <c r="K415" s="25">
        <v>0</v>
      </c>
      <c r="L415" s="25">
        <v>0</v>
      </c>
      <c r="M415" s="25">
        <v>0</v>
      </c>
      <c r="N415" s="25">
        <v>0</v>
      </c>
      <c r="O415" s="25">
        <v>0</v>
      </c>
      <c r="P415" s="25">
        <v>0</v>
      </c>
      <c r="Q415" s="25">
        <v>0</v>
      </c>
      <c r="R415" s="25">
        <v>0</v>
      </c>
      <c r="S415" s="25">
        <v>0</v>
      </c>
      <c r="T415" s="25">
        <v>0</v>
      </c>
      <c r="U415" s="25">
        <v>0</v>
      </c>
      <c r="V415" s="25">
        <v>0</v>
      </c>
      <c r="W415" s="25">
        <v>0</v>
      </c>
      <c r="X415" s="25">
        <v>0</v>
      </c>
      <c r="Y415" s="25">
        <v>0</v>
      </c>
      <c r="Z415" s="25">
        <v>0</v>
      </c>
      <c r="AA415" s="25">
        <v>0</v>
      </c>
      <c r="AB415" s="25">
        <v>0</v>
      </c>
      <c r="AC415" s="25">
        <v>0</v>
      </c>
      <c r="AD415" s="25">
        <v>0</v>
      </c>
      <c r="AE415" s="25">
        <v>0</v>
      </c>
      <c r="AF415" s="25">
        <v>0</v>
      </c>
    </row>
    <row r="416" spans="1:32" x14ac:dyDescent="0.25">
      <c r="A416" s="25" t="s">
        <v>485</v>
      </c>
      <c r="B416" s="25">
        <v>0</v>
      </c>
      <c r="C416" s="25">
        <v>0</v>
      </c>
      <c r="D416" s="25">
        <v>0</v>
      </c>
      <c r="E416" s="25">
        <v>0</v>
      </c>
      <c r="F416" s="25">
        <v>0</v>
      </c>
      <c r="G416" s="25">
        <v>0</v>
      </c>
      <c r="H416" s="25">
        <v>0</v>
      </c>
      <c r="I416" s="25">
        <v>0</v>
      </c>
      <c r="J416" s="25">
        <v>0</v>
      </c>
      <c r="K416" s="25">
        <v>0</v>
      </c>
      <c r="L416" s="25">
        <v>0</v>
      </c>
      <c r="M416" s="25">
        <v>0</v>
      </c>
      <c r="N416" s="25">
        <v>0</v>
      </c>
      <c r="O416" s="25">
        <v>0</v>
      </c>
      <c r="P416" s="25">
        <v>0</v>
      </c>
      <c r="Q416" s="25">
        <v>0</v>
      </c>
      <c r="R416" s="25">
        <v>0</v>
      </c>
      <c r="S416" s="25">
        <v>0</v>
      </c>
      <c r="T416" s="25">
        <v>0</v>
      </c>
      <c r="U416" s="25">
        <v>0</v>
      </c>
      <c r="V416" s="25">
        <v>0</v>
      </c>
      <c r="W416" s="25">
        <v>0</v>
      </c>
      <c r="X416" s="25">
        <v>0</v>
      </c>
      <c r="Y416" s="25">
        <v>0</v>
      </c>
      <c r="Z416" s="25">
        <v>0</v>
      </c>
      <c r="AA416" s="25">
        <v>0</v>
      </c>
      <c r="AB416" s="25">
        <v>0</v>
      </c>
      <c r="AC416" s="25">
        <v>0</v>
      </c>
      <c r="AD416" s="25">
        <v>0</v>
      </c>
      <c r="AE416" s="25">
        <v>0</v>
      </c>
      <c r="AF416" s="25">
        <v>0</v>
      </c>
    </row>
    <row r="417" spans="1:32" x14ac:dyDescent="0.25">
      <c r="A417" s="25" t="s">
        <v>486</v>
      </c>
      <c r="B417" s="25">
        <v>0</v>
      </c>
      <c r="C417" s="25">
        <v>0</v>
      </c>
      <c r="D417" s="25">
        <v>0</v>
      </c>
      <c r="E417" s="25">
        <v>0</v>
      </c>
      <c r="F417" s="25">
        <v>0</v>
      </c>
      <c r="G417" s="25">
        <v>0</v>
      </c>
      <c r="H417" s="25">
        <v>0</v>
      </c>
      <c r="I417" s="25">
        <v>0</v>
      </c>
      <c r="J417" s="25">
        <v>0</v>
      </c>
      <c r="K417" s="25">
        <v>0</v>
      </c>
      <c r="L417" s="25">
        <v>0</v>
      </c>
      <c r="M417" s="25">
        <v>0</v>
      </c>
      <c r="N417" s="25">
        <v>0</v>
      </c>
      <c r="O417" s="25">
        <v>0</v>
      </c>
      <c r="P417" s="25">
        <v>0</v>
      </c>
      <c r="Q417" s="25">
        <v>0</v>
      </c>
      <c r="R417" s="25">
        <v>0</v>
      </c>
      <c r="S417" s="25">
        <v>0</v>
      </c>
      <c r="T417" s="25">
        <v>0</v>
      </c>
      <c r="U417" s="25">
        <v>0</v>
      </c>
      <c r="V417" s="25">
        <v>0</v>
      </c>
      <c r="W417" s="25">
        <v>0</v>
      </c>
      <c r="X417" s="25">
        <v>0</v>
      </c>
      <c r="Y417" s="25">
        <v>0</v>
      </c>
      <c r="Z417" s="25">
        <v>0</v>
      </c>
      <c r="AA417" s="25">
        <v>0</v>
      </c>
      <c r="AB417" s="25">
        <v>0</v>
      </c>
      <c r="AC417" s="25">
        <v>0</v>
      </c>
      <c r="AD417" s="25">
        <v>0</v>
      </c>
      <c r="AE417" s="25">
        <v>0</v>
      </c>
      <c r="AF417" s="25">
        <v>0</v>
      </c>
    </row>
    <row r="418" spans="1:32" x14ac:dyDescent="0.25">
      <c r="A418" s="25" t="s">
        <v>487</v>
      </c>
      <c r="B418" s="25">
        <v>0</v>
      </c>
      <c r="C418" s="25">
        <v>0</v>
      </c>
      <c r="D418" s="25">
        <v>0</v>
      </c>
      <c r="E418" s="25">
        <v>0</v>
      </c>
      <c r="F418" s="25">
        <v>0</v>
      </c>
      <c r="G418" s="25">
        <v>0</v>
      </c>
      <c r="H418" s="25">
        <v>0</v>
      </c>
      <c r="I418" s="25">
        <v>0</v>
      </c>
      <c r="J418" s="25">
        <v>0</v>
      </c>
      <c r="K418" s="25">
        <v>0</v>
      </c>
      <c r="L418" s="25">
        <v>0</v>
      </c>
      <c r="M418" s="25">
        <v>0</v>
      </c>
      <c r="N418" s="25">
        <v>0</v>
      </c>
      <c r="O418" s="25">
        <v>0</v>
      </c>
      <c r="P418" s="25">
        <v>0</v>
      </c>
      <c r="Q418" s="25">
        <v>0</v>
      </c>
      <c r="R418" s="25">
        <v>0</v>
      </c>
      <c r="S418" s="25">
        <v>0</v>
      </c>
      <c r="T418" s="25">
        <v>0</v>
      </c>
      <c r="U418" s="25">
        <v>0</v>
      </c>
      <c r="V418" s="25">
        <v>0</v>
      </c>
      <c r="W418" s="25">
        <v>0</v>
      </c>
      <c r="X418" s="25">
        <v>0</v>
      </c>
      <c r="Y418" s="25">
        <v>0</v>
      </c>
      <c r="Z418" s="25">
        <v>0</v>
      </c>
      <c r="AA418" s="25">
        <v>0</v>
      </c>
      <c r="AB418" s="25">
        <v>0</v>
      </c>
      <c r="AC418" s="25">
        <v>0</v>
      </c>
      <c r="AD418" s="25">
        <v>0</v>
      </c>
      <c r="AE418" s="25">
        <v>0</v>
      </c>
      <c r="AF418" s="25">
        <v>0</v>
      </c>
    </row>
    <row r="419" spans="1:32" x14ac:dyDescent="0.25">
      <c r="A419" s="25" t="s">
        <v>488</v>
      </c>
      <c r="B419" s="25">
        <v>0</v>
      </c>
      <c r="C419" s="25">
        <v>0</v>
      </c>
      <c r="D419" s="25">
        <v>0</v>
      </c>
      <c r="E419" s="25">
        <v>0</v>
      </c>
      <c r="F419" s="25">
        <v>0</v>
      </c>
      <c r="G419" s="25">
        <v>0</v>
      </c>
      <c r="H419" s="25">
        <v>0</v>
      </c>
      <c r="I419" s="25">
        <v>0</v>
      </c>
      <c r="J419" s="25">
        <v>0</v>
      </c>
      <c r="K419" s="25">
        <v>0</v>
      </c>
      <c r="L419" s="25">
        <v>0</v>
      </c>
      <c r="M419" s="25">
        <v>0</v>
      </c>
      <c r="N419" s="25">
        <v>0</v>
      </c>
      <c r="O419" s="25">
        <v>0</v>
      </c>
      <c r="P419" s="25">
        <v>0</v>
      </c>
      <c r="Q419" s="25">
        <v>0</v>
      </c>
      <c r="R419" s="25">
        <v>0</v>
      </c>
      <c r="S419" s="25">
        <v>0</v>
      </c>
      <c r="T419" s="25">
        <v>0</v>
      </c>
      <c r="U419" s="25">
        <v>0</v>
      </c>
      <c r="V419" s="25">
        <v>0</v>
      </c>
      <c r="W419" s="25">
        <v>0</v>
      </c>
      <c r="X419" s="25">
        <v>0</v>
      </c>
      <c r="Y419" s="25">
        <v>0</v>
      </c>
      <c r="Z419" s="25">
        <v>0</v>
      </c>
      <c r="AA419" s="25">
        <v>0</v>
      </c>
      <c r="AB419" s="25">
        <v>0</v>
      </c>
      <c r="AC419" s="25">
        <v>0</v>
      </c>
      <c r="AD419" s="25">
        <v>0</v>
      </c>
      <c r="AE419" s="25">
        <v>0</v>
      </c>
      <c r="AF419" s="25">
        <v>0</v>
      </c>
    </row>
    <row r="420" spans="1:32" x14ac:dyDescent="0.25">
      <c r="A420" s="25" t="s">
        <v>489</v>
      </c>
      <c r="B420" s="25">
        <v>0</v>
      </c>
      <c r="C420" s="25">
        <v>0</v>
      </c>
      <c r="D420" s="25">
        <v>0</v>
      </c>
      <c r="E420" s="25">
        <v>0</v>
      </c>
      <c r="F420" s="25">
        <v>0</v>
      </c>
      <c r="G420" s="25">
        <v>0</v>
      </c>
      <c r="H420" s="25">
        <v>0</v>
      </c>
      <c r="I420" s="25">
        <v>0</v>
      </c>
      <c r="J420" s="25">
        <v>0</v>
      </c>
      <c r="K420" s="25">
        <v>0</v>
      </c>
      <c r="L420" s="25">
        <v>0</v>
      </c>
      <c r="M420" s="25">
        <v>0</v>
      </c>
      <c r="N420" s="25">
        <v>0</v>
      </c>
      <c r="O420" s="25">
        <v>0</v>
      </c>
      <c r="P420" s="25">
        <v>0</v>
      </c>
      <c r="Q420" s="25">
        <v>0</v>
      </c>
      <c r="R420" s="25">
        <v>0</v>
      </c>
      <c r="S420" s="25">
        <v>0</v>
      </c>
      <c r="T420" s="25">
        <v>0</v>
      </c>
      <c r="U420" s="25">
        <v>0</v>
      </c>
      <c r="V420" s="25">
        <v>0</v>
      </c>
      <c r="W420" s="25">
        <v>0</v>
      </c>
      <c r="X420" s="25">
        <v>0</v>
      </c>
      <c r="Y420" s="25">
        <v>0</v>
      </c>
      <c r="Z420" s="25">
        <v>0</v>
      </c>
      <c r="AA420" s="25">
        <v>0</v>
      </c>
      <c r="AB420" s="25">
        <v>0</v>
      </c>
      <c r="AC420" s="25">
        <v>0</v>
      </c>
      <c r="AD420" s="25">
        <v>0</v>
      </c>
      <c r="AE420" s="25">
        <v>0</v>
      </c>
      <c r="AF420" s="25">
        <v>0</v>
      </c>
    </row>
    <row r="421" spans="1:32" x14ac:dyDescent="0.25">
      <c r="A421" s="25" t="s">
        <v>490</v>
      </c>
      <c r="B421" s="25">
        <v>0</v>
      </c>
      <c r="C421" s="25">
        <v>0</v>
      </c>
      <c r="D421" s="25">
        <v>0</v>
      </c>
      <c r="E421" s="25">
        <v>0</v>
      </c>
      <c r="F421" s="25">
        <v>0</v>
      </c>
      <c r="G421" s="25">
        <v>0</v>
      </c>
      <c r="H421" s="25">
        <v>0</v>
      </c>
      <c r="I421" s="25">
        <v>0</v>
      </c>
      <c r="J421" s="25">
        <v>0</v>
      </c>
      <c r="K421" s="25">
        <v>0</v>
      </c>
      <c r="L421" s="25">
        <v>0</v>
      </c>
      <c r="M421" s="25">
        <v>0</v>
      </c>
      <c r="N421" s="25">
        <v>0</v>
      </c>
      <c r="O421" s="25">
        <v>0</v>
      </c>
      <c r="P421" s="25">
        <v>0</v>
      </c>
      <c r="Q421" s="25">
        <v>0</v>
      </c>
      <c r="R421" s="25">
        <v>0</v>
      </c>
      <c r="S421" s="25">
        <v>0</v>
      </c>
      <c r="T421" s="25">
        <v>0</v>
      </c>
      <c r="U421" s="25">
        <v>0</v>
      </c>
      <c r="V421" s="25">
        <v>0</v>
      </c>
      <c r="W421" s="25">
        <v>0</v>
      </c>
      <c r="X421" s="25">
        <v>0</v>
      </c>
      <c r="Y421" s="25">
        <v>0</v>
      </c>
      <c r="Z421" s="25">
        <v>0</v>
      </c>
      <c r="AA421" s="25">
        <v>0</v>
      </c>
      <c r="AB421" s="25">
        <v>0</v>
      </c>
      <c r="AC421" s="25">
        <v>0</v>
      </c>
      <c r="AD421" s="25">
        <v>0</v>
      </c>
      <c r="AE421" s="25">
        <v>0</v>
      </c>
      <c r="AF421" s="25">
        <v>0</v>
      </c>
    </row>
    <row r="422" spans="1:32" x14ac:dyDescent="0.25">
      <c r="A422" s="25" t="s">
        <v>491</v>
      </c>
      <c r="B422" s="25">
        <v>0</v>
      </c>
      <c r="C422" s="25">
        <v>0</v>
      </c>
      <c r="D422" s="25">
        <v>0</v>
      </c>
      <c r="E422" s="25">
        <v>0</v>
      </c>
      <c r="F422" s="25">
        <v>0</v>
      </c>
      <c r="G422" s="25">
        <v>0</v>
      </c>
      <c r="H422" s="25">
        <v>0</v>
      </c>
      <c r="I422" s="25">
        <v>0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  <c r="O422" s="25">
        <v>0</v>
      </c>
      <c r="P422" s="25">
        <v>0</v>
      </c>
      <c r="Q422" s="25">
        <v>0</v>
      </c>
      <c r="R422" s="25">
        <v>0</v>
      </c>
      <c r="S422" s="25">
        <v>0</v>
      </c>
      <c r="T422" s="25">
        <v>0</v>
      </c>
      <c r="U422" s="25">
        <v>0</v>
      </c>
      <c r="V422" s="25">
        <v>0</v>
      </c>
      <c r="W422" s="25">
        <v>0</v>
      </c>
      <c r="X422" s="25">
        <v>0</v>
      </c>
      <c r="Y422" s="25">
        <v>0</v>
      </c>
      <c r="Z422" s="25">
        <v>0</v>
      </c>
      <c r="AA422" s="25">
        <v>0</v>
      </c>
      <c r="AB422" s="25">
        <v>0</v>
      </c>
      <c r="AC422" s="25">
        <v>0</v>
      </c>
      <c r="AD422" s="25">
        <v>0</v>
      </c>
      <c r="AE422" s="25">
        <v>0</v>
      </c>
      <c r="AF422" s="25">
        <v>0</v>
      </c>
    </row>
    <row r="423" spans="1:32" x14ac:dyDescent="0.25">
      <c r="A423" s="25" t="s">
        <v>492</v>
      </c>
      <c r="B423" s="25">
        <v>0</v>
      </c>
      <c r="C423" s="25">
        <v>0</v>
      </c>
      <c r="D423" s="25">
        <v>0</v>
      </c>
      <c r="E423" s="25">
        <v>0</v>
      </c>
      <c r="F423" s="25">
        <v>0</v>
      </c>
      <c r="G423" s="25">
        <v>0</v>
      </c>
      <c r="H423" s="25">
        <v>0</v>
      </c>
      <c r="I423" s="25">
        <v>0</v>
      </c>
      <c r="J423" s="25">
        <v>0</v>
      </c>
      <c r="K423" s="25">
        <v>0</v>
      </c>
      <c r="L423" s="25">
        <v>0</v>
      </c>
      <c r="M423" s="25">
        <v>0</v>
      </c>
      <c r="N423" s="25">
        <v>0</v>
      </c>
      <c r="O423" s="25">
        <v>0</v>
      </c>
      <c r="P423" s="25">
        <v>0</v>
      </c>
      <c r="Q423" s="25">
        <v>0</v>
      </c>
      <c r="R423" s="25">
        <v>0</v>
      </c>
      <c r="S423" s="25">
        <v>0</v>
      </c>
      <c r="T423" s="25">
        <v>0</v>
      </c>
      <c r="U423" s="25">
        <v>0</v>
      </c>
      <c r="V423" s="25">
        <v>0</v>
      </c>
      <c r="W423" s="25">
        <v>0</v>
      </c>
      <c r="X423" s="25">
        <v>0</v>
      </c>
      <c r="Y423" s="25">
        <v>0</v>
      </c>
      <c r="Z423" s="25">
        <v>0</v>
      </c>
      <c r="AA423" s="25">
        <v>0</v>
      </c>
      <c r="AB423" s="25">
        <v>0</v>
      </c>
      <c r="AC423" s="25">
        <v>0</v>
      </c>
      <c r="AD423" s="25">
        <v>0</v>
      </c>
      <c r="AE423" s="25">
        <v>0</v>
      </c>
      <c r="AF423" s="25">
        <v>0</v>
      </c>
    </row>
    <row r="424" spans="1:32" x14ac:dyDescent="0.25">
      <c r="A424" s="25" t="s">
        <v>493</v>
      </c>
      <c r="B424" s="25">
        <v>0</v>
      </c>
      <c r="C424" s="25">
        <v>0</v>
      </c>
      <c r="D424" s="25">
        <v>0</v>
      </c>
      <c r="E424" s="25">
        <v>0</v>
      </c>
      <c r="F424" s="25">
        <v>0</v>
      </c>
      <c r="G424" s="25">
        <v>0</v>
      </c>
      <c r="H424" s="25">
        <v>0</v>
      </c>
      <c r="I424" s="25">
        <v>0</v>
      </c>
      <c r="J424" s="25">
        <v>0</v>
      </c>
      <c r="K424" s="25">
        <v>0</v>
      </c>
      <c r="L424" s="25">
        <v>0</v>
      </c>
      <c r="M424" s="25">
        <v>0</v>
      </c>
      <c r="N424" s="25">
        <v>0</v>
      </c>
      <c r="O424" s="25">
        <v>0</v>
      </c>
      <c r="P424" s="25">
        <v>0</v>
      </c>
      <c r="Q424" s="25">
        <v>0</v>
      </c>
      <c r="R424" s="25">
        <v>0</v>
      </c>
      <c r="S424" s="25">
        <v>0</v>
      </c>
      <c r="T424" s="25">
        <v>0</v>
      </c>
      <c r="U424" s="25">
        <v>0</v>
      </c>
      <c r="V424" s="25">
        <v>0</v>
      </c>
      <c r="W424" s="25">
        <v>0</v>
      </c>
      <c r="X424" s="25">
        <v>0</v>
      </c>
      <c r="Y424" s="25">
        <v>0</v>
      </c>
      <c r="Z424" s="25">
        <v>0</v>
      </c>
      <c r="AA424" s="25">
        <v>0</v>
      </c>
      <c r="AB424" s="25">
        <v>0</v>
      </c>
      <c r="AC424" s="25">
        <v>0</v>
      </c>
      <c r="AD424" s="25">
        <v>0</v>
      </c>
      <c r="AE424" s="25">
        <v>0</v>
      </c>
      <c r="AF424" s="25">
        <v>0</v>
      </c>
    </row>
    <row r="425" spans="1:32" x14ac:dyDescent="0.25">
      <c r="A425" s="25" t="s">
        <v>494</v>
      </c>
      <c r="B425" s="25">
        <v>0</v>
      </c>
      <c r="C425" s="25">
        <v>0</v>
      </c>
      <c r="D425" s="25">
        <v>0</v>
      </c>
      <c r="E425" s="25">
        <v>0</v>
      </c>
      <c r="F425" s="25">
        <v>0</v>
      </c>
      <c r="G425" s="25">
        <v>0</v>
      </c>
      <c r="H425" s="25">
        <v>0</v>
      </c>
      <c r="I425" s="25">
        <v>0</v>
      </c>
      <c r="J425" s="25">
        <v>0</v>
      </c>
      <c r="K425" s="25">
        <v>0</v>
      </c>
      <c r="L425" s="25">
        <v>0</v>
      </c>
      <c r="M425" s="25">
        <v>0</v>
      </c>
      <c r="N425" s="25">
        <v>0</v>
      </c>
      <c r="O425" s="25">
        <v>0</v>
      </c>
      <c r="P425" s="25">
        <v>0</v>
      </c>
      <c r="Q425" s="25">
        <v>0</v>
      </c>
      <c r="R425" s="25">
        <v>0</v>
      </c>
      <c r="S425" s="25">
        <v>0</v>
      </c>
      <c r="T425" s="25">
        <v>0</v>
      </c>
      <c r="U425" s="25">
        <v>0</v>
      </c>
      <c r="V425" s="25">
        <v>0</v>
      </c>
      <c r="W425" s="25">
        <v>0</v>
      </c>
      <c r="X425" s="25">
        <v>0</v>
      </c>
      <c r="Y425" s="25">
        <v>0</v>
      </c>
      <c r="Z425" s="25">
        <v>0</v>
      </c>
      <c r="AA425" s="25">
        <v>0</v>
      </c>
      <c r="AB425" s="25">
        <v>0</v>
      </c>
      <c r="AC425" s="25">
        <v>0</v>
      </c>
      <c r="AD425" s="25">
        <v>0</v>
      </c>
      <c r="AE425" s="25">
        <v>0</v>
      </c>
      <c r="AF425" s="25">
        <v>0</v>
      </c>
    </row>
    <row r="426" spans="1:32" x14ac:dyDescent="0.25">
      <c r="A426" s="25" t="s">
        <v>495</v>
      </c>
      <c r="B426" s="25">
        <v>0</v>
      </c>
      <c r="C426" s="25">
        <v>0</v>
      </c>
      <c r="D426" s="25">
        <v>0</v>
      </c>
      <c r="E426" s="25">
        <v>0</v>
      </c>
      <c r="F426" s="25">
        <v>0</v>
      </c>
      <c r="G426" s="25">
        <v>0</v>
      </c>
      <c r="H426" s="25">
        <v>0</v>
      </c>
      <c r="I426" s="25">
        <v>0</v>
      </c>
      <c r="J426" s="25">
        <v>0</v>
      </c>
      <c r="K426" s="25">
        <v>0</v>
      </c>
      <c r="L426" s="25">
        <v>0</v>
      </c>
      <c r="M426" s="25">
        <v>0</v>
      </c>
      <c r="N426" s="25">
        <v>0</v>
      </c>
      <c r="O426" s="25">
        <v>0</v>
      </c>
      <c r="P426" s="25">
        <v>0</v>
      </c>
      <c r="Q426" s="25">
        <v>0</v>
      </c>
      <c r="R426" s="25">
        <v>0</v>
      </c>
      <c r="S426" s="25">
        <v>0</v>
      </c>
      <c r="T426" s="25">
        <v>0</v>
      </c>
      <c r="U426" s="25">
        <v>0</v>
      </c>
      <c r="V426" s="25">
        <v>0</v>
      </c>
      <c r="W426" s="25">
        <v>0</v>
      </c>
      <c r="X426" s="25">
        <v>0</v>
      </c>
      <c r="Y426" s="25">
        <v>0</v>
      </c>
      <c r="Z426" s="25">
        <v>0</v>
      </c>
      <c r="AA426" s="25">
        <v>0</v>
      </c>
      <c r="AB426" s="25">
        <v>0</v>
      </c>
      <c r="AC426" s="25">
        <v>0</v>
      </c>
      <c r="AD426" s="25">
        <v>0</v>
      </c>
      <c r="AE426" s="25">
        <v>0</v>
      </c>
      <c r="AF426" s="25">
        <v>0</v>
      </c>
    </row>
    <row r="427" spans="1:32" x14ac:dyDescent="0.25">
      <c r="A427" s="25" t="s">
        <v>496</v>
      </c>
      <c r="B427" s="25">
        <v>0</v>
      </c>
      <c r="C427" s="25">
        <v>0</v>
      </c>
      <c r="D427" s="25">
        <v>0</v>
      </c>
      <c r="E427" s="25">
        <v>0</v>
      </c>
      <c r="F427" s="25">
        <v>0</v>
      </c>
      <c r="G427" s="25">
        <v>0</v>
      </c>
      <c r="H427" s="25">
        <v>0</v>
      </c>
      <c r="I427" s="25">
        <v>0</v>
      </c>
      <c r="J427" s="25">
        <v>0</v>
      </c>
      <c r="K427" s="25">
        <v>0</v>
      </c>
      <c r="L427" s="25">
        <v>0</v>
      </c>
      <c r="M427" s="25">
        <v>0</v>
      </c>
      <c r="N427" s="25">
        <v>0</v>
      </c>
      <c r="O427" s="25">
        <v>0</v>
      </c>
      <c r="P427" s="25">
        <v>0</v>
      </c>
      <c r="Q427" s="25">
        <v>0</v>
      </c>
      <c r="R427" s="25">
        <v>0</v>
      </c>
      <c r="S427" s="25">
        <v>0</v>
      </c>
      <c r="T427" s="25">
        <v>0</v>
      </c>
      <c r="U427" s="25">
        <v>0</v>
      </c>
      <c r="V427" s="25">
        <v>0</v>
      </c>
      <c r="W427" s="25">
        <v>0</v>
      </c>
      <c r="X427" s="25">
        <v>0</v>
      </c>
      <c r="Y427" s="25">
        <v>0</v>
      </c>
      <c r="Z427" s="25">
        <v>0</v>
      </c>
      <c r="AA427" s="25">
        <v>0</v>
      </c>
      <c r="AB427" s="25">
        <v>0</v>
      </c>
      <c r="AC427" s="25">
        <v>0</v>
      </c>
      <c r="AD427" s="25">
        <v>0</v>
      </c>
      <c r="AE427" s="25">
        <v>0</v>
      </c>
      <c r="AF427" s="25">
        <v>0</v>
      </c>
    </row>
    <row r="428" spans="1:32" x14ac:dyDescent="0.25">
      <c r="A428" s="25" t="s">
        <v>497</v>
      </c>
      <c r="B428" s="12">
        <v>1172980000000</v>
      </c>
      <c r="C428" s="12">
        <v>1204000000000</v>
      </c>
      <c r="D428" s="12">
        <v>1155200000000</v>
      </c>
      <c r="E428" s="12">
        <v>1091040000000</v>
      </c>
      <c r="F428" s="12">
        <v>1017000000000</v>
      </c>
      <c r="G428" s="12">
        <v>942017000000</v>
      </c>
      <c r="H428" s="12">
        <v>863276000000</v>
      </c>
      <c r="I428" s="12">
        <v>780776000000</v>
      </c>
      <c r="J428" s="12">
        <v>698114000000</v>
      </c>
      <c r="K428" s="12">
        <v>615289000000</v>
      </c>
      <c r="L428" s="12">
        <v>531238000000</v>
      </c>
      <c r="M428" s="12">
        <v>447134000000</v>
      </c>
      <c r="N428" s="12">
        <v>362832000000</v>
      </c>
      <c r="O428" s="12">
        <v>279550000000</v>
      </c>
      <c r="P428" s="12">
        <v>282234000000</v>
      </c>
      <c r="Q428" s="12">
        <v>287925000000</v>
      </c>
      <c r="R428" s="12">
        <v>289633000000</v>
      </c>
      <c r="S428" s="12">
        <v>291780000000</v>
      </c>
      <c r="T428" s="12">
        <v>295254000000</v>
      </c>
      <c r="U428" s="12">
        <v>298650000000</v>
      </c>
      <c r="V428" s="12">
        <v>303432000000</v>
      </c>
      <c r="W428" s="12">
        <v>309910000000</v>
      </c>
      <c r="X428" s="12">
        <v>317964000000</v>
      </c>
      <c r="Y428" s="12">
        <v>326698000000</v>
      </c>
      <c r="Z428" s="12">
        <v>336053000000</v>
      </c>
      <c r="AA428" s="12">
        <v>345428000000</v>
      </c>
      <c r="AB428" s="12">
        <v>355795000000</v>
      </c>
      <c r="AC428" s="12">
        <v>366541000000</v>
      </c>
      <c r="AD428" s="12">
        <v>376123000000</v>
      </c>
      <c r="AE428" s="12">
        <v>388043000000</v>
      </c>
      <c r="AF428" s="12">
        <v>400787000000</v>
      </c>
    </row>
    <row r="429" spans="1:32" x14ac:dyDescent="0.25">
      <c r="A429" s="25" t="s">
        <v>498</v>
      </c>
      <c r="B429" s="25">
        <v>0</v>
      </c>
      <c r="C429" s="25">
        <v>0</v>
      </c>
      <c r="D429" s="25">
        <v>0</v>
      </c>
      <c r="E429" s="25">
        <v>0</v>
      </c>
      <c r="F429" s="25">
        <v>0</v>
      </c>
      <c r="G429" s="25">
        <v>0</v>
      </c>
      <c r="H429" s="25">
        <v>0</v>
      </c>
      <c r="I429" s="25">
        <v>0</v>
      </c>
      <c r="J429" s="25">
        <v>0</v>
      </c>
      <c r="K429" s="25">
        <v>0</v>
      </c>
      <c r="L429" s="25">
        <v>0</v>
      </c>
      <c r="M429" s="25">
        <v>0</v>
      </c>
      <c r="N429" s="25">
        <v>0</v>
      </c>
      <c r="O429" s="25">
        <v>0</v>
      </c>
      <c r="P429" s="25">
        <v>0</v>
      </c>
      <c r="Q429" s="25">
        <v>0</v>
      </c>
      <c r="R429" s="25">
        <v>0</v>
      </c>
      <c r="S429" s="25">
        <v>0</v>
      </c>
      <c r="T429" s="25">
        <v>0</v>
      </c>
      <c r="U429" s="25">
        <v>0</v>
      </c>
      <c r="V429" s="25">
        <v>0</v>
      </c>
      <c r="W429" s="25">
        <v>0</v>
      </c>
      <c r="X429" s="25">
        <v>0</v>
      </c>
      <c r="Y429" s="25">
        <v>0</v>
      </c>
      <c r="Z429" s="25">
        <v>0</v>
      </c>
      <c r="AA429" s="25">
        <v>0</v>
      </c>
      <c r="AB429" s="25">
        <v>0</v>
      </c>
      <c r="AC429" s="25">
        <v>0</v>
      </c>
      <c r="AD429" s="25">
        <v>0</v>
      </c>
      <c r="AE429" s="25">
        <v>0</v>
      </c>
      <c r="AF429" s="25">
        <v>0</v>
      </c>
    </row>
    <row r="430" spans="1:32" x14ac:dyDescent="0.25">
      <c r="A430" s="25" t="s">
        <v>499</v>
      </c>
      <c r="B430" s="25">
        <v>0</v>
      </c>
      <c r="C430" s="25">
        <v>0</v>
      </c>
      <c r="D430" s="25">
        <v>0</v>
      </c>
      <c r="E430" s="25">
        <v>0</v>
      </c>
      <c r="F430" s="25">
        <v>0</v>
      </c>
      <c r="G430" s="25">
        <v>0</v>
      </c>
      <c r="H430" s="25">
        <v>0</v>
      </c>
      <c r="I430" s="25">
        <v>0</v>
      </c>
      <c r="J430" s="25">
        <v>0</v>
      </c>
      <c r="K430" s="25">
        <v>0</v>
      </c>
      <c r="L430" s="25">
        <v>0</v>
      </c>
      <c r="M430" s="25">
        <v>0</v>
      </c>
      <c r="N430" s="25">
        <v>0</v>
      </c>
      <c r="O430" s="25">
        <v>0</v>
      </c>
      <c r="P430" s="25">
        <v>0</v>
      </c>
      <c r="Q430" s="25">
        <v>0</v>
      </c>
      <c r="R430" s="25">
        <v>0</v>
      </c>
      <c r="S430" s="25">
        <v>0</v>
      </c>
      <c r="T430" s="25">
        <v>0</v>
      </c>
      <c r="U430" s="25">
        <v>0</v>
      </c>
      <c r="V430" s="25">
        <v>0</v>
      </c>
      <c r="W430" s="25">
        <v>0</v>
      </c>
      <c r="X430" s="25">
        <v>0</v>
      </c>
      <c r="Y430" s="25">
        <v>0</v>
      </c>
      <c r="Z430" s="25">
        <v>0</v>
      </c>
      <c r="AA430" s="25">
        <v>0</v>
      </c>
      <c r="AB430" s="25">
        <v>0</v>
      </c>
      <c r="AC430" s="25">
        <v>0</v>
      </c>
      <c r="AD430" s="25">
        <v>0</v>
      </c>
      <c r="AE430" s="25">
        <v>0</v>
      </c>
      <c r="AF430" s="25">
        <v>0</v>
      </c>
    </row>
    <row r="431" spans="1:32" x14ac:dyDescent="0.25">
      <c r="A431" s="25" t="s">
        <v>500</v>
      </c>
      <c r="B431" s="25">
        <v>0</v>
      </c>
      <c r="C431" s="25">
        <v>0</v>
      </c>
      <c r="D431" s="25">
        <v>0</v>
      </c>
      <c r="E431" s="25">
        <v>0</v>
      </c>
      <c r="F431" s="25">
        <v>0</v>
      </c>
      <c r="G431" s="25">
        <v>0</v>
      </c>
      <c r="H431" s="25">
        <v>0</v>
      </c>
      <c r="I431" s="25">
        <v>0</v>
      </c>
      <c r="J431" s="25">
        <v>0</v>
      </c>
      <c r="K431" s="25">
        <v>0</v>
      </c>
      <c r="L431" s="25">
        <v>0</v>
      </c>
      <c r="M431" s="25">
        <v>0</v>
      </c>
      <c r="N431" s="25">
        <v>0</v>
      </c>
      <c r="O431" s="25">
        <v>0</v>
      </c>
      <c r="P431" s="25">
        <v>0</v>
      </c>
      <c r="Q431" s="25">
        <v>0</v>
      </c>
      <c r="R431" s="25">
        <v>0</v>
      </c>
      <c r="S431" s="25">
        <v>0</v>
      </c>
      <c r="T431" s="25">
        <v>0</v>
      </c>
      <c r="U431" s="25">
        <v>0</v>
      </c>
      <c r="V431" s="25">
        <v>0</v>
      </c>
      <c r="W431" s="25">
        <v>0</v>
      </c>
      <c r="X431" s="25">
        <v>0</v>
      </c>
      <c r="Y431" s="25">
        <v>0</v>
      </c>
      <c r="Z431" s="25">
        <v>0</v>
      </c>
      <c r="AA431" s="25">
        <v>0</v>
      </c>
      <c r="AB431" s="25">
        <v>0</v>
      </c>
      <c r="AC431" s="25">
        <v>0</v>
      </c>
      <c r="AD431" s="25">
        <v>0</v>
      </c>
      <c r="AE431" s="25">
        <v>0</v>
      </c>
      <c r="AF431" s="25">
        <v>0</v>
      </c>
    </row>
    <row r="432" spans="1:32" x14ac:dyDescent="0.25">
      <c r="A432" s="25" t="s">
        <v>501</v>
      </c>
      <c r="B432" s="25">
        <v>0</v>
      </c>
      <c r="C432" s="25">
        <v>0</v>
      </c>
      <c r="D432" s="25">
        <v>0</v>
      </c>
      <c r="E432" s="25">
        <v>0</v>
      </c>
      <c r="F432" s="25">
        <v>0</v>
      </c>
      <c r="G432" s="25">
        <v>0</v>
      </c>
      <c r="H432" s="25">
        <v>0</v>
      </c>
      <c r="I432" s="25">
        <v>0</v>
      </c>
      <c r="J432" s="25">
        <v>0</v>
      </c>
      <c r="K432" s="25">
        <v>0</v>
      </c>
      <c r="L432" s="25">
        <v>0</v>
      </c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>
        <v>0</v>
      </c>
      <c r="S432" s="25">
        <v>0</v>
      </c>
      <c r="T432" s="25">
        <v>0</v>
      </c>
      <c r="U432" s="25">
        <v>0</v>
      </c>
      <c r="V432" s="25">
        <v>0</v>
      </c>
      <c r="W432" s="25">
        <v>0</v>
      </c>
      <c r="X432" s="25">
        <v>0</v>
      </c>
      <c r="Y432" s="25">
        <v>0</v>
      </c>
      <c r="Z432" s="25">
        <v>0</v>
      </c>
      <c r="AA432" s="25">
        <v>0</v>
      </c>
      <c r="AB432" s="25">
        <v>0</v>
      </c>
      <c r="AC432" s="25">
        <v>0</v>
      </c>
      <c r="AD432" s="25">
        <v>0</v>
      </c>
      <c r="AE432" s="25">
        <v>0</v>
      </c>
      <c r="AF432" s="25">
        <v>0</v>
      </c>
    </row>
    <row r="433" spans="1:32" x14ac:dyDescent="0.25">
      <c r="A433" s="25" t="s">
        <v>502</v>
      </c>
      <c r="B433" s="25">
        <v>0</v>
      </c>
      <c r="C433" s="25">
        <v>0</v>
      </c>
      <c r="D433" s="25">
        <v>0</v>
      </c>
      <c r="E433" s="25">
        <v>0</v>
      </c>
      <c r="F433" s="25">
        <v>0</v>
      </c>
      <c r="G433" s="25">
        <v>0</v>
      </c>
      <c r="H433" s="25">
        <v>0</v>
      </c>
      <c r="I433" s="25">
        <v>0</v>
      </c>
      <c r="J433" s="25">
        <v>0</v>
      </c>
      <c r="K433" s="25">
        <v>0</v>
      </c>
      <c r="L433" s="25">
        <v>0</v>
      </c>
      <c r="M433" s="25">
        <v>0</v>
      </c>
      <c r="N433" s="25">
        <v>0</v>
      </c>
      <c r="O433" s="25">
        <v>0</v>
      </c>
      <c r="P433" s="25">
        <v>0</v>
      </c>
      <c r="Q433" s="25">
        <v>0</v>
      </c>
      <c r="R433" s="25">
        <v>0</v>
      </c>
      <c r="S433" s="25">
        <v>0</v>
      </c>
      <c r="T433" s="25">
        <v>0</v>
      </c>
      <c r="U433" s="25">
        <v>0</v>
      </c>
      <c r="V433" s="25">
        <v>0</v>
      </c>
      <c r="W433" s="25">
        <v>0</v>
      </c>
      <c r="X433" s="25">
        <v>0</v>
      </c>
      <c r="Y433" s="25">
        <v>0</v>
      </c>
      <c r="Z433" s="25">
        <v>0</v>
      </c>
      <c r="AA433" s="25">
        <v>0</v>
      </c>
      <c r="AB433" s="25">
        <v>0</v>
      </c>
      <c r="AC433" s="25">
        <v>0</v>
      </c>
      <c r="AD433" s="25">
        <v>0</v>
      </c>
      <c r="AE433" s="25">
        <v>0</v>
      </c>
      <c r="AF433" s="25">
        <v>0</v>
      </c>
    </row>
    <row r="434" spans="1:32" x14ac:dyDescent="0.25">
      <c r="A434" s="25" t="s">
        <v>503</v>
      </c>
      <c r="B434" s="25">
        <v>0</v>
      </c>
      <c r="C434" s="25">
        <v>0</v>
      </c>
      <c r="D434" s="25">
        <v>0</v>
      </c>
      <c r="E434" s="25">
        <v>0</v>
      </c>
      <c r="F434" s="25">
        <v>0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  <c r="V434" s="25">
        <v>0</v>
      </c>
      <c r="W434" s="25">
        <v>0</v>
      </c>
      <c r="X434" s="25">
        <v>0</v>
      </c>
      <c r="Y434" s="25">
        <v>0</v>
      </c>
      <c r="Z434" s="25">
        <v>0</v>
      </c>
      <c r="AA434" s="25">
        <v>0</v>
      </c>
      <c r="AB434" s="25">
        <v>0</v>
      </c>
      <c r="AC434" s="25">
        <v>0</v>
      </c>
      <c r="AD434" s="25">
        <v>0</v>
      </c>
      <c r="AE434" s="25">
        <v>0</v>
      </c>
      <c r="AF434" s="25">
        <v>0</v>
      </c>
    </row>
    <row r="435" spans="1:32" x14ac:dyDescent="0.25">
      <c r="A435" s="25" t="s">
        <v>504</v>
      </c>
      <c r="B435" s="25">
        <v>0</v>
      </c>
      <c r="C435" s="25">
        <v>0</v>
      </c>
      <c r="D435" s="25">
        <v>0</v>
      </c>
      <c r="E435" s="25">
        <v>0</v>
      </c>
      <c r="F435" s="25">
        <v>0</v>
      </c>
      <c r="G435" s="25">
        <v>0</v>
      </c>
      <c r="H435" s="25">
        <v>0</v>
      </c>
      <c r="I435" s="25">
        <v>0</v>
      </c>
      <c r="J435" s="25">
        <v>0</v>
      </c>
      <c r="K435" s="25">
        <v>0</v>
      </c>
      <c r="L435" s="25">
        <v>0</v>
      </c>
      <c r="M435" s="25">
        <v>0</v>
      </c>
      <c r="N435" s="25">
        <v>0</v>
      </c>
      <c r="O435" s="25">
        <v>0</v>
      </c>
      <c r="P435" s="25">
        <v>0</v>
      </c>
      <c r="Q435" s="25">
        <v>0</v>
      </c>
      <c r="R435" s="25">
        <v>0</v>
      </c>
      <c r="S435" s="25">
        <v>0</v>
      </c>
      <c r="T435" s="25">
        <v>0</v>
      </c>
      <c r="U435" s="25">
        <v>0</v>
      </c>
      <c r="V435" s="25">
        <v>0</v>
      </c>
      <c r="W435" s="25">
        <v>0</v>
      </c>
      <c r="X435" s="25">
        <v>0</v>
      </c>
      <c r="Y435" s="25">
        <v>0</v>
      </c>
      <c r="Z435" s="25">
        <v>0</v>
      </c>
      <c r="AA435" s="25">
        <v>0</v>
      </c>
      <c r="AB435" s="25">
        <v>0</v>
      </c>
      <c r="AC435" s="25">
        <v>0</v>
      </c>
      <c r="AD435" s="25">
        <v>0</v>
      </c>
      <c r="AE435" s="25">
        <v>0</v>
      </c>
      <c r="AF435" s="25">
        <v>0</v>
      </c>
    </row>
    <row r="436" spans="1:32" x14ac:dyDescent="0.25">
      <c r="A436" s="25" t="s">
        <v>505</v>
      </c>
      <c r="B436" s="25">
        <v>0</v>
      </c>
      <c r="C436" s="25">
        <v>0</v>
      </c>
      <c r="D436" s="25">
        <v>0</v>
      </c>
      <c r="E436" s="25">
        <v>0</v>
      </c>
      <c r="F436" s="25">
        <v>0</v>
      </c>
      <c r="G436" s="25">
        <v>0</v>
      </c>
      <c r="H436" s="25">
        <v>0</v>
      </c>
      <c r="I436" s="25">
        <v>0</v>
      </c>
      <c r="J436" s="25">
        <v>0</v>
      </c>
      <c r="K436" s="25">
        <v>0</v>
      </c>
      <c r="L436" s="25">
        <v>0</v>
      </c>
      <c r="M436" s="25">
        <v>0</v>
      </c>
      <c r="N436" s="25">
        <v>0</v>
      </c>
      <c r="O436" s="25">
        <v>0</v>
      </c>
      <c r="P436" s="25">
        <v>0</v>
      </c>
      <c r="Q436" s="25">
        <v>0</v>
      </c>
      <c r="R436" s="25">
        <v>0</v>
      </c>
      <c r="S436" s="25">
        <v>0</v>
      </c>
      <c r="T436" s="25">
        <v>0</v>
      </c>
      <c r="U436" s="25">
        <v>0</v>
      </c>
      <c r="V436" s="25">
        <v>0</v>
      </c>
      <c r="W436" s="25">
        <v>0</v>
      </c>
      <c r="X436" s="25">
        <v>0</v>
      </c>
      <c r="Y436" s="25">
        <v>0</v>
      </c>
      <c r="Z436" s="25">
        <v>0</v>
      </c>
      <c r="AA436" s="25">
        <v>0</v>
      </c>
      <c r="AB436" s="25">
        <v>0</v>
      </c>
      <c r="AC436" s="25">
        <v>0</v>
      </c>
      <c r="AD436" s="25">
        <v>0</v>
      </c>
      <c r="AE436" s="25">
        <v>0</v>
      </c>
      <c r="AF436" s="25">
        <v>0</v>
      </c>
    </row>
    <row r="437" spans="1:32" x14ac:dyDescent="0.25">
      <c r="A437" s="25" t="s">
        <v>506</v>
      </c>
      <c r="B437" s="25">
        <v>0</v>
      </c>
      <c r="C437" s="25">
        <v>0</v>
      </c>
      <c r="D437" s="25">
        <v>0</v>
      </c>
      <c r="E437" s="25">
        <v>0</v>
      </c>
      <c r="F437" s="25">
        <v>0</v>
      </c>
      <c r="G437" s="25">
        <v>0</v>
      </c>
      <c r="H437" s="25">
        <v>0</v>
      </c>
      <c r="I437" s="25">
        <v>0</v>
      </c>
      <c r="J437" s="25">
        <v>0</v>
      </c>
      <c r="K437" s="25">
        <v>0</v>
      </c>
      <c r="L437" s="25">
        <v>0</v>
      </c>
      <c r="M437" s="25">
        <v>0</v>
      </c>
      <c r="N437" s="25">
        <v>0</v>
      </c>
      <c r="O437" s="25">
        <v>0</v>
      </c>
      <c r="P437" s="25">
        <v>0</v>
      </c>
      <c r="Q437" s="25">
        <v>0</v>
      </c>
      <c r="R437" s="25">
        <v>0</v>
      </c>
      <c r="S437" s="25">
        <v>0</v>
      </c>
      <c r="T437" s="25">
        <v>0</v>
      </c>
      <c r="U437" s="25">
        <v>0</v>
      </c>
      <c r="V437" s="25">
        <v>0</v>
      </c>
      <c r="W437" s="25">
        <v>0</v>
      </c>
      <c r="X437" s="25">
        <v>0</v>
      </c>
      <c r="Y437" s="25">
        <v>0</v>
      </c>
      <c r="Z437" s="25">
        <v>0</v>
      </c>
      <c r="AA437" s="25">
        <v>0</v>
      </c>
      <c r="AB437" s="25">
        <v>0</v>
      </c>
      <c r="AC437" s="25">
        <v>0</v>
      </c>
      <c r="AD437" s="25">
        <v>0</v>
      </c>
      <c r="AE437" s="25">
        <v>0</v>
      </c>
      <c r="AF437" s="25">
        <v>0</v>
      </c>
    </row>
    <row r="438" spans="1:32" x14ac:dyDescent="0.25">
      <c r="A438" s="25" t="s">
        <v>507</v>
      </c>
      <c r="B438" s="25">
        <v>0</v>
      </c>
      <c r="C438" s="25">
        <v>0</v>
      </c>
      <c r="D438" s="25">
        <v>0</v>
      </c>
      <c r="E438" s="25">
        <v>0</v>
      </c>
      <c r="F438" s="25">
        <v>0</v>
      </c>
      <c r="G438" s="25">
        <v>0</v>
      </c>
      <c r="H438" s="25">
        <v>0</v>
      </c>
      <c r="I438" s="25">
        <v>0</v>
      </c>
      <c r="J438" s="25">
        <v>0</v>
      </c>
      <c r="K438" s="25">
        <v>0</v>
      </c>
      <c r="L438" s="25">
        <v>0</v>
      </c>
      <c r="M438" s="25">
        <v>0</v>
      </c>
      <c r="N438" s="25">
        <v>0</v>
      </c>
      <c r="O438" s="25">
        <v>0</v>
      </c>
      <c r="P438" s="25">
        <v>0</v>
      </c>
      <c r="Q438" s="25">
        <v>0</v>
      </c>
      <c r="R438" s="25">
        <v>0</v>
      </c>
      <c r="S438" s="25">
        <v>0</v>
      </c>
      <c r="T438" s="25">
        <v>0</v>
      </c>
      <c r="U438" s="25">
        <v>0</v>
      </c>
      <c r="V438" s="25">
        <v>0</v>
      </c>
      <c r="W438" s="25">
        <v>0</v>
      </c>
      <c r="X438" s="25">
        <v>0</v>
      </c>
      <c r="Y438" s="25">
        <v>0</v>
      </c>
      <c r="Z438" s="25">
        <v>0</v>
      </c>
      <c r="AA438" s="25">
        <v>0</v>
      </c>
      <c r="AB438" s="25">
        <v>0</v>
      </c>
      <c r="AC438" s="25">
        <v>0</v>
      </c>
      <c r="AD438" s="25">
        <v>0</v>
      </c>
      <c r="AE438" s="25">
        <v>0</v>
      </c>
      <c r="AF438" s="25">
        <v>0</v>
      </c>
    </row>
    <row r="439" spans="1:32" x14ac:dyDescent="0.25">
      <c r="A439" s="25" t="s">
        <v>508</v>
      </c>
      <c r="B439" s="25">
        <v>0</v>
      </c>
      <c r="C439" s="25">
        <v>0</v>
      </c>
      <c r="D439" s="25">
        <v>0</v>
      </c>
      <c r="E439" s="25">
        <v>0</v>
      </c>
      <c r="F439" s="25">
        <v>0</v>
      </c>
      <c r="G439" s="12">
        <v>0</v>
      </c>
      <c r="H439" s="12">
        <v>0</v>
      </c>
      <c r="I439" s="12">
        <v>0</v>
      </c>
      <c r="J439" s="12">
        <v>132007000</v>
      </c>
      <c r="K439" s="12">
        <v>265635000</v>
      </c>
      <c r="L439" s="12">
        <v>533319000</v>
      </c>
      <c r="M439" s="12">
        <v>938518000</v>
      </c>
      <c r="N439" s="12">
        <v>1616670000</v>
      </c>
      <c r="O439" s="12">
        <v>2571850000</v>
      </c>
      <c r="P439" s="12">
        <v>3789410000</v>
      </c>
      <c r="Q439" s="12">
        <v>5304190000</v>
      </c>
      <c r="R439" s="12">
        <v>7115390000</v>
      </c>
      <c r="S439" s="12">
        <v>9365420000</v>
      </c>
      <c r="T439" s="12">
        <v>12046600000</v>
      </c>
      <c r="U439" s="12">
        <v>15161700000</v>
      </c>
      <c r="V439" s="12">
        <v>18710600000</v>
      </c>
      <c r="W439" s="12">
        <v>22698100000</v>
      </c>
      <c r="X439" s="12">
        <v>26997500000</v>
      </c>
      <c r="Y439" s="12">
        <v>31718900000</v>
      </c>
      <c r="Z439" s="12">
        <v>36740100000</v>
      </c>
      <c r="AA439" s="12">
        <v>42047100000</v>
      </c>
      <c r="AB439" s="12">
        <v>47390200000</v>
      </c>
      <c r="AC439" s="12">
        <v>52845300000</v>
      </c>
      <c r="AD439" s="12">
        <v>58377100000</v>
      </c>
      <c r="AE439" s="12">
        <v>64048400000</v>
      </c>
      <c r="AF439" s="12">
        <v>70002800000</v>
      </c>
    </row>
    <row r="440" spans="1:32" x14ac:dyDescent="0.25">
      <c r="A440" s="25" t="s">
        <v>509</v>
      </c>
      <c r="B440" s="12">
        <v>25116400000</v>
      </c>
      <c r="C440" s="12">
        <v>67739000000</v>
      </c>
      <c r="D440" s="12">
        <v>148605000000</v>
      </c>
      <c r="E440" s="12">
        <v>257536000000</v>
      </c>
      <c r="F440" s="12">
        <v>399010000000</v>
      </c>
      <c r="G440" s="12">
        <v>569015000000</v>
      </c>
      <c r="H440" s="12">
        <v>758129000000</v>
      </c>
      <c r="I440" s="12">
        <v>955311000000</v>
      </c>
      <c r="J440" s="12">
        <v>1155400000000</v>
      </c>
      <c r="K440" s="12">
        <v>1354050000000</v>
      </c>
      <c r="L440" s="12">
        <v>1548840000000</v>
      </c>
      <c r="M440" s="12">
        <v>1739210000000</v>
      </c>
      <c r="N440" s="12">
        <v>1923700000000</v>
      </c>
      <c r="O440" s="12">
        <v>2104030000000</v>
      </c>
      <c r="P440" s="12">
        <v>2280000000000</v>
      </c>
      <c r="Q440" s="12">
        <v>2450970000000</v>
      </c>
      <c r="R440" s="12">
        <v>2617490000000</v>
      </c>
      <c r="S440" s="12">
        <v>2780800000000</v>
      </c>
      <c r="T440" s="12">
        <v>2938870000000</v>
      </c>
      <c r="U440" s="12">
        <v>3088380000000</v>
      </c>
      <c r="V440" s="12">
        <v>3233260000000</v>
      </c>
      <c r="W440" s="12">
        <v>3372580000000</v>
      </c>
      <c r="X440" s="12">
        <v>3506190000000</v>
      </c>
      <c r="Y440" s="12">
        <v>3629260000000</v>
      </c>
      <c r="Z440" s="12">
        <v>3769670000000</v>
      </c>
      <c r="AA440" s="12">
        <v>3904110000000</v>
      </c>
      <c r="AB440" s="12">
        <v>4031000000000</v>
      </c>
      <c r="AC440" s="12">
        <v>4140700000000</v>
      </c>
      <c r="AD440" s="12">
        <v>4231790000000</v>
      </c>
      <c r="AE440" s="12">
        <v>4307710000000</v>
      </c>
      <c r="AF440" s="12">
        <v>4373830000000</v>
      </c>
    </row>
    <row r="441" spans="1:32" x14ac:dyDescent="0.25">
      <c r="A441" s="25" t="s">
        <v>510</v>
      </c>
      <c r="B441" s="25">
        <v>0</v>
      </c>
      <c r="C441" s="25">
        <v>0</v>
      </c>
      <c r="D441" s="25">
        <v>0</v>
      </c>
      <c r="E441" s="25">
        <v>0</v>
      </c>
      <c r="F441" s="25">
        <v>0</v>
      </c>
      <c r="G441" s="25">
        <v>0</v>
      </c>
      <c r="H441" s="25">
        <v>0</v>
      </c>
      <c r="I441" s="25">
        <v>0</v>
      </c>
      <c r="J441" s="25">
        <v>0</v>
      </c>
      <c r="K441" s="25">
        <v>0</v>
      </c>
      <c r="L441" s="25">
        <v>0</v>
      </c>
      <c r="M441" s="25">
        <v>0</v>
      </c>
      <c r="N441" s="25">
        <v>0</v>
      </c>
      <c r="O441" s="25">
        <v>0</v>
      </c>
      <c r="P441" s="25">
        <v>0</v>
      </c>
      <c r="Q441" s="25">
        <v>0</v>
      </c>
      <c r="R441" s="25">
        <v>0</v>
      </c>
      <c r="S441" s="25">
        <v>0</v>
      </c>
      <c r="T441" s="25">
        <v>0</v>
      </c>
      <c r="U441" s="25">
        <v>0</v>
      </c>
      <c r="V441" s="25">
        <v>0</v>
      </c>
      <c r="W441" s="25">
        <v>0</v>
      </c>
      <c r="X441" s="25">
        <v>0</v>
      </c>
      <c r="Y441" s="25">
        <v>0</v>
      </c>
      <c r="Z441" s="25">
        <v>0</v>
      </c>
      <c r="AA441" s="25">
        <v>0</v>
      </c>
      <c r="AB441" s="25">
        <v>0</v>
      </c>
      <c r="AC441" s="25">
        <v>0</v>
      </c>
      <c r="AD441" s="25">
        <v>0</v>
      </c>
      <c r="AE441" s="25">
        <v>0</v>
      </c>
      <c r="AF441" s="25">
        <v>0</v>
      </c>
    </row>
    <row r="442" spans="1:32" x14ac:dyDescent="0.25">
      <c r="A442" s="25" t="s">
        <v>511</v>
      </c>
      <c r="B442" s="25">
        <v>0</v>
      </c>
      <c r="C442" s="25">
        <v>0</v>
      </c>
      <c r="D442" s="25">
        <v>0</v>
      </c>
      <c r="E442" s="25">
        <v>0</v>
      </c>
      <c r="F442" s="25">
        <v>0</v>
      </c>
      <c r="G442" s="25">
        <v>0</v>
      </c>
      <c r="H442" s="25">
        <v>0</v>
      </c>
      <c r="I442" s="25">
        <v>0</v>
      </c>
      <c r="J442" s="25">
        <v>0</v>
      </c>
      <c r="K442" s="25">
        <v>0</v>
      </c>
      <c r="L442" s="25">
        <v>0</v>
      </c>
      <c r="M442" s="25">
        <v>0</v>
      </c>
      <c r="N442" s="25">
        <v>0</v>
      </c>
      <c r="O442" s="25">
        <v>0</v>
      </c>
      <c r="P442" s="25">
        <v>0</v>
      </c>
      <c r="Q442" s="25">
        <v>0</v>
      </c>
      <c r="R442" s="25">
        <v>0</v>
      </c>
      <c r="S442" s="25">
        <v>0</v>
      </c>
      <c r="T442" s="25">
        <v>0</v>
      </c>
      <c r="U442" s="25">
        <v>0</v>
      </c>
      <c r="V442" s="25">
        <v>0</v>
      </c>
      <c r="W442" s="25">
        <v>0</v>
      </c>
      <c r="X442" s="25">
        <v>0</v>
      </c>
      <c r="Y442" s="25">
        <v>0</v>
      </c>
      <c r="Z442" s="25">
        <v>0</v>
      </c>
      <c r="AA442" s="25">
        <v>0</v>
      </c>
      <c r="AB442" s="25">
        <v>0</v>
      </c>
      <c r="AC442" s="25">
        <v>0</v>
      </c>
      <c r="AD442" s="25">
        <v>0</v>
      </c>
      <c r="AE442" s="25">
        <v>0</v>
      </c>
      <c r="AF442" s="25">
        <v>0</v>
      </c>
    </row>
    <row r="443" spans="1:32" x14ac:dyDescent="0.25">
      <c r="A443" s="25" t="s">
        <v>512</v>
      </c>
      <c r="B443" s="25">
        <v>0</v>
      </c>
      <c r="C443" s="25">
        <v>0</v>
      </c>
      <c r="D443" s="25">
        <v>0</v>
      </c>
      <c r="E443" s="25">
        <v>0</v>
      </c>
      <c r="F443" s="25">
        <v>0</v>
      </c>
      <c r="G443" s="25">
        <v>0</v>
      </c>
      <c r="H443" s="25">
        <v>0</v>
      </c>
      <c r="I443" s="25">
        <v>0</v>
      </c>
      <c r="J443" s="25">
        <v>0</v>
      </c>
      <c r="K443" s="25">
        <v>0</v>
      </c>
      <c r="L443" s="25">
        <v>0</v>
      </c>
      <c r="M443" s="25">
        <v>0</v>
      </c>
      <c r="N443" s="25">
        <v>0</v>
      </c>
      <c r="O443" s="25">
        <v>0</v>
      </c>
      <c r="P443" s="25">
        <v>0</v>
      </c>
      <c r="Q443" s="25">
        <v>0</v>
      </c>
      <c r="R443" s="25">
        <v>0</v>
      </c>
      <c r="S443" s="25">
        <v>0</v>
      </c>
      <c r="T443" s="25">
        <v>0</v>
      </c>
      <c r="U443" s="25">
        <v>0</v>
      </c>
      <c r="V443" s="25">
        <v>0</v>
      </c>
      <c r="W443" s="25">
        <v>0</v>
      </c>
      <c r="X443" s="25">
        <v>0</v>
      </c>
      <c r="Y443" s="25">
        <v>0</v>
      </c>
      <c r="Z443" s="25">
        <v>0</v>
      </c>
      <c r="AA443" s="25">
        <v>0</v>
      </c>
      <c r="AB443" s="25">
        <v>0</v>
      </c>
      <c r="AC443" s="25">
        <v>0</v>
      </c>
      <c r="AD443" s="25">
        <v>0</v>
      </c>
      <c r="AE443" s="25">
        <v>0</v>
      </c>
      <c r="AF443" s="25">
        <v>0</v>
      </c>
    </row>
    <row r="444" spans="1:32" x14ac:dyDescent="0.25">
      <c r="A444" s="25" t="s">
        <v>513</v>
      </c>
      <c r="B444" s="25">
        <v>0</v>
      </c>
      <c r="C444" s="25">
        <v>0</v>
      </c>
      <c r="D444" s="25">
        <v>0</v>
      </c>
      <c r="E444" s="25">
        <v>0</v>
      </c>
      <c r="F444" s="25">
        <v>0</v>
      </c>
      <c r="G444" s="25">
        <v>0</v>
      </c>
      <c r="H444" s="25">
        <v>0</v>
      </c>
      <c r="I444" s="25">
        <v>0</v>
      </c>
      <c r="J444" s="25">
        <v>0</v>
      </c>
      <c r="K444" s="25">
        <v>0</v>
      </c>
      <c r="L444" s="25">
        <v>0</v>
      </c>
      <c r="M444" s="25">
        <v>0</v>
      </c>
      <c r="N444" s="25">
        <v>0</v>
      </c>
      <c r="O444" s="25">
        <v>0</v>
      </c>
      <c r="P444" s="25">
        <v>0</v>
      </c>
      <c r="Q444" s="25">
        <v>0</v>
      </c>
      <c r="R444" s="25">
        <v>0</v>
      </c>
      <c r="S444" s="25">
        <v>0</v>
      </c>
      <c r="T444" s="25">
        <v>0</v>
      </c>
      <c r="U444" s="25">
        <v>0</v>
      </c>
      <c r="V444" s="25">
        <v>0</v>
      </c>
      <c r="W444" s="25">
        <v>0</v>
      </c>
      <c r="X444" s="25">
        <v>0</v>
      </c>
      <c r="Y444" s="25">
        <v>0</v>
      </c>
      <c r="Z444" s="25">
        <v>0</v>
      </c>
      <c r="AA444" s="25">
        <v>0</v>
      </c>
      <c r="AB444" s="25">
        <v>0</v>
      </c>
      <c r="AC444" s="25">
        <v>0</v>
      </c>
      <c r="AD444" s="25">
        <v>0</v>
      </c>
      <c r="AE444" s="25">
        <v>0</v>
      </c>
      <c r="AF444" s="25">
        <v>0</v>
      </c>
    </row>
    <row r="445" spans="1:32" x14ac:dyDescent="0.25">
      <c r="A445" s="25" t="s">
        <v>514</v>
      </c>
      <c r="B445" s="25">
        <v>0</v>
      </c>
      <c r="C445" s="25">
        <v>0</v>
      </c>
      <c r="D445" s="25">
        <v>0</v>
      </c>
      <c r="E445" s="25">
        <v>0</v>
      </c>
      <c r="F445" s="25">
        <v>0</v>
      </c>
      <c r="G445" s="25">
        <v>0</v>
      </c>
      <c r="H445" s="25">
        <v>0</v>
      </c>
      <c r="I445" s="25">
        <v>0</v>
      </c>
      <c r="J445" s="25">
        <v>0</v>
      </c>
      <c r="K445" s="25">
        <v>0</v>
      </c>
      <c r="L445" s="25">
        <v>0</v>
      </c>
      <c r="M445" s="25">
        <v>0</v>
      </c>
      <c r="N445" s="25">
        <v>0</v>
      </c>
      <c r="O445" s="25">
        <v>0</v>
      </c>
      <c r="P445" s="25">
        <v>0</v>
      </c>
      <c r="Q445" s="25">
        <v>0</v>
      </c>
      <c r="R445" s="25">
        <v>0</v>
      </c>
      <c r="S445" s="25">
        <v>0</v>
      </c>
      <c r="T445" s="25">
        <v>0</v>
      </c>
      <c r="U445" s="25">
        <v>0</v>
      </c>
      <c r="V445" s="25">
        <v>0</v>
      </c>
      <c r="W445" s="25">
        <v>0</v>
      </c>
      <c r="X445" s="25">
        <v>0</v>
      </c>
      <c r="Y445" s="25">
        <v>0</v>
      </c>
      <c r="Z445" s="25">
        <v>0</v>
      </c>
      <c r="AA445" s="25">
        <v>0</v>
      </c>
      <c r="AB445" s="25">
        <v>0</v>
      </c>
      <c r="AC445" s="25">
        <v>0</v>
      </c>
      <c r="AD445" s="25">
        <v>0</v>
      </c>
      <c r="AE445" s="25">
        <v>0</v>
      </c>
      <c r="AF445" s="25">
        <v>0</v>
      </c>
    </row>
    <row r="446" spans="1:32" x14ac:dyDescent="0.25">
      <c r="A446" s="25" t="s">
        <v>515</v>
      </c>
      <c r="B446" s="25">
        <v>0</v>
      </c>
      <c r="C446" s="25">
        <v>0</v>
      </c>
      <c r="D446" s="25">
        <v>0</v>
      </c>
      <c r="E446" s="25">
        <v>0</v>
      </c>
      <c r="F446" s="25">
        <v>0</v>
      </c>
      <c r="G446" s="25">
        <v>0</v>
      </c>
      <c r="H446" s="25">
        <v>0</v>
      </c>
      <c r="I446" s="25">
        <v>0</v>
      </c>
      <c r="J446" s="25">
        <v>0</v>
      </c>
      <c r="K446" s="25">
        <v>0</v>
      </c>
      <c r="L446" s="25">
        <v>0</v>
      </c>
      <c r="M446" s="25">
        <v>0</v>
      </c>
      <c r="N446" s="25">
        <v>0</v>
      </c>
      <c r="O446" s="25">
        <v>0</v>
      </c>
      <c r="P446" s="25">
        <v>0</v>
      </c>
      <c r="Q446" s="25">
        <v>0</v>
      </c>
      <c r="R446" s="25">
        <v>0</v>
      </c>
      <c r="S446" s="25">
        <v>0</v>
      </c>
      <c r="T446" s="25">
        <v>0</v>
      </c>
      <c r="U446" s="25">
        <v>0</v>
      </c>
      <c r="V446" s="25">
        <v>0</v>
      </c>
      <c r="W446" s="25">
        <v>0</v>
      </c>
      <c r="X446" s="25">
        <v>0</v>
      </c>
      <c r="Y446" s="25">
        <v>0</v>
      </c>
      <c r="Z446" s="25">
        <v>0</v>
      </c>
      <c r="AA446" s="25">
        <v>0</v>
      </c>
      <c r="AB446" s="25">
        <v>0</v>
      </c>
      <c r="AC446" s="25">
        <v>0</v>
      </c>
      <c r="AD446" s="25">
        <v>0</v>
      </c>
      <c r="AE446" s="25">
        <v>0</v>
      </c>
      <c r="AF446" s="25">
        <v>0</v>
      </c>
    </row>
    <row r="447" spans="1:32" x14ac:dyDescent="0.25">
      <c r="A447" s="25" t="s">
        <v>516</v>
      </c>
      <c r="B447" s="25">
        <v>0</v>
      </c>
      <c r="C447" s="25">
        <v>0</v>
      </c>
      <c r="D447" s="25">
        <v>0</v>
      </c>
      <c r="E447" s="25">
        <v>0</v>
      </c>
      <c r="F447" s="25">
        <v>0</v>
      </c>
      <c r="G447" s="25">
        <v>0</v>
      </c>
      <c r="H447" s="25">
        <v>0</v>
      </c>
      <c r="I447" s="25">
        <v>0</v>
      </c>
      <c r="J447" s="25">
        <v>0</v>
      </c>
      <c r="K447" s="25">
        <v>0</v>
      </c>
      <c r="L447" s="25">
        <v>0</v>
      </c>
      <c r="M447" s="25">
        <v>0</v>
      </c>
      <c r="N447" s="25">
        <v>0</v>
      </c>
      <c r="O447" s="25">
        <v>0</v>
      </c>
      <c r="P447" s="25">
        <v>0</v>
      </c>
      <c r="Q447" s="25">
        <v>0</v>
      </c>
      <c r="R447" s="25">
        <v>0</v>
      </c>
      <c r="S447" s="25">
        <v>0</v>
      </c>
      <c r="T447" s="25">
        <v>0</v>
      </c>
      <c r="U447" s="25">
        <v>0</v>
      </c>
      <c r="V447" s="25">
        <v>0</v>
      </c>
      <c r="W447" s="25">
        <v>0</v>
      </c>
      <c r="X447" s="25">
        <v>0</v>
      </c>
      <c r="Y447" s="25">
        <v>0</v>
      </c>
      <c r="Z447" s="25">
        <v>0</v>
      </c>
      <c r="AA447" s="25">
        <v>0</v>
      </c>
      <c r="AB447" s="25">
        <v>0</v>
      </c>
      <c r="AC447" s="25">
        <v>0</v>
      </c>
      <c r="AD447" s="25">
        <v>0</v>
      </c>
      <c r="AE447" s="25">
        <v>0</v>
      </c>
      <c r="AF447" s="25">
        <v>0</v>
      </c>
    </row>
    <row r="448" spans="1:32" x14ac:dyDescent="0.25">
      <c r="A448" s="25" t="s">
        <v>517</v>
      </c>
      <c r="B448" s="25">
        <v>0</v>
      </c>
      <c r="C448" s="25">
        <v>0</v>
      </c>
      <c r="D448" s="25">
        <v>0</v>
      </c>
      <c r="E448" s="25">
        <v>0</v>
      </c>
      <c r="F448" s="25">
        <v>0</v>
      </c>
      <c r="G448" s="25">
        <v>0</v>
      </c>
      <c r="H448" s="25">
        <v>0</v>
      </c>
      <c r="I448" s="25">
        <v>0</v>
      </c>
      <c r="J448" s="25">
        <v>0</v>
      </c>
      <c r="K448" s="25">
        <v>0</v>
      </c>
      <c r="L448" s="25">
        <v>0</v>
      </c>
      <c r="M448" s="25">
        <v>0</v>
      </c>
      <c r="N448" s="25">
        <v>0</v>
      </c>
      <c r="O448" s="25">
        <v>0</v>
      </c>
      <c r="P448" s="25">
        <v>0</v>
      </c>
      <c r="Q448" s="25">
        <v>0</v>
      </c>
      <c r="R448" s="25">
        <v>0</v>
      </c>
      <c r="S448" s="25">
        <v>0</v>
      </c>
      <c r="T448" s="25">
        <v>0</v>
      </c>
      <c r="U448" s="25">
        <v>0</v>
      </c>
      <c r="V448" s="25">
        <v>0</v>
      </c>
      <c r="W448" s="25">
        <v>0</v>
      </c>
      <c r="X448" s="25">
        <v>0</v>
      </c>
      <c r="Y448" s="25">
        <v>0</v>
      </c>
      <c r="Z448" s="25">
        <v>0</v>
      </c>
      <c r="AA448" s="25">
        <v>0</v>
      </c>
      <c r="AB448" s="25">
        <v>0</v>
      </c>
      <c r="AC448" s="25">
        <v>0</v>
      </c>
      <c r="AD448" s="25">
        <v>0</v>
      </c>
      <c r="AE448" s="25">
        <v>0</v>
      </c>
      <c r="AF448" s="25">
        <v>0</v>
      </c>
    </row>
    <row r="449" spans="1:32" x14ac:dyDescent="0.25">
      <c r="A449" s="25" t="s">
        <v>518</v>
      </c>
      <c r="B449" s="25">
        <v>0</v>
      </c>
      <c r="C449" s="25">
        <v>0</v>
      </c>
      <c r="D449" s="25">
        <v>0</v>
      </c>
      <c r="E449" s="25">
        <v>0</v>
      </c>
      <c r="F449" s="25">
        <v>0</v>
      </c>
      <c r="G449" s="25">
        <v>0</v>
      </c>
      <c r="H449" s="25">
        <v>0</v>
      </c>
      <c r="I449" s="25">
        <v>0</v>
      </c>
      <c r="J449" s="25">
        <v>0</v>
      </c>
      <c r="K449" s="25">
        <v>0</v>
      </c>
      <c r="L449" s="25">
        <v>0</v>
      </c>
      <c r="M449" s="25">
        <v>0</v>
      </c>
      <c r="N449" s="25">
        <v>0</v>
      </c>
      <c r="O449" s="25">
        <v>0</v>
      </c>
      <c r="P449" s="25">
        <v>0</v>
      </c>
      <c r="Q449" s="25">
        <v>0</v>
      </c>
      <c r="R449" s="25">
        <v>0</v>
      </c>
      <c r="S449" s="25">
        <v>0</v>
      </c>
      <c r="T449" s="25">
        <v>0</v>
      </c>
      <c r="U449" s="25">
        <v>0</v>
      </c>
      <c r="V449" s="25">
        <v>0</v>
      </c>
      <c r="W449" s="25">
        <v>0</v>
      </c>
      <c r="X449" s="25">
        <v>0</v>
      </c>
      <c r="Y449" s="25">
        <v>0</v>
      </c>
      <c r="Z449" s="25">
        <v>0</v>
      </c>
      <c r="AA449" s="25">
        <v>0</v>
      </c>
      <c r="AB449" s="25">
        <v>0</v>
      </c>
      <c r="AC449" s="25">
        <v>0</v>
      </c>
      <c r="AD449" s="25">
        <v>0</v>
      </c>
      <c r="AE449" s="25">
        <v>0</v>
      </c>
      <c r="AF449" s="25">
        <v>0</v>
      </c>
    </row>
    <row r="450" spans="1:32" x14ac:dyDescent="0.25">
      <c r="A450" s="25" t="s">
        <v>519</v>
      </c>
      <c r="B450" s="25">
        <v>0</v>
      </c>
      <c r="C450" s="25">
        <v>0</v>
      </c>
      <c r="D450" s="25">
        <v>0</v>
      </c>
      <c r="E450" s="25">
        <v>0</v>
      </c>
      <c r="F450" s="25">
        <v>0</v>
      </c>
      <c r="G450" s="25">
        <v>0</v>
      </c>
      <c r="H450" s="25">
        <v>0</v>
      </c>
      <c r="I450" s="25">
        <v>0</v>
      </c>
      <c r="J450" s="25">
        <v>0</v>
      </c>
      <c r="K450" s="25">
        <v>0</v>
      </c>
      <c r="L450" s="25">
        <v>0</v>
      </c>
      <c r="M450" s="25">
        <v>0</v>
      </c>
      <c r="N450" s="25">
        <v>0</v>
      </c>
      <c r="O450" s="25">
        <v>0</v>
      </c>
      <c r="P450" s="25">
        <v>0</v>
      </c>
      <c r="Q450" s="25">
        <v>0</v>
      </c>
      <c r="R450" s="25">
        <v>0</v>
      </c>
      <c r="S450" s="25">
        <v>0</v>
      </c>
      <c r="T450" s="25">
        <v>0</v>
      </c>
      <c r="U450" s="25">
        <v>0</v>
      </c>
      <c r="V450" s="25">
        <v>0</v>
      </c>
      <c r="W450" s="25">
        <v>0</v>
      </c>
      <c r="X450" s="25">
        <v>0</v>
      </c>
      <c r="Y450" s="25">
        <v>0</v>
      </c>
      <c r="Z450" s="25">
        <v>0</v>
      </c>
      <c r="AA450" s="25">
        <v>0</v>
      </c>
      <c r="AB450" s="25">
        <v>0</v>
      </c>
      <c r="AC450" s="25">
        <v>0</v>
      </c>
      <c r="AD450" s="25">
        <v>0</v>
      </c>
      <c r="AE450" s="25">
        <v>0</v>
      </c>
      <c r="AF450" s="25">
        <v>0</v>
      </c>
    </row>
    <row r="451" spans="1:32" x14ac:dyDescent="0.25">
      <c r="A451" s="25" t="s">
        <v>520</v>
      </c>
      <c r="B451" s="12">
        <v>12425000000000</v>
      </c>
      <c r="C451" s="12">
        <v>16671200000000</v>
      </c>
      <c r="D451" s="12">
        <v>18183800000000</v>
      </c>
      <c r="E451" s="12">
        <v>18412100000000</v>
      </c>
      <c r="F451" s="12">
        <v>18110100000000</v>
      </c>
      <c r="G451" s="12">
        <v>17538100000000</v>
      </c>
      <c r="H451" s="12">
        <v>16818400000000</v>
      </c>
      <c r="I451" s="12">
        <v>16020200000000</v>
      </c>
      <c r="J451" s="12">
        <v>15193600000000</v>
      </c>
      <c r="K451" s="12">
        <v>14359300000000</v>
      </c>
      <c r="L451" s="12">
        <v>13541000000000</v>
      </c>
      <c r="M451" s="12">
        <v>12738200000000</v>
      </c>
      <c r="N451" s="12">
        <v>11952100000000</v>
      </c>
      <c r="O451" s="12">
        <v>11193900000000</v>
      </c>
      <c r="P451" s="12">
        <v>10463800000000</v>
      </c>
      <c r="Q451" s="12">
        <v>9759420000000</v>
      </c>
      <c r="R451" s="12">
        <v>9083690000000</v>
      </c>
      <c r="S451" s="12">
        <v>8437620000000</v>
      </c>
      <c r="T451" s="12">
        <v>7814300000000</v>
      </c>
      <c r="U451" s="12">
        <v>7207120000000</v>
      </c>
      <c r="V451" s="12">
        <v>6626610000000</v>
      </c>
      <c r="W451" s="12">
        <v>6069850000000</v>
      </c>
      <c r="X451" s="12">
        <v>5537530000000</v>
      </c>
      <c r="Y451" s="12">
        <v>5345420000000</v>
      </c>
      <c r="Z451" s="12">
        <v>5105110000000</v>
      </c>
      <c r="AA451" s="12">
        <v>4877350000000</v>
      </c>
      <c r="AB451" s="12">
        <v>4663290000000</v>
      </c>
      <c r="AC451" s="12">
        <v>4440600000000</v>
      </c>
      <c r="AD451" s="12">
        <v>4235490000000</v>
      </c>
      <c r="AE451" s="12">
        <v>4051360000000</v>
      </c>
      <c r="AF451" s="12">
        <v>3886540000000</v>
      </c>
    </row>
    <row r="452" spans="1:32" x14ac:dyDescent="0.25">
      <c r="A452" s="25" t="s">
        <v>521</v>
      </c>
      <c r="B452" s="25">
        <v>0</v>
      </c>
      <c r="C452" s="25">
        <v>0</v>
      </c>
      <c r="D452" s="25">
        <v>0</v>
      </c>
      <c r="E452" s="25">
        <v>0</v>
      </c>
      <c r="F452" s="25">
        <v>0</v>
      </c>
      <c r="G452" s="25">
        <v>0</v>
      </c>
      <c r="H452" s="25">
        <v>0</v>
      </c>
      <c r="I452" s="25">
        <v>0</v>
      </c>
      <c r="J452" s="25">
        <v>0</v>
      </c>
      <c r="K452" s="25">
        <v>0</v>
      </c>
      <c r="L452" s="25">
        <v>0</v>
      </c>
      <c r="M452" s="25">
        <v>0</v>
      </c>
      <c r="N452" s="25">
        <v>0</v>
      </c>
      <c r="O452" s="25">
        <v>0</v>
      </c>
      <c r="P452" s="25">
        <v>0</v>
      </c>
      <c r="Q452" s="25">
        <v>0</v>
      </c>
      <c r="R452" s="25">
        <v>0</v>
      </c>
      <c r="S452" s="25">
        <v>0</v>
      </c>
      <c r="T452" s="25">
        <v>0</v>
      </c>
      <c r="U452" s="25">
        <v>0</v>
      </c>
      <c r="V452" s="25">
        <v>0</v>
      </c>
      <c r="W452" s="25">
        <v>0</v>
      </c>
      <c r="X452" s="25">
        <v>0</v>
      </c>
      <c r="Y452" s="25">
        <v>0</v>
      </c>
      <c r="Z452" s="25">
        <v>0</v>
      </c>
      <c r="AA452" s="25">
        <v>0</v>
      </c>
      <c r="AB452" s="25">
        <v>0</v>
      </c>
      <c r="AC452" s="25">
        <v>0</v>
      </c>
      <c r="AD452" s="25">
        <v>0</v>
      </c>
      <c r="AE452" s="25">
        <v>0</v>
      </c>
      <c r="AF452" s="25">
        <v>0</v>
      </c>
    </row>
    <row r="453" spans="1:32" x14ac:dyDescent="0.25">
      <c r="A453" s="25" t="s">
        <v>522</v>
      </c>
      <c r="B453" s="25">
        <v>0</v>
      </c>
      <c r="C453" s="25">
        <v>0</v>
      </c>
      <c r="D453" s="25">
        <v>0</v>
      </c>
      <c r="E453" s="25">
        <v>0</v>
      </c>
      <c r="F453" s="25">
        <v>0</v>
      </c>
      <c r="G453" s="25">
        <v>0</v>
      </c>
      <c r="H453" s="25">
        <v>0</v>
      </c>
      <c r="I453" s="25">
        <v>0</v>
      </c>
      <c r="J453" s="25">
        <v>0</v>
      </c>
      <c r="K453" s="25">
        <v>0</v>
      </c>
      <c r="L453" s="25">
        <v>0</v>
      </c>
      <c r="M453" s="25">
        <v>0</v>
      </c>
      <c r="N453" s="25">
        <v>0</v>
      </c>
      <c r="O453" s="25">
        <v>0</v>
      </c>
      <c r="P453" s="25">
        <v>0</v>
      </c>
      <c r="Q453" s="25">
        <v>0</v>
      </c>
      <c r="R453" s="25">
        <v>0</v>
      </c>
      <c r="S453" s="25">
        <v>0</v>
      </c>
      <c r="T453" s="25">
        <v>0</v>
      </c>
      <c r="U453" s="25">
        <v>0</v>
      </c>
      <c r="V453" s="25">
        <v>0</v>
      </c>
      <c r="W453" s="25">
        <v>0</v>
      </c>
      <c r="X453" s="25">
        <v>0</v>
      </c>
      <c r="Y453" s="25">
        <v>0</v>
      </c>
      <c r="Z453" s="25">
        <v>0</v>
      </c>
      <c r="AA453" s="25">
        <v>0</v>
      </c>
      <c r="AB453" s="25">
        <v>0</v>
      </c>
      <c r="AC453" s="25">
        <v>0</v>
      </c>
      <c r="AD453" s="25">
        <v>0</v>
      </c>
      <c r="AE453" s="25">
        <v>0</v>
      </c>
      <c r="AF453" s="25">
        <v>0</v>
      </c>
    </row>
    <row r="454" spans="1:32" x14ac:dyDescent="0.25">
      <c r="A454" s="25" t="s">
        <v>523</v>
      </c>
      <c r="B454" s="25">
        <v>0</v>
      </c>
      <c r="C454" s="25">
        <v>0</v>
      </c>
      <c r="D454" s="25">
        <v>0</v>
      </c>
      <c r="E454" s="25">
        <v>0</v>
      </c>
      <c r="F454" s="25">
        <v>0</v>
      </c>
      <c r="G454" s="25">
        <v>0</v>
      </c>
      <c r="H454" s="25">
        <v>0</v>
      </c>
      <c r="I454" s="25">
        <v>0</v>
      </c>
      <c r="J454" s="25">
        <v>0</v>
      </c>
      <c r="K454" s="25">
        <v>0</v>
      </c>
      <c r="L454" s="25">
        <v>0</v>
      </c>
      <c r="M454" s="25">
        <v>0</v>
      </c>
      <c r="N454" s="25">
        <v>0</v>
      </c>
      <c r="O454" s="25">
        <v>0</v>
      </c>
      <c r="P454" s="25">
        <v>0</v>
      </c>
      <c r="Q454" s="25">
        <v>0</v>
      </c>
      <c r="R454" s="25">
        <v>0</v>
      </c>
      <c r="S454" s="25">
        <v>0</v>
      </c>
      <c r="T454" s="25">
        <v>0</v>
      </c>
      <c r="U454" s="25">
        <v>0</v>
      </c>
      <c r="V454" s="25">
        <v>0</v>
      </c>
      <c r="W454" s="25">
        <v>0</v>
      </c>
      <c r="X454" s="25">
        <v>0</v>
      </c>
      <c r="Y454" s="25">
        <v>0</v>
      </c>
      <c r="Z454" s="25">
        <v>0</v>
      </c>
      <c r="AA454" s="25">
        <v>0</v>
      </c>
      <c r="AB454" s="25">
        <v>0</v>
      </c>
      <c r="AC454" s="25">
        <v>0</v>
      </c>
      <c r="AD454" s="25">
        <v>0</v>
      </c>
      <c r="AE454" s="25">
        <v>0</v>
      </c>
      <c r="AF454" s="25">
        <v>0</v>
      </c>
    </row>
    <row r="455" spans="1:32" x14ac:dyDescent="0.25">
      <c r="A455" s="25" t="s">
        <v>524</v>
      </c>
      <c r="B455" s="25">
        <v>0</v>
      </c>
      <c r="C455" s="25">
        <v>0</v>
      </c>
      <c r="D455" s="25">
        <v>0</v>
      </c>
      <c r="E455" s="25">
        <v>0</v>
      </c>
      <c r="F455" s="25">
        <v>0</v>
      </c>
      <c r="G455" s="25">
        <v>0</v>
      </c>
      <c r="H455" s="25">
        <v>0</v>
      </c>
      <c r="I455" s="25">
        <v>0</v>
      </c>
      <c r="J455" s="25">
        <v>0</v>
      </c>
      <c r="K455" s="25">
        <v>0</v>
      </c>
      <c r="L455" s="25">
        <v>0</v>
      </c>
      <c r="M455" s="25">
        <v>0</v>
      </c>
      <c r="N455" s="25">
        <v>0</v>
      </c>
      <c r="O455" s="25">
        <v>0</v>
      </c>
      <c r="P455" s="25">
        <v>0</v>
      </c>
      <c r="Q455" s="25">
        <v>0</v>
      </c>
      <c r="R455" s="25">
        <v>0</v>
      </c>
      <c r="S455" s="25">
        <v>0</v>
      </c>
      <c r="T455" s="25">
        <v>0</v>
      </c>
      <c r="U455" s="25">
        <v>0</v>
      </c>
      <c r="V455" s="25">
        <v>0</v>
      </c>
      <c r="W455" s="25">
        <v>0</v>
      </c>
      <c r="X455" s="25">
        <v>0</v>
      </c>
      <c r="Y455" s="25">
        <v>0</v>
      </c>
      <c r="Z455" s="25">
        <v>0</v>
      </c>
      <c r="AA455" s="25">
        <v>0</v>
      </c>
      <c r="AB455" s="25">
        <v>0</v>
      </c>
      <c r="AC455" s="25">
        <v>0</v>
      </c>
      <c r="AD455" s="25">
        <v>0</v>
      </c>
      <c r="AE455" s="25">
        <v>0</v>
      </c>
      <c r="AF455" s="25">
        <v>0</v>
      </c>
    </row>
    <row r="456" spans="1:32" x14ac:dyDescent="0.25">
      <c r="A456" s="25" t="s">
        <v>525</v>
      </c>
      <c r="B456" s="25">
        <v>0</v>
      </c>
      <c r="C456" s="25">
        <v>0</v>
      </c>
      <c r="D456" s="25">
        <v>0</v>
      </c>
      <c r="E456" s="25">
        <v>0</v>
      </c>
      <c r="F456" s="25">
        <v>0</v>
      </c>
      <c r="G456" s="25">
        <v>0</v>
      </c>
      <c r="H456" s="25">
        <v>0</v>
      </c>
      <c r="I456" s="25">
        <v>0</v>
      </c>
      <c r="J456" s="25">
        <v>0</v>
      </c>
      <c r="K456" s="25">
        <v>0</v>
      </c>
      <c r="L456" s="25">
        <v>0</v>
      </c>
      <c r="M456" s="25">
        <v>0</v>
      </c>
      <c r="N456" s="25">
        <v>0</v>
      </c>
      <c r="O456" s="25">
        <v>0</v>
      </c>
      <c r="P456" s="25">
        <v>0</v>
      </c>
      <c r="Q456" s="25">
        <v>0</v>
      </c>
      <c r="R456" s="25">
        <v>0</v>
      </c>
      <c r="S456" s="25">
        <v>0</v>
      </c>
      <c r="T456" s="25">
        <v>0</v>
      </c>
      <c r="U456" s="25">
        <v>0</v>
      </c>
      <c r="V456" s="25">
        <v>0</v>
      </c>
      <c r="W456" s="25">
        <v>0</v>
      </c>
      <c r="X456" s="25">
        <v>0</v>
      </c>
      <c r="Y456" s="25">
        <v>0</v>
      </c>
      <c r="Z456" s="25">
        <v>0</v>
      </c>
      <c r="AA456" s="25">
        <v>0</v>
      </c>
      <c r="AB456" s="25">
        <v>0</v>
      </c>
      <c r="AC456" s="25">
        <v>0</v>
      </c>
      <c r="AD456" s="25">
        <v>0</v>
      </c>
      <c r="AE456" s="25">
        <v>0</v>
      </c>
      <c r="AF456" s="25">
        <v>0</v>
      </c>
    </row>
    <row r="457" spans="1:32" x14ac:dyDescent="0.25">
      <c r="A457" s="25" t="s">
        <v>526</v>
      </c>
      <c r="B457" s="25">
        <v>0</v>
      </c>
      <c r="C457" s="25">
        <v>0</v>
      </c>
      <c r="D457" s="25">
        <v>0</v>
      </c>
      <c r="E457" s="25">
        <v>0</v>
      </c>
      <c r="F457" s="25">
        <v>0</v>
      </c>
      <c r="G457" s="25">
        <v>0</v>
      </c>
      <c r="H457" s="25">
        <v>0</v>
      </c>
      <c r="I457" s="25">
        <v>0</v>
      </c>
      <c r="J457" s="25">
        <v>0</v>
      </c>
      <c r="K457" s="25">
        <v>0</v>
      </c>
      <c r="L457" s="25">
        <v>0</v>
      </c>
      <c r="M457" s="25">
        <v>0</v>
      </c>
      <c r="N457" s="25">
        <v>0</v>
      </c>
      <c r="O457" s="25">
        <v>0</v>
      </c>
      <c r="P457" s="25">
        <v>0</v>
      </c>
      <c r="Q457" s="25">
        <v>0</v>
      </c>
      <c r="R457" s="25">
        <v>0</v>
      </c>
      <c r="S457" s="25">
        <v>0</v>
      </c>
      <c r="T457" s="25">
        <v>0</v>
      </c>
      <c r="U457" s="25">
        <v>0</v>
      </c>
      <c r="V457" s="25">
        <v>0</v>
      </c>
      <c r="W457" s="25">
        <v>0</v>
      </c>
      <c r="X457" s="25">
        <v>0</v>
      </c>
      <c r="Y457" s="25">
        <v>0</v>
      </c>
      <c r="Z457" s="25">
        <v>0</v>
      </c>
      <c r="AA457" s="25">
        <v>0</v>
      </c>
      <c r="AB457" s="25">
        <v>0</v>
      </c>
      <c r="AC457" s="25">
        <v>0</v>
      </c>
      <c r="AD457" s="25">
        <v>0</v>
      </c>
      <c r="AE457" s="25">
        <v>0</v>
      </c>
      <c r="AF457" s="25">
        <v>0</v>
      </c>
    </row>
    <row r="458" spans="1:32" x14ac:dyDescent="0.25">
      <c r="A458" s="25" t="s">
        <v>527</v>
      </c>
      <c r="B458" s="25">
        <v>0</v>
      </c>
      <c r="C458" s="25">
        <v>0</v>
      </c>
      <c r="D458" s="25">
        <v>0</v>
      </c>
      <c r="E458" s="25">
        <v>0</v>
      </c>
      <c r="F458" s="25">
        <v>0</v>
      </c>
      <c r="G458" s="25">
        <v>0</v>
      </c>
      <c r="H458" s="25">
        <v>0</v>
      </c>
      <c r="I458" s="25">
        <v>0</v>
      </c>
      <c r="J458" s="25">
        <v>0</v>
      </c>
      <c r="K458" s="25">
        <v>0</v>
      </c>
      <c r="L458" s="25">
        <v>0</v>
      </c>
      <c r="M458" s="25">
        <v>0</v>
      </c>
      <c r="N458" s="25">
        <v>0</v>
      </c>
      <c r="O458" s="25">
        <v>0</v>
      </c>
      <c r="P458" s="25">
        <v>0</v>
      </c>
      <c r="Q458" s="25">
        <v>0</v>
      </c>
      <c r="R458" s="25">
        <v>0</v>
      </c>
      <c r="S458" s="25">
        <v>0</v>
      </c>
      <c r="T458" s="25">
        <v>0</v>
      </c>
      <c r="U458" s="25">
        <v>0</v>
      </c>
      <c r="V458" s="25">
        <v>0</v>
      </c>
      <c r="W458" s="25">
        <v>0</v>
      </c>
      <c r="X458" s="25">
        <v>0</v>
      </c>
      <c r="Y458" s="25">
        <v>0</v>
      </c>
      <c r="Z458" s="25">
        <v>0</v>
      </c>
      <c r="AA458" s="25">
        <v>0</v>
      </c>
      <c r="AB458" s="25">
        <v>0</v>
      </c>
      <c r="AC458" s="25">
        <v>0</v>
      </c>
      <c r="AD458" s="25">
        <v>0</v>
      </c>
      <c r="AE458" s="25">
        <v>0</v>
      </c>
      <c r="AF458" s="25">
        <v>0</v>
      </c>
    </row>
    <row r="459" spans="1:32" x14ac:dyDescent="0.25">
      <c r="A459" s="25" t="s">
        <v>528</v>
      </c>
      <c r="B459" s="25">
        <v>0</v>
      </c>
      <c r="C459" s="25">
        <v>0</v>
      </c>
      <c r="D459" s="25">
        <v>0</v>
      </c>
      <c r="E459" s="25">
        <v>0</v>
      </c>
      <c r="F459" s="25">
        <v>0</v>
      </c>
      <c r="G459" s="25">
        <v>0</v>
      </c>
      <c r="H459" s="25">
        <v>0</v>
      </c>
      <c r="I459" s="25">
        <v>0</v>
      </c>
      <c r="J459" s="25">
        <v>0</v>
      </c>
      <c r="K459" s="25">
        <v>0</v>
      </c>
      <c r="L459" s="25">
        <v>0</v>
      </c>
      <c r="M459" s="25">
        <v>0</v>
      </c>
      <c r="N459" s="25">
        <v>0</v>
      </c>
      <c r="O459" s="25">
        <v>0</v>
      </c>
      <c r="P459" s="25">
        <v>0</v>
      </c>
      <c r="Q459" s="25">
        <v>0</v>
      </c>
      <c r="R459" s="25">
        <v>0</v>
      </c>
      <c r="S459" s="25">
        <v>0</v>
      </c>
      <c r="T459" s="25">
        <v>0</v>
      </c>
      <c r="U459" s="25">
        <v>0</v>
      </c>
      <c r="V459" s="25">
        <v>0</v>
      </c>
      <c r="W459" s="25">
        <v>0</v>
      </c>
      <c r="X459" s="25">
        <v>0</v>
      </c>
      <c r="Y459" s="25">
        <v>0</v>
      </c>
      <c r="Z459" s="25">
        <v>0</v>
      </c>
      <c r="AA459" s="25">
        <v>0</v>
      </c>
      <c r="AB459" s="25">
        <v>0</v>
      </c>
      <c r="AC459" s="25">
        <v>0</v>
      </c>
      <c r="AD459" s="25">
        <v>0</v>
      </c>
      <c r="AE459" s="25">
        <v>0</v>
      </c>
      <c r="AF459" s="25">
        <v>0</v>
      </c>
    </row>
    <row r="460" spans="1:32" x14ac:dyDescent="0.25">
      <c r="A460" s="25" t="s">
        <v>529</v>
      </c>
      <c r="B460" s="25">
        <v>0</v>
      </c>
      <c r="C460" s="25">
        <v>0</v>
      </c>
      <c r="D460" s="25">
        <v>0</v>
      </c>
      <c r="E460" s="25">
        <v>0</v>
      </c>
      <c r="F460" s="25">
        <v>0</v>
      </c>
      <c r="G460" s="25">
        <v>0</v>
      </c>
      <c r="H460" s="25">
        <v>0</v>
      </c>
      <c r="I460" s="25">
        <v>0</v>
      </c>
      <c r="J460" s="25">
        <v>0</v>
      </c>
      <c r="K460" s="25">
        <v>0</v>
      </c>
      <c r="L460" s="25">
        <v>0</v>
      </c>
      <c r="M460" s="25">
        <v>0</v>
      </c>
      <c r="N460" s="25">
        <v>0</v>
      </c>
      <c r="O460" s="25">
        <v>0</v>
      </c>
      <c r="P460" s="25">
        <v>0</v>
      </c>
      <c r="Q460" s="25">
        <v>0</v>
      </c>
      <c r="R460" s="25">
        <v>0</v>
      </c>
      <c r="S460" s="25">
        <v>0</v>
      </c>
      <c r="T460" s="25">
        <v>0</v>
      </c>
      <c r="U460" s="25">
        <v>0</v>
      </c>
      <c r="V460" s="25">
        <v>0</v>
      </c>
      <c r="W460" s="25">
        <v>0</v>
      </c>
      <c r="X460" s="25">
        <v>0</v>
      </c>
      <c r="Y460" s="25">
        <v>0</v>
      </c>
      <c r="Z460" s="25">
        <v>0</v>
      </c>
      <c r="AA460" s="25">
        <v>0</v>
      </c>
      <c r="AB460" s="25">
        <v>0</v>
      </c>
      <c r="AC460" s="25">
        <v>0</v>
      </c>
      <c r="AD460" s="25">
        <v>0</v>
      </c>
      <c r="AE460" s="25">
        <v>0</v>
      </c>
      <c r="AF460" s="25">
        <v>0</v>
      </c>
    </row>
    <row r="461" spans="1:32" x14ac:dyDescent="0.25">
      <c r="A461" s="25" t="s">
        <v>530</v>
      </c>
      <c r="B461" s="25">
        <v>0</v>
      </c>
      <c r="C461" s="25">
        <v>0</v>
      </c>
      <c r="D461" s="25">
        <v>0</v>
      </c>
      <c r="E461" s="25">
        <v>0</v>
      </c>
      <c r="F461" s="25">
        <v>0</v>
      </c>
      <c r="G461" s="25">
        <v>0</v>
      </c>
      <c r="H461" s="25">
        <v>0</v>
      </c>
      <c r="I461" s="25">
        <v>0</v>
      </c>
      <c r="J461" s="25">
        <v>0</v>
      </c>
      <c r="K461" s="25">
        <v>0</v>
      </c>
      <c r="L461" s="25">
        <v>0</v>
      </c>
      <c r="M461" s="25">
        <v>0</v>
      </c>
      <c r="N461" s="25">
        <v>0</v>
      </c>
      <c r="O461" s="25">
        <v>0</v>
      </c>
      <c r="P461" s="25">
        <v>0</v>
      </c>
      <c r="Q461" s="25">
        <v>0</v>
      </c>
      <c r="R461" s="25">
        <v>0</v>
      </c>
      <c r="S461" s="25">
        <v>0</v>
      </c>
      <c r="T461" s="25">
        <v>0</v>
      </c>
      <c r="U461" s="25">
        <v>0</v>
      </c>
      <c r="V461" s="25">
        <v>0</v>
      </c>
      <c r="W461" s="25">
        <v>0</v>
      </c>
      <c r="X461" s="25">
        <v>0</v>
      </c>
      <c r="Y461" s="25">
        <v>0</v>
      </c>
      <c r="Z461" s="25">
        <v>0</v>
      </c>
      <c r="AA461" s="25">
        <v>0</v>
      </c>
      <c r="AB461" s="25">
        <v>0</v>
      </c>
      <c r="AC461" s="25">
        <v>0</v>
      </c>
      <c r="AD461" s="25">
        <v>0</v>
      </c>
      <c r="AE461" s="25">
        <v>0</v>
      </c>
      <c r="AF461" s="25">
        <v>0</v>
      </c>
    </row>
    <row r="462" spans="1:32" x14ac:dyDescent="0.25">
      <c r="A462" s="25" t="s">
        <v>531</v>
      </c>
      <c r="B462" s="12">
        <v>10721700000000</v>
      </c>
      <c r="C462" s="12">
        <v>14718000000000</v>
      </c>
      <c r="D462" s="12">
        <v>16563200000000</v>
      </c>
      <c r="E462" s="12">
        <v>17307600000000</v>
      </c>
      <c r="F462" s="12">
        <v>17543500000000</v>
      </c>
      <c r="G462" s="12">
        <v>17521700000000</v>
      </c>
      <c r="H462" s="12">
        <v>17347900000000</v>
      </c>
      <c r="I462" s="12">
        <v>17079700000000</v>
      </c>
      <c r="J462" s="12">
        <v>16774200000000</v>
      </c>
      <c r="K462" s="12">
        <v>16436100000000</v>
      </c>
      <c r="L462" s="12">
        <v>16080100000000</v>
      </c>
      <c r="M462" s="12">
        <v>15716200000000</v>
      </c>
      <c r="N462" s="12">
        <v>15352800000000</v>
      </c>
      <c r="O462" s="12">
        <v>15006400000000</v>
      </c>
      <c r="P462" s="12">
        <v>14676800000000</v>
      </c>
      <c r="Q462" s="12">
        <v>14361500000000</v>
      </c>
      <c r="R462" s="12">
        <v>14060100000000</v>
      </c>
      <c r="S462" s="12">
        <v>13781300000000</v>
      </c>
      <c r="T462" s="12">
        <v>13512700000000</v>
      </c>
      <c r="U462" s="12">
        <v>13242700000000</v>
      </c>
      <c r="V462" s="12">
        <v>12987000000000</v>
      </c>
      <c r="W462" s="12">
        <v>12739400000000</v>
      </c>
      <c r="X462" s="12">
        <v>12501800000000</v>
      </c>
      <c r="Y462" s="12">
        <v>12354900000000</v>
      </c>
      <c r="Z462" s="12">
        <v>12204900000000</v>
      </c>
      <c r="AA462" s="12">
        <v>12017600000000</v>
      </c>
      <c r="AB462" s="12">
        <v>11859600000000</v>
      </c>
      <c r="AC462" s="12">
        <v>11715600000000</v>
      </c>
      <c r="AD462" s="12">
        <v>11586600000000</v>
      </c>
      <c r="AE462" s="12">
        <v>11473400000000</v>
      </c>
      <c r="AF462" s="12">
        <v>11375300000000</v>
      </c>
    </row>
    <row r="463" spans="1:32" x14ac:dyDescent="0.25">
      <c r="A463" s="25" t="s">
        <v>532</v>
      </c>
      <c r="B463" s="25">
        <v>0</v>
      </c>
      <c r="C463" s="25">
        <v>0</v>
      </c>
      <c r="D463" s="25">
        <v>0</v>
      </c>
      <c r="E463" s="25">
        <v>0</v>
      </c>
      <c r="F463" s="25">
        <v>0</v>
      </c>
      <c r="G463" s="25">
        <v>0</v>
      </c>
      <c r="H463" s="25">
        <v>0</v>
      </c>
      <c r="I463" s="25">
        <v>0</v>
      </c>
      <c r="J463" s="25">
        <v>0</v>
      </c>
      <c r="K463" s="25">
        <v>0</v>
      </c>
      <c r="L463" s="25">
        <v>0</v>
      </c>
      <c r="M463" s="25">
        <v>0</v>
      </c>
      <c r="N463" s="25">
        <v>0</v>
      </c>
      <c r="O463" s="25">
        <v>0</v>
      </c>
      <c r="P463" s="25">
        <v>0</v>
      </c>
      <c r="Q463" s="25">
        <v>0</v>
      </c>
      <c r="R463" s="25">
        <v>0</v>
      </c>
      <c r="S463" s="25">
        <v>0</v>
      </c>
      <c r="T463" s="25">
        <v>0</v>
      </c>
      <c r="U463" s="25">
        <v>0</v>
      </c>
      <c r="V463" s="25">
        <v>0</v>
      </c>
      <c r="W463" s="25">
        <v>0</v>
      </c>
      <c r="X463" s="25">
        <v>0</v>
      </c>
      <c r="Y463" s="25">
        <v>0</v>
      </c>
      <c r="Z463" s="25">
        <v>0</v>
      </c>
      <c r="AA463" s="25">
        <v>0</v>
      </c>
      <c r="AB463" s="25">
        <v>0</v>
      </c>
      <c r="AC463" s="25">
        <v>0</v>
      </c>
      <c r="AD463" s="25">
        <v>0</v>
      </c>
      <c r="AE463" s="25">
        <v>0</v>
      </c>
      <c r="AF463" s="25">
        <v>0</v>
      </c>
    </row>
    <row r="464" spans="1:32" x14ac:dyDescent="0.25">
      <c r="A464" s="25" t="s">
        <v>533</v>
      </c>
      <c r="B464" s="12">
        <v>1217840000000</v>
      </c>
      <c r="C464" s="12">
        <v>1671750000000</v>
      </c>
      <c r="D464" s="12">
        <v>1881350000000</v>
      </c>
      <c r="E464" s="12">
        <v>1965900000000</v>
      </c>
      <c r="F464" s="12">
        <v>1992690000000</v>
      </c>
      <c r="G464" s="12">
        <v>1990210000000</v>
      </c>
      <c r="H464" s="12">
        <v>1970480000000</v>
      </c>
      <c r="I464" s="12">
        <v>1940010000000</v>
      </c>
      <c r="J464" s="25">
        <v>1905310000000</v>
      </c>
      <c r="K464" s="25">
        <v>1866900000000</v>
      </c>
      <c r="L464" s="25">
        <v>1826470000000</v>
      </c>
      <c r="M464" s="25">
        <v>1785140000000</v>
      </c>
      <c r="N464" s="25">
        <v>1743860000000</v>
      </c>
      <c r="O464" s="25">
        <v>1704510000000</v>
      </c>
      <c r="P464" s="25">
        <v>1667080000000</v>
      </c>
      <c r="Q464" s="25">
        <v>1631260000000</v>
      </c>
      <c r="R464" s="25">
        <v>1597020000000</v>
      </c>
      <c r="S464" s="25">
        <v>1565360000000</v>
      </c>
      <c r="T464" s="25">
        <v>1534850000000</v>
      </c>
      <c r="U464" s="25">
        <v>1504180000000</v>
      </c>
      <c r="V464" s="25">
        <v>1475140000000</v>
      </c>
      <c r="W464" s="25">
        <v>1447010000000</v>
      </c>
      <c r="X464" s="25">
        <v>1420030000000</v>
      </c>
      <c r="Y464" s="25">
        <v>1403350000000</v>
      </c>
      <c r="Z464" s="25">
        <v>1386300000000</v>
      </c>
      <c r="AA464" s="25">
        <v>1365020000000</v>
      </c>
      <c r="AB464" s="25">
        <v>1347080000000</v>
      </c>
      <c r="AC464" s="25">
        <v>1330720000000</v>
      </c>
      <c r="AD464" s="25">
        <v>1316070000000</v>
      </c>
      <c r="AE464" s="25">
        <v>1303210000000</v>
      </c>
      <c r="AF464" s="25">
        <v>1292080000000</v>
      </c>
    </row>
    <row r="465" spans="1:32" x14ac:dyDescent="0.25">
      <c r="A465" s="25" t="s">
        <v>534</v>
      </c>
      <c r="B465" s="25">
        <v>0</v>
      </c>
      <c r="C465" s="25">
        <v>0</v>
      </c>
      <c r="D465" s="25">
        <v>0</v>
      </c>
      <c r="E465" s="25">
        <v>0</v>
      </c>
      <c r="F465" s="25">
        <v>0</v>
      </c>
      <c r="G465" s="25">
        <v>0</v>
      </c>
      <c r="H465" s="25">
        <v>0</v>
      </c>
      <c r="I465" s="25">
        <v>0</v>
      </c>
      <c r="J465" s="25">
        <v>0</v>
      </c>
      <c r="K465" s="25">
        <v>0</v>
      </c>
      <c r="L465" s="25">
        <v>0</v>
      </c>
      <c r="M465" s="25">
        <v>0</v>
      </c>
      <c r="N465" s="25">
        <v>0</v>
      </c>
      <c r="O465" s="25">
        <v>0</v>
      </c>
      <c r="P465" s="25">
        <v>0</v>
      </c>
      <c r="Q465" s="25">
        <v>0</v>
      </c>
      <c r="R465" s="25">
        <v>0</v>
      </c>
      <c r="S465" s="25">
        <v>0</v>
      </c>
      <c r="T465" s="25">
        <v>0</v>
      </c>
      <c r="U465" s="25">
        <v>0</v>
      </c>
      <c r="V465" s="25">
        <v>0</v>
      </c>
      <c r="W465" s="25">
        <v>0</v>
      </c>
      <c r="X465" s="25">
        <v>0</v>
      </c>
      <c r="Y465" s="25">
        <v>0</v>
      </c>
      <c r="Z465" s="25">
        <v>0</v>
      </c>
      <c r="AA465" s="25">
        <v>0</v>
      </c>
      <c r="AB465" s="25">
        <v>0</v>
      </c>
      <c r="AC465" s="25">
        <v>0</v>
      </c>
      <c r="AD465" s="25">
        <v>0</v>
      </c>
      <c r="AE465" s="25">
        <v>0</v>
      </c>
      <c r="AF465" s="25">
        <v>0</v>
      </c>
    </row>
    <row r="466" spans="1:32" x14ac:dyDescent="0.25">
      <c r="A466" s="25" t="s">
        <v>535</v>
      </c>
      <c r="B466" s="25">
        <v>0</v>
      </c>
      <c r="C466" s="25">
        <v>0</v>
      </c>
      <c r="D466" s="25">
        <v>0</v>
      </c>
      <c r="E466" s="25">
        <v>0</v>
      </c>
      <c r="F466" s="25">
        <v>0</v>
      </c>
      <c r="G466" s="25">
        <v>0</v>
      </c>
      <c r="H466" s="25">
        <v>0</v>
      </c>
      <c r="I466" s="25">
        <v>0</v>
      </c>
      <c r="J466" s="25">
        <v>0</v>
      </c>
      <c r="K466" s="25">
        <v>0</v>
      </c>
      <c r="L466" s="25">
        <v>0</v>
      </c>
      <c r="M466" s="25">
        <v>0</v>
      </c>
      <c r="N466" s="25">
        <v>0</v>
      </c>
      <c r="O466" s="25">
        <v>0</v>
      </c>
      <c r="P466" s="25">
        <v>0</v>
      </c>
      <c r="Q466" s="25">
        <v>0</v>
      </c>
      <c r="R466" s="25">
        <v>0</v>
      </c>
      <c r="S466" s="25">
        <v>0</v>
      </c>
      <c r="T466" s="25">
        <v>0</v>
      </c>
      <c r="U466" s="25">
        <v>0</v>
      </c>
      <c r="V466" s="25">
        <v>0</v>
      </c>
      <c r="W466" s="25">
        <v>0</v>
      </c>
      <c r="X466" s="25">
        <v>0</v>
      </c>
      <c r="Y466" s="25">
        <v>0</v>
      </c>
      <c r="Z466" s="25">
        <v>0</v>
      </c>
      <c r="AA466" s="25">
        <v>0</v>
      </c>
      <c r="AB466" s="25">
        <v>0</v>
      </c>
      <c r="AC466" s="25">
        <v>0</v>
      </c>
      <c r="AD466" s="25">
        <v>0</v>
      </c>
      <c r="AE466" s="25">
        <v>0</v>
      </c>
      <c r="AF466" s="25">
        <v>0</v>
      </c>
    </row>
    <row r="467" spans="1:32" x14ac:dyDescent="0.25">
      <c r="A467" s="25" t="s">
        <v>536</v>
      </c>
      <c r="B467" s="25">
        <v>0</v>
      </c>
      <c r="C467" s="25">
        <v>0</v>
      </c>
      <c r="D467" s="25">
        <v>0</v>
      </c>
      <c r="E467" s="25">
        <v>0</v>
      </c>
      <c r="F467" s="25">
        <v>0</v>
      </c>
      <c r="G467" s="25">
        <v>0</v>
      </c>
      <c r="H467" s="25">
        <v>0</v>
      </c>
      <c r="I467" s="25">
        <v>0</v>
      </c>
      <c r="J467" s="25">
        <v>0</v>
      </c>
      <c r="K467" s="25">
        <v>0</v>
      </c>
      <c r="L467" s="25">
        <v>0</v>
      </c>
      <c r="M467" s="25">
        <v>0</v>
      </c>
      <c r="N467" s="25">
        <v>0</v>
      </c>
      <c r="O467" s="25">
        <v>0</v>
      </c>
      <c r="P467" s="25">
        <v>0</v>
      </c>
      <c r="Q467" s="25">
        <v>0</v>
      </c>
      <c r="R467" s="25">
        <v>0</v>
      </c>
      <c r="S467" s="25">
        <v>0</v>
      </c>
      <c r="T467" s="25">
        <v>0</v>
      </c>
      <c r="U467" s="25">
        <v>0</v>
      </c>
      <c r="V467" s="25">
        <v>0</v>
      </c>
      <c r="W467" s="25">
        <v>0</v>
      </c>
      <c r="X467" s="25">
        <v>0</v>
      </c>
      <c r="Y467" s="25">
        <v>0</v>
      </c>
      <c r="Z467" s="25">
        <v>0</v>
      </c>
      <c r="AA467" s="25">
        <v>0</v>
      </c>
      <c r="AB467" s="25">
        <v>0</v>
      </c>
      <c r="AC467" s="25">
        <v>0</v>
      </c>
      <c r="AD467" s="25">
        <v>0</v>
      </c>
      <c r="AE467" s="25">
        <v>0</v>
      </c>
      <c r="AF467" s="25">
        <v>0</v>
      </c>
    </row>
    <row r="468" spans="1:32" x14ac:dyDescent="0.25">
      <c r="A468" s="25" t="s">
        <v>537</v>
      </c>
      <c r="B468" s="25">
        <v>0</v>
      </c>
      <c r="C468" s="25">
        <v>0</v>
      </c>
      <c r="D468" s="25">
        <v>0</v>
      </c>
      <c r="E468" s="25">
        <v>0</v>
      </c>
      <c r="F468" s="25">
        <v>0</v>
      </c>
      <c r="G468" s="25">
        <v>0</v>
      </c>
      <c r="H468" s="25">
        <v>0</v>
      </c>
      <c r="I468" s="25">
        <v>0</v>
      </c>
      <c r="J468" s="25">
        <v>0</v>
      </c>
      <c r="K468" s="25">
        <v>0</v>
      </c>
      <c r="L468" s="25">
        <v>0</v>
      </c>
      <c r="M468" s="25">
        <v>0</v>
      </c>
      <c r="N468" s="25">
        <v>0</v>
      </c>
      <c r="O468" s="25">
        <v>0</v>
      </c>
      <c r="P468" s="25">
        <v>0</v>
      </c>
      <c r="Q468" s="25">
        <v>0</v>
      </c>
      <c r="R468" s="25">
        <v>0</v>
      </c>
      <c r="S468" s="25">
        <v>0</v>
      </c>
      <c r="T468" s="25">
        <v>0</v>
      </c>
      <c r="U468" s="25">
        <v>0</v>
      </c>
      <c r="V468" s="25">
        <v>0</v>
      </c>
      <c r="W468" s="25">
        <v>0</v>
      </c>
      <c r="X468" s="25">
        <v>0</v>
      </c>
      <c r="Y468" s="25">
        <v>0</v>
      </c>
      <c r="Z468" s="25">
        <v>0</v>
      </c>
      <c r="AA468" s="25">
        <v>0</v>
      </c>
      <c r="AB468" s="25">
        <v>0</v>
      </c>
      <c r="AC468" s="25">
        <v>0</v>
      </c>
      <c r="AD468" s="25">
        <v>0</v>
      </c>
      <c r="AE468" s="25">
        <v>0</v>
      </c>
      <c r="AF468" s="25">
        <v>0</v>
      </c>
    </row>
    <row r="469" spans="1:32" x14ac:dyDescent="0.25">
      <c r="A469" s="25" t="s">
        <v>538</v>
      </c>
      <c r="B469" s="25">
        <v>0</v>
      </c>
      <c r="C469" s="25">
        <v>0</v>
      </c>
      <c r="D469" s="25">
        <v>0</v>
      </c>
      <c r="E469" s="25">
        <v>0</v>
      </c>
      <c r="F469" s="25">
        <v>0</v>
      </c>
      <c r="G469" s="25">
        <v>0</v>
      </c>
      <c r="H469" s="25">
        <v>0</v>
      </c>
      <c r="I469" s="25">
        <v>0</v>
      </c>
      <c r="J469" s="25">
        <v>0</v>
      </c>
      <c r="K469" s="25">
        <v>0</v>
      </c>
      <c r="L469" s="25">
        <v>0</v>
      </c>
      <c r="M469" s="25">
        <v>0</v>
      </c>
      <c r="N469" s="25">
        <v>0</v>
      </c>
      <c r="O469" s="25">
        <v>0</v>
      </c>
      <c r="P469" s="25">
        <v>0</v>
      </c>
      <c r="Q469" s="25">
        <v>0</v>
      </c>
      <c r="R469" s="25">
        <v>0</v>
      </c>
      <c r="S469" s="25">
        <v>0</v>
      </c>
      <c r="T469" s="25">
        <v>0</v>
      </c>
      <c r="U469" s="25">
        <v>0</v>
      </c>
      <c r="V469" s="25">
        <v>0</v>
      </c>
      <c r="W469" s="25">
        <v>0</v>
      </c>
      <c r="X469" s="25">
        <v>0</v>
      </c>
      <c r="Y469" s="25">
        <v>0</v>
      </c>
      <c r="Z469" s="25">
        <v>0</v>
      </c>
      <c r="AA469" s="25">
        <v>0</v>
      </c>
      <c r="AB469" s="25">
        <v>0</v>
      </c>
      <c r="AC469" s="25">
        <v>0</v>
      </c>
      <c r="AD469" s="25">
        <v>0</v>
      </c>
      <c r="AE469" s="25">
        <v>0</v>
      </c>
      <c r="AF469" s="25">
        <v>0</v>
      </c>
    </row>
    <row r="470" spans="1:32" x14ac:dyDescent="0.25">
      <c r="A470" s="25" t="s">
        <v>539</v>
      </c>
      <c r="B470" s="25">
        <v>0</v>
      </c>
      <c r="C470" s="25">
        <v>0</v>
      </c>
      <c r="D470" s="25">
        <v>0</v>
      </c>
      <c r="E470" s="25">
        <v>0</v>
      </c>
      <c r="F470" s="25">
        <v>0</v>
      </c>
      <c r="G470" s="25">
        <v>0</v>
      </c>
      <c r="H470" s="25">
        <v>0</v>
      </c>
      <c r="I470" s="25">
        <v>0</v>
      </c>
      <c r="J470" s="25">
        <v>0</v>
      </c>
      <c r="K470" s="25">
        <v>0</v>
      </c>
      <c r="L470" s="25">
        <v>0</v>
      </c>
      <c r="M470" s="25">
        <v>0</v>
      </c>
      <c r="N470" s="25">
        <v>0</v>
      </c>
      <c r="O470" s="25">
        <v>0</v>
      </c>
      <c r="P470" s="25">
        <v>0</v>
      </c>
      <c r="Q470" s="25">
        <v>0</v>
      </c>
      <c r="R470" s="25">
        <v>0</v>
      </c>
      <c r="S470" s="25">
        <v>0</v>
      </c>
      <c r="T470" s="25">
        <v>0</v>
      </c>
      <c r="U470" s="25">
        <v>0</v>
      </c>
      <c r="V470" s="25">
        <v>0</v>
      </c>
      <c r="W470" s="25">
        <v>0</v>
      </c>
      <c r="X470" s="25">
        <v>0</v>
      </c>
      <c r="Y470" s="25">
        <v>0</v>
      </c>
      <c r="Z470" s="25">
        <v>0</v>
      </c>
      <c r="AA470" s="25">
        <v>0</v>
      </c>
      <c r="AB470" s="25">
        <v>0</v>
      </c>
      <c r="AC470" s="25">
        <v>0</v>
      </c>
      <c r="AD470" s="25">
        <v>0</v>
      </c>
      <c r="AE470" s="25">
        <v>0</v>
      </c>
      <c r="AF470" s="25">
        <v>0</v>
      </c>
    </row>
    <row r="471" spans="1:32" x14ac:dyDescent="0.25">
      <c r="A471" s="25" t="s">
        <v>540</v>
      </c>
      <c r="B471" s="25">
        <v>0</v>
      </c>
      <c r="C471" s="25">
        <v>0</v>
      </c>
      <c r="D471" s="25">
        <v>0</v>
      </c>
      <c r="E471" s="25">
        <v>0</v>
      </c>
      <c r="F471" s="25">
        <v>0</v>
      </c>
      <c r="G471" s="25">
        <v>0</v>
      </c>
      <c r="H471" s="25">
        <v>0</v>
      </c>
      <c r="I471" s="25">
        <v>0</v>
      </c>
      <c r="J471" s="25">
        <v>0</v>
      </c>
      <c r="K471" s="25">
        <v>0</v>
      </c>
      <c r="L471" s="25">
        <v>0</v>
      </c>
      <c r="M471" s="25">
        <v>0</v>
      </c>
      <c r="N471" s="25">
        <v>0</v>
      </c>
      <c r="O471" s="25">
        <v>0</v>
      </c>
      <c r="P471" s="25">
        <v>0</v>
      </c>
      <c r="Q471" s="25">
        <v>0</v>
      </c>
      <c r="R471" s="25">
        <v>0</v>
      </c>
      <c r="S471" s="25">
        <v>0</v>
      </c>
      <c r="T471" s="25">
        <v>0</v>
      </c>
      <c r="U471" s="25">
        <v>0</v>
      </c>
      <c r="V471" s="25">
        <v>0</v>
      </c>
      <c r="W471" s="25">
        <v>0</v>
      </c>
      <c r="X471" s="25">
        <v>0</v>
      </c>
      <c r="Y471" s="25">
        <v>0</v>
      </c>
      <c r="Z471" s="25">
        <v>0</v>
      </c>
      <c r="AA471" s="25">
        <v>0</v>
      </c>
      <c r="AB471" s="25">
        <v>0</v>
      </c>
      <c r="AC471" s="25">
        <v>0</v>
      </c>
      <c r="AD471" s="25">
        <v>0</v>
      </c>
      <c r="AE471" s="25">
        <v>0</v>
      </c>
      <c r="AF471" s="25">
        <v>0</v>
      </c>
    </row>
    <row r="472" spans="1:32" x14ac:dyDescent="0.25">
      <c r="A472" s="25" t="s">
        <v>541</v>
      </c>
      <c r="B472" s="25">
        <v>0</v>
      </c>
      <c r="C472" s="25">
        <v>0</v>
      </c>
      <c r="D472" s="25">
        <v>0</v>
      </c>
      <c r="E472" s="25">
        <v>0</v>
      </c>
      <c r="F472" s="25">
        <v>0</v>
      </c>
      <c r="G472" s="25">
        <v>0</v>
      </c>
      <c r="H472" s="25">
        <v>0</v>
      </c>
      <c r="I472" s="25">
        <v>0</v>
      </c>
      <c r="J472" s="25">
        <v>0</v>
      </c>
      <c r="K472" s="25">
        <v>0</v>
      </c>
      <c r="L472" s="25">
        <v>0</v>
      </c>
      <c r="M472" s="25">
        <v>0</v>
      </c>
      <c r="N472" s="25">
        <v>0</v>
      </c>
      <c r="O472" s="25">
        <v>0</v>
      </c>
      <c r="P472" s="25">
        <v>0</v>
      </c>
      <c r="Q472" s="25">
        <v>0</v>
      </c>
      <c r="R472" s="25">
        <v>0</v>
      </c>
      <c r="S472" s="25">
        <v>0</v>
      </c>
      <c r="T472" s="25">
        <v>0</v>
      </c>
      <c r="U472" s="25">
        <v>0</v>
      </c>
      <c r="V472" s="25">
        <v>0</v>
      </c>
      <c r="W472" s="25">
        <v>0</v>
      </c>
      <c r="X472" s="25">
        <v>0</v>
      </c>
      <c r="Y472" s="25">
        <v>0</v>
      </c>
      <c r="Z472" s="25">
        <v>0</v>
      </c>
      <c r="AA472" s="25">
        <v>0</v>
      </c>
      <c r="AB472" s="25">
        <v>0</v>
      </c>
      <c r="AC472" s="25">
        <v>0</v>
      </c>
      <c r="AD472" s="25">
        <v>0</v>
      </c>
      <c r="AE472" s="25">
        <v>0</v>
      </c>
      <c r="AF472" s="25">
        <v>0</v>
      </c>
    </row>
    <row r="473" spans="1:32" x14ac:dyDescent="0.25">
      <c r="A473" s="25" t="s">
        <v>542</v>
      </c>
      <c r="B473" s="12">
        <v>92587500000000</v>
      </c>
      <c r="C473" s="12">
        <v>129578000000000</v>
      </c>
      <c r="D473" s="12">
        <v>147464000000000</v>
      </c>
      <c r="E473" s="12">
        <v>157644000000000</v>
      </c>
      <c r="F473" s="12">
        <v>161830000000000</v>
      </c>
      <c r="G473" s="12">
        <v>163717000000000</v>
      </c>
      <c r="H473" s="12">
        <v>163940000000000</v>
      </c>
      <c r="I473" s="12">
        <v>163050000000000</v>
      </c>
      <c r="J473" s="12">
        <v>161726000000000</v>
      </c>
      <c r="K473" s="12">
        <v>159861000000000</v>
      </c>
      <c r="L473" s="12">
        <v>157957000000000</v>
      </c>
      <c r="M473" s="12">
        <v>156078000000000</v>
      </c>
      <c r="N473" s="12">
        <v>154033000000000</v>
      </c>
      <c r="O473" s="12">
        <v>152018000000000</v>
      </c>
      <c r="P473" s="12">
        <v>150048000000000</v>
      </c>
      <c r="Q473" s="12">
        <v>148013000000000</v>
      </c>
      <c r="R473" s="12">
        <v>146166000000000</v>
      </c>
      <c r="S473" s="12">
        <v>144419000000000</v>
      </c>
      <c r="T473" s="12">
        <v>142390000000000</v>
      </c>
      <c r="U473" s="12">
        <v>140664000000000</v>
      </c>
      <c r="V473" s="12">
        <v>139001000000000</v>
      </c>
      <c r="W473" s="12">
        <v>137323000000000</v>
      </c>
      <c r="X473" s="12">
        <v>135751000000000</v>
      </c>
      <c r="Y473" s="12">
        <v>133847000000000</v>
      </c>
      <c r="Z473" s="12">
        <v>131764000000000</v>
      </c>
      <c r="AA473" s="12">
        <v>129933000000000</v>
      </c>
      <c r="AB473" s="12">
        <v>128070000000000</v>
      </c>
      <c r="AC473" s="12">
        <v>126470000000000</v>
      </c>
      <c r="AD473" s="12">
        <v>124965000000000</v>
      </c>
      <c r="AE473" s="12">
        <v>123667000000000</v>
      </c>
      <c r="AF473" s="12">
        <v>122628000000000</v>
      </c>
    </row>
    <row r="474" spans="1:32" x14ac:dyDescent="0.25">
      <c r="A474" s="25" t="s">
        <v>543</v>
      </c>
      <c r="B474" s="25">
        <v>0</v>
      </c>
      <c r="C474" s="25">
        <v>0</v>
      </c>
      <c r="D474" s="25">
        <v>0</v>
      </c>
      <c r="E474" s="25">
        <v>0</v>
      </c>
      <c r="F474" s="25">
        <v>0</v>
      </c>
      <c r="G474" s="25">
        <v>0</v>
      </c>
      <c r="H474" s="25">
        <v>0</v>
      </c>
      <c r="I474" s="25">
        <v>0</v>
      </c>
      <c r="J474" s="25">
        <v>0</v>
      </c>
      <c r="K474" s="25">
        <v>0</v>
      </c>
      <c r="L474" s="25">
        <v>0</v>
      </c>
      <c r="M474" s="25">
        <v>0</v>
      </c>
      <c r="N474" s="25">
        <v>0</v>
      </c>
      <c r="O474" s="25">
        <v>0</v>
      </c>
      <c r="P474" s="25">
        <v>0</v>
      </c>
      <c r="Q474" s="25">
        <v>0</v>
      </c>
      <c r="R474" s="25">
        <v>0</v>
      </c>
      <c r="S474" s="25">
        <v>0</v>
      </c>
      <c r="T474" s="25">
        <v>0</v>
      </c>
      <c r="U474" s="25">
        <v>0</v>
      </c>
      <c r="V474" s="25">
        <v>0</v>
      </c>
      <c r="W474" s="25">
        <v>0</v>
      </c>
      <c r="X474" s="25">
        <v>0</v>
      </c>
      <c r="Y474" s="25">
        <v>0</v>
      </c>
      <c r="Z474" s="25">
        <v>0</v>
      </c>
      <c r="AA474" s="25">
        <v>0</v>
      </c>
      <c r="AB474" s="25">
        <v>0</v>
      </c>
      <c r="AC474" s="25">
        <v>0</v>
      </c>
      <c r="AD474" s="25">
        <v>0</v>
      </c>
      <c r="AE474" s="25">
        <v>0</v>
      </c>
      <c r="AF474" s="25">
        <v>0</v>
      </c>
    </row>
    <row r="475" spans="1:32" x14ac:dyDescent="0.25">
      <c r="A475" s="25" t="s">
        <v>544</v>
      </c>
      <c r="B475" s="12">
        <v>4166620000000</v>
      </c>
      <c r="C475" s="12">
        <v>5110890000000</v>
      </c>
      <c r="D475" s="12">
        <v>5816340000000</v>
      </c>
      <c r="E475" s="12">
        <v>4688320000000</v>
      </c>
      <c r="F475" s="12">
        <v>4807160000000</v>
      </c>
      <c r="G475" s="12">
        <v>4701570000000</v>
      </c>
      <c r="H475" s="12">
        <v>4691720000000</v>
      </c>
      <c r="I475" s="12">
        <v>4757600000000</v>
      </c>
      <c r="J475" s="12">
        <v>4789130000000</v>
      </c>
      <c r="K475" s="12">
        <v>4851820000000</v>
      </c>
      <c r="L475" s="12">
        <v>4822170000000</v>
      </c>
      <c r="M475" s="12">
        <v>4592550000000</v>
      </c>
      <c r="N475" s="12">
        <v>4452880000000</v>
      </c>
      <c r="O475" s="12">
        <v>4373770000000</v>
      </c>
      <c r="P475" s="12">
        <v>4354990000000</v>
      </c>
      <c r="Q475" s="12">
        <v>4463330000000</v>
      </c>
      <c r="R475" s="12">
        <v>4447250000000</v>
      </c>
      <c r="S475" s="12">
        <v>4493080000000</v>
      </c>
      <c r="T475" s="12">
        <v>4870210000000</v>
      </c>
      <c r="U475" s="12">
        <v>4852770000000</v>
      </c>
      <c r="V475" s="12">
        <v>4858960000000</v>
      </c>
      <c r="W475" s="12">
        <v>4909230000000</v>
      </c>
      <c r="X475" s="12">
        <v>4901490000000</v>
      </c>
      <c r="Y475" s="12">
        <v>5181490000000</v>
      </c>
      <c r="Z475" s="12">
        <v>5426460000000</v>
      </c>
      <c r="AA475" s="12">
        <v>5430070000000</v>
      </c>
      <c r="AB475" s="12">
        <v>5536090000000</v>
      </c>
      <c r="AC475" s="12">
        <v>5562470000000</v>
      </c>
      <c r="AD475" s="12">
        <v>5678710000000</v>
      </c>
      <c r="AE475" s="12">
        <v>5776550000000</v>
      </c>
      <c r="AF475" s="12">
        <v>5801200000000</v>
      </c>
    </row>
    <row r="476" spans="1:32" x14ac:dyDescent="0.25">
      <c r="A476" s="25" t="s">
        <v>545</v>
      </c>
      <c r="B476" s="25">
        <v>0</v>
      </c>
      <c r="C476" s="25">
        <v>0</v>
      </c>
      <c r="D476" s="25">
        <v>0</v>
      </c>
      <c r="E476" s="25">
        <v>0</v>
      </c>
      <c r="F476" s="25">
        <v>0</v>
      </c>
      <c r="G476" s="25">
        <v>0</v>
      </c>
      <c r="H476" s="25">
        <v>0</v>
      </c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5">
        <v>0</v>
      </c>
      <c r="O476" s="25">
        <v>0</v>
      </c>
      <c r="P476" s="25">
        <v>0</v>
      </c>
      <c r="Q476" s="25">
        <v>0</v>
      </c>
      <c r="R476" s="25">
        <v>0</v>
      </c>
      <c r="S476" s="25">
        <v>0</v>
      </c>
      <c r="T476" s="25">
        <v>0</v>
      </c>
      <c r="U476" s="25">
        <v>0</v>
      </c>
      <c r="V476" s="25">
        <v>0</v>
      </c>
      <c r="W476" s="25">
        <v>0</v>
      </c>
      <c r="X476" s="25">
        <v>0</v>
      </c>
      <c r="Y476" s="25">
        <v>0</v>
      </c>
      <c r="Z476" s="25">
        <v>0</v>
      </c>
      <c r="AA476" s="25">
        <v>0</v>
      </c>
      <c r="AB476" s="25">
        <v>0</v>
      </c>
      <c r="AC476" s="25">
        <v>0</v>
      </c>
      <c r="AD476" s="25">
        <v>0</v>
      </c>
      <c r="AE476" s="25">
        <v>0</v>
      </c>
      <c r="AF476" s="25">
        <v>0</v>
      </c>
    </row>
    <row r="477" spans="1:32" x14ac:dyDescent="0.25">
      <c r="A477" s="25" t="s">
        <v>546</v>
      </c>
      <c r="B477" s="25">
        <v>0</v>
      </c>
      <c r="C477" s="25">
        <v>0</v>
      </c>
      <c r="D477" s="25">
        <v>0</v>
      </c>
      <c r="E477" s="25">
        <v>0</v>
      </c>
      <c r="F477" s="25">
        <v>0</v>
      </c>
      <c r="G477" s="25">
        <v>0</v>
      </c>
      <c r="H477" s="25">
        <v>0</v>
      </c>
      <c r="I477" s="25">
        <v>0</v>
      </c>
      <c r="J477" s="25">
        <v>0</v>
      </c>
      <c r="K477" s="25">
        <v>0</v>
      </c>
      <c r="L477" s="25">
        <v>0</v>
      </c>
      <c r="M477" s="25">
        <v>0</v>
      </c>
      <c r="N477" s="25">
        <v>0</v>
      </c>
      <c r="O477" s="25">
        <v>0</v>
      </c>
      <c r="P477" s="25">
        <v>0</v>
      </c>
      <c r="Q477" s="25">
        <v>0</v>
      </c>
      <c r="R477" s="25">
        <v>0</v>
      </c>
      <c r="S477" s="25">
        <v>0</v>
      </c>
      <c r="T477" s="25">
        <v>0</v>
      </c>
      <c r="U477" s="25">
        <v>0</v>
      </c>
      <c r="V477" s="25">
        <v>0</v>
      </c>
      <c r="W477" s="25">
        <v>0</v>
      </c>
      <c r="X477" s="25">
        <v>0</v>
      </c>
      <c r="Y477" s="25">
        <v>0</v>
      </c>
      <c r="Z477" s="25">
        <v>0</v>
      </c>
      <c r="AA477" s="25">
        <v>0</v>
      </c>
      <c r="AB477" s="25">
        <v>0</v>
      </c>
      <c r="AC477" s="25">
        <v>0</v>
      </c>
      <c r="AD477" s="25">
        <v>0</v>
      </c>
      <c r="AE477" s="25">
        <v>0</v>
      </c>
      <c r="AF477" s="25">
        <v>0</v>
      </c>
    </row>
    <row r="478" spans="1:32" x14ac:dyDescent="0.25">
      <c r="A478" s="25" t="s">
        <v>547</v>
      </c>
      <c r="B478" s="25">
        <v>0</v>
      </c>
      <c r="C478" s="25">
        <v>0</v>
      </c>
      <c r="D478" s="25">
        <v>0</v>
      </c>
      <c r="E478" s="25">
        <v>0</v>
      </c>
      <c r="F478" s="25">
        <v>0</v>
      </c>
      <c r="G478" s="25">
        <v>0</v>
      </c>
      <c r="H478" s="25">
        <v>0</v>
      </c>
      <c r="I478" s="25">
        <v>0</v>
      </c>
      <c r="J478" s="25">
        <v>0</v>
      </c>
      <c r="K478" s="25">
        <v>0</v>
      </c>
      <c r="L478" s="25">
        <v>0</v>
      </c>
      <c r="M478" s="25">
        <v>0</v>
      </c>
      <c r="N478" s="25">
        <v>0</v>
      </c>
      <c r="O478" s="25">
        <v>0</v>
      </c>
      <c r="P478" s="25">
        <v>0</v>
      </c>
      <c r="Q478" s="25">
        <v>0</v>
      </c>
      <c r="R478" s="25">
        <v>0</v>
      </c>
      <c r="S478" s="25">
        <v>0</v>
      </c>
      <c r="T478" s="25">
        <v>0</v>
      </c>
      <c r="U478" s="25">
        <v>0</v>
      </c>
      <c r="V478" s="25">
        <v>0</v>
      </c>
      <c r="W478" s="25">
        <v>0</v>
      </c>
      <c r="X478" s="25">
        <v>0</v>
      </c>
      <c r="Y478" s="25">
        <v>0</v>
      </c>
      <c r="Z478" s="25">
        <v>0</v>
      </c>
      <c r="AA478" s="25">
        <v>0</v>
      </c>
      <c r="AB478" s="25">
        <v>0</v>
      </c>
      <c r="AC478" s="25">
        <v>0</v>
      </c>
      <c r="AD478" s="25">
        <v>0</v>
      </c>
      <c r="AE478" s="25">
        <v>0</v>
      </c>
      <c r="AF478" s="25">
        <v>0</v>
      </c>
    </row>
    <row r="479" spans="1:32" x14ac:dyDescent="0.25">
      <c r="A479" s="25" t="s">
        <v>548</v>
      </c>
      <c r="B479" s="25">
        <v>0</v>
      </c>
      <c r="C479" s="25">
        <v>0</v>
      </c>
      <c r="D479" s="25">
        <v>0</v>
      </c>
      <c r="E479" s="25">
        <v>0</v>
      </c>
      <c r="F479" s="25">
        <v>0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>
        <v>0</v>
      </c>
      <c r="T479" s="25">
        <v>0</v>
      </c>
      <c r="U479" s="25">
        <v>0</v>
      </c>
      <c r="V479" s="25">
        <v>0</v>
      </c>
      <c r="W479" s="25">
        <v>0</v>
      </c>
      <c r="X479" s="25">
        <v>0</v>
      </c>
      <c r="Y479" s="25">
        <v>0</v>
      </c>
      <c r="Z479" s="25">
        <v>0</v>
      </c>
      <c r="AA479" s="25">
        <v>0</v>
      </c>
      <c r="AB479" s="25">
        <v>0</v>
      </c>
      <c r="AC479" s="25">
        <v>0</v>
      </c>
      <c r="AD479" s="25">
        <v>0</v>
      </c>
      <c r="AE479" s="25">
        <v>0</v>
      </c>
      <c r="AF479" s="25">
        <v>0</v>
      </c>
    </row>
    <row r="480" spans="1:32" x14ac:dyDescent="0.25">
      <c r="A480" s="25" t="s">
        <v>549</v>
      </c>
      <c r="B480" s="25">
        <v>0</v>
      </c>
      <c r="C480" s="12">
        <v>224307000</v>
      </c>
      <c r="D480" s="12">
        <v>616419000</v>
      </c>
      <c r="E480" s="12">
        <v>1132550000</v>
      </c>
      <c r="F480" s="12">
        <v>1861030000</v>
      </c>
      <c r="G480" s="12">
        <v>2655350000</v>
      </c>
      <c r="H480" s="12">
        <v>3720340000</v>
      </c>
      <c r="I480" s="12">
        <v>5010450000</v>
      </c>
      <c r="J480" s="12">
        <v>6610260000</v>
      </c>
      <c r="K480" s="12">
        <v>8567200000</v>
      </c>
      <c r="L480" s="12">
        <v>10936600000</v>
      </c>
      <c r="M480" s="12">
        <v>13754700000</v>
      </c>
      <c r="N480" s="12">
        <v>17074100000</v>
      </c>
      <c r="O480" s="12">
        <v>21029000000</v>
      </c>
      <c r="P480" s="12">
        <v>25580800000</v>
      </c>
      <c r="Q480" s="12">
        <v>30752200000</v>
      </c>
      <c r="R480" s="12">
        <v>36505700000</v>
      </c>
      <c r="S480" s="12">
        <v>42733200000</v>
      </c>
      <c r="T480" s="12">
        <v>49300100000</v>
      </c>
      <c r="U480" s="12">
        <v>56125400000</v>
      </c>
      <c r="V480" s="12">
        <v>63100200000</v>
      </c>
      <c r="W480" s="12">
        <v>70120400000</v>
      </c>
      <c r="X480" s="12">
        <v>77054900000</v>
      </c>
      <c r="Y480" s="12">
        <v>84043900000</v>
      </c>
      <c r="Z480" s="12">
        <v>91592900000</v>
      </c>
      <c r="AA480" s="12">
        <v>99454500000</v>
      </c>
      <c r="AB480" s="12">
        <v>107514000000</v>
      </c>
      <c r="AC480" s="12">
        <v>115552000000</v>
      </c>
      <c r="AD480" s="12">
        <v>123623000000</v>
      </c>
      <c r="AE480" s="12">
        <v>131526000000</v>
      </c>
      <c r="AF480" s="12">
        <v>139243000000</v>
      </c>
    </row>
    <row r="481" spans="1:32" x14ac:dyDescent="0.25">
      <c r="A481" s="25" t="s">
        <v>550</v>
      </c>
      <c r="B481" s="25">
        <v>0</v>
      </c>
      <c r="C481" s="25">
        <v>0</v>
      </c>
      <c r="D481" s="25">
        <v>0</v>
      </c>
      <c r="E481" s="25">
        <v>0</v>
      </c>
      <c r="F481" s="25">
        <v>0</v>
      </c>
      <c r="G481" s="25">
        <v>0</v>
      </c>
      <c r="H481" s="25">
        <v>0</v>
      </c>
      <c r="I481" s="25">
        <v>0</v>
      </c>
      <c r="J481" s="25">
        <v>0</v>
      </c>
      <c r="K481" s="25">
        <v>0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  <c r="Q481" s="25">
        <v>0</v>
      </c>
      <c r="R481" s="25">
        <v>0</v>
      </c>
      <c r="S481" s="25">
        <v>0</v>
      </c>
      <c r="T481" s="25">
        <v>0</v>
      </c>
      <c r="U481" s="25">
        <v>0</v>
      </c>
      <c r="V481" s="25">
        <v>0</v>
      </c>
      <c r="W481" s="25">
        <v>0</v>
      </c>
      <c r="X481" s="25">
        <v>0</v>
      </c>
      <c r="Y481" s="25">
        <v>0</v>
      </c>
      <c r="Z481" s="25">
        <v>0</v>
      </c>
      <c r="AA481" s="25">
        <v>0</v>
      </c>
      <c r="AB481" s="25">
        <v>0</v>
      </c>
      <c r="AC481" s="25">
        <v>0</v>
      </c>
      <c r="AD481" s="25">
        <v>0</v>
      </c>
      <c r="AE481" s="25">
        <v>0</v>
      </c>
      <c r="AF481" s="25">
        <v>0</v>
      </c>
    </row>
    <row r="482" spans="1:32" x14ac:dyDescent="0.25">
      <c r="A482" s="25" t="s">
        <v>551</v>
      </c>
      <c r="B482" s="25">
        <v>0</v>
      </c>
      <c r="C482" s="25">
        <v>0</v>
      </c>
      <c r="D482" s="25">
        <v>0</v>
      </c>
      <c r="E482" s="25">
        <v>0</v>
      </c>
      <c r="F482" s="25">
        <v>0</v>
      </c>
      <c r="G482" s="25">
        <v>0</v>
      </c>
      <c r="H482" s="25">
        <v>0</v>
      </c>
      <c r="I482" s="25">
        <v>0</v>
      </c>
      <c r="J482" s="25">
        <v>0</v>
      </c>
      <c r="K482" s="25">
        <v>0</v>
      </c>
      <c r="L482" s="25">
        <v>0</v>
      </c>
      <c r="M482" s="25">
        <v>0</v>
      </c>
      <c r="N482" s="25">
        <v>0</v>
      </c>
      <c r="O482" s="25">
        <v>0</v>
      </c>
      <c r="P482" s="25">
        <v>0</v>
      </c>
      <c r="Q482" s="25">
        <v>0</v>
      </c>
      <c r="R482" s="25">
        <v>0</v>
      </c>
      <c r="S482" s="25">
        <v>0</v>
      </c>
      <c r="T482" s="25">
        <v>0</v>
      </c>
      <c r="U482" s="25">
        <v>0</v>
      </c>
      <c r="V482" s="25">
        <v>0</v>
      </c>
      <c r="W482" s="25">
        <v>0</v>
      </c>
      <c r="X482" s="25">
        <v>0</v>
      </c>
      <c r="Y482" s="25">
        <v>0</v>
      </c>
      <c r="Z482" s="25">
        <v>0</v>
      </c>
      <c r="AA482" s="25">
        <v>0</v>
      </c>
      <c r="AB482" s="25">
        <v>0</v>
      </c>
      <c r="AC482" s="25">
        <v>0</v>
      </c>
      <c r="AD482" s="25">
        <v>0</v>
      </c>
      <c r="AE482" s="25">
        <v>0</v>
      </c>
      <c r="AF482" s="25">
        <v>0</v>
      </c>
    </row>
    <row r="483" spans="1:32" x14ac:dyDescent="0.25">
      <c r="A483" s="25" t="s">
        <v>552</v>
      </c>
      <c r="B483" s="25">
        <v>0</v>
      </c>
      <c r="C483" s="12">
        <v>176560000</v>
      </c>
      <c r="D483" s="12">
        <v>485205000</v>
      </c>
      <c r="E483" s="12">
        <v>899873000</v>
      </c>
      <c r="F483" s="12">
        <v>1478730000</v>
      </c>
      <c r="G483" s="12">
        <v>2111910000</v>
      </c>
      <c r="H483" s="12">
        <v>2959230000</v>
      </c>
      <c r="I483" s="12">
        <v>3983230000</v>
      </c>
      <c r="J483" s="12">
        <v>5252840000</v>
      </c>
      <c r="K483" s="12">
        <v>6803060000</v>
      </c>
      <c r="L483" s="12">
        <v>8683040000</v>
      </c>
      <c r="M483" s="12">
        <v>10932200000</v>
      </c>
      <c r="N483" s="12">
        <v>13577200000</v>
      </c>
      <c r="O483" s="12">
        <v>16724300000</v>
      </c>
      <c r="P483" s="12">
        <v>20339400000</v>
      </c>
      <c r="Q483" s="12">
        <v>24424400000</v>
      </c>
      <c r="R483" s="12">
        <v>28986400000</v>
      </c>
      <c r="S483" s="12">
        <v>33908600000</v>
      </c>
      <c r="T483" s="12">
        <v>39002400000</v>
      </c>
      <c r="U483" s="12">
        <v>44389400000</v>
      </c>
      <c r="V483" s="12">
        <v>49883700000</v>
      </c>
      <c r="W483" s="12">
        <v>55391100000</v>
      </c>
      <c r="X483" s="12">
        <v>60847900000</v>
      </c>
      <c r="Y483" s="12">
        <v>66200400000</v>
      </c>
      <c r="Z483" s="12">
        <v>71975500000</v>
      </c>
      <c r="AA483" s="12">
        <v>78107700000</v>
      </c>
      <c r="AB483" s="12">
        <v>84320700000</v>
      </c>
      <c r="AC483" s="12">
        <v>90559600000</v>
      </c>
      <c r="AD483" s="12">
        <v>96749700000</v>
      </c>
      <c r="AE483" s="12">
        <v>102810000000</v>
      </c>
      <c r="AF483" s="12">
        <v>108780000000</v>
      </c>
    </row>
    <row r="484" spans="1:32" x14ac:dyDescent="0.25">
      <c r="A484" s="25" t="s">
        <v>553</v>
      </c>
      <c r="B484" s="25">
        <v>0</v>
      </c>
      <c r="C484" s="25">
        <v>0</v>
      </c>
      <c r="D484" s="25">
        <v>0</v>
      </c>
      <c r="E484" s="25">
        <v>0</v>
      </c>
      <c r="F484" s="25">
        <v>0</v>
      </c>
      <c r="G484" s="25">
        <v>0</v>
      </c>
      <c r="H484" s="25">
        <v>0</v>
      </c>
      <c r="I484" s="25">
        <v>0</v>
      </c>
      <c r="J484" s="25">
        <v>0</v>
      </c>
      <c r="K484" s="25">
        <v>0</v>
      </c>
      <c r="L484" s="25">
        <v>0</v>
      </c>
      <c r="M484" s="25">
        <v>0</v>
      </c>
      <c r="N484" s="25">
        <v>0</v>
      </c>
      <c r="O484" s="25">
        <v>0</v>
      </c>
      <c r="P484" s="25">
        <v>0</v>
      </c>
      <c r="Q484" s="25">
        <v>0</v>
      </c>
      <c r="R484" s="25">
        <v>0</v>
      </c>
      <c r="S484" s="25">
        <v>0</v>
      </c>
      <c r="T484" s="25">
        <v>0</v>
      </c>
      <c r="U484" s="25">
        <v>0</v>
      </c>
      <c r="V484" s="25">
        <v>0</v>
      </c>
      <c r="W484" s="25">
        <v>0</v>
      </c>
      <c r="X484" s="25">
        <v>0</v>
      </c>
      <c r="Y484" s="25">
        <v>0</v>
      </c>
      <c r="Z484" s="25">
        <v>0</v>
      </c>
      <c r="AA484" s="25">
        <v>0</v>
      </c>
      <c r="AB484" s="25">
        <v>0</v>
      </c>
      <c r="AC484" s="25">
        <v>0</v>
      </c>
      <c r="AD484" s="25">
        <v>0</v>
      </c>
      <c r="AE484" s="25">
        <v>0</v>
      </c>
      <c r="AF484" s="25">
        <v>0</v>
      </c>
    </row>
    <row r="485" spans="1:32" x14ac:dyDescent="0.25">
      <c r="A485" s="25" t="s">
        <v>554</v>
      </c>
      <c r="B485" s="25">
        <v>0</v>
      </c>
      <c r="C485" s="12">
        <v>6963960</v>
      </c>
      <c r="D485" s="12">
        <v>19137700</v>
      </c>
      <c r="E485" s="12">
        <v>26762100</v>
      </c>
      <c r="F485" s="12">
        <v>43925800</v>
      </c>
      <c r="G485" s="12">
        <v>60649200</v>
      </c>
      <c r="H485" s="12">
        <v>84688600</v>
      </c>
      <c r="I485" s="12">
        <v>116226000</v>
      </c>
      <c r="J485" s="12">
        <v>155551000</v>
      </c>
      <c r="K485" s="12">
        <v>206475000</v>
      </c>
      <c r="L485" s="12">
        <v>265080000</v>
      </c>
      <c r="M485" s="12">
        <v>321676000</v>
      </c>
      <c r="N485" s="12">
        <v>392500000</v>
      </c>
      <c r="O485" s="12">
        <v>481183000</v>
      </c>
      <c r="P485" s="12">
        <v>590331000</v>
      </c>
      <c r="Q485" s="12">
        <v>736515000</v>
      </c>
      <c r="R485" s="12">
        <v>881940000</v>
      </c>
      <c r="S485" s="12">
        <v>1054950000</v>
      </c>
      <c r="T485" s="12">
        <v>1334020000</v>
      </c>
      <c r="U485" s="12">
        <v>1531390000</v>
      </c>
      <c r="V485" s="12">
        <v>1743750000</v>
      </c>
      <c r="W485" s="12">
        <v>1980210000</v>
      </c>
      <c r="X485" s="12">
        <v>2197010000</v>
      </c>
      <c r="Y485" s="12">
        <v>2562750000</v>
      </c>
      <c r="Z485" s="12">
        <v>2964170000</v>
      </c>
      <c r="AA485" s="12">
        <v>3264230000</v>
      </c>
      <c r="AB485" s="12">
        <v>3644940000</v>
      </c>
      <c r="AC485" s="12">
        <v>3983050000</v>
      </c>
      <c r="AD485" s="12">
        <v>4396550000</v>
      </c>
      <c r="AE485" s="12">
        <v>4802300000</v>
      </c>
      <c r="AF485" s="12">
        <v>5146120000</v>
      </c>
    </row>
    <row r="486" spans="1:32" x14ac:dyDescent="0.25">
      <c r="A486" s="25" t="s">
        <v>555</v>
      </c>
      <c r="B486" s="25">
        <v>0</v>
      </c>
      <c r="C486" s="25">
        <v>0</v>
      </c>
      <c r="D486" s="25">
        <v>0</v>
      </c>
      <c r="E486" s="25">
        <v>0</v>
      </c>
      <c r="F486" s="25">
        <v>0</v>
      </c>
      <c r="G486" s="25">
        <v>0</v>
      </c>
      <c r="H486" s="25">
        <v>0</v>
      </c>
      <c r="I486" s="25">
        <v>0</v>
      </c>
      <c r="J486" s="25">
        <v>0</v>
      </c>
      <c r="K486" s="25">
        <v>0</v>
      </c>
      <c r="L486" s="25">
        <v>0</v>
      </c>
      <c r="M486" s="25">
        <v>0</v>
      </c>
      <c r="N486" s="25">
        <v>0</v>
      </c>
      <c r="O486" s="25">
        <v>0</v>
      </c>
      <c r="P486" s="25">
        <v>0</v>
      </c>
      <c r="Q486" s="25">
        <v>0</v>
      </c>
      <c r="R486" s="25">
        <v>0</v>
      </c>
      <c r="S486" s="25">
        <v>0</v>
      </c>
      <c r="T486" s="25">
        <v>0</v>
      </c>
      <c r="U486" s="25">
        <v>0</v>
      </c>
      <c r="V486" s="25">
        <v>0</v>
      </c>
      <c r="W486" s="25">
        <v>0</v>
      </c>
      <c r="X486" s="25">
        <v>0</v>
      </c>
      <c r="Y486" s="25">
        <v>0</v>
      </c>
      <c r="Z486" s="25">
        <v>0</v>
      </c>
      <c r="AA486" s="25">
        <v>0</v>
      </c>
      <c r="AB486" s="25">
        <v>0</v>
      </c>
      <c r="AC486" s="25">
        <v>0</v>
      </c>
      <c r="AD486" s="25">
        <v>0</v>
      </c>
      <c r="AE486" s="25">
        <v>0</v>
      </c>
      <c r="AF486" s="25">
        <v>0</v>
      </c>
    </row>
    <row r="487" spans="1:32" x14ac:dyDescent="0.25">
      <c r="A487" s="25" t="s">
        <v>556</v>
      </c>
      <c r="B487" s="25">
        <v>0</v>
      </c>
      <c r="C487" s="25">
        <v>0</v>
      </c>
      <c r="D487" s="25">
        <v>0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>
        <v>0</v>
      </c>
      <c r="K487" s="25">
        <v>0</v>
      </c>
      <c r="L487" s="25">
        <v>0</v>
      </c>
      <c r="M487" s="25">
        <v>0</v>
      </c>
      <c r="N487" s="25">
        <v>0</v>
      </c>
      <c r="O487" s="25">
        <v>0</v>
      </c>
      <c r="P487" s="25">
        <v>0</v>
      </c>
      <c r="Q487" s="25">
        <v>0</v>
      </c>
      <c r="R487" s="25">
        <v>0</v>
      </c>
      <c r="S487" s="25">
        <v>0</v>
      </c>
      <c r="T487" s="25">
        <v>0</v>
      </c>
      <c r="U487" s="25">
        <v>0</v>
      </c>
      <c r="V487" s="25">
        <v>0</v>
      </c>
      <c r="W487" s="25">
        <v>0</v>
      </c>
      <c r="X487" s="25">
        <v>0</v>
      </c>
      <c r="Y487" s="25">
        <v>0</v>
      </c>
      <c r="Z487" s="25">
        <v>0</v>
      </c>
      <c r="AA487" s="25">
        <v>0</v>
      </c>
      <c r="AB487" s="25">
        <v>0</v>
      </c>
      <c r="AC487" s="25">
        <v>0</v>
      </c>
      <c r="AD487" s="25">
        <v>0</v>
      </c>
      <c r="AE487" s="25">
        <v>0</v>
      </c>
      <c r="AF487" s="25">
        <v>0</v>
      </c>
    </row>
    <row r="488" spans="1:32" x14ac:dyDescent="0.25">
      <c r="A488" s="25" t="s">
        <v>557</v>
      </c>
      <c r="B488" s="25">
        <v>0</v>
      </c>
      <c r="C488" s="25">
        <v>0</v>
      </c>
      <c r="D488" s="25">
        <v>0</v>
      </c>
      <c r="E488" s="25">
        <v>0</v>
      </c>
      <c r="F488" s="25">
        <v>0</v>
      </c>
      <c r="G488" s="25">
        <v>0</v>
      </c>
      <c r="H488" s="25">
        <v>0</v>
      </c>
      <c r="I488" s="25">
        <v>0</v>
      </c>
      <c r="J488" s="25">
        <v>0</v>
      </c>
      <c r="K488" s="25">
        <v>0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>
        <v>0</v>
      </c>
      <c r="S488" s="25">
        <v>0</v>
      </c>
      <c r="T488" s="25">
        <v>0</v>
      </c>
      <c r="U488" s="25">
        <v>0</v>
      </c>
      <c r="V488" s="25">
        <v>0</v>
      </c>
      <c r="W488" s="25">
        <v>0</v>
      </c>
      <c r="X488" s="25">
        <v>0</v>
      </c>
      <c r="Y488" s="25">
        <v>0</v>
      </c>
      <c r="Z488" s="25">
        <v>0</v>
      </c>
      <c r="AA488" s="25">
        <v>0</v>
      </c>
      <c r="AB488" s="25">
        <v>0</v>
      </c>
      <c r="AC488" s="25">
        <v>0</v>
      </c>
      <c r="AD488" s="25">
        <v>0</v>
      </c>
      <c r="AE488" s="25">
        <v>0</v>
      </c>
      <c r="AF488" s="25">
        <v>0</v>
      </c>
    </row>
    <row r="489" spans="1:32" x14ac:dyDescent="0.25">
      <c r="A489" s="25" t="s">
        <v>558</v>
      </c>
      <c r="B489" s="25">
        <v>0</v>
      </c>
      <c r="C489" s="25">
        <v>0</v>
      </c>
      <c r="D489" s="25">
        <v>0</v>
      </c>
      <c r="E489" s="25">
        <v>0</v>
      </c>
      <c r="F489" s="25">
        <v>0</v>
      </c>
      <c r="G489" s="25">
        <v>0</v>
      </c>
      <c r="H489" s="25">
        <v>0</v>
      </c>
      <c r="I489" s="25">
        <v>0</v>
      </c>
      <c r="J489" s="25">
        <v>0</v>
      </c>
      <c r="K489" s="25">
        <v>0</v>
      </c>
      <c r="L489" s="25">
        <v>0</v>
      </c>
      <c r="M489" s="25">
        <v>0</v>
      </c>
      <c r="N489" s="25">
        <v>0</v>
      </c>
      <c r="O489" s="25">
        <v>0</v>
      </c>
      <c r="P489" s="25">
        <v>0</v>
      </c>
      <c r="Q489" s="25">
        <v>0</v>
      </c>
      <c r="R489" s="25">
        <v>0</v>
      </c>
      <c r="S489" s="25">
        <v>0</v>
      </c>
      <c r="T489" s="25">
        <v>0</v>
      </c>
      <c r="U489" s="25">
        <v>0</v>
      </c>
      <c r="V489" s="25">
        <v>0</v>
      </c>
      <c r="W489" s="25">
        <v>0</v>
      </c>
      <c r="X489" s="25">
        <v>0</v>
      </c>
      <c r="Y489" s="25">
        <v>0</v>
      </c>
      <c r="Z489" s="25">
        <v>0</v>
      </c>
      <c r="AA489" s="25">
        <v>0</v>
      </c>
      <c r="AB489" s="25">
        <v>0</v>
      </c>
      <c r="AC489" s="25">
        <v>0</v>
      </c>
      <c r="AD489" s="25">
        <v>0</v>
      </c>
      <c r="AE489" s="25">
        <v>0</v>
      </c>
      <c r="AF489" s="25">
        <v>0</v>
      </c>
    </row>
    <row r="490" spans="1:32" x14ac:dyDescent="0.25">
      <c r="A490" s="25" t="s">
        <v>559</v>
      </c>
      <c r="B490" s="25">
        <v>0</v>
      </c>
      <c r="C490" s="25">
        <v>0</v>
      </c>
      <c r="D490" s="25">
        <v>0</v>
      </c>
      <c r="E490" s="25">
        <v>0</v>
      </c>
      <c r="F490" s="25">
        <v>0</v>
      </c>
      <c r="G490" s="25">
        <v>0</v>
      </c>
      <c r="H490" s="25">
        <v>0</v>
      </c>
      <c r="I490" s="25">
        <v>0</v>
      </c>
      <c r="J490" s="25">
        <v>0</v>
      </c>
      <c r="K490" s="25">
        <v>0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>
        <v>0</v>
      </c>
      <c r="S490" s="25">
        <v>0</v>
      </c>
      <c r="T490" s="25">
        <v>0</v>
      </c>
      <c r="U490" s="25">
        <v>0</v>
      </c>
      <c r="V490" s="25">
        <v>0</v>
      </c>
      <c r="W490" s="25">
        <v>0</v>
      </c>
      <c r="X490" s="25">
        <v>0</v>
      </c>
      <c r="Y490" s="25">
        <v>0</v>
      </c>
      <c r="Z490" s="25">
        <v>0</v>
      </c>
      <c r="AA490" s="25">
        <v>0</v>
      </c>
      <c r="AB490" s="25">
        <v>0</v>
      </c>
      <c r="AC490" s="25">
        <v>0</v>
      </c>
      <c r="AD490" s="25">
        <v>0</v>
      </c>
      <c r="AE490" s="25">
        <v>0</v>
      </c>
      <c r="AF490" s="25">
        <v>0</v>
      </c>
    </row>
    <row r="491" spans="1:32" x14ac:dyDescent="0.25">
      <c r="A491" s="25" t="s">
        <v>560</v>
      </c>
      <c r="B491" s="25">
        <v>0</v>
      </c>
      <c r="C491" s="25">
        <v>0</v>
      </c>
      <c r="D491" s="25">
        <v>0</v>
      </c>
      <c r="E491" s="25">
        <v>0</v>
      </c>
      <c r="F491" s="25">
        <v>0</v>
      </c>
      <c r="G491" s="25">
        <v>0</v>
      </c>
      <c r="H491" s="25">
        <v>0</v>
      </c>
      <c r="I491" s="25">
        <v>0</v>
      </c>
      <c r="J491" s="25">
        <v>0</v>
      </c>
      <c r="K491" s="25">
        <v>0</v>
      </c>
      <c r="L491" s="25">
        <v>0</v>
      </c>
      <c r="M491" s="25">
        <v>0</v>
      </c>
      <c r="N491" s="25">
        <v>0</v>
      </c>
      <c r="O491" s="25">
        <v>0</v>
      </c>
      <c r="P491" s="25">
        <v>0</v>
      </c>
      <c r="Q491" s="25">
        <v>0</v>
      </c>
      <c r="R491" s="25">
        <v>0</v>
      </c>
      <c r="S491" s="25">
        <v>0</v>
      </c>
      <c r="T491" s="25">
        <v>0</v>
      </c>
      <c r="U491" s="25">
        <v>0</v>
      </c>
      <c r="V491" s="25">
        <v>0</v>
      </c>
      <c r="W491" s="25">
        <v>0</v>
      </c>
      <c r="X491" s="25">
        <v>0</v>
      </c>
      <c r="Y491" s="25">
        <v>0</v>
      </c>
      <c r="Z491" s="25">
        <v>0</v>
      </c>
      <c r="AA491" s="25">
        <v>0</v>
      </c>
      <c r="AB491" s="25">
        <v>0</v>
      </c>
      <c r="AC491" s="25">
        <v>0</v>
      </c>
      <c r="AD491" s="25">
        <v>0</v>
      </c>
      <c r="AE491" s="25">
        <v>0</v>
      </c>
      <c r="AF491" s="25">
        <v>0</v>
      </c>
    </row>
    <row r="492" spans="1:32" x14ac:dyDescent="0.25">
      <c r="A492" s="25" t="s">
        <v>561</v>
      </c>
      <c r="B492" s="25">
        <v>0</v>
      </c>
      <c r="C492" s="25">
        <v>0</v>
      </c>
      <c r="D492" s="25">
        <v>0</v>
      </c>
      <c r="E492" s="25">
        <v>0</v>
      </c>
      <c r="F492" s="25">
        <v>0</v>
      </c>
      <c r="G492" s="25">
        <v>0</v>
      </c>
      <c r="H492" s="25">
        <v>0</v>
      </c>
      <c r="I492" s="25">
        <v>0</v>
      </c>
      <c r="J492" s="25">
        <v>0</v>
      </c>
      <c r="K492" s="25">
        <v>0</v>
      </c>
      <c r="L492" s="25">
        <v>0</v>
      </c>
      <c r="M492" s="25">
        <v>0</v>
      </c>
      <c r="N492" s="25">
        <v>0</v>
      </c>
      <c r="O492" s="25">
        <v>0</v>
      </c>
      <c r="P492" s="25">
        <v>0</v>
      </c>
      <c r="Q492" s="25">
        <v>0</v>
      </c>
      <c r="R492" s="25">
        <v>0</v>
      </c>
      <c r="S492" s="25">
        <v>0</v>
      </c>
      <c r="T492" s="25">
        <v>0</v>
      </c>
      <c r="U492" s="25">
        <v>0</v>
      </c>
      <c r="V492" s="25">
        <v>0</v>
      </c>
      <c r="W492" s="25">
        <v>0</v>
      </c>
      <c r="X492" s="25">
        <v>0</v>
      </c>
      <c r="Y492" s="25">
        <v>0</v>
      </c>
      <c r="Z492" s="25">
        <v>0</v>
      </c>
      <c r="AA492" s="25">
        <v>0</v>
      </c>
      <c r="AB492" s="25">
        <v>0</v>
      </c>
      <c r="AC492" s="25">
        <v>0</v>
      </c>
      <c r="AD492" s="25">
        <v>0</v>
      </c>
      <c r="AE492" s="25">
        <v>0</v>
      </c>
      <c r="AF492" s="25">
        <v>0</v>
      </c>
    </row>
    <row r="493" spans="1:32" x14ac:dyDescent="0.25">
      <c r="A493" s="25" t="s">
        <v>562</v>
      </c>
      <c r="B493" s="25">
        <v>0</v>
      </c>
      <c r="C493" s="25">
        <v>0</v>
      </c>
      <c r="D493" s="25">
        <v>0</v>
      </c>
      <c r="E493" s="25">
        <v>0</v>
      </c>
      <c r="F493" s="25">
        <v>0</v>
      </c>
      <c r="G493" s="25">
        <v>0</v>
      </c>
      <c r="H493" s="25">
        <v>0</v>
      </c>
      <c r="I493" s="25">
        <v>0</v>
      </c>
      <c r="J493" s="25">
        <v>0</v>
      </c>
      <c r="K493" s="25">
        <v>0</v>
      </c>
      <c r="L493" s="25">
        <v>0</v>
      </c>
      <c r="M493" s="25">
        <v>0</v>
      </c>
      <c r="N493" s="25">
        <v>0</v>
      </c>
      <c r="O493" s="25">
        <v>0</v>
      </c>
      <c r="P493" s="25">
        <v>0</v>
      </c>
      <c r="Q493" s="25">
        <v>0</v>
      </c>
      <c r="R493" s="25">
        <v>0</v>
      </c>
      <c r="S493" s="25">
        <v>0</v>
      </c>
      <c r="T493" s="25">
        <v>0</v>
      </c>
      <c r="U493" s="25">
        <v>0</v>
      </c>
      <c r="V493" s="25">
        <v>0</v>
      </c>
      <c r="W493" s="25">
        <v>0</v>
      </c>
      <c r="X493" s="25">
        <v>0</v>
      </c>
      <c r="Y493" s="25">
        <v>0</v>
      </c>
      <c r="Z493" s="25">
        <v>0</v>
      </c>
      <c r="AA493" s="25">
        <v>0</v>
      </c>
      <c r="AB493" s="25">
        <v>0</v>
      </c>
      <c r="AC493" s="25">
        <v>0</v>
      </c>
      <c r="AD493" s="25">
        <v>0</v>
      </c>
      <c r="AE493" s="25">
        <v>0</v>
      </c>
      <c r="AF493" s="25">
        <v>0</v>
      </c>
    </row>
    <row r="494" spans="1:32" x14ac:dyDescent="0.25">
      <c r="A494" s="25" t="s">
        <v>563</v>
      </c>
      <c r="B494" s="25">
        <v>0</v>
      </c>
      <c r="C494" s="25">
        <v>0</v>
      </c>
      <c r="D494" s="25">
        <v>0</v>
      </c>
      <c r="E494" s="25">
        <v>0</v>
      </c>
      <c r="F494" s="25">
        <v>0</v>
      </c>
      <c r="G494" s="25">
        <v>0</v>
      </c>
      <c r="H494" s="25">
        <v>0</v>
      </c>
      <c r="I494" s="25">
        <v>0</v>
      </c>
      <c r="J494" s="25">
        <v>0</v>
      </c>
      <c r="K494" s="25">
        <v>0</v>
      </c>
      <c r="L494" s="25">
        <v>0</v>
      </c>
      <c r="M494" s="25">
        <v>0</v>
      </c>
      <c r="N494" s="25">
        <v>0</v>
      </c>
      <c r="O494" s="25">
        <v>0</v>
      </c>
      <c r="P494" s="25">
        <v>0</v>
      </c>
      <c r="Q494" s="25">
        <v>0</v>
      </c>
      <c r="R494" s="25">
        <v>0</v>
      </c>
      <c r="S494" s="25">
        <v>0</v>
      </c>
      <c r="T494" s="25">
        <v>0</v>
      </c>
      <c r="U494" s="25">
        <v>0</v>
      </c>
      <c r="V494" s="25">
        <v>0</v>
      </c>
      <c r="W494" s="25">
        <v>0</v>
      </c>
      <c r="X494" s="25">
        <v>0</v>
      </c>
      <c r="Y494" s="25">
        <v>0</v>
      </c>
      <c r="Z494" s="25">
        <v>0</v>
      </c>
      <c r="AA494" s="25">
        <v>0</v>
      </c>
      <c r="AB494" s="25">
        <v>0</v>
      </c>
      <c r="AC494" s="25">
        <v>0</v>
      </c>
      <c r="AD494" s="25">
        <v>0</v>
      </c>
      <c r="AE494" s="25">
        <v>0</v>
      </c>
      <c r="AF494" s="25">
        <v>0</v>
      </c>
    </row>
    <row r="495" spans="1:32" x14ac:dyDescent="0.25">
      <c r="A495" s="25" t="s">
        <v>564</v>
      </c>
      <c r="B495" s="25">
        <v>0</v>
      </c>
      <c r="C495" s="25">
        <v>0</v>
      </c>
      <c r="D495" s="25">
        <v>0</v>
      </c>
      <c r="E495" s="25">
        <v>0</v>
      </c>
      <c r="F495" s="25">
        <v>0</v>
      </c>
      <c r="G495" s="25">
        <v>0</v>
      </c>
      <c r="H495" s="25">
        <v>0</v>
      </c>
      <c r="I495" s="25">
        <v>0</v>
      </c>
      <c r="J495" s="25">
        <v>0</v>
      </c>
      <c r="K495" s="25">
        <v>0</v>
      </c>
      <c r="L495" s="25">
        <v>0</v>
      </c>
      <c r="M495" s="25">
        <v>0</v>
      </c>
      <c r="N495" s="25">
        <v>0</v>
      </c>
      <c r="O495" s="25">
        <v>0</v>
      </c>
      <c r="P495" s="25">
        <v>0</v>
      </c>
      <c r="Q495" s="25">
        <v>0</v>
      </c>
      <c r="R495" s="25">
        <v>0</v>
      </c>
      <c r="S495" s="25">
        <v>0</v>
      </c>
      <c r="T495" s="25">
        <v>0</v>
      </c>
      <c r="U495" s="25">
        <v>0</v>
      </c>
      <c r="V495" s="25">
        <v>0</v>
      </c>
      <c r="W495" s="25">
        <v>0</v>
      </c>
      <c r="X495" s="25">
        <v>0</v>
      </c>
      <c r="Y495" s="25">
        <v>0</v>
      </c>
      <c r="Z495" s="25">
        <v>0</v>
      </c>
      <c r="AA495" s="25">
        <v>0</v>
      </c>
      <c r="AB495" s="25">
        <v>0</v>
      </c>
      <c r="AC495" s="25">
        <v>0</v>
      </c>
      <c r="AD495" s="25">
        <v>0</v>
      </c>
      <c r="AE495" s="25">
        <v>0</v>
      </c>
      <c r="AF495" s="25">
        <v>0</v>
      </c>
    </row>
    <row r="496" spans="1:32" x14ac:dyDescent="0.25">
      <c r="A496" s="25" t="s">
        <v>565</v>
      </c>
      <c r="B496" s="25">
        <v>0</v>
      </c>
      <c r="C496" s="25">
        <v>0</v>
      </c>
      <c r="D496" s="25">
        <v>0</v>
      </c>
      <c r="E496" s="25">
        <v>0</v>
      </c>
      <c r="F496" s="25">
        <v>0</v>
      </c>
      <c r="G496" s="25">
        <v>0</v>
      </c>
      <c r="H496" s="25">
        <v>0</v>
      </c>
      <c r="I496" s="25">
        <v>0</v>
      </c>
      <c r="J496" s="25">
        <v>0</v>
      </c>
      <c r="K496" s="25">
        <v>0</v>
      </c>
      <c r="L496" s="25">
        <v>0</v>
      </c>
      <c r="M496" s="25">
        <v>0</v>
      </c>
      <c r="N496" s="25">
        <v>0</v>
      </c>
      <c r="O496" s="25">
        <v>0</v>
      </c>
      <c r="P496" s="25">
        <v>0</v>
      </c>
      <c r="Q496" s="25">
        <v>0</v>
      </c>
      <c r="R496" s="25">
        <v>0</v>
      </c>
      <c r="S496" s="25">
        <v>0</v>
      </c>
      <c r="T496" s="25">
        <v>0</v>
      </c>
      <c r="U496" s="25">
        <v>0</v>
      </c>
      <c r="V496" s="25">
        <v>0</v>
      </c>
      <c r="W496" s="25">
        <v>0</v>
      </c>
      <c r="X496" s="25">
        <v>0</v>
      </c>
      <c r="Y496" s="25">
        <v>0</v>
      </c>
      <c r="Z496" s="25">
        <v>0</v>
      </c>
      <c r="AA496" s="25">
        <v>0</v>
      </c>
      <c r="AB496" s="25">
        <v>0</v>
      </c>
      <c r="AC496" s="25">
        <v>0</v>
      </c>
      <c r="AD496" s="25">
        <v>0</v>
      </c>
      <c r="AE496" s="25">
        <v>0</v>
      </c>
      <c r="AF496" s="25">
        <v>0</v>
      </c>
    </row>
    <row r="497" spans="1:32" x14ac:dyDescent="0.25">
      <c r="A497" s="25" t="s">
        <v>566</v>
      </c>
      <c r="B497" s="25">
        <v>0</v>
      </c>
      <c r="C497" s="25">
        <v>0</v>
      </c>
      <c r="D497" s="25">
        <v>0</v>
      </c>
      <c r="E497" s="25">
        <v>0</v>
      </c>
      <c r="F497" s="25">
        <v>0</v>
      </c>
      <c r="G497" s="25">
        <v>0</v>
      </c>
      <c r="H497" s="25">
        <v>0</v>
      </c>
      <c r="I497" s="25">
        <v>0</v>
      </c>
      <c r="J497" s="25">
        <v>0</v>
      </c>
      <c r="K497" s="25">
        <v>0</v>
      </c>
      <c r="L497" s="25">
        <v>0</v>
      </c>
      <c r="M497" s="25">
        <v>0</v>
      </c>
      <c r="N497" s="25">
        <v>0</v>
      </c>
      <c r="O497" s="25">
        <v>0</v>
      </c>
      <c r="P497" s="25">
        <v>0</v>
      </c>
      <c r="Q497" s="25">
        <v>0</v>
      </c>
      <c r="R497" s="25">
        <v>0</v>
      </c>
      <c r="S497" s="25">
        <v>0</v>
      </c>
      <c r="T497" s="25">
        <v>0</v>
      </c>
      <c r="U497" s="25">
        <v>0</v>
      </c>
      <c r="V497" s="25">
        <v>0</v>
      </c>
      <c r="W497" s="25">
        <v>0</v>
      </c>
      <c r="X497" s="25">
        <v>0</v>
      </c>
      <c r="Y497" s="25">
        <v>0</v>
      </c>
      <c r="Z497" s="25">
        <v>0</v>
      </c>
      <c r="AA497" s="25">
        <v>0</v>
      </c>
      <c r="AB497" s="25">
        <v>0</v>
      </c>
      <c r="AC497" s="25">
        <v>0</v>
      </c>
      <c r="AD497" s="25">
        <v>0</v>
      </c>
      <c r="AE497" s="25">
        <v>0</v>
      </c>
      <c r="AF497" s="25">
        <v>0</v>
      </c>
    </row>
    <row r="498" spans="1:32" x14ac:dyDescent="0.25">
      <c r="A498" s="25" t="s">
        <v>567</v>
      </c>
      <c r="B498" s="12">
        <v>865737000000</v>
      </c>
      <c r="C498" s="12">
        <v>1171560000000</v>
      </c>
      <c r="D498" s="12">
        <v>1326900000000</v>
      </c>
      <c r="E498" s="12">
        <v>1418200000000</v>
      </c>
      <c r="F498" s="12">
        <v>1488530000000</v>
      </c>
      <c r="G498" s="12">
        <v>1553450000000</v>
      </c>
      <c r="H498" s="12">
        <v>1616570000000</v>
      </c>
      <c r="I498" s="12">
        <v>1680250000000</v>
      </c>
      <c r="J498" s="12">
        <v>1749340000000</v>
      </c>
      <c r="K498" s="12">
        <v>1822180000000</v>
      </c>
      <c r="L498" s="12">
        <v>1902750000000</v>
      </c>
      <c r="M498" s="12">
        <v>1988960000000</v>
      </c>
      <c r="N498" s="12">
        <v>2080860000000</v>
      </c>
      <c r="O498" s="12">
        <v>2180260000000</v>
      </c>
      <c r="P498" s="12">
        <v>2286920000000</v>
      </c>
      <c r="Q498" s="12">
        <v>2399680000000</v>
      </c>
      <c r="R498" s="12">
        <v>2516670000000</v>
      </c>
      <c r="S498" s="12">
        <v>2640430000000</v>
      </c>
      <c r="T498" s="12">
        <v>2768430000000</v>
      </c>
      <c r="U498" s="12">
        <v>2897030000000</v>
      </c>
      <c r="V498" s="12">
        <v>3029240000000</v>
      </c>
      <c r="W498" s="12">
        <v>3163630000000</v>
      </c>
      <c r="X498" s="12">
        <v>3299870000000</v>
      </c>
      <c r="Y498" s="12">
        <v>3466920000000</v>
      </c>
      <c r="Z498" s="12">
        <v>3652730000000</v>
      </c>
      <c r="AA498" s="12">
        <v>3835280000000</v>
      </c>
      <c r="AB498" s="12">
        <v>4019480000000</v>
      </c>
      <c r="AC498" s="12">
        <v>4202550000000</v>
      </c>
      <c r="AD498" s="12">
        <v>4385040000000</v>
      </c>
      <c r="AE498" s="12">
        <v>4569030000000</v>
      </c>
      <c r="AF498" s="12">
        <v>4755320000000</v>
      </c>
    </row>
    <row r="499" spans="1:32" x14ac:dyDescent="0.25">
      <c r="A499" s="25" t="s">
        <v>568</v>
      </c>
      <c r="B499" s="25">
        <v>0</v>
      </c>
      <c r="C499" s="25">
        <v>0</v>
      </c>
      <c r="D499" s="25">
        <v>0</v>
      </c>
      <c r="E499" s="25">
        <v>0</v>
      </c>
      <c r="F499" s="25">
        <v>0</v>
      </c>
      <c r="G499" s="25">
        <v>0</v>
      </c>
      <c r="H499" s="25">
        <v>0</v>
      </c>
      <c r="I499" s="25">
        <v>0</v>
      </c>
      <c r="J499" s="25">
        <v>0</v>
      </c>
      <c r="K499" s="25">
        <v>0</v>
      </c>
      <c r="L499" s="25">
        <v>0</v>
      </c>
      <c r="M499" s="25">
        <v>0</v>
      </c>
      <c r="N499" s="25">
        <v>0</v>
      </c>
      <c r="O499" s="25">
        <v>0</v>
      </c>
      <c r="P499" s="25">
        <v>0</v>
      </c>
      <c r="Q499" s="25">
        <v>0</v>
      </c>
      <c r="R499" s="25">
        <v>0</v>
      </c>
      <c r="S499" s="25">
        <v>0</v>
      </c>
      <c r="T499" s="25">
        <v>0</v>
      </c>
      <c r="U499" s="25">
        <v>0</v>
      </c>
      <c r="V499" s="25">
        <v>0</v>
      </c>
      <c r="W499" s="25">
        <v>0</v>
      </c>
      <c r="X499" s="25">
        <v>0</v>
      </c>
      <c r="Y499" s="25">
        <v>0</v>
      </c>
      <c r="Z499" s="25">
        <v>0</v>
      </c>
      <c r="AA499" s="25">
        <v>0</v>
      </c>
      <c r="AB499" s="25">
        <v>0</v>
      </c>
      <c r="AC499" s="25">
        <v>0</v>
      </c>
      <c r="AD499" s="25">
        <v>0</v>
      </c>
      <c r="AE499" s="25">
        <v>0</v>
      </c>
      <c r="AF499" s="25">
        <v>0</v>
      </c>
    </row>
    <row r="500" spans="1:32" x14ac:dyDescent="0.25">
      <c r="A500" s="25" t="s">
        <v>569</v>
      </c>
      <c r="B500" s="25">
        <v>0</v>
      </c>
      <c r="C500" s="25">
        <v>0</v>
      </c>
      <c r="D500" s="25">
        <v>0</v>
      </c>
      <c r="E500" s="25">
        <v>0</v>
      </c>
      <c r="F500" s="25">
        <v>0</v>
      </c>
      <c r="G500" s="25">
        <v>0</v>
      </c>
      <c r="H500" s="25">
        <v>0</v>
      </c>
      <c r="I500" s="25">
        <v>0</v>
      </c>
      <c r="J500" s="25">
        <v>0</v>
      </c>
      <c r="K500" s="25">
        <v>0</v>
      </c>
      <c r="L500" s="25">
        <v>0</v>
      </c>
      <c r="M500" s="25">
        <v>0</v>
      </c>
      <c r="N500" s="25">
        <v>0</v>
      </c>
      <c r="O500" s="25">
        <v>0</v>
      </c>
      <c r="P500" s="25">
        <v>0</v>
      </c>
      <c r="Q500" s="25">
        <v>0</v>
      </c>
      <c r="R500" s="25">
        <v>0</v>
      </c>
      <c r="S500" s="25">
        <v>0</v>
      </c>
      <c r="T500" s="25">
        <v>0</v>
      </c>
      <c r="U500" s="25">
        <v>0</v>
      </c>
      <c r="V500" s="25">
        <v>0</v>
      </c>
      <c r="W500" s="25">
        <v>0</v>
      </c>
      <c r="X500" s="25">
        <v>0</v>
      </c>
      <c r="Y500" s="25">
        <v>0</v>
      </c>
      <c r="Z500" s="25">
        <v>0</v>
      </c>
      <c r="AA500" s="25">
        <v>0</v>
      </c>
      <c r="AB500" s="25">
        <v>0</v>
      </c>
      <c r="AC500" s="25">
        <v>0</v>
      </c>
      <c r="AD500" s="25">
        <v>0</v>
      </c>
      <c r="AE500" s="25">
        <v>0</v>
      </c>
      <c r="AF500" s="25">
        <v>0</v>
      </c>
    </row>
    <row r="501" spans="1:32" x14ac:dyDescent="0.25">
      <c r="A501" s="25" t="s">
        <v>570</v>
      </c>
      <c r="B501" s="25">
        <v>0</v>
      </c>
      <c r="C501" s="25">
        <v>0</v>
      </c>
      <c r="D501" s="25">
        <v>0</v>
      </c>
      <c r="E501" s="25">
        <v>0</v>
      </c>
      <c r="F501" s="25">
        <v>0</v>
      </c>
      <c r="G501" s="25">
        <v>0</v>
      </c>
      <c r="H501" s="25">
        <v>0</v>
      </c>
      <c r="I501" s="25">
        <v>0</v>
      </c>
      <c r="J501" s="25">
        <v>0</v>
      </c>
      <c r="K501" s="25">
        <v>0</v>
      </c>
      <c r="L501" s="25">
        <v>0</v>
      </c>
      <c r="M501" s="25">
        <v>0</v>
      </c>
      <c r="N501" s="25">
        <v>0</v>
      </c>
      <c r="O501" s="25">
        <v>0</v>
      </c>
      <c r="P501" s="25">
        <v>0</v>
      </c>
      <c r="Q501" s="25">
        <v>0</v>
      </c>
      <c r="R501" s="25">
        <v>0</v>
      </c>
      <c r="S501" s="25">
        <v>0</v>
      </c>
      <c r="T501" s="25">
        <v>0</v>
      </c>
      <c r="U501" s="25">
        <v>0</v>
      </c>
      <c r="V501" s="25">
        <v>0</v>
      </c>
      <c r="W501" s="25">
        <v>0</v>
      </c>
      <c r="X501" s="25">
        <v>0</v>
      </c>
      <c r="Y501" s="25">
        <v>0</v>
      </c>
      <c r="Z501" s="25">
        <v>0</v>
      </c>
      <c r="AA501" s="25">
        <v>0</v>
      </c>
      <c r="AB501" s="25">
        <v>0</v>
      </c>
      <c r="AC501" s="25">
        <v>0</v>
      </c>
      <c r="AD501" s="25">
        <v>0</v>
      </c>
      <c r="AE501" s="25">
        <v>0</v>
      </c>
      <c r="AF501" s="25">
        <v>0</v>
      </c>
    </row>
    <row r="502" spans="1:32" x14ac:dyDescent="0.25">
      <c r="A502" s="25" t="s">
        <v>571</v>
      </c>
      <c r="B502" s="25">
        <v>0</v>
      </c>
      <c r="C502" s="25">
        <v>0</v>
      </c>
      <c r="D502" s="25">
        <v>0</v>
      </c>
      <c r="E502" s="25">
        <v>0</v>
      </c>
      <c r="F502" s="25">
        <v>0</v>
      </c>
      <c r="G502" s="25">
        <v>0</v>
      </c>
      <c r="H502" s="25">
        <v>0</v>
      </c>
      <c r="I502" s="25">
        <v>0</v>
      </c>
      <c r="J502" s="25">
        <v>0</v>
      </c>
      <c r="K502" s="25">
        <v>0</v>
      </c>
      <c r="L502" s="25">
        <v>0</v>
      </c>
      <c r="M502" s="25">
        <v>0</v>
      </c>
      <c r="N502" s="25">
        <v>0</v>
      </c>
      <c r="O502" s="25">
        <v>0</v>
      </c>
      <c r="P502" s="25">
        <v>0</v>
      </c>
      <c r="Q502" s="25">
        <v>0</v>
      </c>
      <c r="R502" s="25">
        <v>0</v>
      </c>
      <c r="S502" s="25">
        <v>0</v>
      </c>
      <c r="T502" s="25">
        <v>0</v>
      </c>
      <c r="U502" s="25">
        <v>0</v>
      </c>
      <c r="V502" s="25">
        <v>0</v>
      </c>
      <c r="W502" s="25">
        <v>0</v>
      </c>
      <c r="X502" s="25">
        <v>0</v>
      </c>
      <c r="Y502" s="25">
        <v>0</v>
      </c>
      <c r="Z502" s="25">
        <v>0</v>
      </c>
      <c r="AA502" s="25">
        <v>0</v>
      </c>
      <c r="AB502" s="25">
        <v>0</v>
      </c>
      <c r="AC502" s="25">
        <v>0</v>
      </c>
      <c r="AD502" s="25">
        <v>0</v>
      </c>
      <c r="AE502" s="25">
        <v>0</v>
      </c>
      <c r="AF502" s="25">
        <v>0</v>
      </c>
    </row>
    <row r="503" spans="1:32" x14ac:dyDescent="0.25">
      <c r="A503" s="25" t="s">
        <v>572</v>
      </c>
      <c r="B503" s="25">
        <v>0</v>
      </c>
      <c r="C503" s="25">
        <v>0</v>
      </c>
      <c r="D503" s="25">
        <v>0</v>
      </c>
      <c r="E503" s="25">
        <v>0</v>
      </c>
      <c r="F503" s="25">
        <v>0</v>
      </c>
      <c r="G503" s="25">
        <v>0</v>
      </c>
      <c r="H503" s="25">
        <v>0</v>
      </c>
      <c r="I503" s="25">
        <v>0</v>
      </c>
      <c r="J503" s="25">
        <v>0</v>
      </c>
      <c r="K503" s="25">
        <v>0</v>
      </c>
      <c r="L503" s="25">
        <v>0</v>
      </c>
      <c r="M503" s="25">
        <v>0</v>
      </c>
      <c r="N503" s="25">
        <v>0</v>
      </c>
      <c r="O503" s="25">
        <v>0</v>
      </c>
      <c r="P503" s="25">
        <v>0</v>
      </c>
      <c r="Q503" s="25">
        <v>0</v>
      </c>
      <c r="R503" s="25">
        <v>0</v>
      </c>
      <c r="S503" s="25">
        <v>0</v>
      </c>
      <c r="T503" s="25">
        <v>0</v>
      </c>
      <c r="U503" s="25">
        <v>0</v>
      </c>
      <c r="V503" s="25">
        <v>0</v>
      </c>
      <c r="W503" s="25">
        <v>0</v>
      </c>
      <c r="X503" s="25">
        <v>0</v>
      </c>
      <c r="Y503" s="25">
        <v>0</v>
      </c>
      <c r="Z503" s="25">
        <v>0</v>
      </c>
      <c r="AA503" s="25">
        <v>0</v>
      </c>
      <c r="AB503" s="25">
        <v>0</v>
      </c>
      <c r="AC503" s="25">
        <v>0</v>
      </c>
      <c r="AD503" s="25">
        <v>0</v>
      </c>
      <c r="AE503" s="25">
        <v>0</v>
      </c>
      <c r="AF503" s="25">
        <v>0</v>
      </c>
    </row>
    <row r="504" spans="1:32" x14ac:dyDescent="0.25">
      <c r="A504" s="25" t="s">
        <v>573</v>
      </c>
      <c r="B504" s="25">
        <v>0</v>
      </c>
      <c r="C504" s="25">
        <v>0</v>
      </c>
      <c r="D504" s="25">
        <v>0</v>
      </c>
      <c r="E504" s="25">
        <v>0</v>
      </c>
      <c r="F504" s="25">
        <v>0</v>
      </c>
      <c r="G504" s="25">
        <v>0</v>
      </c>
      <c r="H504" s="25">
        <v>0</v>
      </c>
      <c r="I504" s="25">
        <v>0</v>
      </c>
      <c r="J504" s="25">
        <v>0</v>
      </c>
      <c r="K504" s="25">
        <v>0</v>
      </c>
      <c r="L504" s="25">
        <v>0</v>
      </c>
      <c r="M504" s="25">
        <v>0</v>
      </c>
      <c r="N504" s="25">
        <v>0</v>
      </c>
      <c r="O504" s="25">
        <v>0</v>
      </c>
      <c r="P504" s="25">
        <v>0</v>
      </c>
      <c r="Q504" s="25">
        <v>0</v>
      </c>
      <c r="R504" s="25">
        <v>0</v>
      </c>
      <c r="S504" s="25">
        <v>0</v>
      </c>
      <c r="T504" s="25">
        <v>0</v>
      </c>
      <c r="U504" s="25">
        <v>0</v>
      </c>
      <c r="V504" s="25">
        <v>0</v>
      </c>
      <c r="W504" s="25">
        <v>0</v>
      </c>
      <c r="X504" s="25">
        <v>0</v>
      </c>
      <c r="Y504" s="25">
        <v>0</v>
      </c>
      <c r="Z504" s="25">
        <v>0</v>
      </c>
      <c r="AA504" s="25">
        <v>0</v>
      </c>
      <c r="AB504" s="25">
        <v>0</v>
      </c>
      <c r="AC504" s="25">
        <v>0</v>
      </c>
      <c r="AD504" s="25">
        <v>0</v>
      </c>
      <c r="AE504" s="25">
        <v>0</v>
      </c>
      <c r="AF504" s="25">
        <v>0</v>
      </c>
    </row>
    <row r="505" spans="1:32" x14ac:dyDescent="0.25">
      <c r="A505" s="25" t="s">
        <v>574</v>
      </c>
      <c r="B505" s="25">
        <v>0</v>
      </c>
      <c r="C505" s="25">
        <v>0</v>
      </c>
      <c r="D505" s="25">
        <v>0</v>
      </c>
      <c r="E505" s="25">
        <v>0</v>
      </c>
      <c r="F505" s="25">
        <v>0</v>
      </c>
      <c r="G505" s="25">
        <v>0</v>
      </c>
      <c r="H505" s="25">
        <v>0</v>
      </c>
      <c r="I505" s="25">
        <v>0</v>
      </c>
      <c r="J505" s="25">
        <v>0</v>
      </c>
      <c r="K505" s="25">
        <v>0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5">
        <v>0</v>
      </c>
      <c r="T505" s="25">
        <v>0</v>
      </c>
      <c r="U505" s="25">
        <v>0</v>
      </c>
      <c r="V505" s="25">
        <v>0</v>
      </c>
      <c r="W505" s="25">
        <v>0</v>
      </c>
      <c r="X505" s="25">
        <v>0</v>
      </c>
      <c r="Y505" s="25">
        <v>0</v>
      </c>
      <c r="Z505" s="25">
        <v>0</v>
      </c>
      <c r="AA505" s="25">
        <v>0</v>
      </c>
      <c r="AB505" s="25">
        <v>0</v>
      </c>
      <c r="AC505" s="25">
        <v>0</v>
      </c>
      <c r="AD505" s="25">
        <v>0</v>
      </c>
      <c r="AE505" s="25">
        <v>0</v>
      </c>
      <c r="AF505" s="25">
        <v>0</v>
      </c>
    </row>
    <row r="506" spans="1:32" x14ac:dyDescent="0.25">
      <c r="A506" s="25" t="s">
        <v>575</v>
      </c>
      <c r="B506" s="25">
        <v>0</v>
      </c>
      <c r="C506" s="25">
        <v>0</v>
      </c>
      <c r="D506" s="25">
        <v>0</v>
      </c>
      <c r="E506" s="25">
        <v>0</v>
      </c>
      <c r="F506" s="25">
        <v>0</v>
      </c>
      <c r="G506" s="25">
        <v>0</v>
      </c>
      <c r="H506" s="25">
        <v>0</v>
      </c>
      <c r="I506" s="25">
        <v>0</v>
      </c>
      <c r="J506" s="25">
        <v>0</v>
      </c>
      <c r="K506" s="25">
        <v>0</v>
      </c>
      <c r="L506" s="25">
        <v>0</v>
      </c>
      <c r="M506" s="25">
        <v>0</v>
      </c>
      <c r="N506" s="25">
        <v>0</v>
      </c>
      <c r="O506" s="25">
        <v>0</v>
      </c>
      <c r="P506" s="25">
        <v>0</v>
      </c>
      <c r="Q506" s="25">
        <v>0</v>
      </c>
      <c r="R506" s="25">
        <v>0</v>
      </c>
      <c r="S506" s="25">
        <v>0</v>
      </c>
      <c r="T506" s="25">
        <v>0</v>
      </c>
      <c r="U506" s="25">
        <v>0</v>
      </c>
      <c r="V506" s="25">
        <v>0</v>
      </c>
      <c r="W506" s="25">
        <v>0</v>
      </c>
      <c r="X506" s="25">
        <v>0</v>
      </c>
      <c r="Y506" s="25">
        <v>0</v>
      </c>
      <c r="Z506" s="25">
        <v>0</v>
      </c>
      <c r="AA506" s="25">
        <v>0</v>
      </c>
      <c r="AB506" s="25">
        <v>0</v>
      </c>
      <c r="AC506" s="25">
        <v>0</v>
      </c>
      <c r="AD506" s="25">
        <v>0</v>
      </c>
      <c r="AE506" s="25">
        <v>0</v>
      </c>
      <c r="AF506" s="25">
        <v>0</v>
      </c>
    </row>
    <row r="507" spans="1:32" x14ac:dyDescent="0.25">
      <c r="A507" s="25" t="s">
        <v>576</v>
      </c>
      <c r="B507" s="25">
        <v>0</v>
      </c>
      <c r="C507" s="25">
        <v>0</v>
      </c>
      <c r="D507" s="25">
        <v>0</v>
      </c>
      <c r="E507" s="25">
        <v>0</v>
      </c>
      <c r="F507" s="25">
        <v>0</v>
      </c>
      <c r="G507" s="25">
        <v>0</v>
      </c>
      <c r="H507" s="25">
        <v>0</v>
      </c>
      <c r="I507" s="25">
        <v>0</v>
      </c>
      <c r="J507" s="25">
        <v>0</v>
      </c>
      <c r="K507" s="25">
        <v>0</v>
      </c>
      <c r="L507" s="25">
        <v>0</v>
      </c>
      <c r="M507" s="25">
        <v>0</v>
      </c>
      <c r="N507" s="25">
        <v>0</v>
      </c>
      <c r="O507" s="25">
        <v>0</v>
      </c>
      <c r="P507" s="25">
        <v>0</v>
      </c>
      <c r="Q507" s="25">
        <v>0</v>
      </c>
      <c r="R507" s="25">
        <v>0</v>
      </c>
      <c r="S507" s="25">
        <v>0</v>
      </c>
      <c r="T507" s="25">
        <v>0</v>
      </c>
      <c r="U507" s="25">
        <v>0</v>
      </c>
      <c r="V507" s="25">
        <v>0</v>
      </c>
      <c r="W507" s="25">
        <v>0</v>
      </c>
      <c r="X507" s="25">
        <v>0</v>
      </c>
      <c r="Y507" s="25">
        <v>0</v>
      </c>
      <c r="Z507" s="25">
        <v>0</v>
      </c>
      <c r="AA507" s="25">
        <v>0</v>
      </c>
      <c r="AB507" s="25">
        <v>0</v>
      </c>
      <c r="AC507" s="25">
        <v>0</v>
      </c>
      <c r="AD507" s="25">
        <v>0</v>
      </c>
      <c r="AE507" s="25">
        <v>0</v>
      </c>
      <c r="AF507" s="25">
        <v>0</v>
      </c>
    </row>
    <row r="508" spans="1:32" x14ac:dyDescent="0.25">
      <c r="A508" s="25" t="s">
        <v>577</v>
      </c>
      <c r="B508" s="25">
        <v>0</v>
      </c>
      <c r="C508" s="25">
        <v>0</v>
      </c>
      <c r="D508" s="25">
        <v>0</v>
      </c>
      <c r="E508" s="25">
        <v>0</v>
      </c>
      <c r="F508" s="25">
        <v>0</v>
      </c>
      <c r="G508" s="25">
        <v>0</v>
      </c>
      <c r="H508" s="25">
        <v>0</v>
      </c>
      <c r="I508" s="25">
        <v>0</v>
      </c>
      <c r="J508" s="25">
        <v>0</v>
      </c>
      <c r="K508" s="25">
        <v>0</v>
      </c>
      <c r="L508" s="25">
        <v>0</v>
      </c>
      <c r="M508" s="25">
        <v>0</v>
      </c>
      <c r="N508" s="25">
        <v>0</v>
      </c>
      <c r="O508" s="25">
        <v>0</v>
      </c>
      <c r="P508" s="25">
        <v>0</v>
      </c>
      <c r="Q508" s="25">
        <v>0</v>
      </c>
      <c r="R508" s="25">
        <v>0</v>
      </c>
      <c r="S508" s="25">
        <v>0</v>
      </c>
      <c r="T508" s="25">
        <v>0</v>
      </c>
      <c r="U508" s="25">
        <v>0</v>
      </c>
      <c r="V508" s="25">
        <v>0</v>
      </c>
      <c r="W508" s="25">
        <v>0</v>
      </c>
      <c r="X508" s="25">
        <v>0</v>
      </c>
      <c r="Y508" s="25">
        <v>0</v>
      </c>
      <c r="Z508" s="25">
        <v>0</v>
      </c>
      <c r="AA508" s="25">
        <v>0</v>
      </c>
      <c r="AB508" s="25">
        <v>0</v>
      </c>
      <c r="AC508" s="25">
        <v>0</v>
      </c>
      <c r="AD508" s="25">
        <v>0</v>
      </c>
      <c r="AE508" s="25">
        <v>0</v>
      </c>
      <c r="AF508" s="25">
        <v>0</v>
      </c>
    </row>
    <row r="509" spans="1:32" x14ac:dyDescent="0.25">
      <c r="A509" s="25" t="s">
        <v>578</v>
      </c>
      <c r="B509" s="12">
        <v>4956640000</v>
      </c>
      <c r="C509" s="12">
        <v>6591410000</v>
      </c>
      <c r="D509" s="12">
        <v>7274720000</v>
      </c>
      <c r="E509" s="12">
        <v>7613210000</v>
      </c>
      <c r="F509" s="12">
        <v>7880020000</v>
      </c>
      <c r="G509" s="12">
        <v>8325120000</v>
      </c>
      <c r="H509" s="12">
        <v>9110360000</v>
      </c>
      <c r="I509" s="12">
        <v>10350900000</v>
      </c>
      <c r="J509" s="12">
        <v>12300800000</v>
      </c>
      <c r="K509" s="12">
        <v>15123600000</v>
      </c>
      <c r="L509" s="12">
        <v>19240500000</v>
      </c>
      <c r="M509" s="12">
        <v>24723300000</v>
      </c>
      <c r="N509" s="12">
        <v>31974500000</v>
      </c>
      <c r="O509" s="12">
        <v>41303800000</v>
      </c>
      <c r="P509" s="12">
        <v>52865300000</v>
      </c>
      <c r="Q509" s="12">
        <v>66992900000</v>
      </c>
      <c r="R509" s="12">
        <v>83663400000</v>
      </c>
      <c r="S509" s="12">
        <v>103056000000</v>
      </c>
      <c r="T509" s="12">
        <v>124907000000</v>
      </c>
      <c r="U509" s="12">
        <v>148789000000</v>
      </c>
      <c r="V509" s="12">
        <v>174669000000</v>
      </c>
      <c r="W509" s="12">
        <v>202148000000</v>
      </c>
      <c r="X509" s="12">
        <v>231029000000</v>
      </c>
      <c r="Y509" s="12">
        <v>261638000000</v>
      </c>
      <c r="Z509" s="12">
        <v>295868000000</v>
      </c>
      <c r="AA509" s="12">
        <v>332846000000</v>
      </c>
      <c r="AB509" s="12">
        <v>372179000000</v>
      </c>
      <c r="AC509" s="12">
        <v>413440000000</v>
      </c>
      <c r="AD509" s="12">
        <v>456388000000</v>
      </c>
      <c r="AE509" s="12">
        <v>500858000000</v>
      </c>
      <c r="AF509" s="12">
        <v>546707000000</v>
      </c>
    </row>
    <row r="510" spans="1:32" x14ac:dyDescent="0.25">
      <c r="A510" s="25" t="s">
        <v>579</v>
      </c>
      <c r="B510" s="12">
        <v>178386000000</v>
      </c>
      <c r="C510" s="12">
        <v>1232780000000</v>
      </c>
      <c r="D510" s="12">
        <v>4528350000000</v>
      </c>
      <c r="E510" s="12">
        <v>8553560000000</v>
      </c>
      <c r="F510" s="12">
        <v>14039200000000</v>
      </c>
      <c r="G510" s="12">
        <v>20677300000000</v>
      </c>
      <c r="H510" s="12">
        <v>27852300000000</v>
      </c>
      <c r="I510" s="12">
        <v>34978400000000</v>
      </c>
      <c r="J510" s="12">
        <v>41986300000000</v>
      </c>
      <c r="K510" s="12">
        <v>49164200000000</v>
      </c>
      <c r="L510" s="12">
        <v>56318100000000</v>
      </c>
      <c r="M510" s="12">
        <v>63657100000000</v>
      </c>
      <c r="N510" s="12">
        <v>71022000000000</v>
      </c>
      <c r="O510" s="12">
        <v>78450200000000</v>
      </c>
      <c r="P510" s="12">
        <v>85854200000000</v>
      </c>
      <c r="Q510" s="12">
        <v>93411600000000</v>
      </c>
      <c r="R510" s="12">
        <v>101084000000000</v>
      </c>
      <c r="S510" s="12">
        <v>109023000000000</v>
      </c>
      <c r="T510" s="12">
        <v>117168000000000</v>
      </c>
      <c r="U510" s="12">
        <v>125373000000000</v>
      </c>
      <c r="V510" s="12">
        <v>133740000000000</v>
      </c>
      <c r="W510" s="12">
        <v>142332000000000</v>
      </c>
      <c r="X510" s="12">
        <v>151122000000000</v>
      </c>
      <c r="Y510" s="12">
        <v>159980000000000</v>
      </c>
      <c r="Z510" s="12">
        <v>169015000000000</v>
      </c>
      <c r="AA510" s="12">
        <v>178092000000000</v>
      </c>
      <c r="AB510" s="12">
        <v>187377000000000</v>
      </c>
      <c r="AC510" s="12">
        <v>196320000000000</v>
      </c>
      <c r="AD510" s="12">
        <v>203627000000000</v>
      </c>
      <c r="AE510" s="12">
        <v>210899000000000</v>
      </c>
      <c r="AF510" s="12">
        <v>216617000000000</v>
      </c>
    </row>
    <row r="511" spans="1:32" x14ac:dyDescent="0.25">
      <c r="A511" s="25" t="s">
        <v>580</v>
      </c>
      <c r="B511" s="25">
        <v>0</v>
      </c>
      <c r="C511" s="25">
        <v>0</v>
      </c>
      <c r="D511" s="25">
        <v>0</v>
      </c>
      <c r="E511" s="25">
        <v>0</v>
      </c>
      <c r="F511" s="25">
        <v>0</v>
      </c>
      <c r="G511" s="25">
        <v>0</v>
      </c>
      <c r="H511" s="25">
        <v>0</v>
      </c>
      <c r="I511" s="25">
        <v>0</v>
      </c>
      <c r="J511" s="25">
        <v>0</v>
      </c>
      <c r="K511" s="25">
        <v>0</v>
      </c>
      <c r="L511" s="25">
        <v>0</v>
      </c>
      <c r="M511" s="25">
        <v>0</v>
      </c>
      <c r="N511" s="25">
        <v>0</v>
      </c>
      <c r="O511" s="25">
        <v>0</v>
      </c>
      <c r="P511" s="25">
        <v>0</v>
      </c>
      <c r="Q511" s="25">
        <v>0</v>
      </c>
      <c r="R511" s="25">
        <v>0</v>
      </c>
      <c r="S511" s="25">
        <v>0</v>
      </c>
      <c r="T511" s="25">
        <v>0</v>
      </c>
      <c r="U511" s="25">
        <v>0</v>
      </c>
      <c r="V511" s="25">
        <v>0</v>
      </c>
      <c r="W511" s="25">
        <v>0</v>
      </c>
      <c r="X511" s="25">
        <v>0</v>
      </c>
      <c r="Y511" s="25">
        <v>0</v>
      </c>
      <c r="Z511" s="25">
        <v>0</v>
      </c>
      <c r="AA511" s="25">
        <v>0</v>
      </c>
      <c r="AB511" s="25">
        <v>0</v>
      </c>
      <c r="AC511" s="25">
        <v>0</v>
      </c>
      <c r="AD511" s="25">
        <v>0</v>
      </c>
      <c r="AE511" s="25">
        <v>0</v>
      </c>
      <c r="AF511" s="25">
        <v>0</v>
      </c>
    </row>
    <row r="512" spans="1:32" x14ac:dyDescent="0.25">
      <c r="A512" s="25" t="s">
        <v>581</v>
      </c>
      <c r="B512" s="25">
        <v>0</v>
      </c>
      <c r="C512" s="25">
        <v>0</v>
      </c>
      <c r="D512" s="25">
        <v>0</v>
      </c>
      <c r="E512" s="25">
        <v>0</v>
      </c>
      <c r="F512" s="25">
        <v>0</v>
      </c>
      <c r="G512" s="25">
        <v>0</v>
      </c>
      <c r="H512" s="25">
        <v>0</v>
      </c>
      <c r="I512" s="25">
        <v>0</v>
      </c>
      <c r="J512" s="25">
        <v>0</v>
      </c>
      <c r="K512" s="25">
        <v>0</v>
      </c>
      <c r="L512" s="25">
        <v>0</v>
      </c>
      <c r="M512" s="25">
        <v>0</v>
      </c>
      <c r="N512" s="25">
        <v>0</v>
      </c>
      <c r="O512" s="25">
        <v>0</v>
      </c>
      <c r="P512" s="25">
        <v>0</v>
      </c>
      <c r="Q512" s="25">
        <v>0</v>
      </c>
      <c r="R512" s="25">
        <v>0</v>
      </c>
      <c r="S512" s="25">
        <v>0</v>
      </c>
      <c r="T512" s="25">
        <v>0</v>
      </c>
      <c r="U512" s="25">
        <v>0</v>
      </c>
      <c r="V512" s="25">
        <v>0</v>
      </c>
      <c r="W512" s="25">
        <v>0</v>
      </c>
      <c r="X512" s="25">
        <v>0</v>
      </c>
      <c r="Y512" s="25">
        <v>0</v>
      </c>
      <c r="Z512" s="25">
        <v>0</v>
      </c>
      <c r="AA512" s="25">
        <v>0</v>
      </c>
      <c r="AB512" s="25">
        <v>0</v>
      </c>
      <c r="AC512" s="25">
        <v>0</v>
      </c>
      <c r="AD512" s="25">
        <v>0</v>
      </c>
      <c r="AE512" s="25">
        <v>0</v>
      </c>
      <c r="AF512" s="25">
        <v>0</v>
      </c>
    </row>
    <row r="513" spans="1:32" x14ac:dyDescent="0.25">
      <c r="A513" s="25" t="s">
        <v>582</v>
      </c>
      <c r="B513" s="25">
        <v>0</v>
      </c>
      <c r="C513" s="25">
        <v>0</v>
      </c>
      <c r="D513" s="25">
        <v>0</v>
      </c>
      <c r="E513" s="25">
        <v>0</v>
      </c>
      <c r="F513" s="25">
        <v>0</v>
      </c>
      <c r="G513" s="25">
        <v>0</v>
      </c>
      <c r="H513" s="25">
        <v>0</v>
      </c>
      <c r="I513" s="25">
        <v>0</v>
      </c>
      <c r="J513" s="25">
        <v>0</v>
      </c>
      <c r="K513" s="25">
        <v>0</v>
      </c>
      <c r="L513" s="25">
        <v>0</v>
      </c>
      <c r="M513" s="25">
        <v>0</v>
      </c>
      <c r="N513" s="25">
        <v>0</v>
      </c>
      <c r="O513" s="25">
        <v>0</v>
      </c>
      <c r="P513" s="25">
        <v>0</v>
      </c>
      <c r="Q513" s="25">
        <v>0</v>
      </c>
      <c r="R513" s="25">
        <v>0</v>
      </c>
      <c r="S513" s="25">
        <v>0</v>
      </c>
      <c r="T513" s="25">
        <v>0</v>
      </c>
      <c r="U513" s="25">
        <v>0</v>
      </c>
      <c r="V513" s="25">
        <v>0</v>
      </c>
      <c r="W513" s="25">
        <v>0</v>
      </c>
      <c r="X513" s="25">
        <v>0</v>
      </c>
      <c r="Y513" s="25">
        <v>0</v>
      </c>
      <c r="Z513" s="25">
        <v>0</v>
      </c>
      <c r="AA513" s="25">
        <v>0</v>
      </c>
      <c r="AB513" s="25">
        <v>0</v>
      </c>
      <c r="AC513" s="25">
        <v>0</v>
      </c>
      <c r="AD513" s="25">
        <v>0</v>
      </c>
      <c r="AE513" s="25">
        <v>0</v>
      </c>
      <c r="AF513" s="25">
        <v>0</v>
      </c>
    </row>
    <row r="514" spans="1:32" x14ac:dyDescent="0.25">
      <c r="A514" s="25" t="s">
        <v>583</v>
      </c>
      <c r="B514" s="25">
        <v>0</v>
      </c>
      <c r="C514" s="25">
        <v>0</v>
      </c>
      <c r="D514" s="25">
        <v>0</v>
      </c>
      <c r="E514" s="25">
        <v>0</v>
      </c>
      <c r="F514" s="25">
        <v>0</v>
      </c>
      <c r="G514" s="25">
        <v>0</v>
      </c>
      <c r="H514" s="25">
        <v>0</v>
      </c>
      <c r="I514" s="25">
        <v>0</v>
      </c>
      <c r="J514" s="25">
        <v>0</v>
      </c>
      <c r="K514" s="25">
        <v>0</v>
      </c>
      <c r="L514" s="25">
        <v>0</v>
      </c>
      <c r="M514" s="25">
        <v>0</v>
      </c>
      <c r="N514" s="25">
        <v>0</v>
      </c>
      <c r="O514" s="25">
        <v>0</v>
      </c>
      <c r="P514" s="25">
        <v>0</v>
      </c>
      <c r="Q514" s="25">
        <v>0</v>
      </c>
      <c r="R514" s="25">
        <v>0</v>
      </c>
      <c r="S514" s="25">
        <v>0</v>
      </c>
      <c r="T514" s="25">
        <v>0</v>
      </c>
      <c r="U514" s="25">
        <v>0</v>
      </c>
      <c r="V514" s="25">
        <v>0</v>
      </c>
      <c r="W514" s="25">
        <v>0</v>
      </c>
      <c r="X514" s="25">
        <v>0</v>
      </c>
      <c r="Y514" s="25">
        <v>0</v>
      </c>
      <c r="Z514" s="25">
        <v>0</v>
      </c>
      <c r="AA514" s="25">
        <v>0</v>
      </c>
      <c r="AB514" s="25">
        <v>0</v>
      </c>
      <c r="AC514" s="25">
        <v>0</v>
      </c>
      <c r="AD514" s="25">
        <v>0</v>
      </c>
      <c r="AE514" s="25">
        <v>0</v>
      </c>
      <c r="AF514" s="25">
        <v>0</v>
      </c>
    </row>
    <row r="515" spans="1:32" x14ac:dyDescent="0.25">
      <c r="A515" s="25" t="s">
        <v>584</v>
      </c>
      <c r="B515" s="25">
        <v>0</v>
      </c>
      <c r="C515" s="25">
        <v>0</v>
      </c>
      <c r="D515" s="25">
        <v>0</v>
      </c>
      <c r="E515" s="25">
        <v>0</v>
      </c>
      <c r="F515" s="25">
        <v>0</v>
      </c>
      <c r="G515" s="25">
        <v>0</v>
      </c>
      <c r="H515" s="25">
        <v>0</v>
      </c>
      <c r="I515" s="25">
        <v>0</v>
      </c>
      <c r="J515" s="25">
        <v>0</v>
      </c>
      <c r="K515" s="25">
        <v>0</v>
      </c>
      <c r="L515" s="25">
        <v>0</v>
      </c>
      <c r="M515" s="25">
        <v>0</v>
      </c>
      <c r="N515" s="25">
        <v>0</v>
      </c>
      <c r="O515" s="25">
        <v>0</v>
      </c>
      <c r="P515" s="25">
        <v>0</v>
      </c>
      <c r="Q515" s="25">
        <v>0</v>
      </c>
      <c r="R515" s="25">
        <v>0</v>
      </c>
      <c r="S515" s="25">
        <v>0</v>
      </c>
      <c r="T515" s="25">
        <v>0</v>
      </c>
      <c r="U515" s="25">
        <v>0</v>
      </c>
      <c r="V515" s="25">
        <v>0</v>
      </c>
      <c r="W515" s="25">
        <v>0</v>
      </c>
      <c r="X515" s="25">
        <v>0</v>
      </c>
      <c r="Y515" s="25">
        <v>0</v>
      </c>
      <c r="Z515" s="25">
        <v>0</v>
      </c>
      <c r="AA515" s="25">
        <v>0</v>
      </c>
      <c r="AB515" s="25">
        <v>0</v>
      </c>
      <c r="AC515" s="25">
        <v>0</v>
      </c>
      <c r="AD515" s="25">
        <v>0</v>
      </c>
      <c r="AE515" s="25">
        <v>0</v>
      </c>
      <c r="AF515" s="25">
        <v>0</v>
      </c>
    </row>
    <row r="516" spans="1:32" x14ac:dyDescent="0.25">
      <c r="A516" s="25" t="s">
        <v>585</v>
      </c>
      <c r="B516" s="25">
        <v>0</v>
      </c>
      <c r="C516" s="25">
        <v>0</v>
      </c>
      <c r="D516" s="25">
        <v>0</v>
      </c>
      <c r="E516" s="25">
        <v>0</v>
      </c>
      <c r="F516" s="25">
        <v>0</v>
      </c>
      <c r="G516" s="25">
        <v>0</v>
      </c>
      <c r="H516" s="25">
        <v>0</v>
      </c>
      <c r="I516" s="25">
        <v>0</v>
      </c>
      <c r="J516" s="25">
        <v>0</v>
      </c>
      <c r="K516" s="25">
        <v>0</v>
      </c>
      <c r="L516" s="25">
        <v>0</v>
      </c>
      <c r="M516" s="25">
        <v>0</v>
      </c>
      <c r="N516" s="25">
        <v>0</v>
      </c>
      <c r="O516" s="25">
        <v>0</v>
      </c>
      <c r="P516" s="25">
        <v>0</v>
      </c>
      <c r="Q516" s="25">
        <v>0</v>
      </c>
      <c r="R516" s="25">
        <v>0</v>
      </c>
      <c r="S516" s="25">
        <v>0</v>
      </c>
      <c r="T516" s="25">
        <v>0</v>
      </c>
      <c r="U516" s="25">
        <v>0</v>
      </c>
      <c r="V516" s="25">
        <v>0</v>
      </c>
      <c r="W516" s="25">
        <v>0</v>
      </c>
      <c r="X516" s="25">
        <v>0</v>
      </c>
      <c r="Y516" s="25">
        <v>0</v>
      </c>
      <c r="Z516" s="25">
        <v>0</v>
      </c>
      <c r="AA516" s="25">
        <v>0</v>
      </c>
      <c r="AB516" s="25">
        <v>0</v>
      </c>
      <c r="AC516" s="25">
        <v>0</v>
      </c>
      <c r="AD516" s="25">
        <v>0</v>
      </c>
      <c r="AE516" s="25">
        <v>0</v>
      </c>
      <c r="AF516" s="25">
        <v>0</v>
      </c>
    </row>
    <row r="517" spans="1:32" x14ac:dyDescent="0.25">
      <c r="A517" s="25" t="s">
        <v>586</v>
      </c>
      <c r="B517" s="25">
        <v>0</v>
      </c>
      <c r="C517" s="25">
        <v>0</v>
      </c>
      <c r="D517" s="25">
        <v>0</v>
      </c>
      <c r="E517" s="25">
        <v>0</v>
      </c>
      <c r="F517" s="25">
        <v>0</v>
      </c>
      <c r="G517" s="25">
        <v>0</v>
      </c>
      <c r="H517" s="25">
        <v>0</v>
      </c>
      <c r="I517" s="25">
        <v>0</v>
      </c>
      <c r="J517" s="25">
        <v>0</v>
      </c>
      <c r="K517" s="25">
        <v>0</v>
      </c>
      <c r="L517" s="25">
        <v>0</v>
      </c>
      <c r="M517" s="25">
        <v>0</v>
      </c>
      <c r="N517" s="25">
        <v>0</v>
      </c>
      <c r="O517" s="25">
        <v>0</v>
      </c>
      <c r="P517" s="25">
        <v>0</v>
      </c>
      <c r="Q517" s="25">
        <v>0</v>
      </c>
      <c r="R517" s="25">
        <v>0</v>
      </c>
      <c r="S517" s="25">
        <v>0</v>
      </c>
      <c r="T517" s="25">
        <v>0</v>
      </c>
      <c r="U517" s="25">
        <v>0</v>
      </c>
      <c r="V517" s="25">
        <v>0</v>
      </c>
      <c r="W517" s="25">
        <v>0</v>
      </c>
      <c r="X517" s="25">
        <v>0</v>
      </c>
      <c r="Y517" s="25">
        <v>0</v>
      </c>
      <c r="Z517" s="25">
        <v>0</v>
      </c>
      <c r="AA517" s="25">
        <v>0</v>
      </c>
      <c r="AB517" s="25">
        <v>0</v>
      </c>
      <c r="AC517" s="25">
        <v>0</v>
      </c>
      <c r="AD517" s="25">
        <v>0</v>
      </c>
      <c r="AE517" s="25">
        <v>0</v>
      </c>
      <c r="AF517" s="25">
        <v>0</v>
      </c>
    </row>
    <row r="518" spans="1:32" x14ac:dyDescent="0.25">
      <c r="A518" s="25" t="s">
        <v>587</v>
      </c>
      <c r="B518" s="25">
        <v>0</v>
      </c>
      <c r="C518" s="25">
        <v>0</v>
      </c>
      <c r="D518" s="25">
        <v>0</v>
      </c>
      <c r="E518" s="25">
        <v>0</v>
      </c>
      <c r="F518" s="25">
        <v>0</v>
      </c>
      <c r="G518" s="25">
        <v>0</v>
      </c>
      <c r="H518" s="25">
        <v>0</v>
      </c>
      <c r="I518" s="25">
        <v>0</v>
      </c>
      <c r="J518" s="25">
        <v>0</v>
      </c>
      <c r="K518" s="25">
        <v>0</v>
      </c>
      <c r="L518" s="25">
        <v>0</v>
      </c>
      <c r="M518" s="25">
        <v>0</v>
      </c>
      <c r="N518" s="25">
        <v>0</v>
      </c>
      <c r="O518" s="25">
        <v>0</v>
      </c>
      <c r="P518" s="25">
        <v>0</v>
      </c>
      <c r="Q518" s="25">
        <v>0</v>
      </c>
      <c r="R518" s="25">
        <v>0</v>
      </c>
      <c r="S518" s="25">
        <v>0</v>
      </c>
      <c r="T518" s="25">
        <v>0</v>
      </c>
      <c r="U518" s="25">
        <v>0</v>
      </c>
      <c r="V518" s="25">
        <v>0</v>
      </c>
      <c r="W518" s="25">
        <v>0</v>
      </c>
      <c r="X518" s="25">
        <v>0</v>
      </c>
      <c r="Y518" s="25">
        <v>0</v>
      </c>
      <c r="Z518" s="25">
        <v>0</v>
      </c>
      <c r="AA518" s="25">
        <v>0</v>
      </c>
      <c r="AB518" s="25">
        <v>0</v>
      </c>
      <c r="AC518" s="25">
        <v>0</v>
      </c>
      <c r="AD518" s="25">
        <v>0</v>
      </c>
      <c r="AE518" s="25">
        <v>0</v>
      </c>
      <c r="AF518" s="25">
        <v>0</v>
      </c>
    </row>
    <row r="519" spans="1:32" x14ac:dyDescent="0.25">
      <c r="A519" s="25" t="s">
        <v>588</v>
      </c>
      <c r="B519" s="25">
        <v>0</v>
      </c>
      <c r="C519" s="25">
        <v>0</v>
      </c>
      <c r="D519" s="25">
        <v>0</v>
      </c>
      <c r="E519" s="25">
        <v>0</v>
      </c>
      <c r="F519" s="25">
        <v>0</v>
      </c>
      <c r="G519" s="25">
        <v>0</v>
      </c>
      <c r="H519" s="25">
        <v>0</v>
      </c>
      <c r="I519" s="25">
        <v>0</v>
      </c>
      <c r="J519" s="25">
        <v>0</v>
      </c>
      <c r="K519" s="25">
        <v>0</v>
      </c>
      <c r="L519" s="25">
        <v>0</v>
      </c>
      <c r="M519" s="25">
        <v>0</v>
      </c>
      <c r="N519" s="25">
        <v>0</v>
      </c>
      <c r="O519" s="25">
        <v>0</v>
      </c>
      <c r="P519" s="25">
        <v>0</v>
      </c>
      <c r="Q519" s="25">
        <v>0</v>
      </c>
      <c r="R519" s="25">
        <v>0</v>
      </c>
      <c r="S519" s="25">
        <v>0</v>
      </c>
      <c r="T519" s="25">
        <v>0</v>
      </c>
      <c r="U519" s="25">
        <v>0</v>
      </c>
      <c r="V519" s="25">
        <v>0</v>
      </c>
      <c r="W519" s="25">
        <v>0</v>
      </c>
      <c r="X519" s="25">
        <v>0</v>
      </c>
      <c r="Y519" s="25">
        <v>0</v>
      </c>
      <c r="Z519" s="25">
        <v>0</v>
      </c>
      <c r="AA519" s="25">
        <v>0</v>
      </c>
      <c r="AB519" s="25">
        <v>0</v>
      </c>
      <c r="AC519" s="25">
        <v>0</v>
      </c>
      <c r="AD519" s="25">
        <v>0</v>
      </c>
      <c r="AE519" s="25">
        <v>0</v>
      </c>
      <c r="AF519" s="25">
        <v>0</v>
      </c>
    </row>
    <row r="520" spans="1:32" x14ac:dyDescent="0.25">
      <c r="A520" s="25" t="s">
        <v>589</v>
      </c>
      <c r="B520" s="25">
        <v>0</v>
      </c>
      <c r="C520" s="25">
        <v>0</v>
      </c>
      <c r="D520" s="25">
        <v>0</v>
      </c>
      <c r="E520" s="25">
        <v>0</v>
      </c>
      <c r="F520" s="25">
        <v>0</v>
      </c>
      <c r="G520" s="25">
        <v>0</v>
      </c>
      <c r="H520" s="25">
        <v>0</v>
      </c>
      <c r="I520" s="25">
        <v>0</v>
      </c>
      <c r="J520" s="25">
        <v>0</v>
      </c>
      <c r="K520" s="25">
        <v>0</v>
      </c>
      <c r="L520" s="25">
        <v>0</v>
      </c>
      <c r="M520" s="25">
        <v>0</v>
      </c>
      <c r="N520" s="25">
        <v>0</v>
      </c>
      <c r="O520" s="25">
        <v>0</v>
      </c>
      <c r="P520" s="25">
        <v>0</v>
      </c>
      <c r="Q520" s="25">
        <v>0</v>
      </c>
      <c r="R520" s="25">
        <v>0</v>
      </c>
      <c r="S520" s="25">
        <v>0</v>
      </c>
      <c r="T520" s="25">
        <v>0</v>
      </c>
      <c r="U520" s="25">
        <v>0</v>
      </c>
      <c r="V520" s="25">
        <v>0</v>
      </c>
      <c r="W520" s="25">
        <v>0</v>
      </c>
      <c r="X520" s="25">
        <v>0</v>
      </c>
      <c r="Y520" s="25">
        <v>0</v>
      </c>
      <c r="Z520" s="25">
        <v>0</v>
      </c>
      <c r="AA520" s="25">
        <v>0</v>
      </c>
      <c r="AB520" s="25">
        <v>0</v>
      </c>
      <c r="AC520" s="25">
        <v>0</v>
      </c>
      <c r="AD520" s="25">
        <v>0</v>
      </c>
      <c r="AE520" s="25">
        <v>0</v>
      </c>
      <c r="AF520" s="25">
        <v>0</v>
      </c>
    </row>
    <row r="521" spans="1:32" x14ac:dyDescent="0.25">
      <c r="A521" s="25" t="s">
        <v>590</v>
      </c>
      <c r="B521" s="12">
        <v>45556600000000</v>
      </c>
      <c r="C521" s="12">
        <v>47657300000000</v>
      </c>
      <c r="D521" s="12">
        <v>47117700000000</v>
      </c>
      <c r="E521" s="12">
        <v>46025400000000</v>
      </c>
      <c r="F521" s="12">
        <v>44737500000000</v>
      </c>
      <c r="G521" s="12">
        <v>43430500000000</v>
      </c>
      <c r="H521" s="12">
        <v>41955900000000</v>
      </c>
      <c r="I521" s="12">
        <v>40299800000000</v>
      </c>
      <c r="J521" s="12">
        <v>38650600000000</v>
      </c>
      <c r="K521" s="12">
        <v>37010200000000</v>
      </c>
      <c r="L521" s="12">
        <v>35345400000000</v>
      </c>
      <c r="M521" s="12">
        <v>33698000000000</v>
      </c>
      <c r="N521" s="12">
        <v>32078300000000</v>
      </c>
      <c r="O521" s="12">
        <v>30500300000000</v>
      </c>
      <c r="P521" s="12">
        <v>28959000000000</v>
      </c>
      <c r="Q521" s="12">
        <v>27492500000000</v>
      </c>
      <c r="R521" s="12">
        <v>26093700000000</v>
      </c>
      <c r="S521" s="12">
        <v>24792000000000</v>
      </c>
      <c r="T521" s="12">
        <v>23566800000000</v>
      </c>
      <c r="U521" s="12">
        <v>22395600000000</v>
      </c>
      <c r="V521" s="12">
        <v>21286100000000</v>
      </c>
      <c r="W521" s="12">
        <v>20244900000000</v>
      </c>
      <c r="X521" s="12">
        <v>19263000000000</v>
      </c>
      <c r="Y521" s="12">
        <v>18315300000000</v>
      </c>
      <c r="Z521" s="12">
        <v>17408800000000</v>
      </c>
      <c r="AA521" s="12">
        <v>16534900000000</v>
      </c>
      <c r="AB521" s="12">
        <v>15705800000000</v>
      </c>
      <c r="AC521" s="12">
        <v>14869100000000</v>
      </c>
      <c r="AD521" s="12">
        <v>15710800000000</v>
      </c>
      <c r="AE521" s="12">
        <v>16563500000000</v>
      </c>
      <c r="AF521" s="12">
        <v>17515600000000</v>
      </c>
    </row>
    <row r="522" spans="1:32" x14ac:dyDescent="0.25">
      <c r="A522" s="25" t="s">
        <v>591</v>
      </c>
      <c r="B522" s="25">
        <v>0</v>
      </c>
      <c r="C522" s="25">
        <v>0</v>
      </c>
      <c r="D522" s="25">
        <v>0</v>
      </c>
      <c r="E522" s="25">
        <v>0</v>
      </c>
      <c r="F522" s="25">
        <v>0</v>
      </c>
      <c r="G522" s="25">
        <v>0</v>
      </c>
      <c r="H522" s="25">
        <v>0</v>
      </c>
      <c r="I522" s="25">
        <v>0</v>
      </c>
      <c r="J522" s="25">
        <v>0</v>
      </c>
      <c r="K522" s="25">
        <v>0</v>
      </c>
      <c r="L522" s="25">
        <v>0</v>
      </c>
      <c r="M522" s="25">
        <v>0</v>
      </c>
      <c r="N522" s="25">
        <v>0</v>
      </c>
      <c r="O522" s="25">
        <v>0</v>
      </c>
      <c r="P522" s="25">
        <v>0</v>
      </c>
      <c r="Q522" s="25">
        <v>0</v>
      </c>
      <c r="R522" s="25">
        <v>0</v>
      </c>
      <c r="S522" s="25">
        <v>0</v>
      </c>
      <c r="T522" s="25">
        <v>0</v>
      </c>
      <c r="U522" s="25">
        <v>0</v>
      </c>
      <c r="V522" s="25">
        <v>0</v>
      </c>
      <c r="W522" s="25">
        <v>0</v>
      </c>
      <c r="X522" s="25">
        <v>0</v>
      </c>
      <c r="Y522" s="25">
        <v>0</v>
      </c>
      <c r="Z522" s="25">
        <v>0</v>
      </c>
      <c r="AA522" s="25">
        <v>0</v>
      </c>
      <c r="AB522" s="25">
        <v>0</v>
      </c>
      <c r="AC522" s="25">
        <v>0</v>
      </c>
      <c r="AD522" s="25">
        <v>0</v>
      </c>
      <c r="AE522" s="25">
        <v>0</v>
      </c>
      <c r="AF522" s="25">
        <v>0</v>
      </c>
    </row>
    <row r="523" spans="1:32" x14ac:dyDescent="0.25">
      <c r="A523" s="25" t="s">
        <v>592</v>
      </c>
      <c r="B523" s="25">
        <v>0</v>
      </c>
      <c r="C523" s="25">
        <v>0</v>
      </c>
      <c r="D523" s="25">
        <v>0</v>
      </c>
      <c r="E523" s="25">
        <v>0</v>
      </c>
      <c r="F523" s="25">
        <v>0</v>
      </c>
      <c r="G523" s="25">
        <v>0</v>
      </c>
      <c r="H523" s="25">
        <v>0</v>
      </c>
      <c r="I523" s="25">
        <v>0</v>
      </c>
      <c r="J523" s="25">
        <v>0</v>
      </c>
      <c r="K523" s="25">
        <v>0</v>
      </c>
      <c r="L523" s="25">
        <v>0</v>
      </c>
      <c r="M523" s="25">
        <v>0</v>
      </c>
      <c r="N523" s="25">
        <v>0</v>
      </c>
      <c r="O523" s="25">
        <v>0</v>
      </c>
      <c r="P523" s="25">
        <v>0</v>
      </c>
      <c r="Q523" s="25">
        <v>0</v>
      </c>
      <c r="R523" s="25">
        <v>0</v>
      </c>
      <c r="S523" s="25">
        <v>0</v>
      </c>
      <c r="T523" s="25">
        <v>0</v>
      </c>
      <c r="U523" s="25">
        <v>0</v>
      </c>
      <c r="V523" s="25">
        <v>0</v>
      </c>
      <c r="W523" s="25">
        <v>0</v>
      </c>
      <c r="X523" s="25">
        <v>0</v>
      </c>
      <c r="Y523" s="25">
        <v>0</v>
      </c>
      <c r="Z523" s="25">
        <v>0</v>
      </c>
      <c r="AA523" s="25">
        <v>0</v>
      </c>
      <c r="AB523" s="25">
        <v>0</v>
      </c>
      <c r="AC523" s="25">
        <v>0</v>
      </c>
      <c r="AD523" s="25">
        <v>0</v>
      </c>
      <c r="AE523" s="25">
        <v>0</v>
      </c>
      <c r="AF523" s="25">
        <v>0</v>
      </c>
    </row>
    <row r="524" spans="1:32" x14ac:dyDescent="0.25">
      <c r="A524" s="25" t="s">
        <v>593</v>
      </c>
      <c r="B524" s="25">
        <v>0</v>
      </c>
      <c r="C524" s="25">
        <v>0</v>
      </c>
      <c r="D524" s="25">
        <v>0</v>
      </c>
      <c r="E524" s="25">
        <v>0</v>
      </c>
      <c r="F524" s="25">
        <v>0</v>
      </c>
      <c r="G524" s="25">
        <v>0</v>
      </c>
      <c r="H524" s="25">
        <v>0</v>
      </c>
      <c r="I524" s="25">
        <v>0</v>
      </c>
      <c r="J524" s="25">
        <v>0</v>
      </c>
      <c r="K524" s="25">
        <v>0</v>
      </c>
      <c r="L524" s="25">
        <v>0</v>
      </c>
      <c r="M524" s="25">
        <v>0</v>
      </c>
      <c r="N524" s="25">
        <v>0</v>
      </c>
      <c r="O524" s="25">
        <v>0</v>
      </c>
      <c r="P524" s="25">
        <v>0</v>
      </c>
      <c r="Q524" s="25">
        <v>0</v>
      </c>
      <c r="R524" s="25">
        <v>0</v>
      </c>
      <c r="S524" s="25">
        <v>0</v>
      </c>
      <c r="T524" s="25">
        <v>0</v>
      </c>
      <c r="U524" s="25">
        <v>0</v>
      </c>
      <c r="V524" s="25">
        <v>0</v>
      </c>
      <c r="W524" s="25">
        <v>0</v>
      </c>
      <c r="X524" s="25">
        <v>0</v>
      </c>
      <c r="Y524" s="25">
        <v>0</v>
      </c>
      <c r="Z524" s="25">
        <v>0</v>
      </c>
      <c r="AA524" s="25">
        <v>0</v>
      </c>
      <c r="AB524" s="25">
        <v>0</v>
      </c>
      <c r="AC524" s="25">
        <v>0</v>
      </c>
      <c r="AD524" s="25">
        <v>0</v>
      </c>
      <c r="AE524" s="25">
        <v>0</v>
      </c>
      <c r="AF524" s="25">
        <v>0</v>
      </c>
    </row>
    <row r="525" spans="1:32" x14ac:dyDescent="0.25">
      <c r="A525" s="25" t="s">
        <v>594</v>
      </c>
      <c r="B525" s="25">
        <v>0</v>
      </c>
      <c r="C525" s="25">
        <v>0</v>
      </c>
      <c r="D525" s="25">
        <v>0</v>
      </c>
      <c r="E525" s="25">
        <v>0</v>
      </c>
      <c r="F525" s="25">
        <v>0</v>
      </c>
      <c r="G525" s="25">
        <v>0</v>
      </c>
      <c r="H525" s="25">
        <v>0</v>
      </c>
      <c r="I525" s="25">
        <v>0</v>
      </c>
      <c r="J525" s="25">
        <v>0</v>
      </c>
      <c r="K525" s="25">
        <v>0</v>
      </c>
      <c r="L525" s="25">
        <v>0</v>
      </c>
      <c r="M525" s="25">
        <v>0</v>
      </c>
      <c r="N525" s="25">
        <v>0</v>
      </c>
      <c r="O525" s="25">
        <v>0</v>
      </c>
      <c r="P525" s="25">
        <v>0</v>
      </c>
      <c r="Q525" s="25">
        <v>0</v>
      </c>
      <c r="R525" s="25">
        <v>0</v>
      </c>
      <c r="S525" s="25">
        <v>0</v>
      </c>
      <c r="T525" s="25">
        <v>0</v>
      </c>
      <c r="U525" s="25">
        <v>0</v>
      </c>
      <c r="V525" s="25">
        <v>0</v>
      </c>
      <c r="W525" s="25">
        <v>0</v>
      </c>
      <c r="X525" s="25">
        <v>0</v>
      </c>
      <c r="Y525" s="25">
        <v>0</v>
      </c>
      <c r="Z525" s="25">
        <v>0</v>
      </c>
      <c r="AA525" s="25">
        <v>0</v>
      </c>
      <c r="AB525" s="25">
        <v>0</v>
      </c>
      <c r="AC525" s="25">
        <v>0</v>
      </c>
      <c r="AD525" s="25">
        <v>0</v>
      </c>
      <c r="AE525" s="25">
        <v>0</v>
      </c>
      <c r="AF525" s="25">
        <v>0</v>
      </c>
    </row>
    <row r="526" spans="1:32" x14ac:dyDescent="0.25">
      <c r="A526" s="25" t="s">
        <v>595</v>
      </c>
      <c r="B526" s="25">
        <v>0</v>
      </c>
      <c r="C526" s="25">
        <v>0</v>
      </c>
      <c r="D526" s="25">
        <v>0</v>
      </c>
      <c r="E526" s="25">
        <v>0</v>
      </c>
      <c r="F526" s="25">
        <v>0</v>
      </c>
      <c r="G526" s="25">
        <v>0</v>
      </c>
      <c r="H526" s="25">
        <v>0</v>
      </c>
      <c r="I526" s="25">
        <v>0</v>
      </c>
      <c r="J526" s="25">
        <v>0</v>
      </c>
      <c r="K526" s="25">
        <v>0</v>
      </c>
      <c r="L526" s="25">
        <v>0</v>
      </c>
      <c r="M526" s="25">
        <v>0</v>
      </c>
      <c r="N526" s="25">
        <v>0</v>
      </c>
      <c r="O526" s="25">
        <v>0</v>
      </c>
      <c r="P526" s="25">
        <v>0</v>
      </c>
      <c r="Q526" s="25">
        <v>0</v>
      </c>
      <c r="R526" s="25">
        <v>0</v>
      </c>
      <c r="S526" s="25">
        <v>0</v>
      </c>
      <c r="T526" s="25">
        <v>0</v>
      </c>
      <c r="U526" s="25">
        <v>0</v>
      </c>
      <c r="V526" s="25">
        <v>0</v>
      </c>
      <c r="W526" s="25">
        <v>0</v>
      </c>
      <c r="X526" s="25">
        <v>0</v>
      </c>
      <c r="Y526" s="25">
        <v>0</v>
      </c>
      <c r="Z526" s="25">
        <v>0</v>
      </c>
      <c r="AA526" s="25">
        <v>0</v>
      </c>
      <c r="AB526" s="25">
        <v>0</v>
      </c>
      <c r="AC526" s="25">
        <v>0</v>
      </c>
      <c r="AD526" s="25">
        <v>0</v>
      </c>
      <c r="AE526" s="25">
        <v>0</v>
      </c>
      <c r="AF526" s="25">
        <v>0</v>
      </c>
    </row>
    <row r="527" spans="1:32" x14ac:dyDescent="0.25">
      <c r="A527" s="25" t="s">
        <v>596</v>
      </c>
      <c r="B527" s="25">
        <v>0</v>
      </c>
      <c r="C527" s="25">
        <v>0</v>
      </c>
      <c r="D527" s="25">
        <v>0</v>
      </c>
      <c r="E527" s="25">
        <v>0</v>
      </c>
      <c r="F527" s="25">
        <v>0</v>
      </c>
      <c r="G527" s="25">
        <v>0</v>
      </c>
      <c r="H527" s="25">
        <v>0</v>
      </c>
      <c r="I527" s="25">
        <v>0</v>
      </c>
      <c r="J527" s="25">
        <v>0</v>
      </c>
      <c r="K527" s="25">
        <v>0</v>
      </c>
      <c r="L527" s="25">
        <v>0</v>
      </c>
      <c r="M527" s="25">
        <v>0</v>
      </c>
      <c r="N527" s="25">
        <v>0</v>
      </c>
      <c r="O527" s="25">
        <v>0</v>
      </c>
      <c r="P527" s="25">
        <v>0</v>
      </c>
      <c r="Q527" s="25">
        <v>0</v>
      </c>
      <c r="R527" s="25">
        <v>0</v>
      </c>
      <c r="S527" s="25">
        <v>0</v>
      </c>
      <c r="T527" s="25">
        <v>0</v>
      </c>
      <c r="U527" s="25">
        <v>0</v>
      </c>
      <c r="V527" s="25">
        <v>0</v>
      </c>
      <c r="W527" s="25">
        <v>0</v>
      </c>
      <c r="X527" s="25">
        <v>0</v>
      </c>
      <c r="Y527" s="25">
        <v>0</v>
      </c>
      <c r="Z527" s="25">
        <v>0</v>
      </c>
      <c r="AA527" s="25">
        <v>0</v>
      </c>
      <c r="AB527" s="25">
        <v>0</v>
      </c>
      <c r="AC527" s="25">
        <v>0</v>
      </c>
      <c r="AD527" s="25">
        <v>0</v>
      </c>
      <c r="AE527" s="25">
        <v>0</v>
      </c>
      <c r="AF527" s="25">
        <v>0</v>
      </c>
    </row>
    <row r="528" spans="1:32" x14ac:dyDescent="0.25">
      <c r="A528" s="25" t="s">
        <v>597</v>
      </c>
      <c r="B528" s="25">
        <v>0</v>
      </c>
      <c r="C528" s="25">
        <v>0</v>
      </c>
      <c r="D528" s="25">
        <v>0</v>
      </c>
      <c r="E528" s="25">
        <v>0</v>
      </c>
      <c r="F528" s="25">
        <v>0</v>
      </c>
      <c r="G528" s="25">
        <v>0</v>
      </c>
      <c r="H528" s="25">
        <v>0</v>
      </c>
      <c r="I528" s="25">
        <v>0</v>
      </c>
      <c r="J528" s="25">
        <v>0</v>
      </c>
      <c r="K528" s="25">
        <v>0</v>
      </c>
      <c r="L528" s="25">
        <v>0</v>
      </c>
      <c r="M528" s="25">
        <v>0</v>
      </c>
      <c r="N528" s="25">
        <v>0</v>
      </c>
      <c r="O528" s="25">
        <v>0</v>
      </c>
      <c r="P528" s="25">
        <v>0</v>
      </c>
      <c r="Q528" s="25">
        <v>0</v>
      </c>
      <c r="R528" s="25">
        <v>0</v>
      </c>
      <c r="S528" s="25">
        <v>0</v>
      </c>
      <c r="T528" s="25">
        <v>0</v>
      </c>
      <c r="U528" s="25">
        <v>0</v>
      </c>
      <c r="V528" s="25">
        <v>0</v>
      </c>
      <c r="W528" s="25">
        <v>0</v>
      </c>
      <c r="X528" s="25">
        <v>0</v>
      </c>
      <c r="Y528" s="25">
        <v>0</v>
      </c>
      <c r="Z528" s="25">
        <v>0</v>
      </c>
      <c r="AA528" s="25">
        <v>0</v>
      </c>
      <c r="AB528" s="25">
        <v>0</v>
      </c>
      <c r="AC528" s="25">
        <v>0</v>
      </c>
      <c r="AD528" s="25">
        <v>0</v>
      </c>
      <c r="AE528" s="25">
        <v>0</v>
      </c>
      <c r="AF528" s="25">
        <v>0</v>
      </c>
    </row>
    <row r="529" spans="1:32" x14ac:dyDescent="0.25">
      <c r="A529" s="25" t="s">
        <v>598</v>
      </c>
      <c r="B529" s="25">
        <v>0</v>
      </c>
      <c r="C529" s="25">
        <v>0</v>
      </c>
      <c r="D529" s="25">
        <v>0</v>
      </c>
      <c r="E529" s="25">
        <v>0</v>
      </c>
      <c r="F529" s="25">
        <v>0</v>
      </c>
      <c r="G529" s="25">
        <v>0</v>
      </c>
      <c r="H529" s="25">
        <v>0</v>
      </c>
      <c r="I529" s="25">
        <v>0</v>
      </c>
      <c r="J529" s="25">
        <v>0</v>
      </c>
      <c r="K529" s="25">
        <v>0</v>
      </c>
      <c r="L529" s="25">
        <v>0</v>
      </c>
      <c r="M529" s="25">
        <v>0</v>
      </c>
      <c r="N529" s="25">
        <v>0</v>
      </c>
      <c r="O529" s="25">
        <v>0</v>
      </c>
      <c r="P529" s="25">
        <v>0</v>
      </c>
      <c r="Q529" s="25">
        <v>0</v>
      </c>
      <c r="R529" s="25">
        <v>0</v>
      </c>
      <c r="S529" s="25">
        <v>0</v>
      </c>
      <c r="T529" s="25">
        <v>0</v>
      </c>
      <c r="U529" s="25">
        <v>0</v>
      </c>
      <c r="V529" s="25">
        <v>0</v>
      </c>
      <c r="W529" s="25">
        <v>0</v>
      </c>
      <c r="X529" s="25">
        <v>0</v>
      </c>
      <c r="Y529" s="25">
        <v>0</v>
      </c>
      <c r="Z529" s="25">
        <v>0</v>
      </c>
      <c r="AA529" s="25">
        <v>0</v>
      </c>
      <c r="AB529" s="25">
        <v>0</v>
      </c>
      <c r="AC529" s="25">
        <v>0</v>
      </c>
      <c r="AD529" s="25">
        <v>0</v>
      </c>
      <c r="AE529" s="25">
        <v>0</v>
      </c>
      <c r="AF529" s="25">
        <v>0</v>
      </c>
    </row>
    <row r="530" spans="1:32" x14ac:dyDescent="0.25">
      <c r="A530" s="25" t="s">
        <v>599</v>
      </c>
      <c r="B530" s="25">
        <v>0</v>
      </c>
      <c r="C530" s="25">
        <v>0</v>
      </c>
      <c r="D530" s="25">
        <v>0</v>
      </c>
      <c r="E530" s="25">
        <v>0</v>
      </c>
      <c r="F530" s="25">
        <v>0</v>
      </c>
      <c r="G530" s="25">
        <v>0</v>
      </c>
      <c r="H530" s="25">
        <v>0</v>
      </c>
      <c r="I530" s="25">
        <v>0</v>
      </c>
      <c r="J530" s="25">
        <v>0</v>
      </c>
      <c r="K530" s="25">
        <v>0</v>
      </c>
      <c r="L530" s="25">
        <v>0</v>
      </c>
      <c r="M530" s="25">
        <v>0</v>
      </c>
      <c r="N530" s="25">
        <v>0</v>
      </c>
      <c r="O530" s="25">
        <v>0</v>
      </c>
      <c r="P530" s="25">
        <v>0</v>
      </c>
      <c r="Q530" s="25">
        <v>0</v>
      </c>
      <c r="R530" s="25">
        <v>0</v>
      </c>
      <c r="S530" s="25">
        <v>0</v>
      </c>
      <c r="T530" s="25">
        <v>0</v>
      </c>
      <c r="U530" s="25">
        <v>0</v>
      </c>
      <c r="V530" s="25">
        <v>0</v>
      </c>
      <c r="W530" s="25">
        <v>0</v>
      </c>
      <c r="X530" s="25">
        <v>0</v>
      </c>
      <c r="Y530" s="25">
        <v>0</v>
      </c>
      <c r="Z530" s="25">
        <v>0</v>
      </c>
      <c r="AA530" s="25">
        <v>0</v>
      </c>
      <c r="AB530" s="25">
        <v>0</v>
      </c>
      <c r="AC530" s="25">
        <v>0</v>
      </c>
      <c r="AD530" s="25">
        <v>0</v>
      </c>
      <c r="AE530" s="25">
        <v>0</v>
      </c>
      <c r="AF530" s="25">
        <v>0</v>
      </c>
    </row>
    <row r="531" spans="1:32" x14ac:dyDescent="0.25">
      <c r="A531" s="25" t="s">
        <v>600</v>
      </c>
      <c r="B531" s="25">
        <v>0</v>
      </c>
      <c r="C531" s="25">
        <v>0</v>
      </c>
      <c r="D531" s="25">
        <v>0</v>
      </c>
      <c r="E531" s="25">
        <v>0</v>
      </c>
      <c r="F531" s="25">
        <v>0</v>
      </c>
      <c r="G531" s="25">
        <v>0</v>
      </c>
      <c r="H531" s="25">
        <v>0</v>
      </c>
      <c r="I531" s="25">
        <v>0</v>
      </c>
      <c r="J531" s="25">
        <v>0</v>
      </c>
      <c r="K531" s="25">
        <v>0</v>
      </c>
      <c r="L531" s="25">
        <v>0</v>
      </c>
      <c r="M531" s="25">
        <v>0</v>
      </c>
      <c r="N531" s="25">
        <v>0</v>
      </c>
      <c r="O531" s="25">
        <v>0</v>
      </c>
      <c r="P531" s="25">
        <v>0</v>
      </c>
      <c r="Q531" s="25">
        <v>0</v>
      </c>
      <c r="R531" s="25">
        <v>0</v>
      </c>
      <c r="S531" s="25">
        <v>0</v>
      </c>
      <c r="T531" s="25">
        <v>0</v>
      </c>
      <c r="U531" s="25">
        <v>0</v>
      </c>
      <c r="V531" s="25">
        <v>0</v>
      </c>
      <c r="W531" s="25">
        <v>0</v>
      </c>
      <c r="X531" s="25">
        <v>0</v>
      </c>
      <c r="Y531" s="25">
        <v>0</v>
      </c>
      <c r="Z531" s="25">
        <v>0</v>
      </c>
      <c r="AA531" s="25">
        <v>0</v>
      </c>
      <c r="AB531" s="25">
        <v>0</v>
      </c>
      <c r="AC531" s="25">
        <v>0</v>
      </c>
      <c r="AD531" s="25">
        <v>0</v>
      </c>
      <c r="AE531" s="25">
        <v>0</v>
      </c>
      <c r="AF531" s="25">
        <v>0</v>
      </c>
    </row>
    <row r="532" spans="1:32" x14ac:dyDescent="0.25">
      <c r="A532" s="25" t="s">
        <v>601</v>
      </c>
      <c r="B532" s="25">
        <v>3264550000000</v>
      </c>
      <c r="C532" s="25">
        <v>3403320000000</v>
      </c>
      <c r="D532" s="25">
        <v>3355820000000</v>
      </c>
      <c r="E532" s="25">
        <v>3268500000000</v>
      </c>
      <c r="F532" s="25">
        <v>3163340000000</v>
      </c>
      <c r="G532" s="25">
        <v>3056260000000</v>
      </c>
      <c r="H532" s="25">
        <v>2937180000000</v>
      </c>
      <c r="I532" s="25">
        <v>2805090000000</v>
      </c>
      <c r="J532" s="25">
        <v>2672840000000</v>
      </c>
      <c r="K532" s="25">
        <v>2539350000000</v>
      </c>
      <c r="L532" s="25">
        <v>2401840000000</v>
      </c>
      <c r="M532" s="25">
        <v>2262730000000</v>
      </c>
      <c r="N532" s="25">
        <v>2122750000000</v>
      </c>
      <c r="O532" s="25">
        <v>1982090000000</v>
      </c>
      <c r="P532" s="25">
        <v>1839970000000</v>
      </c>
      <c r="Q532" s="25">
        <v>1698430000000</v>
      </c>
      <c r="R532" s="25">
        <v>1556730000000</v>
      </c>
      <c r="S532" s="25">
        <v>1416610000000</v>
      </c>
      <c r="T532" s="25">
        <v>1276750000000</v>
      </c>
      <c r="U532" s="25">
        <v>1136050000000</v>
      </c>
      <c r="V532" s="25">
        <v>995105000000</v>
      </c>
      <c r="W532" s="25">
        <v>854316000000</v>
      </c>
      <c r="X532" s="25">
        <v>713457000000</v>
      </c>
      <c r="Y532" s="25">
        <v>571319000000</v>
      </c>
      <c r="Z532" s="25">
        <v>428499000000</v>
      </c>
      <c r="AA532" s="25">
        <v>285185000000</v>
      </c>
      <c r="AB532" s="25">
        <v>141628000000</v>
      </c>
      <c r="AC532" s="25">
        <v>0</v>
      </c>
      <c r="AD532" s="25">
        <v>0</v>
      </c>
      <c r="AE532" s="25">
        <v>0</v>
      </c>
      <c r="AF532" s="25">
        <v>0</v>
      </c>
    </row>
    <row r="533" spans="1:32" x14ac:dyDescent="0.25">
      <c r="A533" s="25" t="s">
        <v>602</v>
      </c>
      <c r="B533" s="25">
        <v>0</v>
      </c>
      <c r="C533" s="25">
        <v>0</v>
      </c>
      <c r="D533" s="25">
        <v>0</v>
      </c>
      <c r="E533" s="25">
        <v>0</v>
      </c>
      <c r="F533" s="25">
        <v>0</v>
      </c>
      <c r="G533" s="25">
        <v>0</v>
      </c>
      <c r="H533" s="25">
        <v>0</v>
      </c>
      <c r="I533" s="25">
        <v>0</v>
      </c>
      <c r="J533" s="25">
        <v>0</v>
      </c>
      <c r="K533" s="25">
        <v>0</v>
      </c>
      <c r="L533" s="25">
        <v>0</v>
      </c>
      <c r="M533" s="25">
        <v>0</v>
      </c>
      <c r="N533" s="25">
        <v>0</v>
      </c>
      <c r="O533" s="25">
        <v>0</v>
      </c>
      <c r="P533" s="25">
        <v>0</v>
      </c>
      <c r="Q533" s="25">
        <v>0</v>
      </c>
      <c r="R533" s="25">
        <v>0</v>
      </c>
      <c r="S533" s="25">
        <v>0</v>
      </c>
      <c r="T533" s="25">
        <v>0</v>
      </c>
      <c r="U533" s="25">
        <v>0</v>
      </c>
      <c r="V533" s="25">
        <v>0</v>
      </c>
      <c r="W533" s="25">
        <v>0</v>
      </c>
      <c r="X533" s="25">
        <v>0</v>
      </c>
      <c r="Y533" s="25">
        <v>0</v>
      </c>
      <c r="Z533" s="25">
        <v>0</v>
      </c>
      <c r="AA533" s="25">
        <v>0</v>
      </c>
      <c r="AB533" s="25">
        <v>0</v>
      </c>
      <c r="AC533" s="25">
        <v>0</v>
      </c>
      <c r="AD533" s="25">
        <v>0</v>
      </c>
      <c r="AE533" s="25">
        <v>0</v>
      </c>
      <c r="AF533" s="25">
        <v>0</v>
      </c>
    </row>
    <row r="534" spans="1:32" x14ac:dyDescent="0.25">
      <c r="A534" s="25" t="s">
        <v>603</v>
      </c>
      <c r="B534" s="25">
        <v>370806000000</v>
      </c>
      <c r="C534" s="25">
        <v>386569000000</v>
      </c>
      <c r="D534" s="25">
        <v>381173000000</v>
      </c>
      <c r="E534" s="25">
        <v>371255000000</v>
      </c>
      <c r="F534" s="25">
        <v>359310000000</v>
      </c>
      <c r="G534" s="25">
        <v>347147000000</v>
      </c>
      <c r="H534" s="25">
        <v>333622000000</v>
      </c>
      <c r="I534" s="25">
        <v>318619000000</v>
      </c>
      <c r="J534" s="25">
        <v>303597000000</v>
      </c>
      <c r="K534" s="25">
        <v>288434000000</v>
      </c>
      <c r="L534" s="25">
        <v>272815000000</v>
      </c>
      <c r="M534" s="25">
        <v>257013000000</v>
      </c>
      <c r="N534" s="25">
        <v>241115000000</v>
      </c>
      <c r="O534" s="25">
        <v>225137000000</v>
      </c>
      <c r="P534" s="25">
        <v>208995000000</v>
      </c>
      <c r="Q534" s="25">
        <v>192917000000</v>
      </c>
      <c r="R534" s="25">
        <v>176822000000</v>
      </c>
      <c r="S534" s="25">
        <v>160907000000</v>
      </c>
      <c r="T534" s="25">
        <v>145021000000</v>
      </c>
      <c r="U534" s="25">
        <v>129039000000</v>
      </c>
      <c r="V534" s="25">
        <v>113030000000</v>
      </c>
      <c r="W534" s="25">
        <v>97038100000</v>
      </c>
      <c r="X534" s="25">
        <v>81038500000</v>
      </c>
      <c r="Y534" s="25">
        <v>64893700000</v>
      </c>
      <c r="Z534" s="25">
        <v>48671300000</v>
      </c>
      <c r="AA534" s="25">
        <v>32392900000</v>
      </c>
      <c r="AB534" s="25">
        <v>16086900000</v>
      </c>
      <c r="AC534" s="25">
        <v>0</v>
      </c>
      <c r="AD534" s="25">
        <v>0</v>
      </c>
      <c r="AE534" s="25">
        <v>0</v>
      </c>
      <c r="AF534" s="25">
        <v>0</v>
      </c>
    </row>
    <row r="535" spans="1:32" x14ac:dyDescent="0.25">
      <c r="A535" s="25" t="s">
        <v>604</v>
      </c>
      <c r="B535" s="25">
        <v>0</v>
      </c>
      <c r="C535" s="25">
        <v>0</v>
      </c>
      <c r="D535" s="25">
        <v>0</v>
      </c>
      <c r="E535" s="25">
        <v>0</v>
      </c>
      <c r="F535" s="25">
        <v>0</v>
      </c>
      <c r="G535" s="25">
        <v>0</v>
      </c>
      <c r="H535" s="25">
        <v>0</v>
      </c>
      <c r="I535" s="25">
        <v>0</v>
      </c>
      <c r="J535" s="25">
        <v>0</v>
      </c>
      <c r="K535" s="25">
        <v>0</v>
      </c>
      <c r="L535" s="25">
        <v>0</v>
      </c>
      <c r="M535" s="25">
        <v>0</v>
      </c>
      <c r="N535" s="25">
        <v>0</v>
      </c>
      <c r="O535" s="25">
        <v>0</v>
      </c>
      <c r="P535" s="25">
        <v>0</v>
      </c>
      <c r="Q535" s="25">
        <v>0</v>
      </c>
      <c r="R535" s="25">
        <v>0</v>
      </c>
      <c r="S535" s="25">
        <v>0</v>
      </c>
      <c r="T535" s="25">
        <v>0</v>
      </c>
      <c r="U535" s="25">
        <v>0</v>
      </c>
      <c r="V535" s="25">
        <v>0</v>
      </c>
      <c r="W535" s="25">
        <v>0</v>
      </c>
      <c r="X535" s="25">
        <v>0</v>
      </c>
      <c r="Y535" s="25">
        <v>0</v>
      </c>
      <c r="Z535" s="25">
        <v>0</v>
      </c>
      <c r="AA535" s="25">
        <v>0</v>
      </c>
      <c r="AB535" s="25">
        <v>0</v>
      </c>
      <c r="AC535" s="25">
        <v>0</v>
      </c>
      <c r="AD535" s="25">
        <v>0</v>
      </c>
      <c r="AE535" s="25">
        <v>0</v>
      </c>
      <c r="AF535" s="25">
        <v>0</v>
      </c>
    </row>
    <row r="536" spans="1:32" x14ac:dyDescent="0.25">
      <c r="A536" s="25" t="s">
        <v>605</v>
      </c>
      <c r="B536" s="25">
        <v>0</v>
      </c>
      <c r="C536" s="25">
        <v>0</v>
      </c>
      <c r="D536" s="25">
        <v>0</v>
      </c>
      <c r="E536" s="25">
        <v>0</v>
      </c>
      <c r="F536" s="25">
        <v>0</v>
      </c>
      <c r="G536" s="25">
        <v>0</v>
      </c>
      <c r="H536" s="25">
        <v>0</v>
      </c>
      <c r="I536" s="25">
        <v>0</v>
      </c>
      <c r="J536" s="25">
        <v>0</v>
      </c>
      <c r="K536" s="25">
        <v>0</v>
      </c>
      <c r="L536" s="25">
        <v>0</v>
      </c>
      <c r="M536" s="25">
        <v>0</v>
      </c>
      <c r="N536" s="25">
        <v>0</v>
      </c>
      <c r="O536" s="25">
        <v>0</v>
      </c>
      <c r="P536" s="25">
        <v>0</v>
      </c>
      <c r="Q536" s="25">
        <v>0</v>
      </c>
      <c r="R536" s="25">
        <v>0</v>
      </c>
      <c r="S536" s="25">
        <v>0</v>
      </c>
      <c r="T536" s="25">
        <v>0</v>
      </c>
      <c r="U536" s="25">
        <v>0</v>
      </c>
      <c r="V536" s="25">
        <v>0</v>
      </c>
      <c r="W536" s="25">
        <v>0</v>
      </c>
      <c r="X536" s="25">
        <v>0</v>
      </c>
      <c r="Y536" s="25">
        <v>0</v>
      </c>
      <c r="Z536" s="25">
        <v>0</v>
      </c>
      <c r="AA536" s="25">
        <v>0</v>
      </c>
      <c r="AB536" s="25">
        <v>0</v>
      </c>
      <c r="AC536" s="25">
        <v>0</v>
      </c>
      <c r="AD536" s="25">
        <v>0</v>
      </c>
      <c r="AE536" s="25">
        <v>0</v>
      </c>
      <c r="AF536" s="25">
        <v>0</v>
      </c>
    </row>
    <row r="537" spans="1:32" x14ac:dyDescent="0.25">
      <c r="A537" s="25" t="s">
        <v>606</v>
      </c>
      <c r="B537" s="25">
        <v>0</v>
      </c>
      <c r="C537" s="25">
        <v>0</v>
      </c>
      <c r="D537" s="25">
        <v>0</v>
      </c>
      <c r="E537" s="25">
        <v>0</v>
      </c>
      <c r="F537" s="25">
        <v>0</v>
      </c>
      <c r="G537" s="25">
        <v>0</v>
      </c>
      <c r="H537" s="25">
        <v>0</v>
      </c>
      <c r="I537" s="25">
        <v>0</v>
      </c>
      <c r="J537" s="25">
        <v>0</v>
      </c>
      <c r="K537" s="25">
        <v>0</v>
      </c>
      <c r="L537" s="25">
        <v>0</v>
      </c>
      <c r="M537" s="25">
        <v>0</v>
      </c>
      <c r="N537" s="25">
        <v>0</v>
      </c>
      <c r="O537" s="25">
        <v>0</v>
      </c>
      <c r="P537" s="25">
        <v>0</v>
      </c>
      <c r="Q537" s="25">
        <v>0</v>
      </c>
      <c r="R537" s="25">
        <v>0</v>
      </c>
      <c r="S537" s="25">
        <v>0</v>
      </c>
      <c r="T537" s="25">
        <v>0</v>
      </c>
      <c r="U537" s="25">
        <v>0</v>
      </c>
      <c r="V537" s="25">
        <v>0</v>
      </c>
      <c r="W537" s="25">
        <v>0</v>
      </c>
      <c r="X537" s="25">
        <v>0</v>
      </c>
      <c r="Y537" s="25">
        <v>0</v>
      </c>
      <c r="Z537" s="25">
        <v>0</v>
      </c>
      <c r="AA537" s="25">
        <v>0</v>
      </c>
      <c r="AB537" s="25">
        <v>0</v>
      </c>
      <c r="AC537" s="25">
        <v>0</v>
      </c>
      <c r="AD537" s="25">
        <v>0</v>
      </c>
      <c r="AE537" s="25">
        <v>0</v>
      </c>
      <c r="AF537" s="25">
        <v>0</v>
      </c>
    </row>
    <row r="538" spans="1:32" x14ac:dyDescent="0.25">
      <c r="A538" s="25" t="s">
        <v>607</v>
      </c>
      <c r="B538" s="25">
        <v>0</v>
      </c>
      <c r="C538" s="25">
        <v>0</v>
      </c>
      <c r="D538" s="25">
        <v>0</v>
      </c>
      <c r="E538" s="25">
        <v>0</v>
      </c>
      <c r="F538" s="25">
        <v>0</v>
      </c>
      <c r="G538" s="25">
        <v>0</v>
      </c>
      <c r="H538" s="25">
        <v>0</v>
      </c>
      <c r="I538" s="25">
        <v>0</v>
      </c>
      <c r="J538" s="25">
        <v>0</v>
      </c>
      <c r="K538" s="25">
        <v>0</v>
      </c>
      <c r="L538" s="25">
        <v>0</v>
      </c>
      <c r="M538" s="25">
        <v>0</v>
      </c>
      <c r="N538" s="25">
        <v>0</v>
      </c>
      <c r="O538" s="25">
        <v>0</v>
      </c>
      <c r="P538" s="25">
        <v>0</v>
      </c>
      <c r="Q538" s="25">
        <v>0</v>
      </c>
      <c r="R538" s="25">
        <v>0</v>
      </c>
      <c r="S538" s="25">
        <v>0</v>
      </c>
      <c r="T538" s="25">
        <v>0</v>
      </c>
      <c r="U538" s="25">
        <v>0</v>
      </c>
      <c r="V538" s="25">
        <v>0</v>
      </c>
      <c r="W538" s="25">
        <v>0</v>
      </c>
      <c r="X538" s="25">
        <v>0</v>
      </c>
      <c r="Y538" s="25">
        <v>0</v>
      </c>
      <c r="Z538" s="25">
        <v>0</v>
      </c>
      <c r="AA538" s="25">
        <v>0</v>
      </c>
      <c r="AB538" s="25">
        <v>0</v>
      </c>
      <c r="AC538" s="25">
        <v>0</v>
      </c>
      <c r="AD538" s="25">
        <v>0</v>
      </c>
      <c r="AE538" s="25">
        <v>0</v>
      </c>
      <c r="AF538" s="25">
        <v>0</v>
      </c>
    </row>
    <row r="539" spans="1:32" x14ac:dyDescent="0.25">
      <c r="A539" s="25" t="s">
        <v>608</v>
      </c>
      <c r="B539" s="25">
        <v>0</v>
      </c>
      <c r="C539" s="25">
        <v>0</v>
      </c>
      <c r="D539" s="25">
        <v>0</v>
      </c>
      <c r="E539" s="25">
        <v>0</v>
      </c>
      <c r="F539" s="25">
        <v>0</v>
      </c>
      <c r="G539" s="25">
        <v>0</v>
      </c>
      <c r="H539" s="25">
        <v>0</v>
      </c>
      <c r="I539" s="25">
        <v>0</v>
      </c>
      <c r="J539" s="25">
        <v>0</v>
      </c>
      <c r="K539" s="25">
        <v>0</v>
      </c>
      <c r="L539" s="25">
        <v>0</v>
      </c>
      <c r="M539" s="25">
        <v>0</v>
      </c>
      <c r="N539" s="25">
        <v>0</v>
      </c>
      <c r="O539" s="25">
        <v>0</v>
      </c>
      <c r="P539" s="25">
        <v>0</v>
      </c>
      <c r="Q539" s="25">
        <v>0</v>
      </c>
      <c r="R539" s="25">
        <v>0</v>
      </c>
      <c r="S539" s="25">
        <v>0</v>
      </c>
      <c r="T539" s="25">
        <v>0</v>
      </c>
      <c r="U539" s="25">
        <v>0</v>
      </c>
      <c r="V539" s="25">
        <v>0</v>
      </c>
      <c r="W539" s="25">
        <v>0</v>
      </c>
      <c r="X539" s="25">
        <v>0</v>
      </c>
      <c r="Y539" s="25">
        <v>0</v>
      </c>
      <c r="Z539" s="25">
        <v>0</v>
      </c>
      <c r="AA539" s="25">
        <v>0</v>
      </c>
      <c r="AB539" s="25">
        <v>0</v>
      </c>
      <c r="AC539" s="25">
        <v>0</v>
      </c>
      <c r="AD539" s="25">
        <v>0</v>
      </c>
      <c r="AE539" s="25">
        <v>0</v>
      </c>
      <c r="AF539" s="25">
        <v>0</v>
      </c>
    </row>
    <row r="540" spans="1:32" x14ac:dyDescent="0.25">
      <c r="A540" s="25" t="s">
        <v>609</v>
      </c>
      <c r="B540" s="25">
        <v>0</v>
      </c>
      <c r="C540" s="25">
        <v>0</v>
      </c>
      <c r="D540" s="25">
        <v>0</v>
      </c>
      <c r="E540" s="25">
        <v>0</v>
      </c>
      <c r="F540" s="25">
        <v>0</v>
      </c>
      <c r="G540" s="25">
        <v>0</v>
      </c>
      <c r="H540" s="25">
        <v>0</v>
      </c>
      <c r="I540" s="25">
        <v>0</v>
      </c>
      <c r="J540" s="25">
        <v>0</v>
      </c>
      <c r="K540" s="25">
        <v>0</v>
      </c>
      <c r="L540" s="25">
        <v>0</v>
      </c>
      <c r="M540" s="25">
        <v>0</v>
      </c>
      <c r="N540" s="25">
        <v>0</v>
      </c>
      <c r="O540" s="25">
        <v>0</v>
      </c>
      <c r="P540" s="25">
        <v>0</v>
      </c>
      <c r="Q540" s="25">
        <v>0</v>
      </c>
      <c r="R540" s="25">
        <v>0</v>
      </c>
      <c r="S540" s="25">
        <v>0</v>
      </c>
      <c r="T540" s="25">
        <v>0</v>
      </c>
      <c r="U540" s="25">
        <v>0</v>
      </c>
      <c r="V540" s="25">
        <v>0</v>
      </c>
      <c r="W540" s="25">
        <v>0</v>
      </c>
      <c r="X540" s="25">
        <v>0</v>
      </c>
      <c r="Y540" s="25">
        <v>0</v>
      </c>
      <c r="Z540" s="25">
        <v>0</v>
      </c>
      <c r="AA540" s="25">
        <v>0</v>
      </c>
      <c r="AB540" s="25">
        <v>0</v>
      </c>
      <c r="AC540" s="25">
        <v>0</v>
      </c>
      <c r="AD540" s="25">
        <v>0</v>
      </c>
      <c r="AE540" s="25">
        <v>0</v>
      </c>
      <c r="AF540" s="25">
        <v>0</v>
      </c>
    </row>
    <row r="541" spans="1:32" x14ac:dyDescent="0.25">
      <c r="A541" s="25" t="s">
        <v>610</v>
      </c>
      <c r="B541" s="25">
        <v>0</v>
      </c>
      <c r="C541" s="25">
        <v>0</v>
      </c>
      <c r="D541" s="25">
        <v>0</v>
      </c>
      <c r="E541" s="25">
        <v>0</v>
      </c>
      <c r="F541" s="25">
        <v>0</v>
      </c>
      <c r="G541" s="25">
        <v>0</v>
      </c>
      <c r="H541" s="25">
        <v>0</v>
      </c>
      <c r="I541" s="25">
        <v>0</v>
      </c>
      <c r="J541" s="25">
        <v>0</v>
      </c>
      <c r="K541" s="25">
        <v>0</v>
      </c>
      <c r="L541" s="25">
        <v>0</v>
      </c>
      <c r="M541" s="25">
        <v>0</v>
      </c>
      <c r="N541" s="25">
        <v>0</v>
      </c>
      <c r="O541" s="25">
        <v>0</v>
      </c>
      <c r="P541" s="25">
        <v>0</v>
      </c>
      <c r="Q541" s="25">
        <v>0</v>
      </c>
      <c r="R541" s="25">
        <v>0</v>
      </c>
      <c r="S541" s="25">
        <v>0</v>
      </c>
      <c r="T541" s="25">
        <v>0</v>
      </c>
      <c r="U541" s="25">
        <v>0</v>
      </c>
      <c r="V541" s="25">
        <v>0</v>
      </c>
      <c r="W541" s="25">
        <v>0</v>
      </c>
      <c r="X541" s="25">
        <v>0</v>
      </c>
      <c r="Y541" s="25">
        <v>0</v>
      </c>
      <c r="Z541" s="25">
        <v>0</v>
      </c>
      <c r="AA541" s="25">
        <v>0</v>
      </c>
      <c r="AB541" s="25">
        <v>0</v>
      </c>
      <c r="AC541" s="25">
        <v>0</v>
      </c>
      <c r="AD541" s="25">
        <v>0</v>
      </c>
      <c r="AE541" s="25">
        <v>0</v>
      </c>
      <c r="AF541" s="25">
        <v>0</v>
      </c>
    </row>
    <row r="542" spans="1:32" x14ac:dyDescent="0.25">
      <c r="A542" s="25" t="s">
        <v>611</v>
      </c>
      <c r="B542" s="25">
        <v>0</v>
      </c>
      <c r="C542" s="25">
        <v>0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0</v>
      </c>
      <c r="K542" s="25">
        <v>0</v>
      </c>
      <c r="L542" s="25">
        <v>0</v>
      </c>
      <c r="M542" s="25">
        <v>0</v>
      </c>
      <c r="N542" s="25">
        <v>0</v>
      </c>
      <c r="O542" s="25">
        <v>0</v>
      </c>
      <c r="P542" s="25">
        <v>0</v>
      </c>
      <c r="Q542" s="25">
        <v>0</v>
      </c>
      <c r="R542" s="25">
        <v>0</v>
      </c>
      <c r="S542" s="25">
        <v>0</v>
      </c>
      <c r="T542" s="25">
        <v>0</v>
      </c>
      <c r="U542" s="25">
        <v>0</v>
      </c>
      <c r="V542" s="25">
        <v>0</v>
      </c>
      <c r="W542" s="25">
        <v>0</v>
      </c>
      <c r="X542" s="25">
        <v>0</v>
      </c>
      <c r="Y542" s="25">
        <v>0</v>
      </c>
      <c r="Z542" s="25">
        <v>0</v>
      </c>
      <c r="AA542" s="25">
        <v>0</v>
      </c>
      <c r="AB542" s="25">
        <v>0</v>
      </c>
      <c r="AC542" s="25">
        <v>0</v>
      </c>
      <c r="AD542" s="25">
        <v>0</v>
      </c>
      <c r="AE542" s="25">
        <v>0</v>
      </c>
      <c r="AF542" s="25">
        <v>0</v>
      </c>
    </row>
    <row r="543" spans="1:32" x14ac:dyDescent="0.25">
      <c r="A543" s="25" t="s">
        <v>612</v>
      </c>
      <c r="B543" s="12">
        <v>3534720000000000</v>
      </c>
      <c r="C543" s="12">
        <v>3829310000000000</v>
      </c>
      <c r="D543" s="12">
        <v>3905310000000000</v>
      </c>
      <c r="E543" s="12">
        <v>3975330000000000</v>
      </c>
      <c r="F543" s="12">
        <v>3985550000000000</v>
      </c>
      <c r="G543" s="12">
        <v>3995530000000000</v>
      </c>
      <c r="H543" s="12">
        <v>3984530000000000</v>
      </c>
      <c r="I543" s="12">
        <v>3950870000000000</v>
      </c>
      <c r="J543" s="12">
        <v>3917420000000000</v>
      </c>
      <c r="K543" s="12">
        <v>3879290000000000</v>
      </c>
      <c r="L543" s="12">
        <v>3835840000000000</v>
      </c>
      <c r="M543" s="12">
        <v>3793070000000000</v>
      </c>
      <c r="N543" s="12">
        <v>3746390000000000</v>
      </c>
      <c r="O543" s="12">
        <v>3697890000000000</v>
      </c>
      <c r="P543" s="12">
        <v>3645880000000000</v>
      </c>
      <c r="Q543" s="12">
        <v>3592510000000000</v>
      </c>
      <c r="R543" s="12">
        <v>3542440000000000</v>
      </c>
      <c r="S543" s="12">
        <v>3495170000000000</v>
      </c>
      <c r="T543" s="12">
        <v>3442050000000000</v>
      </c>
      <c r="U543" s="12">
        <v>3397790000000000</v>
      </c>
      <c r="V543" s="12">
        <v>3353960000000000</v>
      </c>
      <c r="W543" s="12">
        <v>3311810000000000</v>
      </c>
      <c r="X543" s="12">
        <v>3274130000000000</v>
      </c>
      <c r="Y543" s="12">
        <v>3226980000000000</v>
      </c>
      <c r="Z543" s="12">
        <v>3179560000000000</v>
      </c>
      <c r="AA543" s="12">
        <v>3137490000000000</v>
      </c>
      <c r="AB543" s="12">
        <v>3094570000000000</v>
      </c>
      <c r="AC543" s="12">
        <v>3047460000000000</v>
      </c>
      <c r="AD543" s="12">
        <v>3000380000000000</v>
      </c>
      <c r="AE543" s="12">
        <v>2962260000000000</v>
      </c>
      <c r="AF543" s="12">
        <v>2938760000000000</v>
      </c>
    </row>
    <row r="544" spans="1:32" x14ac:dyDescent="0.25">
      <c r="A544" s="25" t="s">
        <v>613</v>
      </c>
      <c r="B544" s="25">
        <v>0</v>
      </c>
      <c r="C544" s="25">
        <v>0</v>
      </c>
      <c r="D544" s="25">
        <v>0</v>
      </c>
      <c r="E544" s="25">
        <v>0</v>
      </c>
      <c r="F544" s="25">
        <v>0</v>
      </c>
      <c r="G544" s="25">
        <v>0</v>
      </c>
      <c r="H544" s="25">
        <v>0</v>
      </c>
      <c r="I544" s="25">
        <v>0</v>
      </c>
      <c r="J544" s="25">
        <v>0</v>
      </c>
      <c r="K544" s="25">
        <v>0</v>
      </c>
      <c r="L544" s="25">
        <v>0</v>
      </c>
      <c r="M544" s="25">
        <v>0</v>
      </c>
      <c r="N544" s="25">
        <v>0</v>
      </c>
      <c r="O544" s="25">
        <v>0</v>
      </c>
      <c r="P544" s="25">
        <v>0</v>
      </c>
      <c r="Q544" s="25">
        <v>0</v>
      </c>
      <c r="R544" s="25">
        <v>0</v>
      </c>
      <c r="S544" s="25">
        <v>0</v>
      </c>
      <c r="T544" s="25">
        <v>0</v>
      </c>
      <c r="U544" s="25">
        <v>0</v>
      </c>
      <c r="V544" s="25">
        <v>0</v>
      </c>
      <c r="W544" s="25">
        <v>0</v>
      </c>
      <c r="X544" s="25">
        <v>0</v>
      </c>
      <c r="Y544" s="25">
        <v>0</v>
      </c>
      <c r="Z544" s="25">
        <v>0</v>
      </c>
      <c r="AA544" s="25">
        <v>0</v>
      </c>
      <c r="AB544" s="25">
        <v>0</v>
      </c>
      <c r="AC544" s="25">
        <v>0</v>
      </c>
      <c r="AD544" s="25">
        <v>0</v>
      </c>
      <c r="AE544" s="25">
        <v>0</v>
      </c>
      <c r="AF544" s="25">
        <v>0</v>
      </c>
    </row>
    <row r="545" spans="1:32" x14ac:dyDescent="0.25">
      <c r="A545" s="25" t="s">
        <v>614</v>
      </c>
      <c r="B545" s="12">
        <v>159069000000000</v>
      </c>
      <c r="C545" s="12">
        <v>151037000000000</v>
      </c>
      <c r="D545" s="12">
        <v>154035000000000</v>
      </c>
      <c r="E545" s="12">
        <v>118226000000000</v>
      </c>
      <c r="F545" s="12">
        <v>118391000000000</v>
      </c>
      <c r="G545" s="12">
        <v>114742000000000</v>
      </c>
      <c r="H545" s="12">
        <v>114031000000000</v>
      </c>
      <c r="I545" s="12">
        <v>115282000000000</v>
      </c>
      <c r="J545" s="12">
        <v>116005000000000</v>
      </c>
      <c r="K545" s="12">
        <v>117738000000000</v>
      </c>
      <c r="L545" s="12">
        <v>117102000000000</v>
      </c>
      <c r="M545" s="12">
        <v>111610000000000</v>
      </c>
      <c r="N545" s="12">
        <v>108303000000000</v>
      </c>
      <c r="O545" s="12">
        <v>106394000000000</v>
      </c>
      <c r="P545" s="12">
        <v>105818000000000</v>
      </c>
      <c r="Q545" s="12">
        <v>108332000000000</v>
      </c>
      <c r="R545" s="12">
        <v>107782000000000</v>
      </c>
      <c r="S545" s="12">
        <v>108740000000000</v>
      </c>
      <c r="T545" s="12">
        <v>117730000000000</v>
      </c>
      <c r="U545" s="12">
        <v>117221000000000</v>
      </c>
      <c r="V545" s="12">
        <v>117242000000000</v>
      </c>
      <c r="W545" s="12">
        <v>118396000000000</v>
      </c>
      <c r="X545" s="12">
        <v>118217000000000</v>
      </c>
      <c r="Y545" s="12">
        <v>124923000000000</v>
      </c>
      <c r="Z545" s="12">
        <v>130944000000000</v>
      </c>
      <c r="AA545" s="12">
        <v>131120000000000</v>
      </c>
      <c r="AB545" s="12">
        <v>133769000000000</v>
      </c>
      <c r="AC545" s="12">
        <v>134035000000000</v>
      </c>
      <c r="AD545" s="12">
        <v>136345000000000</v>
      </c>
      <c r="AE545" s="12">
        <v>138368000000000</v>
      </c>
      <c r="AF545" s="12">
        <v>139026000000000</v>
      </c>
    </row>
    <row r="546" spans="1:32" x14ac:dyDescent="0.25">
      <c r="A546" s="25" t="s">
        <v>615</v>
      </c>
      <c r="B546" s="25">
        <v>0</v>
      </c>
      <c r="C546" s="25">
        <v>0</v>
      </c>
      <c r="D546" s="25">
        <v>0</v>
      </c>
      <c r="E546" s="25">
        <v>0</v>
      </c>
      <c r="F546" s="25">
        <v>0</v>
      </c>
      <c r="G546" s="25">
        <v>0</v>
      </c>
      <c r="H546" s="25">
        <v>0</v>
      </c>
      <c r="I546" s="25">
        <v>0</v>
      </c>
      <c r="J546" s="25">
        <v>0</v>
      </c>
      <c r="K546" s="25">
        <v>0</v>
      </c>
      <c r="L546" s="25">
        <v>0</v>
      </c>
      <c r="M546" s="25">
        <v>0</v>
      </c>
      <c r="N546" s="25">
        <v>0</v>
      </c>
      <c r="O546" s="25">
        <v>0</v>
      </c>
      <c r="P546" s="25">
        <v>0</v>
      </c>
      <c r="Q546" s="25">
        <v>0</v>
      </c>
      <c r="R546" s="25">
        <v>0</v>
      </c>
      <c r="S546" s="25">
        <v>0</v>
      </c>
      <c r="T546" s="25">
        <v>0</v>
      </c>
      <c r="U546" s="25">
        <v>0</v>
      </c>
      <c r="V546" s="25">
        <v>0</v>
      </c>
      <c r="W546" s="25">
        <v>0</v>
      </c>
      <c r="X546" s="25">
        <v>0</v>
      </c>
      <c r="Y546" s="25">
        <v>0</v>
      </c>
      <c r="Z546" s="25">
        <v>0</v>
      </c>
      <c r="AA546" s="25">
        <v>0</v>
      </c>
      <c r="AB546" s="25">
        <v>0</v>
      </c>
      <c r="AC546" s="25">
        <v>0</v>
      </c>
      <c r="AD546" s="25">
        <v>0</v>
      </c>
      <c r="AE546" s="25">
        <v>0</v>
      </c>
      <c r="AF546" s="25">
        <v>0</v>
      </c>
    </row>
    <row r="547" spans="1:32" x14ac:dyDescent="0.25">
      <c r="A547" s="25" t="s">
        <v>616</v>
      </c>
      <c r="B547" s="25">
        <v>0</v>
      </c>
      <c r="C547" s="25">
        <v>0</v>
      </c>
      <c r="D547" s="25">
        <v>0</v>
      </c>
      <c r="E547" s="25">
        <v>0</v>
      </c>
      <c r="F547" s="25">
        <v>0</v>
      </c>
      <c r="G547" s="25">
        <v>0</v>
      </c>
      <c r="H547" s="25">
        <v>0</v>
      </c>
      <c r="I547" s="25">
        <v>0</v>
      </c>
      <c r="J547" s="25">
        <v>0</v>
      </c>
      <c r="K547" s="25">
        <v>0</v>
      </c>
      <c r="L547" s="25">
        <v>0</v>
      </c>
      <c r="M547" s="25">
        <v>0</v>
      </c>
      <c r="N547" s="25">
        <v>0</v>
      </c>
      <c r="O547" s="25">
        <v>0</v>
      </c>
      <c r="P547" s="25">
        <v>0</v>
      </c>
      <c r="Q547" s="25">
        <v>0</v>
      </c>
      <c r="R547" s="25">
        <v>0</v>
      </c>
      <c r="S547" s="25">
        <v>0</v>
      </c>
      <c r="T547" s="25">
        <v>0</v>
      </c>
      <c r="U547" s="25">
        <v>0</v>
      </c>
      <c r="V547" s="25">
        <v>0</v>
      </c>
      <c r="W547" s="25">
        <v>0</v>
      </c>
      <c r="X547" s="25">
        <v>0</v>
      </c>
      <c r="Y547" s="25">
        <v>0</v>
      </c>
      <c r="Z547" s="25">
        <v>0</v>
      </c>
      <c r="AA547" s="25">
        <v>0</v>
      </c>
      <c r="AB547" s="25">
        <v>0</v>
      </c>
      <c r="AC547" s="25">
        <v>0</v>
      </c>
      <c r="AD547" s="25">
        <v>0</v>
      </c>
      <c r="AE547" s="25">
        <v>0</v>
      </c>
      <c r="AF547" s="25">
        <v>0</v>
      </c>
    </row>
    <row r="548" spans="1:32" x14ac:dyDescent="0.25">
      <c r="A548" s="25" t="s">
        <v>617</v>
      </c>
      <c r="B548" s="25">
        <v>0</v>
      </c>
      <c r="C548" s="25">
        <v>0</v>
      </c>
      <c r="D548" s="25">
        <v>0</v>
      </c>
      <c r="E548" s="25">
        <v>0</v>
      </c>
      <c r="F548" s="25">
        <v>0</v>
      </c>
      <c r="G548" s="25">
        <v>0</v>
      </c>
      <c r="H548" s="25">
        <v>0</v>
      </c>
      <c r="I548" s="25">
        <v>0</v>
      </c>
      <c r="J548" s="25">
        <v>0</v>
      </c>
      <c r="K548" s="25">
        <v>0</v>
      </c>
      <c r="L548" s="25">
        <v>0</v>
      </c>
      <c r="M548" s="25">
        <v>0</v>
      </c>
      <c r="N548" s="25">
        <v>0</v>
      </c>
      <c r="O548" s="25">
        <v>0</v>
      </c>
      <c r="P548" s="25">
        <v>0</v>
      </c>
      <c r="Q548" s="25">
        <v>0</v>
      </c>
      <c r="R548" s="25">
        <v>0</v>
      </c>
      <c r="S548" s="25">
        <v>0</v>
      </c>
      <c r="T548" s="25">
        <v>0</v>
      </c>
      <c r="U548" s="25">
        <v>0</v>
      </c>
      <c r="V548" s="25">
        <v>0</v>
      </c>
      <c r="W548" s="25">
        <v>0</v>
      </c>
      <c r="X548" s="25">
        <v>0</v>
      </c>
      <c r="Y548" s="25">
        <v>0</v>
      </c>
      <c r="Z548" s="25">
        <v>0</v>
      </c>
      <c r="AA548" s="25">
        <v>0</v>
      </c>
      <c r="AB548" s="25">
        <v>0</v>
      </c>
      <c r="AC548" s="25">
        <v>0</v>
      </c>
      <c r="AD548" s="25">
        <v>0</v>
      </c>
      <c r="AE548" s="25">
        <v>0</v>
      </c>
      <c r="AF548" s="25">
        <v>0</v>
      </c>
    </row>
    <row r="549" spans="1:32" x14ac:dyDescent="0.25">
      <c r="A549" s="25" t="s">
        <v>618</v>
      </c>
      <c r="B549" s="25">
        <v>0</v>
      </c>
      <c r="C549" s="25">
        <v>0</v>
      </c>
      <c r="D549" s="25">
        <v>0</v>
      </c>
      <c r="E549" s="25">
        <v>0</v>
      </c>
      <c r="F549" s="25">
        <v>0</v>
      </c>
      <c r="G549" s="25">
        <v>0</v>
      </c>
      <c r="H549" s="25">
        <v>0</v>
      </c>
      <c r="I549" s="25">
        <v>0</v>
      </c>
      <c r="J549" s="25">
        <v>0</v>
      </c>
      <c r="K549" s="25">
        <v>0</v>
      </c>
      <c r="L549" s="25">
        <v>0</v>
      </c>
      <c r="M549" s="25">
        <v>0</v>
      </c>
      <c r="N549" s="25">
        <v>0</v>
      </c>
      <c r="O549" s="25">
        <v>0</v>
      </c>
      <c r="P549" s="25">
        <v>0</v>
      </c>
      <c r="Q549" s="25">
        <v>0</v>
      </c>
      <c r="R549" s="25">
        <v>0</v>
      </c>
      <c r="S549" s="25">
        <v>0</v>
      </c>
      <c r="T549" s="25">
        <v>0</v>
      </c>
      <c r="U549" s="25">
        <v>0</v>
      </c>
      <c r="V549" s="25">
        <v>0</v>
      </c>
      <c r="W549" s="25">
        <v>0</v>
      </c>
      <c r="X549" s="25">
        <v>0</v>
      </c>
      <c r="Y549" s="25">
        <v>0</v>
      </c>
      <c r="Z549" s="25">
        <v>0</v>
      </c>
      <c r="AA549" s="25">
        <v>0</v>
      </c>
      <c r="AB549" s="25">
        <v>0</v>
      </c>
      <c r="AC549" s="25">
        <v>0</v>
      </c>
      <c r="AD549" s="25">
        <v>0</v>
      </c>
      <c r="AE549" s="25">
        <v>0</v>
      </c>
      <c r="AF549" s="25">
        <v>0</v>
      </c>
    </row>
    <row r="550" spans="1:32" x14ac:dyDescent="0.25">
      <c r="A550" s="25" t="s">
        <v>619</v>
      </c>
      <c r="B550" s="12">
        <v>52973200000</v>
      </c>
      <c r="C550" s="12">
        <v>59056900000</v>
      </c>
      <c r="D550" s="12">
        <v>65433200000</v>
      </c>
      <c r="E550" s="12">
        <v>70403100000</v>
      </c>
      <c r="F550" s="12">
        <v>74200900000</v>
      </c>
      <c r="G550" s="12">
        <v>77931400000</v>
      </c>
      <c r="H550" s="12">
        <v>81572000000</v>
      </c>
      <c r="I550" s="12">
        <v>84784500000</v>
      </c>
      <c r="J550" s="12">
        <v>87957000000</v>
      </c>
      <c r="K550" s="12">
        <v>91713700000</v>
      </c>
      <c r="L550" s="12">
        <v>95286500000</v>
      </c>
      <c r="M550" s="12">
        <v>99430300000</v>
      </c>
      <c r="N550" s="12">
        <v>104218000000</v>
      </c>
      <c r="O550" s="12">
        <v>109643000000</v>
      </c>
      <c r="P550" s="12">
        <v>115716000000</v>
      </c>
      <c r="Q550" s="12">
        <v>121860000000</v>
      </c>
      <c r="R550" s="12">
        <v>128712000000</v>
      </c>
      <c r="S550" s="12">
        <v>135736000000</v>
      </c>
      <c r="T550" s="12">
        <v>142862000000</v>
      </c>
      <c r="U550" s="12">
        <v>149282000000</v>
      </c>
      <c r="V550" s="12">
        <v>155748000000</v>
      </c>
      <c r="W550" s="12">
        <v>161649000000</v>
      </c>
      <c r="X550" s="12">
        <v>166999000000</v>
      </c>
      <c r="Y550" s="12">
        <v>172228000000</v>
      </c>
      <c r="Z550" s="12">
        <v>176709000000</v>
      </c>
      <c r="AA550" s="12">
        <v>180441000000</v>
      </c>
      <c r="AB550" s="12">
        <v>183541000000</v>
      </c>
      <c r="AC550" s="12">
        <v>186244000000</v>
      </c>
      <c r="AD550" s="12">
        <v>186459000000</v>
      </c>
      <c r="AE550" s="12">
        <v>185198000000</v>
      </c>
      <c r="AF550" s="12">
        <v>181274000000</v>
      </c>
    </row>
    <row r="551" spans="1:32" x14ac:dyDescent="0.25">
      <c r="A551" s="25" t="s">
        <v>620</v>
      </c>
      <c r="B551" s="25">
        <v>0</v>
      </c>
      <c r="C551" s="25">
        <v>0</v>
      </c>
      <c r="D551" s="25">
        <v>0</v>
      </c>
      <c r="E551" s="25">
        <v>0</v>
      </c>
      <c r="F551" s="25">
        <v>0</v>
      </c>
      <c r="G551" s="25">
        <v>0</v>
      </c>
      <c r="H551" s="25">
        <v>0</v>
      </c>
      <c r="I551" s="25">
        <v>0</v>
      </c>
      <c r="J551" s="25">
        <v>0</v>
      </c>
      <c r="K551" s="25">
        <v>0</v>
      </c>
      <c r="L551" s="25">
        <v>0</v>
      </c>
      <c r="M551" s="25">
        <v>0</v>
      </c>
      <c r="N551" s="25">
        <v>0</v>
      </c>
      <c r="O551" s="25">
        <v>0</v>
      </c>
      <c r="P551" s="25">
        <v>0</v>
      </c>
      <c r="Q551" s="25">
        <v>0</v>
      </c>
      <c r="R551" s="25">
        <v>0</v>
      </c>
      <c r="S551" s="25">
        <v>0</v>
      </c>
      <c r="T551" s="25">
        <v>0</v>
      </c>
      <c r="U551" s="25">
        <v>0</v>
      </c>
      <c r="V551" s="25">
        <v>0</v>
      </c>
      <c r="W551" s="25">
        <v>0</v>
      </c>
      <c r="X551" s="25">
        <v>0</v>
      </c>
      <c r="Y551" s="25">
        <v>0</v>
      </c>
      <c r="Z551" s="25">
        <v>0</v>
      </c>
      <c r="AA551" s="25">
        <v>0</v>
      </c>
      <c r="AB551" s="25">
        <v>0</v>
      </c>
      <c r="AC551" s="25">
        <v>0</v>
      </c>
      <c r="AD551" s="25">
        <v>0</v>
      </c>
      <c r="AE551" s="25">
        <v>0</v>
      </c>
      <c r="AF551" s="25">
        <v>0</v>
      </c>
    </row>
    <row r="552" spans="1:32" x14ac:dyDescent="0.25">
      <c r="A552" s="25" t="s">
        <v>621</v>
      </c>
      <c r="B552" s="25">
        <v>0</v>
      </c>
      <c r="C552" s="25">
        <v>0</v>
      </c>
      <c r="D552" s="25">
        <v>0</v>
      </c>
      <c r="E552" s="25">
        <v>0</v>
      </c>
      <c r="F552" s="25">
        <v>0</v>
      </c>
      <c r="G552" s="25">
        <v>0</v>
      </c>
      <c r="H552" s="25">
        <v>0</v>
      </c>
      <c r="I552" s="25">
        <v>0</v>
      </c>
      <c r="J552" s="25">
        <v>0</v>
      </c>
      <c r="K552" s="25">
        <v>0</v>
      </c>
      <c r="L552" s="25">
        <v>0</v>
      </c>
      <c r="M552" s="25">
        <v>0</v>
      </c>
      <c r="N552" s="25">
        <v>0</v>
      </c>
      <c r="O552" s="25">
        <v>0</v>
      </c>
      <c r="P552" s="25">
        <v>0</v>
      </c>
      <c r="Q552" s="25">
        <v>0</v>
      </c>
      <c r="R552" s="25">
        <v>0</v>
      </c>
      <c r="S552" s="25">
        <v>0</v>
      </c>
      <c r="T552" s="25">
        <v>0</v>
      </c>
      <c r="U552" s="25">
        <v>0</v>
      </c>
      <c r="V552" s="25">
        <v>0</v>
      </c>
      <c r="W552" s="25">
        <v>0</v>
      </c>
      <c r="X552" s="25">
        <v>0</v>
      </c>
      <c r="Y552" s="25">
        <v>0</v>
      </c>
      <c r="Z552" s="25">
        <v>0</v>
      </c>
      <c r="AA552" s="25">
        <v>0</v>
      </c>
      <c r="AB552" s="25">
        <v>0</v>
      </c>
      <c r="AC552" s="25">
        <v>0</v>
      </c>
      <c r="AD552" s="25">
        <v>0</v>
      </c>
      <c r="AE552" s="25">
        <v>0</v>
      </c>
      <c r="AF552" s="25">
        <v>0</v>
      </c>
    </row>
    <row r="553" spans="1:32" x14ac:dyDescent="0.25">
      <c r="A553" s="25" t="s">
        <v>622</v>
      </c>
      <c r="B553" s="12">
        <v>41475200000</v>
      </c>
      <c r="C553" s="12">
        <v>46485700000</v>
      </c>
      <c r="D553" s="12">
        <v>51504700000</v>
      </c>
      <c r="E553" s="12">
        <v>55938900000</v>
      </c>
      <c r="F553" s="12">
        <v>58958500000</v>
      </c>
      <c r="G553" s="12">
        <v>61982000000</v>
      </c>
      <c r="H553" s="12">
        <v>64883800000</v>
      </c>
      <c r="I553" s="12">
        <v>67402400000</v>
      </c>
      <c r="J553" s="12">
        <v>69895000000</v>
      </c>
      <c r="K553" s="12">
        <v>72828100000</v>
      </c>
      <c r="L553" s="12">
        <v>75652100000</v>
      </c>
      <c r="M553" s="12">
        <v>79026700000</v>
      </c>
      <c r="N553" s="12">
        <v>82873200000</v>
      </c>
      <c r="O553" s="12">
        <v>87199200000</v>
      </c>
      <c r="P553" s="12">
        <v>92006100000</v>
      </c>
      <c r="Q553" s="12">
        <v>96784900000</v>
      </c>
      <c r="R553" s="12">
        <v>102200000000</v>
      </c>
      <c r="S553" s="12">
        <v>107706000000</v>
      </c>
      <c r="T553" s="12">
        <v>113021000000</v>
      </c>
      <c r="U553" s="12">
        <v>118066000000</v>
      </c>
      <c r="V553" s="12">
        <v>123126000000</v>
      </c>
      <c r="W553" s="12">
        <v>127693000000</v>
      </c>
      <c r="X553" s="12">
        <v>131874000000</v>
      </c>
      <c r="Y553" s="12">
        <v>135662000000</v>
      </c>
      <c r="Z553" s="12">
        <v>138861000000</v>
      </c>
      <c r="AA553" s="12">
        <v>141712000000</v>
      </c>
      <c r="AB553" s="12">
        <v>143948000000</v>
      </c>
      <c r="AC553" s="12">
        <v>145961000000</v>
      </c>
      <c r="AD553" s="12">
        <v>145926000000</v>
      </c>
      <c r="AE553" s="12">
        <v>144764000000</v>
      </c>
      <c r="AF553" s="12">
        <v>141616000000</v>
      </c>
    </row>
    <row r="554" spans="1:32" x14ac:dyDescent="0.25">
      <c r="A554" s="25" t="s">
        <v>623</v>
      </c>
      <c r="B554" s="25">
        <v>0</v>
      </c>
      <c r="C554" s="25">
        <v>0</v>
      </c>
      <c r="D554" s="25">
        <v>0</v>
      </c>
      <c r="E554" s="25">
        <v>0</v>
      </c>
      <c r="F554" s="25">
        <v>0</v>
      </c>
      <c r="G554" s="25">
        <v>0</v>
      </c>
      <c r="H554" s="25">
        <v>0</v>
      </c>
      <c r="I554" s="25">
        <v>0</v>
      </c>
      <c r="J554" s="25">
        <v>0</v>
      </c>
      <c r="K554" s="25">
        <v>0</v>
      </c>
      <c r="L554" s="25">
        <v>0</v>
      </c>
      <c r="M554" s="25">
        <v>0</v>
      </c>
      <c r="N554" s="25">
        <v>0</v>
      </c>
      <c r="O554" s="25">
        <v>0</v>
      </c>
      <c r="P554" s="25">
        <v>0</v>
      </c>
      <c r="Q554" s="25">
        <v>0</v>
      </c>
      <c r="R554" s="25">
        <v>0</v>
      </c>
      <c r="S554" s="25">
        <v>0</v>
      </c>
      <c r="T554" s="25">
        <v>0</v>
      </c>
      <c r="U554" s="25">
        <v>0</v>
      </c>
      <c r="V554" s="25">
        <v>0</v>
      </c>
      <c r="W554" s="25">
        <v>0</v>
      </c>
      <c r="X554" s="25">
        <v>0</v>
      </c>
      <c r="Y554" s="25">
        <v>0</v>
      </c>
      <c r="Z554" s="25">
        <v>0</v>
      </c>
      <c r="AA554" s="25">
        <v>0</v>
      </c>
      <c r="AB554" s="25">
        <v>0</v>
      </c>
      <c r="AC554" s="25">
        <v>0</v>
      </c>
      <c r="AD554" s="25">
        <v>0</v>
      </c>
      <c r="AE554" s="25">
        <v>0</v>
      </c>
      <c r="AF554" s="25">
        <v>0</v>
      </c>
    </row>
    <row r="555" spans="1:32" x14ac:dyDescent="0.25">
      <c r="A555" s="25" t="s">
        <v>624</v>
      </c>
      <c r="B555" s="12">
        <v>1866470000</v>
      </c>
      <c r="C555" s="12">
        <v>1833510000</v>
      </c>
      <c r="D555" s="12">
        <v>2031470000</v>
      </c>
      <c r="E555" s="12">
        <v>1663620000</v>
      </c>
      <c r="F555" s="12">
        <v>1751370000</v>
      </c>
      <c r="G555" s="12">
        <v>1779980000</v>
      </c>
      <c r="H555" s="12">
        <v>1856880000</v>
      </c>
      <c r="I555" s="12">
        <v>1966720000</v>
      </c>
      <c r="J555" s="12">
        <v>2069780000</v>
      </c>
      <c r="K555" s="12">
        <v>2210360000</v>
      </c>
      <c r="L555" s="12">
        <v>2309540000</v>
      </c>
      <c r="M555" s="12">
        <v>2325330000</v>
      </c>
      <c r="N555" s="12">
        <v>2395760000</v>
      </c>
      <c r="O555" s="12">
        <v>2508850000</v>
      </c>
      <c r="P555" s="12">
        <v>2670390000</v>
      </c>
      <c r="Q555" s="12">
        <v>2918540000</v>
      </c>
      <c r="R555" s="12">
        <v>3109540000</v>
      </c>
      <c r="S555" s="12">
        <v>3350900000</v>
      </c>
      <c r="T555" s="12">
        <v>3865720000</v>
      </c>
      <c r="U555" s="12">
        <v>4073180000</v>
      </c>
      <c r="V555" s="12">
        <v>4304050000</v>
      </c>
      <c r="W555" s="12">
        <v>4564990000</v>
      </c>
      <c r="X555" s="12">
        <v>4761510000</v>
      </c>
      <c r="Y555" s="12">
        <v>5251750000</v>
      </c>
      <c r="Z555" s="12">
        <v>5718720000</v>
      </c>
      <c r="AA555" s="12">
        <v>5922330000</v>
      </c>
      <c r="AB555" s="12">
        <v>6222440000</v>
      </c>
      <c r="AC555" s="12">
        <v>6419770000</v>
      </c>
      <c r="AD555" s="12">
        <v>6631240000</v>
      </c>
      <c r="AE555" s="12">
        <v>6761950000</v>
      </c>
      <c r="AF555" s="12">
        <v>6699480000</v>
      </c>
    </row>
    <row r="556" spans="1:32" x14ac:dyDescent="0.25">
      <c r="A556" s="25" t="s">
        <v>625</v>
      </c>
      <c r="B556" s="25">
        <v>0</v>
      </c>
      <c r="C556" s="25">
        <v>0</v>
      </c>
      <c r="D556" s="25">
        <v>0</v>
      </c>
      <c r="E556" s="25">
        <v>0</v>
      </c>
      <c r="F556" s="25">
        <v>0</v>
      </c>
      <c r="G556" s="25">
        <v>0</v>
      </c>
      <c r="H556" s="25">
        <v>0</v>
      </c>
      <c r="I556" s="25">
        <v>0</v>
      </c>
      <c r="J556" s="25">
        <v>0</v>
      </c>
      <c r="K556" s="25">
        <v>0</v>
      </c>
      <c r="L556" s="25">
        <v>0</v>
      </c>
      <c r="M556" s="25">
        <v>0</v>
      </c>
      <c r="N556" s="25">
        <v>0</v>
      </c>
      <c r="O556" s="25">
        <v>0</v>
      </c>
      <c r="P556" s="25">
        <v>0</v>
      </c>
      <c r="Q556" s="25">
        <v>0</v>
      </c>
      <c r="R556" s="25">
        <v>0</v>
      </c>
      <c r="S556" s="25">
        <v>0</v>
      </c>
      <c r="T556" s="25">
        <v>0</v>
      </c>
      <c r="U556" s="25">
        <v>0</v>
      </c>
      <c r="V556" s="25">
        <v>0</v>
      </c>
      <c r="W556" s="25">
        <v>0</v>
      </c>
      <c r="X556" s="25">
        <v>0</v>
      </c>
      <c r="Y556" s="25">
        <v>0</v>
      </c>
      <c r="Z556" s="25">
        <v>0</v>
      </c>
      <c r="AA556" s="25">
        <v>0</v>
      </c>
      <c r="AB556" s="25">
        <v>0</v>
      </c>
      <c r="AC556" s="25">
        <v>0</v>
      </c>
      <c r="AD556" s="25">
        <v>0</v>
      </c>
      <c r="AE556" s="25">
        <v>0</v>
      </c>
      <c r="AF556" s="25">
        <v>0</v>
      </c>
    </row>
    <row r="557" spans="1:32" x14ac:dyDescent="0.25">
      <c r="A557" s="25" t="s">
        <v>626</v>
      </c>
      <c r="B557" s="25">
        <v>0</v>
      </c>
      <c r="C557" s="25">
        <v>0</v>
      </c>
      <c r="D557" s="25">
        <v>0</v>
      </c>
      <c r="E557" s="25">
        <v>0</v>
      </c>
      <c r="F557" s="25">
        <v>0</v>
      </c>
      <c r="G557" s="25">
        <v>0</v>
      </c>
      <c r="H557" s="25">
        <v>0</v>
      </c>
      <c r="I557" s="25">
        <v>0</v>
      </c>
      <c r="J557" s="25">
        <v>0</v>
      </c>
      <c r="K557" s="25">
        <v>0</v>
      </c>
      <c r="L557" s="25">
        <v>0</v>
      </c>
      <c r="M557" s="25">
        <v>0</v>
      </c>
      <c r="N557" s="25">
        <v>0</v>
      </c>
      <c r="O557" s="25">
        <v>0</v>
      </c>
      <c r="P557" s="25">
        <v>0</v>
      </c>
      <c r="Q557" s="25">
        <v>0</v>
      </c>
      <c r="R557" s="25">
        <v>0</v>
      </c>
      <c r="S557" s="25">
        <v>0</v>
      </c>
      <c r="T557" s="25">
        <v>0</v>
      </c>
      <c r="U557" s="25">
        <v>0</v>
      </c>
      <c r="V557" s="25">
        <v>0</v>
      </c>
      <c r="W557" s="25">
        <v>0</v>
      </c>
      <c r="X557" s="25">
        <v>0</v>
      </c>
      <c r="Y557" s="25">
        <v>0</v>
      </c>
      <c r="Z557" s="25">
        <v>0</v>
      </c>
      <c r="AA557" s="25">
        <v>0</v>
      </c>
      <c r="AB557" s="25">
        <v>0</v>
      </c>
      <c r="AC557" s="25">
        <v>0</v>
      </c>
      <c r="AD557" s="25">
        <v>0</v>
      </c>
      <c r="AE557" s="25">
        <v>0</v>
      </c>
      <c r="AF557" s="25">
        <v>0</v>
      </c>
    </row>
    <row r="558" spans="1:32" x14ac:dyDescent="0.25">
      <c r="A558" s="25" t="s">
        <v>627</v>
      </c>
      <c r="B558" s="25">
        <v>0</v>
      </c>
      <c r="C558" s="25">
        <v>0</v>
      </c>
      <c r="D558" s="25">
        <v>0</v>
      </c>
      <c r="E558" s="25">
        <v>0</v>
      </c>
      <c r="F558" s="25">
        <v>0</v>
      </c>
      <c r="G558" s="25">
        <v>0</v>
      </c>
      <c r="H558" s="25">
        <v>0</v>
      </c>
      <c r="I558" s="25">
        <v>0</v>
      </c>
      <c r="J558" s="25">
        <v>0</v>
      </c>
      <c r="K558" s="25">
        <v>0</v>
      </c>
      <c r="L558" s="25">
        <v>0</v>
      </c>
      <c r="M558" s="25">
        <v>0</v>
      </c>
      <c r="N558" s="25">
        <v>0</v>
      </c>
      <c r="O558" s="25">
        <v>0</v>
      </c>
      <c r="P558" s="25">
        <v>0</v>
      </c>
      <c r="Q558" s="25">
        <v>0</v>
      </c>
      <c r="R558" s="25">
        <v>0</v>
      </c>
      <c r="S558" s="25">
        <v>0</v>
      </c>
      <c r="T558" s="25">
        <v>0</v>
      </c>
      <c r="U558" s="25">
        <v>0</v>
      </c>
      <c r="V558" s="25">
        <v>0</v>
      </c>
      <c r="W558" s="25">
        <v>0</v>
      </c>
      <c r="X558" s="25">
        <v>0</v>
      </c>
      <c r="Y558" s="25">
        <v>0</v>
      </c>
      <c r="Z558" s="25">
        <v>0</v>
      </c>
      <c r="AA558" s="25">
        <v>0</v>
      </c>
      <c r="AB558" s="25">
        <v>0</v>
      </c>
      <c r="AC558" s="25">
        <v>0</v>
      </c>
      <c r="AD558" s="25">
        <v>0</v>
      </c>
      <c r="AE558" s="25">
        <v>0</v>
      </c>
      <c r="AF558" s="25">
        <v>0</v>
      </c>
    </row>
    <row r="559" spans="1:32" x14ac:dyDescent="0.25">
      <c r="A559" s="25" t="s">
        <v>628</v>
      </c>
      <c r="B559" s="25">
        <v>0</v>
      </c>
      <c r="C559" s="25">
        <v>0</v>
      </c>
      <c r="D559" s="25">
        <v>0</v>
      </c>
      <c r="E559" s="25">
        <v>0</v>
      </c>
      <c r="F559" s="25">
        <v>0</v>
      </c>
      <c r="G559" s="25">
        <v>0</v>
      </c>
      <c r="H559" s="25">
        <v>0</v>
      </c>
      <c r="I559" s="25">
        <v>0</v>
      </c>
      <c r="J559" s="25">
        <v>0</v>
      </c>
      <c r="K559" s="25">
        <v>0</v>
      </c>
      <c r="L559" s="25">
        <v>0</v>
      </c>
      <c r="M559" s="25">
        <v>0</v>
      </c>
      <c r="N559" s="25">
        <v>0</v>
      </c>
      <c r="O559" s="25">
        <v>0</v>
      </c>
      <c r="P559" s="25">
        <v>0</v>
      </c>
      <c r="Q559" s="25">
        <v>0</v>
      </c>
      <c r="R559" s="25">
        <v>0</v>
      </c>
      <c r="S559" s="25">
        <v>0</v>
      </c>
      <c r="T559" s="25">
        <v>0</v>
      </c>
      <c r="U559" s="25">
        <v>0</v>
      </c>
      <c r="V559" s="25">
        <v>0</v>
      </c>
      <c r="W559" s="25">
        <v>0</v>
      </c>
      <c r="X559" s="25">
        <v>0</v>
      </c>
      <c r="Y559" s="25">
        <v>0</v>
      </c>
      <c r="Z559" s="25">
        <v>0</v>
      </c>
      <c r="AA559" s="25">
        <v>0</v>
      </c>
      <c r="AB559" s="25">
        <v>0</v>
      </c>
      <c r="AC559" s="25">
        <v>0</v>
      </c>
      <c r="AD559" s="25">
        <v>0</v>
      </c>
      <c r="AE559" s="25">
        <v>0</v>
      </c>
      <c r="AF559" s="25">
        <v>0</v>
      </c>
    </row>
    <row r="560" spans="1:32" x14ac:dyDescent="0.25">
      <c r="A560" s="25" t="s">
        <v>629</v>
      </c>
      <c r="B560" s="25">
        <v>0</v>
      </c>
      <c r="C560" s="25">
        <v>0</v>
      </c>
      <c r="D560" s="25">
        <v>0</v>
      </c>
      <c r="E560" s="25">
        <v>0</v>
      </c>
      <c r="F560" s="25">
        <v>0</v>
      </c>
      <c r="G560" s="25">
        <v>0</v>
      </c>
      <c r="H560" s="25">
        <v>0</v>
      </c>
      <c r="I560" s="25">
        <v>0</v>
      </c>
      <c r="J560" s="25">
        <v>0</v>
      </c>
      <c r="K560" s="25">
        <v>0</v>
      </c>
      <c r="L560" s="25">
        <v>0</v>
      </c>
      <c r="M560" s="25">
        <v>0</v>
      </c>
      <c r="N560" s="25">
        <v>0</v>
      </c>
      <c r="O560" s="25">
        <v>0</v>
      </c>
      <c r="P560" s="25">
        <v>0</v>
      </c>
      <c r="Q560" s="25">
        <v>0</v>
      </c>
      <c r="R560" s="25">
        <v>0</v>
      </c>
      <c r="S560" s="25">
        <v>0</v>
      </c>
      <c r="T560" s="25">
        <v>0</v>
      </c>
      <c r="U560" s="25">
        <v>0</v>
      </c>
      <c r="V560" s="25">
        <v>0</v>
      </c>
      <c r="W560" s="25">
        <v>0</v>
      </c>
      <c r="X560" s="25">
        <v>0</v>
      </c>
      <c r="Y560" s="25">
        <v>0</v>
      </c>
      <c r="Z560" s="25">
        <v>0</v>
      </c>
      <c r="AA560" s="25">
        <v>0</v>
      </c>
      <c r="AB560" s="25">
        <v>0</v>
      </c>
      <c r="AC560" s="25">
        <v>0</v>
      </c>
      <c r="AD560" s="25">
        <v>0</v>
      </c>
      <c r="AE560" s="25">
        <v>0</v>
      </c>
      <c r="AF560" s="25">
        <v>0</v>
      </c>
    </row>
    <row r="561" spans="1:32" x14ac:dyDescent="0.25">
      <c r="A561" s="25" t="s">
        <v>630</v>
      </c>
      <c r="B561" s="25">
        <v>0</v>
      </c>
      <c r="C561" s="25">
        <v>0</v>
      </c>
      <c r="D561" s="25">
        <v>0</v>
      </c>
      <c r="E561" s="25">
        <v>0</v>
      </c>
      <c r="F561" s="25">
        <v>0</v>
      </c>
      <c r="G561" s="25">
        <v>0</v>
      </c>
      <c r="H561" s="25">
        <v>0</v>
      </c>
      <c r="I561" s="25">
        <v>0</v>
      </c>
      <c r="J561" s="25">
        <v>0</v>
      </c>
      <c r="K561" s="25">
        <v>0</v>
      </c>
      <c r="L561" s="25">
        <v>0</v>
      </c>
      <c r="M561" s="25">
        <v>0</v>
      </c>
      <c r="N561" s="25">
        <v>0</v>
      </c>
      <c r="O561" s="25">
        <v>0</v>
      </c>
      <c r="P561" s="25">
        <v>0</v>
      </c>
      <c r="Q561" s="25">
        <v>0</v>
      </c>
      <c r="R561" s="25">
        <v>0</v>
      </c>
      <c r="S561" s="25">
        <v>0</v>
      </c>
      <c r="T561" s="25">
        <v>0</v>
      </c>
      <c r="U561" s="25">
        <v>0</v>
      </c>
      <c r="V561" s="25">
        <v>0</v>
      </c>
      <c r="W561" s="25">
        <v>0</v>
      </c>
      <c r="X561" s="25">
        <v>0</v>
      </c>
      <c r="Y561" s="25">
        <v>0</v>
      </c>
      <c r="Z561" s="25">
        <v>0</v>
      </c>
      <c r="AA561" s="25">
        <v>0</v>
      </c>
      <c r="AB561" s="25">
        <v>0</v>
      </c>
      <c r="AC561" s="25">
        <v>0</v>
      </c>
      <c r="AD561" s="25">
        <v>0</v>
      </c>
      <c r="AE561" s="25">
        <v>0</v>
      </c>
      <c r="AF561" s="25">
        <v>0</v>
      </c>
    </row>
    <row r="562" spans="1:32" x14ac:dyDescent="0.25">
      <c r="A562" s="25" t="s">
        <v>631</v>
      </c>
      <c r="B562" s="25">
        <v>0</v>
      </c>
      <c r="C562" s="25">
        <v>0</v>
      </c>
      <c r="D562" s="25">
        <v>0</v>
      </c>
      <c r="E562" s="25">
        <v>0</v>
      </c>
      <c r="F562" s="25">
        <v>0</v>
      </c>
      <c r="G562" s="25">
        <v>0</v>
      </c>
      <c r="H562" s="25">
        <v>0</v>
      </c>
      <c r="I562" s="25">
        <v>0</v>
      </c>
      <c r="J562" s="25">
        <v>0</v>
      </c>
      <c r="K562" s="25">
        <v>0</v>
      </c>
      <c r="L562" s="25">
        <v>0</v>
      </c>
      <c r="M562" s="25">
        <v>0</v>
      </c>
      <c r="N562" s="25">
        <v>0</v>
      </c>
      <c r="O562" s="25">
        <v>0</v>
      </c>
      <c r="P562" s="25">
        <v>0</v>
      </c>
      <c r="Q562" s="25">
        <v>0</v>
      </c>
      <c r="R562" s="25">
        <v>0</v>
      </c>
      <c r="S562" s="25">
        <v>0</v>
      </c>
      <c r="T562" s="25">
        <v>0</v>
      </c>
      <c r="U562" s="25">
        <v>0</v>
      </c>
      <c r="V562" s="25">
        <v>0</v>
      </c>
      <c r="W562" s="25">
        <v>0</v>
      </c>
      <c r="X562" s="25">
        <v>0</v>
      </c>
      <c r="Y562" s="25">
        <v>0</v>
      </c>
      <c r="Z562" s="25">
        <v>0</v>
      </c>
      <c r="AA562" s="25">
        <v>0</v>
      </c>
      <c r="AB562" s="25">
        <v>0</v>
      </c>
      <c r="AC562" s="25">
        <v>0</v>
      </c>
      <c r="AD562" s="25">
        <v>0</v>
      </c>
      <c r="AE562" s="25">
        <v>0</v>
      </c>
      <c r="AF562" s="25">
        <v>0</v>
      </c>
    </row>
    <row r="563" spans="1:32" x14ac:dyDescent="0.25">
      <c r="A563" s="25" t="s">
        <v>632</v>
      </c>
      <c r="B563" s="25">
        <v>0</v>
      </c>
      <c r="C563" s="25">
        <v>0</v>
      </c>
      <c r="D563" s="25">
        <v>0</v>
      </c>
      <c r="E563" s="25">
        <v>0</v>
      </c>
      <c r="F563" s="25">
        <v>0</v>
      </c>
      <c r="G563" s="25">
        <v>0</v>
      </c>
      <c r="H563" s="25">
        <v>0</v>
      </c>
      <c r="I563" s="25">
        <v>0</v>
      </c>
      <c r="J563" s="25">
        <v>0</v>
      </c>
      <c r="K563" s="25">
        <v>0</v>
      </c>
      <c r="L563" s="25">
        <v>0</v>
      </c>
      <c r="M563" s="25">
        <v>0</v>
      </c>
      <c r="N563" s="25">
        <v>0</v>
      </c>
      <c r="O563" s="25">
        <v>0</v>
      </c>
      <c r="P563" s="25">
        <v>0</v>
      </c>
      <c r="Q563" s="25">
        <v>0</v>
      </c>
      <c r="R563" s="25">
        <v>0</v>
      </c>
      <c r="S563" s="25">
        <v>0</v>
      </c>
      <c r="T563" s="25">
        <v>0</v>
      </c>
      <c r="U563" s="25">
        <v>0</v>
      </c>
      <c r="V563" s="25">
        <v>0</v>
      </c>
      <c r="W563" s="25">
        <v>0</v>
      </c>
      <c r="X563" s="25">
        <v>0</v>
      </c>
      <c r="Y563" s="25">
        <v>0</v>
      </c>
      <c r="Z563" s="25">
        <v>0</v>
      </c>
      <c r="AA563" s="25">
        <v>0</v>
      </c>
      <c r="AB563" s="25">
        <v>0</v>
      </c>
      <c r="AC563" s="25">
        <v>0</v>
      </c>
      <c r="AD563" s="25">
        <v>0</v>
      </c>
      <c r="AE563" s="25">
        <v>0</v>
      </c>
      <c r="AF563" s="25">
        <v>0</v>
      </c>
    </row>
    <row r="564" spans="1:32" x14ac:dyDescent="0.25">
      <c r="A564" s="25" t="s">
        <v>633</v>
      </c>
      <c r="B564" s="25">
        <v>0</v>
      </c>
      <c r="C564" s="25">
        <v>0</v>
      </c>
      <c r="D564" s="25">
        <v>0</v>
      </c>
      <c r="E564" s="25">
        <v>0</v>
      </c>
      <c r="F564" s="25">
        <v>0</v>
      </c>
      <c r="G564" s="25">
        <v>0</v>
      </c>
      <c r="H564" s="25">
        <v>0</v>
      </c>
      <c r="I564" s="25">
        <v>0</v>
      </c>
      <c r="J564" s="25">
        <v>0</v>
      </c>
      <c r="K564" s="25">
        <v>0</v>
      </c>
      <c r="L564" s="25">
        <v>0</v>
      </c>
      <c r="M564" s="25">
        <v>0</v>
      </c>
      <c r="N564" s="25">
        <v>0</v>
      </c>
      <c r="O564" s="25">
        <v>0</v>
      </c>
      <c r="P564" s="25">
        <v>0</v>
      </c>
      <c r="Q564" s="25">
        <v>0</v>
      </c>
      <c r="R564" s="25">
        <v>0</v>
      </c>
      <c r="S564" s="25">
        <v>0</v>
      </c>
      <c r="T564" s="25">
        <v>0</v>
      </c>
      <c r="U564" s="25">
        <v>0</v>
      </c>
      <c r="V564" s="25">
        <v>0</v>
      </c>
      <c r="W564" s="25">
        <v>0</v>
      </c>
      <c r="X564" s="25">
        <v>0</v>
      </c>
      <c r="Y564" s="25">
        <v>0</v>
      </c>
      <c r="Z564" s="25">
        <v>0</v>
      </c>
      <c r="AA564" s="25">
        <v>0</v>
      </c>
      <c r="AB564" s="25">
        <v>0</v>
      </c>
      <c r="AC564" s="25">
        <v>0</v>
      </c>
      <c r="AD564" s="25">
        <v>0</v>
      </c>
      <c r="AE564" s="25">
        <v>0</v>
      </c>
      <c r="AF564" s="25">
        <v>0</v>
      </c>
    </row>
    <row r="565" spans="1:32" x14ac:dyDescent="0.25">
      <c r="A565" s="25" t="s">
        <v>634</v>
      </c>
      <c r="B565" s="25">
        <v>0</v>
      </c>
      <c r="C565" s="25">
        <v>0</v>
      </c>
      <c r="D565" s="25">
        <v>0</v>
      </c>
      <c r="E565" s="25">
        <v>0</v>
      </c>
      <c r="F565" s="25">
        <v>0</v>
      </c>
      <c r="G565" s="25">
        <v>0</v>
      </c>
      <c r="H565" s="25">
        <v>0</v>
      </c>
      <c r="I565" s="25">
        <v>0</v>
      </c>
      <c r="J565" s="25">
        <v>0</v>
      </c>
      <c r="K565" s="25">
        <v>0</v>
      </c>
      <c r="L565" s="25">
        <v>0</v>
      </c>
      <c r="M565" s="25">
        <v>0</v>
      </c>
      <c r="N565" s="25">
        <v>0</v>
      </c>
      <c r="O565" s="25">
        <v>0</v>
      </c>
      <c r="P565" s="25">
        <v>0</v>
      </c>
      <c r="Q565" s="25">
        <v>0</v>
      </c>
      <c r="R565" s="25">
        <v>0</v>
      </c>
      <c r="S565" s="25">
        <v>0</v>
      </c>
      <c r="T565" s="25">
        <v>0</v>
      </c>
      <c r="U565" s="25">
        <v>0</v>
      </c>
      <c r="V565" s="25">
        <v>0</v>
      </c>
      <c r="W565" s="25">
        <v>0</v>
      </c>
      <c r="X565" s="25">
        <v>0</v>
      </c>
      <c r="Y565" s="25">
        <v>0</v>
      </c>
      <c r="Z565" s="25">
        <v>0</v>
      </c>
      <c r="AA565" s="25">
        <v>0</v>
      </c>
      <c r="AB565" s="25">
        <v>0</v>
      </c>
      <c r="AC565" s="25">
        <v>0</v>
      </c>
      <c r="AD565" s="25">
        <v>0</v>
      </c>
      <c r="AE565" s="25">
        <v>0</v>
      </c>
      <c r="AF565" s="25">
        <v>0</v>
      </c>
    </row>
    <row r="566" spans="1:32" x14ac:dyDescent="0.25">
      <c r="A566" s="25" t="s">
        <v>635</v>
      </c>
      <c r="B566" s="25">
        <v>0</v>
      </c>
      <c r="C566" s="25">
        <v>0</v>
      </c>
      <c r="D566" s="25">
        <v>0</v>
      </c>
      <c r="E566" s="25">
        <v>0</v>
      </c>
      <c r="F566" s="25">
        <v>0</v>
      </c>
      <c r="G566" s="25">
        <v>0</v>
      </c>
      <c r="H566" s="25">
        <v>0</v>
      </c>
      <c r="I566" s="25">
        <v>0</v>
      </c>
      <c r="J566" s="25">
        <v>0</v>
      </c>
      <c r="K566" s="25">
        <v>0</v>
      </c>
      <c r="L566" s="25">
        <v>0</v>
      </c>
      <c r="M566" s="25">
        <v>0</v>
      </c>
      <c r="N566" s="25">
        <v>0</v>
      </c>
      <c r="O566" s="25">
        <v>0</v>
      </c>
      <c r="P566" s="25">
        <v>0</v>
      </c>
      <c r="Q566" s="25">
        <v>0</v>
      </c>
      <c r="R566" s="25">
        <v>0</v>
      </c>
      <c r="S566" s="25">
        <v>0</v>
      </c>
      <c r="T566" s="25">
        <v>0</v>
      </c>
      <c r="U566" s="25">
        <v>0</v>
      </c>
      <c r="V566" s="25">
        <v>0</v>
      </c>
      <c r="W566" s="25">
        <v>0</v>
      </c>
      <c r="X566" s="25">
        <v>0</v>
      </c>
      <c r="Y566" s="25">
        <v>0</v>
      </c>
      <c r="Z566" s="25">
        <v>0</v>
      </c>
      <c r="AA566" s="25">
        <v>0</v>
      </c>
      <c r="AB566" s="25">
        <v>0</v>
      </c>
      <c r="AC566" s="25">
        <v>0</v>
      </c>
      <c r="AD566" s="25">
        <v>0</v>
      </c>
      <c r="AE566" s="25">
        <v>0</v>
      </c>
      <c r="AF566" s="25">
        <v>0</v>
      </c>
    </row>
    <row r="567" spans="1:32" x14ac:dyDescent="0.25">
      <c r="A567" s="25" t="s">
        <v>636</v>
      </c>
      <c r="B567" s="25">
        <v>0</v>
      </c>
      <c r="C567" s="25">
        <v>0</v>
      </c>
      <c r="D567" s="25">
        <v>0</v>
      </c>
      <c r="E567" s="25">
        <v>0</v>
      </c>
      <c r="F567" s="25">
        <v>0</v>
      </c>
      <c r="G567" s="25">
        <v>0</v>
      </c>
      <c r="H567" s="25">
        <v>0</v>
      </c>
      <c r="I567" s="25">
        <v>0</v>
      </c>
      <c r="J567" s="25">
        <v>0</v>
      </c>
      <c r="K567" s="25">
        <v>0</v>
      </c>
      <c r="L567" s="25">
        <v>0</v>
      </c>
      <c r="M567" s="25">
        <v>0</v>
      </c>
      <c r="N567" s="25">
        <v>0</v>
      </c>
      <c r="O567" s="25">
        <v>0</v>
      </c>
      <c r="P567" s="25">
        <v>0</v>
      </c>
      <c r="Q567" s="25">
        <v>0</v>
      </c>
      <c r="R567" s="25">
        <v>0</v>
      </c>
      <c r="S567" s="25">
        <v>0</v>
      </c>
      <c r="T567" s="25">
        <v>0</v>
      </c>
      <c r="U567" s="25">
        <v>0</v>
      </c>
      <c r="V567" s="25">
        <v>0</v>
      </c>
      <c r="W567" s="25">
        <v>0</v>
      </c>
      <c r="X567" s="25">
        <v>0</v>
      </c>
      <c r="Y567" s="25">
        <v>0</v>
      </c>
      <c r="Z567" s="25">
        <v>0</v>
      </c>
      <c r="AA567" s="25">
        <v>0</v>
      </c>
      <c r="AB567" s="25">
        <v>0</v>
      </c>
      <c r="AC567" s="25">
        <v>0</v>
      </c>
      <c r="AD567" s="25">
        <v>0</v>
      </c>
      <c r="AE567" s="25">
        <v>0</v>
      </c>
      <c r="AF567" s="25">
        <v>0</v>
      </c>
    </row>
    <row r="568" spans="1:32" x14ac:dyDescent="0.25">
      <c r="A568" s="25" t="s">
        <v>637</v>
      </c>
      <c r="B568" s="12">
        <v>687650000000</v>
      </c>
      <c r="C568" s="12">
        <v>727116000000</v>
      </c>
      <c r="D568" s="12">
        <v>740051000000</v>
      </c>
      <c r="E568" s="12">
        <v>741993000000</v>
      </c>
      <c r="F568" s="12">
        <v>740040000000</v>
      </c>
      <c r="G568" s="12">
        <v>736939000000</v>
      </c>
      <c r="H568" s="12">
        <v>730220000000</v>
      </c>
      <c r="I568" s="12">
        <v>719363000000</v>
      </c>
      <c r="J568" s="12">
        <v>708329000000</v>
      </c>
      <c r="K568" s="12">
        <v>697652000000</v>
      </c>
      <c r="L568" s="12">
        <v>686127000000</v>
      </c>
      <c r="M568" s="12">
        <v>675262000000</v>
      </c>
      <c r="N568" s="12">
        <v>665017000000</v>
      </c>
      <c r="O568" s="12">
        <v>656112000000</v>
      </c>
      <c r="P568" s="12">
        <v>647820000000</v>
      </c>
      <c r="Q568" s="12">
        <v>641276000000</v>
      </c>
      <c r="R568" s="12">
        <v>635700000000</v>
      </c>
      <c r="S568" s="12">
        <v>632371000000</v>
      </c>
      <c r="T568" s="12">
        <v>630900000000</v>
      </c>
      <c r="U568" s="12">
        <v>630789000000</v>
      </c>
      <c r="V568" s="12">
        <v>632345000000</v>
      </c>
      <c r="W568" s="12">
        <v>635897000000</v>
      </c>
      <c r="X568" s="12">
        <v>641499000000</v>
      </c>
      <c r="Y568" s="12">
        <v>648136000000</v>
      </c>
      <c r="Z568" s="12">
        <v>656589000000</v>
      </c>
      <c r="AA568" s="12">
        <v>666416000000</v>
      </c>
      <c r="AB568" s="12">
        <v>678050000000</v>
      </c>
      <c r="AC568" s="12">
        <v>689761000000</v>
      </c>
      <c r="AD568" s="12">
        <v>719090000000</v>
      </c>
      <c r="AE568" s="12">
        <v>749052000000</v>
      </c>
      <c r="AF568" s="12">
        <v>769573000000</v>
      </c>
    </row>
    <row r="569" spans="1:32" x14ac:dyDescent="0.25">
      <c r="A569" s="25" t="s">
        <v>638</v>
      </c>
      <c r="B569" s="25">
        <v>0</v>
      </c>
      <c r="C569" s="25">
        <v>0</v>
      </c>
      <c r="D569" s="25">
        <v>0</v>
      </c>
      <c r="E569" s="25">
        <v>0</v>
      </c>
      <c r="F569" s="25">
        <v>0</v>
      </c>
      <c r="G569" s="25">
        <v>0</v>
      </c>
      <c r="H569" s="25">
        <v>0</v>
      </c>
      <c r="I569" s="25">
        <v>0</v>
      </c>
      <c r="J569" s="25">
        <v>0</v>
      </c>
      <c r="K569" s="25">
        <v>0</v>
      </c>
      <c r="L569" s="25">
        <v>0</v>
      </c>
      <c r="M569" s="25">
        <v>0</v>
      </c>
      <c r="N569" s="25">
        <v>0</v>
      </c>
      <c r="O569" s="25">
        <v>0</v>
      </c>
      <c r="P569" s="25">
        <v>0</v>
      </c>
      <c r="Q569" s="25">
        <v>0</v>
      </c>
      <c r="R569" s="25">
        <v>0</v>
      </c>
      <c r="S569" s="25">
        <v>0</v>
      </c>
      <c r="T569" s="25">
        <v>0</v>
      </c>
      <c r="U569" s="25">
        <v>0</v>
      </c>
      <c r="V569" s="25">
        <v>0</v>
      </c>
      <c r="W569" s="25">
        <v>0</v>
      </c>
      <c r="X569" s="25">
        <v>0</v>
      </c>
      <c r="Y569" s="25">
        <v>0</v>
      </c>
      <c r="Z569" s="25">
        <v>0</v>
      </c>
      <c r="AA569" s="25">
        <v>0</v>
      </c>
      <c r="AB569" s="25">
        <v>0</v>
      </c>
      <c r="AC569" s="25">
        <v>0</v>
      </c>
      <c r="AD569" s="25">
        <v>0</v>
      </c>
      <c r="AE569" s="25">
        <v>0</v>
      </c>
      <c r="AF569" s="25">
        <v>0</v>
      </c>
    </row>
    <row r="570" spans="1:32" x14ac:dyDescent="0.25">
      <c r="A570" s="25" t="s">
        <v>639</v>
      </c>
      <c r="B570" s="25">
        <v>0</v>
      </c>
      <c r="C570" s="25">
        <v>0</v>
      </c>
      <c r="D570" s="25">
        <v>0</v>
      </c>
      <c r="E570" s="25">
        <v>0</v>
      </c>
      <c r="F570" s="25">
        <v>0</v>
      </c>
      <c r="G570" s="25">
        <v>0</v>
      </c>
      <c r="H570" s="25">
        <v>0</v>
      </c>
      <c r="I570" s="25">
        <v>0</v>
      </c>
      <c r="J570" s="25">
        <v>0</v>
      </c>
      <c r="K570" s="25">
        <v>0</v>
      </c>
      <c r="L570" s="25">
        <v>0</v>
      </c>
      <c r="M570" s="25">
        <v>0</v>
      </c>
      <c r="N570" s="25">
        <v>0</v>
      </c>
      <c r="O570" s="25">
        <v>0</v>
      </c>
      <c r="P570" s="25">
        <v>0</v>
      </c>
      <c r="Q570" s="25">
        <v>0</v>
      </c>
      <c r="R570" s="25">
        <v>0</v>
      </c>
      <c r="S570" s="25">
        <v>0</v>
      </c>
      <c r="T570" s="25">
        <v>0</v>
      </c>
      <c r="U570" s="25">
        <v>0</v>
      </c>
      <c r="V570" s="25">
        <v>0</v>
      </c>
      <c r="W570" s="25">
        <v>0</v>
      </c>
      <c r="X570" s="25">
        <v>0</v>
      </c>
      <c r="Y570" s="25">
        <v>0</v>
      </c>
      <c r="Z570" s="25">
        <v>0</v>
      </c>
      <c r="AA570" s="25">
        <v>0</v>
      </c>
      <c r="AB570" s="25">
        <v>0</v>
      </c>
      <c r="AC570" s="25">
        <v>0</v>
      </c>
      <c r="AD570" s="25">
        <v>0</v>
      </c>
      <c r="AE570" s="25">
        <v>0</v>
      </c>
      <c r="AF570" s="25">
        <v>0</v>
      </c>
    </row>
    <row r="571" spans="1:32" x14ac:dyDescent="0.25">
      <c r="A571" s="25" t="s">
        <v>640</v>
      </c>
      <c r="B571" s="25">
        <v>0</v>
      </c>
      <c r="C571" s="25">
        <v>0</v>
      </c>
      <c r="D571" s="25">
        <v>0</v>
      </c>
      <c r="E571" s="25">
        <v>0</v>
      </c>
      <c r="F571" s="25">
        <v>0</v>
      </c>
      <c r="G571" s="25">
        <v>0</v>
      </c>
      <c r="H571" s="25">
        <v>0</v>
      </c>
      <c r="I571" s="25">
        <v>0</v>
      </c>
      <c r="J571" s="25">
        <v>0</v>
      </c>
      <c r="K571" s="25">
        <v>0</v>
      </c>
      <c r="L571" s="25">
        <v>0</v>
      </c>
      <c r="M571" s="25">
        <v>0</v>
      </c>
      <c r="N571" s="25">
        <v>0</v>
      </c>
      <c r="O571" s="25">
        <v>0</v>
      </c>
      <c r="P571" s="25">
        <v>0</v>
      </c>
      <c r="Q571" s="25">
        <v>0</v>
      </c>
      <c r="R571" s="25">
        <v>0</v>
      </c>
      <c r="S571" s="25">
        <v>0</v>
      </c>
      <c r="T571" s="25">
        <v>0</v>
      </c>
      <c r="U571" s="25">
        <v>0</v>
      </c>
      <c r="V571" s="25">
        <v>0</v>
      </c>
      <c r="W571" s="25">
        <v>0</v>
      </c>
      <c r="X571" s="25">
        <v>0</v>
      </c>
      <c r="Y571" s="25">
        <v>0</v>
      </c>
      <c r="Z571" s="25">
        <v>0</v>
      </c>
      <c r="AA571" s="25">
        <v>0</v>
      </c>
      <c r="AB571" s="25">
        <v>0</v>
      </c>
      <c r="AC571" s="25">
        <v>0</v>
      </c>
      <c r="AD571" s="25">
        <v>0</v>
      </c>
      <c r="AE571" s="25">
        <v>0</v>
      </c>
      <c r="AF571" s="25">
        <v>0</v>
      </c>
    </row>
    <row r="572" spans="1:32" x14ac:dyDescent="0.25">
      <c r="A572" s="25" t="s">
        <v>641</v>
      </c>
      <c r="B572" s="25">
        <v>0</v>
      </c>
      <c r="C572" s="25">
        <v>0</v>
      </c>
      <c r="D572" s="25">
        <v>0</v>
      </c>
      <c r="E572" s="25">
        <v>0</v>
      </c>
      <c r="F572" s="25">
        <v>0</v>
      </c>
      <c r="G572" s="25">
        <v>0</v>
      </c>
      <c r="H572" s="25">
        <v>0</v>
      </c>
      <c r="I572" s="25">
        <v>0</v>
      </c>
      <c r="J572" s="25">
        <v>0</v>
      </c>
      <c r="K572" s="25">
        <v>0</v>
      </c>
      <c r="L572" s="25">
        <v>0</v>
      </c>
      <c r="M572" s="25">
        <v>0</v>
      </c>
      <c r="N572" s="25">
        <v>0</v>
      </c>
      <c r="O572" s="25">
        <v>0</v>
      </c>
      <c r="P572" s="25">
        <v>0</v>
      </c>
      <c r="Q572" s="25">
        <v>0</v>
      </c>
      <c r="R572" s="25">
        <v>0</v>
      </c>
      <c r="S572" s="25">
        <v>0</v>
      </c>
      <c r="T572" s="25">
        <v>0</v>
      </c>
      <c r="U572" s="25">
        <v>0</v>
      </c>
      <c r="V572" s="25">
        <v>0</v>
      </c>
      <c r="W572" s="25">
        <v>0</v>
      </c>
      <c r="X572" s="25">
        <v>0</v>
      </c>
      <c r="Y572" s="25">
        <v>0</v>
      </c>
      <c r="Z572" s="25">
        <v>0</v>
      </c>
      <c r="AA572" s="25">
        <v>0</v>
      </c>
      <c r="AB572" s="25">
        <v>0</v>
      </c>
      <c r="AC572" s="25">
        <v>0</v>
      </c>
      <c r="AD572" s="25">
        <v>0</v>
      </c>
      <c r="AE572" s="25">
        <v>0</v>
      </c>
      <c r="AF572" s="25">
        <v>0</v>
      </c>
    </row>
    <row r="573" spans="1:32" x14ac:dyDescent="0.25">
      <c r="A573" s="25" t="s">
        <v>642</v>
      </c>
      <c r="B573" s="25">
        <v>0</v>
      </c>
      <c r="C573" s="25">
        <v>0</v>
      </c>
      <c r="D573" s="25">
        <v>0</v>
      </c>
      <c r="E573" s="25">
        <v>0</v>
      </c>
      <c r="F573" s="25">
        <v>0</v>
      </c>
      <c r="G573" s="25">
        <v>0</v>
      </c>
      <c r="H573" s="25">
        <v>0</v>
      </c>
      <c r="I573" s="25">
        <v>0</v>
      </c>
      <c r="J573" s="25">
        <v>0</v>
      </c>
      <c r="K573" s="25">
        <v>0</v>
      </c>
      <c r="L573" s="25">
        <v>0</v>
      </c>
      <c r="M573" s="25">
        <v>0</v>
      </c>
      <c r="N573" s="25">
        <v>0</v>
      </c>
      <c r="O573" s="25">
        <v>0</v>
      </c>
      <c r="P573" s="25">
        <v>0</v>
      </c>
      <c r="Q573" s="25">
        <v>0</v>
      </c>
      <c r="R573" s="25">
        <v>0</v>
      </c>
      <c r="S573" s="25">
        <v>0</v>
      </c>
      <c r="T573" s="25">
        <v>0</v>
      </c>
      <c r="U573" s="25">
        <v>0</v>
      </c>
      <c r="V573" s="25">
        <v>0</v>
      </c>
      <c r="W573" s="25">
        <v>0</v>
      </c>
      <c r="X573" s="25">
        <v>0</v>
      </c>
      <c r="Y573" s="25">
        <v>0</v>
      </c>
      <c r="Z573" s="25">
        <v>0</v>
      </c>
      <c r="AA573" s="25">
        <v>0</v>
      </c>
      <c r="AB573" s="25">
        <v>0</v>
      </c>
      <c r="AC573" s="25">
        <v>0</v>
      </c>
      <c r="AD573" s="25">
        <v>0</v>
      </c>
      <c r="AE573" s="25">
        <v>0</v>
      </c>
      <c r="AF573" s="25">
        <v>0</v>
      </c>
    </row>
    <row r="574" spans="1:32" x14ac:dyDescent="0.25">
      <c r="A574" s="25" t="s">
        <v>643</v>
      </c>
      <c r="B574" s="25">
        <v>0</v>
      </c>
      <c r="C574" s="25">
        <v>0</v>
      </c>
      <c r="D574" s="25">
        <v>0</v>
      </c>
      <c r="E574" s="25">
        <v>0</v>
      </c>
      <c r="F574" s="25">
        <v>0</v>
      </c>
      <c r="G574" s="25">
        <v>0</v>
      </c>
      <c r="H574" s="25">
        <v>0</v>
      </c>
      <c r="I574" s="25">
        <v>0</v>
      </c>
      <c r="J574" s="25">
        <v>0</v>
      </c>
      <c r="K574" s="25">
        <v>0</v>
      </c>
      <c r="L574" s="25">
        <v>0</v>
      </c>
      <c r="M574" s="25">
        <v>0</v>
      </c>
      <c r="N574" s="25">
        <v>0</v>
      </c>
      <c r="O574" s="25">
        <v>0</v>
      </c>
      <c r="P574" s="25">
        <v>0</v>
      </c>
      <c r="Q574" s="25">
        <v>0</v>
      </c>
      <c r="R574" s="25">
        <v>0</v>
      </c>
      <c r="S574" s="25">
        <v>0</v>
      </c>
      <c r="T574" s="25">
        <v>0</v>
      </c>
      <c r="U574" s="25">
        <v>0</v>
      </c>
      <c r="V574" s="25">
        <v>0</v>
      </c>
      <c r="W574" s="25">
        <v>0</v>
      </c>
      <c r="X574" s="25">
        <v>0</v>
      </c>
      <c r="Y574" s="25">
        <v>0</v>
      </c>
      <c r="Z574" s="25">
        <v>0</v>
      </c>
      <c r="AA574" s="25">
        <v>0</v>
      </c>
      <c r="AB574" s="25">
        <v>0</v>
      </c>
      <c r="AC574" s="25">
        <v>0</v>
      </c>
      <c r="AD574" s="25">
        <v>0</v>
      </c>
      <c r="AE574" s="25">
        <v>0</v>
      </c>
      <c r="AF574" s="25">
        <v>0</v>
      </c>
    </row>
    <row r="575" spans="1:32" x14ac:dyDescent="0.25">
      <c r="A575" s="25" t="s">
        <v>644</v>
      </c>
      <c r="B575" s="25">
        <v>0</v>
      </c>
      <c r="C575" s="25">
        <v>0</v>
      </c>
      <c r="D575" s="25">
        <v>0</v>
      </c>
      <c r="E575" s="25">
        <v>0</v>
      </c>
      <c r="F575" s="25">
        <v>0</v>
      </c>
      <c r="G575" s="25">
        <v>0</v>
      </c>
      <c r="H575" s="25">
        <v>0</v>
      </c>
      <c r="I575" s="25">
        <v>0</v>
      </c>
      <c r="J575" s="25">
        <v>0</v>
      </c>
      <c r="K575" s="25">
        <v>0</v>
      </c>
      <c r="L575" s="25">
        <v>0</v>
      </c>
      <c r="M575" s="25">
        <v>0</v>
      </c>
      <c r="N575" s="25">
        <v>0</v>
      </c>
      <c r="O575" s="25">
        <v>0</v>
      </c>
      <c r="P575" s="25">
        <v>0</v>
      </c>
      <c r="Q575" s="25">
        <v>0</v>
      </c>
      <c r="R575" s="25">
        <v>0</v>
      </c>
      <c r="S575" s="25">
        <v>0</v>
      </c>
      <c r="T575" s="25">
        <v>0</v>
      </c>
      <c r="U575" s="25">
        <v>0</v>
      </c>
      <c r="V575" s="25">
        <v>0</v>
      </c>
      <c r="W575" s="25">
        <v>0</v>
      </c>
      <c r="X575" s="25">
        <v>0</v>
      </c>
      <c r="Y575" s="25">
        <v>0</v>
      </c>
      <c r="Z575" s="25">
        <v>0</v>
      </c>
      <c r="AA575" s="25">
        <v>0</v>
      </c>
      <c r="AB575" s="25">
        <v>0</v>
      </c>
      <c r="AC575" s="25">
        <v>0</v>
      </c>
      <c r="AD575" s="25">
        <v>0</v>
      </c>
      <c r="AE575" s="25">
        <v>0</v>
      </c>
      <c r="AF575" s="25">
        <v>0</v>
      </c>
    </row>
    <row r="576" spans="1:32" x14ac:dyDescent="0.25">
      <c r="A576" s="25" t="s">
        <v>645</v>
      </c>
      <c r="B576" s="25">
        <v>0</v>
      </c>
      <c r="C576" s="25">
        <v>0</v>
      </c>
      <c r="D576" s="25">
        <v>0</v>
      </c>
      <c r="E576" s="25">
        <v>0</v>
      </c>
      <c r="F576" s="25">
        <v>0</v>
      </c>
      <c r="G576" s="25">
        <v>0</v>
      </c>
      <c r="H576" s="25">
        <v>0</v>
      </c>
      <c r="I576" s="25">
        <v>0</v>
      </c>
      <c r="J576" s="25">
        <v>0</v>
      </c>
      <c r="K576" s="25">
        <v>0</v>
      </c>
      <c r="L576" s="25">
        <v>0</v>
      </c>
      <c r="M576" s="25">
        <v>0</v>
      </c>
      <c r="N576" s="25">
        <v>0</v>
      </c>
      <c r="O576" s="25">
        <v>0</v>
      </c>
      <c r="P576" s="25">
        <v>0</v>
      </c>
      <c r="Q576" s="25">
        <v>0</v>
      </c>
      <c r="R576" s="25">
        <v>0</v>
      </c>
      <c r="S576" s="25">
        <v>0</v>
      </c>
      <c r="T576" s="25">
        <v>0</v>
      </c>
      <c r="U576" s="25">
        <v>0</v>
      </c>
      <c r="V576" s="25">
        <v>0</v>
      </c>
      <c r="W576" s="25">
        <v>0</v>
      </c>
      <c r="X576" s="25">
        <v>0</v>
      </c>
      <c r="Y576" s="25">
        <v>0</v>
      </c>
      <c r="Z576" s="25">
        <v>0</v>
      </c>
      <c r="AA576" s="25">
        <v>0</v>
      </c>
      <c r="AB576" s="25">
        <v>0</v>
      </c>
      <c r="AC576" s="25">
        <v>0</v>
      </c>
      <c r="AD576" s="25">
        <v>0</v>
      </c>
      <c r="AE576" s="25">
        <v>0</v>
      </c>
      <c r="AF576" s="25">
        <v>0</v>
      </c>
    </row>
    <row r="577" spans="1:32" x14ac:dyDescent="0.25">
      <c r="A577" s="25" t="s">
        <v>646</v>
      </c>
      <c r="B577" s="25">
        <v>0</v>
      </c>
      <c r="C577" s="25">
        <v>0</v>
      </c>
      <c r="D577" s="25">
        <v>0</v>
      </c>
      <c r="E577" s="25">
        <v>0</v>
      </c>
      <c r="F577" s="25">
        <v>0</v>
      </c>
      <c r="G577" s="25">
        <v>0</v>
      </c>
      <c r="H577" s="25">
        <v>0</v>
      </c>
      <c r="I577" s="25">
        <v>0</v>
      </c>
      <c r="J577" s="25">
        <v>0</v>
      </c>
      <c r="K577" s="25">
        <v>0</v>
      </c>
      <c r="L577" s="25">
        <v>0</v>
      </c>
      <c r="M577" s="25">
        <v>0</v>
      </c>
      <c r="N577" s="25">
        <v>0</v>
      </c>
      <c r="O577" s="25">
        <v>0</v>
      </c>
      <c r="P577" s="25">
        <v>0</v>
      </c>
      <c r="Q577" s="25">
        <v>0</v>
      </c>
      <c r="R577" s="25">
        <v>0</v>
      </c>
      <c r="S577" s="25">
        <v>0</v>
      </c>
      <c r="T577" s="25">
        <v>0</v>
      </c>
      <c r="U577" s="25">
        <v>0</v>
      </c>
      <c r="V577" s="25">
        <v>0</v>
      </c>
      <c r="W577" s="25">
        <v>0</v>
      </c>
      <c r="X577" s="25">
        <v>0</v>
      </c>
      <c r="Y577" s="25">
        <v>0</v>
      </c>
      <c r="Z577" s="25">
        <v>0</v>
      </c>
      <c r="AA577" s="25">
        <v>0</v>
      </c>
      <c r="AB577" s="25">
        <v>0</v>
      </c>
      <c r="AC577" s="25">
        <v>0</v>
      </c>
      <c r="AD577" s="25">
        <v>0</v>
      </c>
      <c r="AE577" s="25">
        <v>0</v>
      </c>
      <c r="AF577" s="25">
        <v>0</v>
      </c>
    </row>
    <row r="578" spans="1:32" x14ac:dyDescent="0.25">
      <c r="A578" s="25" t="s">
        <v>647</v>
      </c>
      <c r="B578" s="25">
        <v>0</v>
      </c>
      <c r="C578" s="25">
        <v>0</v>
      </c>
      <c r="D578" s="25">
        <v>0</v>
      </c>
      <c r="E578" s="25">
        <v>0</v>
      </c>
      <c r="F578" s="25">
        <v>0</v>
      </c>
      <c r="G578" s="25">
        <v>0</v>
      </c>
      <c r="H578" s="25">
        <v>0</v>
      </c>
      <c r="I578" s="25">
        <v>0</v>
      </c>
      <c r="J578" s="25">
        <v>0</v>
      </c>
      <c r="K578" s="25">
        <v>0</v>
      </c>
      <c r="L578" s="25">
        <v>0</v>
      </c>
      <c r="M578" s="25">
        <v>0</v>
      </c>
      <c r="N578" s="25">
        <v>0</v>
      </c>
      <c r="O578" s="25">
        <v>0</v>
      </c>
      <c r="P578" s="25">
        <v>0</v>
      </c>
      <c r="Q578" s="25">
        <v>0</v>
      </c>
      <c r="R578" s="25">
        <v>0</v>
      </c>
      <c r="S578" s="25">
        <v>0</v>
      </c>
      <c r="T578" s="25">
        <v>0</v>
      </c>
      <c r="U578" s="25">
        <v>0</v>
      </c>
      <c r="V578" s="25">
        <v>0</v>
      </c>
      <c r="W578" s="25">
        <v>0</v>
      </c>
      <c r="X578" s="25">
        <v>0</v>
      </c>
      <c r="Y578" s="25">
        <v>0</v>
      </c>
      <c r="Z578" s="25">
        <v>0</v>
      </c>
      <c r="AA578" s="25">
        <v>0</v>
      </c>
      <c r="AB578" s="25">
        <v>0</v>
      </c>
      <c r="AC578" s="25">
        <v>0</v>
      </c>
      <c r="AD578" s="25">
        <v>0</v>
      </c>
      <c r="AE578" s="25">
        <v>0</v>
      </c>
      <c r="AF578" s="25">
        <v>0</v>
      </c>
    </row>
    <row r="579" spans="1:32" x14ac:dyDescent="0.25">
      <c r="A579" s="25" t="s">
        <v>648</v>
      </c>
      <c r="B579" s="12">
        <v>20412400000</v>
      </c>
      <c r="C579" s="12">
        <v>21085200000</v>
      </c>
      <c r="D579" s="12">
        <v>20791300000</v>
      </c>
      <c r="E579" s="12">
        <v>20250800000</v>
      </c>
      <c r="F579" s="12">
        <v>19599600000</v>
      </c>
      <c r="G579" s="12">
        <v>19477900000</v>
      </c>
      <c r="H579" s="12">
        <v>19269600000</v>
      </c>
      <c r="I579" s="12">
        <v>19472500000</v>
      </c>
      <c r="J579" s="12">
        <v>19666700000</v>
      </c>
      <c r="K579" s="12">
        <v>20837900000</v>
      </c>
      <c r="L579" s="12">
        <v>22952800000</v>
      </c>
      <c r="M579" s="12">
        <v>26029800000</v>
      </c>
      <c r="N579" s="12">
        <v>30092700000</v>
      </c>
      <c r="O579" s="12">
        <v>36152700000</v>
      </c>
      <c r="P579" s="12">
        <v>43713700000</v>
      </c>
      <c r="Q579" s="12">
        <v>53300900000</v>
      </c>
      <c r="R579" s="12">
        <v>65391100000</v>
      </c>
      <c r="S579" s="12">
        <v>79572300000</v>
      </c>
      <c r="T579" s="12">
        <v>96332900000</v>
      </c>
      <c r="U579" s="12">
        <v>115613000000</v>
      </c>
      <c r="V579" s="12">
        <v>137464000000</v>
      </c>
      <c r="W579" s="12">
        <v>161484000000</v>
      </c>
      <c r="X579" s="12">
        <v>187743000000</v>
      </c>
      <c r="Y579" s="12">
        <v>215967000000</v>
      </c>
      <c r="Z579" s="12">
        <v>246718000000</v>
      </c>
      <c r="AA579" s="12">
        <v>278976000000</v>
      </c>
      <c r="AB579" s="12">
        <v>313426000000</v>
      </c>
      <c r="AC579" s="12">
        <v>348724000000</v>
      </c>
      <c r="AD579" s="12">
        <v>383067000000</v>
      </c>
      <c r="AE579" s="12">
        <v>420364000000</v>
      </c>
      <c r="AF579" s="12">
        <v>459912000000</v>
      </c>
    </row>
    <row r="580" spans="1:32" x14ac:dyDescent="0.25">
      <c r="A580" s="25" t="s">
        <v>649</v>
      </c>
      <c r="B580" s="25">
        <v>0</v>
      </c>
      <c r="C580" s="25">
        <v>0</v>
      </c>
      <c r="D580" s="25">
        <v>0</v>
      </c>
      <c r="E580" s="25">
        <v>0</v>
      </c>
      <c r="F580" s="25">
        <v>0</v>
      </c>
      <c r="G580" s="25">
        <v>0</v>
      </c>
      <c r="H580" s="25">
        <v>0</v>
      </c>
      <c r="I580" s="25">
        <v>0</v>
      </c>
      <c r="J580" s="25">
        <v>0</v>
      </c>
      <c r="K580" s="25">
        <v>0</v>
      </c>
      <c r="L580" s="25">
        <v>0</v>
      </c>
      <c r="M580" s="25">
        <v>0</v>
      </c>
      <c r="N580" s="25">
        <v>0</v>
      </c>
      <c r="O580" s="25">
        <v>0</v>
      </c>
      <c r="P580" s="25">
        <v>0</v>
      </c>
      <c r="Q580" s="25">
        <v>0</v>
      </c>
      <c r="R580" s="25">
        <v>0</v>
      </c>
      <c r="S580" s="25">
        <v>0</v>
      </c>
      <c r="T580" s="25">
        <v>0</v>
      </c>
      <c r="U580" s="25">
        <v>0</v>
      </c>
      <c r="V580" s="25">
        <v>0</v>
      </c>
      <c r="W580" s="25">
        <v>0</v>
      </c>
      <c r="X580" s="25">
        <v>0</v>
      </c>
      <c r="Y580" s="25">
        <v>0</v>
      </c>
      <c r="Z580" s="25">
        <v>0</v>
      </c>
      <c r="AA580" s="25">
        <v>0</v>
      </c>
      <c r="AB580" s="25">
        <v>0</v>
      </c>
      <c r="AC580" s="25">
        <v>0</v>
      </c>
      <c r="AD580" s="25">
        <v>0</v>
      </c>
      <c r="AE580" s="25">
        <v>0</v>
      </c>
      <c r="AF580" s="25">
        <v>0</v>
      </c>
    </row>
    <row r="581" spans="1:32" x14ac:dyDescent="0.25">
      <c r="A581" s="25" t="s">
        <v>650</v>
      </c>
      <c r="B581" s="25">
        <v>0</v>
      </c>
      <c r="C581" s="25">
        <v>0</v>
      </c>
      <c r="D581" s="25">
        <v>0</v>
      </c>
      <c r="E581" s="25">
        <v>0</v>
      </c>
      <c r="F581" s="25">
        <v>0</v>
      </c>
      <c r="G581" s="25">
        <v>0</v>
      </c>
      <c r="H581" s="25">
        <v>0</v>
      </c>
      <c r="I581" s="25">
        <v>0</v>
      </c>
      <c r="J581" s="25">
        <v>0</v>
      </c>
      <c r="K581" s="25">
        <v>0</v>
      </c>
      <c r="L581" s="25">
        <v>0</v>
      </c>
      <c r="M581" s="25">
        <v>0</v>
      </c>
      <c r="N581" s="25">
        <v>0</v>
      </c>
      <c r="O581" s="25">
        <v>0</v>
      </c>
      <c r="P581" s="25">
        <v>0</v>
      </c>
      <c r="Q581" s="25">
        <v>0</v>
      </c>
      <c r="R581" s="25">
        <v>0</v>
      </c>
      <c r="S581" s="25">
        <v>0</v>
      </c>
      <c r="T581" s="25">
        <v>0</v>
      </c>
      <c r="U581" s="25">
        <v>0</v>
      </c>
      <c r="V581" s="25">
        <v>0</v>
      </c>
      <c r="W581" s="25">
        <v>0</v>
      </c>
      <c r="X581" s="25">
        <v>0</v>
      </c>
      <c r="Y581" s="25">
        <v>0</v>
      </c>
      <c r="Z581" s="25">
        <v>0</v>
      </c>
      <c r="AA581" s="25">
        <v>0</v>
      </c>
      <c r="AB581" s="25">
        <v>0</v>
      </c>
      <c r="AC581" s="25">
        <v>0</v>
      </c>
      <c r="AD581" s="25">
        <v>0</v>
      </c>
      <c r="AE581" s="25">
        <v>0</v>
      </c>
      <c r="AF581" s="25">
        <v>0</v>
      </c>
    </row>
    <row r="582" spans="1:32" x14ac:dyDescent="0.25">
      <c r="A582" s="25" t="s">
        <v>651</v>
      </c>
      <c r="B582" s="25">
        <v>0</v>
      </c>
      <c r="C582" s="25">
        <v>0</v>
      </c>
      <c r="D582" s="25">
        <v>0</v>
      </c>
      <c r="E582" s="25">
        <v>0</v>
      </c>
      <c r="F582" s="25">
        <v>0</v>
      </c>
      <c r="G582" s="25">
        <v>0</v>
      </c>
      <c r="H582" s="25">
        <v>0</v>
      </c>
      <c r="I582" s="25">
        <v>0</v>
      </c>
      <c r="J582" s="25">
        <v>0</v>
      </c>
      <c r="K582" s="25">
        <v>0</v>
      </c>
      <c r="L582" s="25">
        <v>0</v>
      </c>
      <c r="M582" s="25">
        <v>0</v>
      </c>
      <c r="N582" s="25">
        <v>0</v>
      </c>
      <c r="O582" s="25">
        <v>0</v>
      </c>
      <c r="P582" s="25">
        <v>0</v>
      </c>
      <c r="Q582" s="25">
        <v>0</v>
      </c>
      <c r="R582" s="25">
        <v>0</v>
      </c>
      <c r="S582" s="25">
        <v>0</v>
      </c>
      <c r="T582" s="25">
        <v>0</v>
      </c>
      <c r="U582" s="25">
        <v>0</v>
      </c>
      <c r="V582" s="25">
        <v>0</v>
      </c>
      <c r="W582" s="25">
        <v>0</v>
      </c>
      <c r="X582" s="25">
        <v>0</v>
      </c>
      <c r="Y582" s="25">
        <v>0</v>
      </c>
      <c r="Z582" s="25">
        <v>0</v>
      </c>
      <c r="AA582" s="25">
        <v>0</v>
      </c>
      <c r="AB582" s="25">
        <v>0</v>
      </c>
      <c r="AC582" s="25">
        <v>0</v>
      </c>
      <c r="AD582" s="25">
        <v>0</v>
      </c>
      <c r="AE582" s="25">
        <v>0</v>
      </c>
      <c r="AF582" s="25">
        <v>0</v>
      </c>
    </row>
    <row r="583" spans="1:32" x14ac:dyDescent="0.25">
      <c r="A583" s="25" t="s">
        <v>652</v>
      </c>
      <c r="B583" s="25">
        <v>0</v>
      </c>
      <c r="C583" s="25">
        <v>0</v>
      </c>
      <c r="D583" s="25">
        <v>0</v>
      </c>
      <c r="E583" s="25">
        <v>0</v>
      </c>
      <c r="F583" s="25">
        <v>0</v>
      </c>
      <c r="G583" s="25">
        <v>0</v>
      </c>
      <c r="H583" s="25">
        <v>0</v>
      </c>
      <c r="I583" s="25">
        <v>0</v>
      </c>
      <c r="J583" s="25">
        <v>0</v>
      </c>
      <c r="K583" s="25">
        <v>0</v>
      </c>
      <c r="L583" s="25">
        <v>0</v>
      </c>
      <c r="M583" s="25">
        <v>0</v>
      </c>
      <c r="N583" s="25">
        <v>0</v>
      </c>
      <c r="O583" s="25">
        <v>0</v>
      </c>
      <c r="P583" s="25">
        <v>0</v>
      </c>
      <c r="Q583" s="25">
        <v>0</v>
      </c>
      <c r="R583" s="25">
        <v>0</v>
      </c>
      <c r="S583" s="25">
        <v>0</v>
      </c>
      <c r="T583" s="25">
        <v>0</v>
      </c>
      <c r="U583" s="25">
        <v>0</v>
      </c>
      <c r="V583" s="25">
        <v>0</v>
      </c>
      <c r="W583" s="25">
        <v>0</v>
      </c>
      <c r="X583" s="25">
        <v>0</v>
      </c>
      <c r="Y583" s="25">
        <v>0</v>
      </c>
      <c r="Z583" s="25">
        <v>0</v>
      </c>
      <c r="AA583" s="25">
        <v>0</v>
      </c>
      <c r="AB583" s="25">
        <v>0</v>
      </c>
      <c r="AC583" s="25">
        <v>0</v>
      </c>
      <c r="AD583" s="25">
        <v>0</v>
      </c>
      <c r="AE583" s="25">
        <v>0</v>
      </c>
      <c r="AF583" s="25">
        <v>0</v>
      </c>
    </row>
    <row r="584" spans="1:32" x14ac:dyDescent="0.25">
      <c r="A584" s="25" t="s">
        <v>653</v>
      </c>
      <c r="B584" s="25">
        <v>0</v>
      </c>
      <c r="C584" s="25">
        <v>0</v>
      </c>
      <c r="D584" s="25">
        <v>0</v>
      </c>
      <c r="E584" s="25">
        <v>0</v>
      </c>
      <c r="F584" s="25">
        <v>0</v>
      </c>
      <c r="G584" s="25">
        <v>0</v>
      </c>
      <c r="H584" s="25">
        <v>0</v>
      </c>
      <c r="I584" s="25">
        <v>0</v>
      </c>
      <c r="J584" s="25">
        <v>0</v>
      </c>
      <c r="K584" s="25">
        <v>0</v>
      </c>
      <c r="L584" s="25">
        <v>0</v>
      </c>
      <c r="M584" s="25">
        <v>0</v>
      </c>
      <c r="N584" s="25">
        <v>0</v>
      </c>
      <c r="O584" s="25">
        <v>0</v>
      </c>
      <c r="P584" s="25">
        <v>0</v>
      </c>
      <c r="Q584" s="25">
        <v>0</v>
      </c>
      <c r="R584" s="25">
        <v>0</v>
      </c>
      <c r="S584" s="25">
        <v>0</v>
      </c>
      <c r="T584" s="25">
        <v>0</v>
      </c>
      <c r="U584" s="25">
        <v>0</v>
      </c>
      <c r="V584" s="25">
        <v>0</v>
      </c>
      <c r="W584" s="25">
        <v>0</v>
      </c>
      <c r="X584" s="25">
        <v>0</v>
      </c>
      <c r="Y584" s="25">
        <v>0</v>
      </c>
      <c r="Z584" s="25">
        <v>0</v>
      </c>
      <c r="AA584" s="25">
        <v>0</v>
      </c>
      <c r="AB584" s="25">
        <v>0</v>
      </c>
      <c r="AC584" s="25">
        <v>0</v>
      </c>
      <c r="AD584" s="25">
        <v>0</v>
      </c>
      <c r="AE584" s="25">
        <v>0</v>
      </c>
      <c r="AF584" s="25">
        <v>0</v>
      </c>
    </row>
    <row r="585" spans="1:32" x14ac:dyDescent="0.25">
      <c r="A585" s="25" t="s">
        <v>654</v>
      </c>
      <c r="B585" s="25">
        <v>0</v>
      </c>
      <c r="C585" s="25">
        <v>0</v>
      </c>
      <c r="D585" s="25">
        <v>0</v>
      </c>
      <c r="E585" s="25">
        <v>0</v>
      </c>
      <c r="F585" s="25">
        <v>0</v>
      </c>
      <c r="G585" s="25">
        <v>0</v>
      </c>
      <c r="H585" s="25">
        <v>0</v>
      </c>
      <c r="I585" s="25">
        <v>0</v>
      </c>
      <c r="J585" s="25">
        <v>0</v>
      </c>
      <c r="K585" s="25">
        <v>0</v>
      </c>
      <c r="L585" s="25">
        <v>0</v>
      </c>
      <c r="M585" s="25">
        <v>0</v>
      </c>
      <c r="N585" s="25">
        <v>0</v>
      </c>
      <c r="O585" s="25">
        <v>0</v>
      </c>
      <c r="P585" s="25">
        <v>0</v>
      </c>
      <c r="Q585" s="25">
        <v>0</v>
      </c>
      <c r="R585" s="25">
        <v>0</v>
      </c>
      <c r="S585" s="25">
        <v>0</v>
      </c>
      <c r="T585" s="25">
        <v>0</v>
      </c>
      <c r="U585" s="25">
        <v>0</v>
      </c>
      <c r="V585" s="25">
        <v>0</v>
      </c>
      <c r="W585" s="25">
        <v>0</v>
      </c>
      <c r="X585" s="25">
        <v>0</v>
      </c>
      <c r="Y585" s="25">
        <v>0</v>
      </c>
      <c r="Z585" s="25">
        <v>0</v>
      </c>
      <c r="AA585" s="25">
        <v>0</v>
      </c>
      <c r="AB585" s="25">
        <v>0</v>
      </c>
      <c r="AC585" s="25">
        <v>0</v>
      </c>
      <c r="AD585" s="25">
        <v>0</v>
      </c>
      <c r="AE585" s="25">
        <v>0</v>
      </c>
      <c r="AF585" s="25">
        <v>0</v>
      </c>
    </row>
    <row r="586" spans="1:32" x14ac:dyDescent="0.25">
      <c r="A586" s="25" t="s">
        <v>655</v>
      </c>
      <c r="B586" s="25">
        <v>0</v>
      </c>
      <c r="C586" s="25">
        <v>0</v>
      </c>
      <c r="D586" s="25">
        <v>0</v>
      </c>
      <c r="E586" s="25">
        <v>0</v>
      </c>
      <c r="F586" s="25">
        <v>0</v>
      </c>
      <c r="G586" s="25">
        <v>0</v>
      </c>
      <c r="H586" s="25">
        <v>0</v>
      </c>
      <c r="I586" s="25">
        <v>0</v>
      </c>
      <c r="J586" s="25">
        <v>0</v>
      </c>
      <c r="K586" s="25">
        <v>0</v>
      </c>
      <c r="L586" s="25">
        <v>0</v>
      </c>
      <c r="M586" s="25">
        <v>0</v>
      </c>
      <c r="N586" s="25">
        <v>0</v>
      </c>
      <c r="O586" s="25">
        <v>0</v>
      </c>
      <c r="P586" s="25">
        <v>0</v>
      </c>
      <c r="Q586" s="25">
        <v>0</v>
      </c>
      <c r="R586" s="25">
        <v>0</v>
      </c>
      <c r="S586" s="25">
        <v>0</v>
      </c>
      <c r="T586" s="25">
        <v>0</v>
      </c>
      <c r="U586" s="25">
        <v>0</v>
      </c>
      <c r="V586" s="25">
        <v>0</v>
      </c>
      <c r="W586" s="25">
        <v>0</v>
      </c>
      <c r="X586" s="25">
        <v>0</v>
      </c>
      <c r="Y586" s="25">
        <v>0</v>
      </c>
      <c r="Z586" s="25">
        <v>0</v>
      </c>
      <c r="AA586" s="25">
        <v>0</v>
      </c>
      <c r="AB586" s="25">
        <v>0</v>
      </c>
      <c r="AC586" s="25">
        <v>0</v>
      </c>
      <c r="AD586" s="25">
        <v>0</v>
      </c>
      <c r="AE586" s="25">
        <v>0</v>
      </c>
      <c r="AF586" s="25">
        <v>0</v>
      </c>
    </row>
    <row r="587" spans="1:32" x14ac:dyDescent="0.25">
      <c r="A587" s="25" t="s">
        <v>656</v>
      </c>
      <c r="B587" s="25">
        <v>0</v>
      </c>
      <c r="C587" s="25">
        <v>0</v>
      </c>
      <c r="D587" s="25">
        <v>0</v>
      </c>
      <c r="E587" s="25">
        <v>0</v>
      </c>
      <c r="F587" s="25">
        <v>0</v>
      </c>
      <c r="G587" s="25">
        <v>0</v>
      </c>
      <c r="H587" s="25">
        <v>0</v>
      </c>
      <c r="I587" s="25">
        <v>0</v>
      </c>
      <c r="J587" s="25">
        <v>0</v>
      </c>
      <c r="K587" s="25">
        <v>0</v>
      </c>
      <c r="L587" s="25">
        <v>0</v>
      </c>
      <c r="M587" s="25">
        <v>0</v>
      </c>
      <c r="N587" s="25">
        <v>0</v>
      </c>
      <c r="O587" s="25">
        <v>0</v>
      </c>
      <c r="P587" s="25">
        <v>0</v>
      </c>
      <c r="Q587" s="25">
        <v>0</v>
      </c>
      <c r="R587" s="25">
        <v>0</v>
      </c>
      <c r="S587" s="25">
        <v>0</v>
      </c>
      <c r="T587" s="25">
        <v>0</v>
      </c>
      <c r="U587" s="25">
        <v>0</v>
      </c>
      <c r="V587" s="25">
        <v>0</v>
      </c>
      <c r="W587" s="25">
        <v>0</v>
      </c>
      <c r="X587" s="25">
        <v>0</v>
      </c>
      <c r="Y587" s="25">
        <v>0</v>
      </c>
      <c r="Z587" s="25">
        <v>0</v>
      </c>
      <c r="AA587" s="25">
        <v>0</v>
      </c>
      <c r="AB587" s="25">
        <v>0</v>
      </c>
      <c r="AC587" s="25">
        <v>0</v>
      </c>
      <c r="AD587" s="25">
        <v>0</v>
      </c>
      <c r="AE587" s="25">
        <v>0</v>
      </c>
      <c r="AF587" s="25">
        <v>0</v>
      </c>
    </row>
    <row r="588" spans="1:32" x14ac:dyDescent="0.25">
      <c r="A588" s="25" t="s">
        <v>657</v>
      </c>
      <c r="B588" s="25">
        <v>0</v>
      </c>
      <c r="C588" s="25">
        <v>0</v>
      </c>
      <c r="D588" s="25">
        <v>0</v>
      </c>
      <c r="E588" s="25">
        <v>0</v>
      </c>
      <c r="F588" s="25">
        <v>0</v>
      </c>
      <c r="G588" s="25">
        <v>0</v>
      </c>
      <c r="H588" s="25">
        <v>0</v>
      </c>
      <c r="I588" s="25">
        <v>0</v>
      </c>
      <c r="J588" s="25">
        <v>0</v>
      </c>
      <c r="K588" s="25">
        <v>0</v>
      </c>
      <c r="L588" s="25">
        <v>0</v>
      </c>
      <c r="M588" s="25">
        <v>0</v>
      </c>
      <c r="N588" s="25">
        <v>0</v>
      </c>
      <c r="O588" s="25">
        <v>0</v>
      </c>
      <c r="P588" s="25">
        <v>0</v>
      </c>
      <c r="Q588" s="25">
        <v>0</v>
      </c>
      <c r="R588" s="25">
        <v>0</v>
      </c>
      <c r="S588" s="25">
        <v>0</v>
      </c>
      <c r="T588" s="25">
        <v>0</v>
      </c>
      <c r="U588" s="25">
        <v>0</v>
      </c>
      <c r="V588" s="25">
        <v>0</v>
      </c>
      <c r="W588" s="25">
        <v>0</v>
      </c>
      <c r="X588" s="25">
        <v>0</v>
      </c>
      <c r="Y588" s="25">
        <v>0</v>
      </c>
      <c r="Z588" s="25">
        <v>0</v>
      </c>
      <c r="AA588" s="25">
        <v>0</v>
      </c>
      <c r="AB588" s="25">
        <v>0</v>
      </c>
      <c r="AC588" s="25">
        <v>0</v>
      </c>
      <c r="AD588" s="25">
        <v>0</v>
      </c>
      <c r="AE588" s="25">
        <v>0</v>
      </c>
      <c r="AF588" s="25">
        <v>0</v>
      </c>
    </row>
    <row r="589" spans="1:32" x14ac:dyDescent="0.25">
      <c r="A589" s="25" t="s">
        <v>658</v>
      </c>
      <c r="B589" s="25">
        <v>0</v>
      </c>
      <c r="C589" s="25">
        <v>0</v>
      </c>
      <c r="D589" s="25">
        <v>0</v>
      </c>
      <c r="E589" s="25">
        <v>0</v>
      </c>
      <c r="F589" s="25">
        <v>0</v>
      </c>
      <c r="G589" s="25">
        <v>0</v>
      </c>
      <c r="H589" s="25">
        <v>0</v>
      </c>
      <c r="I589" s="25">
        <v>0</v>
      </c>
      <c r="J589" s="25">
        <v>0</v>
      </c>
      <c r="K589" s="25">
        <v>0</v>
      </c>
      <c r="L589" s="25">
        <v>0</v>
      </c>
      <c r="M589" s="25">
        <v>0</v>
      </c>
      <c r="N589" s="25">
        <v>0</v>
      </c>
      <c r="O589" s="25">
        <v>0</v>
      </c>
      <c r="P589" s="25">
        <v>0</v>
      </c>
      <c r="Q589" s="25">
        <v>0</v>
      </c>
      <c r="R589" s="25">
        <v>0</v>
      </c>
      <c r="S589" s="25">
        <v>0</v>
      </c>
      <c r="T589" s="25">
        <v>0</v>
      </c>
      <c r="U589" s="25">
        <v>0</v>
      </c>
      <c r="V589" s="25">
        <v>0</v>
      </c>
      <c r="W589" s="25">
        <v>0</v>
      </c>
      <c r="X589" s="25">
        <v>0</v>
      </c>
      <c r="Y589" s="25">
        <v>0</v>
      </c>
      <c r="Z589" s="25">
        <v>0</v>
      </c>
      <c r="AA589" s="25">
        <v>0</v>
      </c>
      <c r="AB589" s="25">
        <v>0</v>
      </c>
      <c r="AC589" s="25">
        <v>0</v>
      </c>
      <c r="AD589" s="25">
        <v>0</v>
      </c>
      <c r="AE589" s="25">
        <v>0</v>
      </c>
      <c r="AF589" s="25">
        <v>0</v>
      </c>
    </row>
    <row r="590" spans="1:32" x14ac:dyDescent="0.25">
      <c r="A590" s="25" t="s">
        <v>659</v>
      </c>
      <c r="B590" s="25">
        <v>0</v>
      </c>
      <c r="C590" s="25">
        <v>0</v>
      </c>
      <c r="D590" s="25">
        <v>0</v>
      </c>
      <c r="E590" s="25">
        <v>0</v>
      </c>
      <c r="F590" s="25">
        <v>0</v>
      </c>
      <c r="G590" s="25">
        <v>0</v>
      </c>
      <c r="H590" s="25">
        <v>0</v>
      </c>
      <c r="I590" s="25">
        <v>0</v>
      </c>
      <c r="J590" s="25">
        <v>0</v>
      </c>
      <c r="K590" s="25">
        <v>0</v>
      </c>
      <c r="L590" s="25">
        <v>0</v>
      </c>
      <c r="M590" s="25">
        <v>0</v>
      </c>
      <c r="N590" s="25">
        <v>0</v>
      </c>
      <c r="O590" s="25">
        <v>0</v>
      </c>
      <c r="P590" s="25">
        <v>0</v>
      </c>
      <c r="Q590" s="25">
        <v>0</v>
      </c>
      <c r="R590" s="25">
        <v>0</v>
      </c>
      <c r="S590" s="25">
        <v>0</v>
      </c>
      <c r="T590" s="25">
        <v>0</v>
      </c>
      <c r="U590" s="25">
        <v>0</v>
      </c>
      <c r="V590" s="25">
        <v>0</v>
      </c>
      <c r="W590" s="25">
        <v>0</v>
      </c>
      <c r="X590" s="25">
        <v>0</v>
      </c>
      <c r="Y590" s="25">
        <v>0</v>
      </c>
      <c r="Z590" s="25">
        <v>0</v>
      </c>
      <c r="AA590" s="25">
        <v>0</v>
      </c>
      <c r="AB590" s="25">
        <v>0</v>
      </c>
      <c r="AC590" s="25">
        <v>0</v>
      </c>
      <c r="AD590" s="25">
        <v>0</v>
      </c>
      <c r="AE590" s="25">
        <v>0</v>
      </c>
      <c r="AF590" s="25">
        <v>0</v>
      </c>
    </row>
    <row r="591" spans="1:32" x14ac:dyDescent="0.25">
      <c r="A591" s="25" t="s">
        <v>660</v>
      </c>
      <c r="B591" s="25">
        <v>0</v>
      </c>
      <c r="C591" s="25">
        <v>0</v>
      </c>
      <c r="D591" s="25">
        <v>0</v>
      </c>
      <c r="E591" s="25">
        <v>0</v>
      </c>
      <c r="F591" s="25">
        <v>0</v>
      </c>
      <c r="G591" s="25">
        <v>0</v>
      </c>
      <c r="H591" s="25">
        <v>0</v>
      </c>
      <c r="I591" s="25">
        <v>0</v>
      </c>
      <c r="J591" s="25">
        <v>0</v>
      </c>
      <c r="K591" s="25">
        <v>0</v>
      </c>
      <c r="L591" s="25">
        <v>0</v>
      </c>
      <c r="M591" s="25">
        <v>0</v>
      </c>
      <c r="N591" s="25">
        <v>0</v>
      </c>
      <c r="O591" s="25">
        <v>0</v>
      </c>
      <c r="P591" s="25">
        <v>0</v>
      </c>
      <c r="Q591" s="25">
        <v>0</v>
      </c>
      <c r="R591" s="25">
        <v>0</v>
      </c>
      <c r="S591" s="25">
        <v>0</v>
      </c>
      <c r="T591" s="25">
        <v>0</v>
      </c>
      <c r="U591" s="25">
        <v>0</v>
      </c>
      <c r="V591" s="25">
        <v>0</v>
      </c>
      <c r="W591" s="25">
        <v>0</v>
      </c>
      <c r="X591" s="25">
        <v>0</v>
      </c>
      <c r="Y591" s="25">
        <v>0</v>
      </c>
      <c r="Z591" s="25">
        <v>0</v>
      </c>
      <c r="AA591" s="25">
        <v>0</v>
      </c>
      <c r="AB591" s="25">
        <v>0</v>
      </c>
      <c r="AC591" s="25">
        <v>0</v>
      </c>
      <c r="AD591" s="25">
        <v>0</v>
      </c>
      <c r="AE591" s="25">
        <v>0</v>
      </c>
      <c r="AF591" s="25">
        <v>0</v>
      </c>
    </row>
    <row r="592" spans="1:32" x14ac:dyDescent="0.25">
      <c r="A592" s="25" t="s">
        <v>661</v>
      </c>
      <c r="B592" s="25">
        <v>0</v>
      </c>
      <c r="C592" s="25">
        <v>0</v>
      </c>
      <c r="D592" s="25">
        <v>0</v>
      </c>
      <c r="E592" s="25">
        <v>0</v>
      </c>
      <c r="F592" s="25">
        <v>0</v>
      </c>
      <c r="G592" s="25">
        <v>0</v>
      </c>
      <c r="H592" s="25">
        <v>0</v>
      </c>
      <c r="I592" s="25">
        <v>0</v>
      </c>
      <c r="J592" s="25">
        <v>0</v>
      </c>
      <c r="K592" s="25">
        <v>0</v>
      </c>
      <c r="L592" s="25">
        <v>0</v>
      </c>
      <c r="M592" s="25">
        <v>0</v>
      </c>
      <c r="N592" s="25">
        <v>0</v>
      </c>
      <c r="O592" s="25">
        <v>0</v>
      </c>
      <c r="P592" s="25">
        <v>0</v>
      </c>
      <c r="Q592" s="25">
        <v>0</v>
      </c>
      <c r="R592" s="25">
        <v>0</v>
      </c>
      <c r="S592" s="25">
        <v>0</v>
      </c>
      <c r="T592" s="25">
        <v>0</v>
      </c>
      <c r="U592" s="25">
        <v>0</v>
      </c>
      <c r="V592" s="25">
        <v>0</v>
      </c>
      <c r="W592" s="25">
        <v>0</v>
      </c>
      <c r="X592" s="25">
        <v>0</v>
      </c>
      <c r="Y592" s="25">
        <v>0</v>
      </c>
      <c r="Z592" s="25">
        <v>0</v>
      </c>
      <c r="AA592" s="25">
        <v>0</v>
      </c>
      <c r="AB592" s="25">
        <v>0</v>
      </c>
      <c r="AC592" s="25">
        <v>0</v>
      </c>
      <c r="AD592" s="25">
        <v>0</v>
      </c>
      <c r="AE592" s="25">
        <v>0</v>
      </c>
      <c r="AF592" s="25">
        <v>0</v>
      </c>
    </row>
    <row r="593" spans="1:32" x14ac:dyDescent="0.25">
      <c r="A593" s="25" t="s">
        <v>662</v>
      </c>
      <c r="B593" s="25">
        <v>0</v>
      </c>
      <c r="C593" s="25">
        <v>0</v>
      </c>
      <c r="D593" s="25">
        <v>0</v>
      </c>
      <c r="E593" s="25">
        <v>0</v>
      </c>
      <c r="F593" s="25">
        <v>0</v>
      </c>
      <c r="G593" s="25">
        <v>0</v>
      </c>
      <c r="H593" s="25">
        <v>0</v>
      </c>
      <c r="I593" s="25">
        <v>0</v>
      </c>
      <c r="J593" s="25">
        <v>0</v>
      </c>
      <c r="K593" s="25">
        <v>0</v>
      </c>
      <c r="L593" s="25">
        <v>0</v>
      </c>
      <c r="M593" s="25">
        <v>0</v>
      </c>
      <c r="N593" s="25">
        <v>0</v>
      </c>
      <c r="O593" s="25">
        <v>0</v>
      </c>
      <c r="P593" s="25">
        <v>0</v>
      </c>
      <c r="Q593" s="25">
        <v>0</v>
      </c>
      <c r="R593" s="25">
        <v>0</v>
      </c>
      <c r="S593" s="25">
        <v>0</v>
      </c>
      <c r="T593" s="25">
        <v>0</v>
      </c>
      <c r="U593" s="25">
        <v>0</v>
      </c>
      <c r="V593" s="25">
        <v>0</v>
      </c>
      <c r="W593" s="25">
        <v>0</v>
      </c>
      <c r="X593" s="25">
        <v>0</v>
      </c>
      <c r="Y593" s="25">
        <v>0</v>
      </c>
      <c r="Z593" s="25">
        <v>0</v>
      </c>
      <c r="AA593" s="25">
        <v>0</v>
      </c>
      <c r="AB593" s="25">
        <v>0</v>
      </c>
      <c r="AC593" s="25">
        <v>0</v>
      </c>
      <c r="AD593" s="25">
        <v>0</v>
      </c>
      <c r="AE593" s="25">
        <v>0</v>
      </c>
      <c r="AF593" s="25">
        <v>0</v>
      </c>
    </row>
    <row r="594" spans="1:32" x14ac:dyDescent="0.25">
      <c r="A594" s="25" t="s">
        <v>663</v>
      </c>
      <c r="B594" s="25">
        <v>0</v>
      </c>
      <c r="C594" s="25">
        <v>0</v>
      </c>
      <c r="D594" s="25">
        <v>0</v>
      </c>
      <c r="E594" s="25">
        <v>0</v>
      </c>
      <c r="F594" s="25">
        <v>0</v>
      </c>
      <c r="G594" s="25">
        <v>0</v>
      </c>
      <c r="H594" s="25">
        <v>0</v>
      </c>
      <c r="I594" s="25">
        <v>0</v>
      </c>
      <c r="J594" s="25">
        <v>0</v>
      </c>
      <c r="K594" s="25">
        <v>0</v>
      </c>
      <c r="L594" s="25">
        <v>0</v>
      </c>
      <c r="M594" s="25">
        <v>0</v>
      </c>
      <c r="N594" s="25">
        <v>0</v>
      </c>
      <c r="O594" s="25">
        <v>0</v>
      </c>
      <c r="P594" s="25">
        <v>0</v>
      </c>
      <c r="Q594" s="25">
        <v>0</v>
      </c>
      <c r="R594" s="25">
        <v>0</v>
      </c>
      <c r="S594" s="25">
        <v>0</v>
      </c>
      <c r="T594" s="25">
        <v>0</v>
      </c>
      <c r="U594" s="25">
        <v>0</v>
      </c>
      <c r="V594" s="25">
        <v>0</v>
      </c>
      <c r="W594" s="25">
        <v>0</v>
      </c>
      <c r="X594" s="25">
        <v>0</v>
      </c>
      <c r="Y594" s="25">
        <v>0</v>
      </c>
      <c r="Z594" s="25">
        <v>0</v>
      </c>
      <c r="AA594" s="25">
        <v>0</v>
      </c>
      <c r="AB594" s="25">
        <v>0</v>
      </c>
      <c r="AC594" s="25">
        <v>0</v>
      </c>
      <c r="AD594" s="25">
        <v>0</v>
      </c>
      <c r="AE594" s="25">
        <v>0</v>
      </c>
      <c r="AF594" s="25">
        <v>0</v>
      </c>
    </row>
    <row r="595" spans="1:32" x14ac:dyDescent="0.25">
      <c r="A595" s="25" t="s">
        <v>664</v>
      </c>
      <c r="B595" s="25">
        <v>0</v>
      </c>
      <c r="C595" s="25">
        <v>0</v>
      </c>
      <c r="D595" s="25">
        <v>0</v>
      </c>
      <c r="E595" s="25">
        <v>0</v>
      </c>
      <c r="F595" s="25">
        <v>0</v>
      </c>
      <c r="G595" s="25">
        <v>0</v>
      </c>
      <c r="H595" s="25">
        <v>0</v>
      </c>
      <c r="I595" s="25">
        <v>0</v>
      </c>
      <c r="J595" s="25">
        <v>0</v>
      </c>
      <c r="K595" s="25">
        <v>0</v>
      </c>
      <c r="L595" s="25">
        <v>0</v>
      </c>
      <c r="M595" s="25">
        <v>0</v>
      </c>
      <c r="N595" s="25">
        <v>0</v>
      </c>
      <c r="O595" s="25">
        <v>0</v>
      </c>
      <c r="P595" s="25">
        <v>0</v>
      </c>
      <c r="Q595" s="25">
        <v>0</v>
      </c>
      <c r="R595" s="25">
        <v>0</v>
      </c>
      <c r="S595" s="25">
        <v>0</v>
      </c>
      <c r="T595" s="25">
        <v>0</v>
      </c>
      <c r="U595" s="25">
        <v>0</v>
      </c>
      <c r="V595" s="25">
        <v>0</v>
      </c>
      <c r="W595" s="25">
        <v>0</v>
      </c>
      <c r="X595" s="25">
        <v>0</v>
      </c>
      <c r="Y595" s="25">
        <v>0</v>
      </c>
      <c r="Z595" s="25">
        <v>0</v>
      </c>
      <c r="AA595" s="25">
        <v>0</v>
      </c>
      <c r="AB595" s="25">
        <v>0</v>
      </c>
      <c r="AC595" s="25">
        <v>0</v>
      </c>
      <c r="AD595" s="25">
        <v>0</v>
      </c>
      <c r="AE595" s="25">
        <v>0</v>
      </c>
      <c r="AF595" s="25">
        <v>0</v>
      </c>
    </row>
    <row r="596" spans="1:32" x14ac:dyDescent="0.25">
      <c r="A596" s="25" t="s">
        <v>665</v>
      </c>
      <c r="B596" s="25">
        <v>0</v>
      </c>
      <c r="C596" s="25">
        <v>0</v>
      </c>
      <c r="D596" s="25">
        <v>0</v>
      </c>
      <c r="E596" s="25">
        <v>0</v>
      </c>
      <c r="F596" s="25">
        <v>0</v>
      </c>
      <c r="G596" s="25">
        <v>0</v>
      </c>
      <c r="H596" s="25">
        <v>0</v>
      </c>
      <c r="I596" s="25">
        <v>0</v>
      </c>
      <c r="J596" s="25">
        <v>0</v>
      </c>
      <c r="K596" s="25">
        <v>0</v>
      </c>
      <c r="L596" s="25">
        <v>0</v>
      </c>
      <c r="M596" s="25">
        <v>0</v>
      </c>
      <c r="N596" s="25">
        <v>0</v>
      </c>
      <c r="O596" s="25">
        <v>0</v>
      </c>
      <c r="P596" s="25">
        <v>0</v>
      </c>
      <c r="Q596" s="25">
        <v>0</v>
      </c>
      <c r="R596" s="25">
        <v>0</v>
      </c>
      <c r="S596" s="25">
        <v>0</v>
      </c>
      <c r="T596" s="25">
        <v>0</v>
      </c>
      <c r="U596" s="25">
        <v>0</v>
      </c>
      <c r="V596" s="25">
        <v>0</v>
      </c>
      <c r="W596" s="25">
        <v>0</v>
      </c>
      <c r="X596" s="25">
        <v>0</v>
      </c>
      <c r="Y596" s="25">
        <v>0</v>
      </c>
      <c r="Z596" s="25">
        <v>0</v>
      </c>
      <c r="AA596" s="25">
        <v>0</v>
      </c>
      <c r="AB596" s="25">
        <v>0</v>
      </c>
      <c r="AC596" s="25">
        <v>0</v>
      </c>
      <c r="AD596" s="25">
        <v>0</v>
      </c>
      <c r="AE596" s="25">
        <v>0</v>
      </c>
      <c r="AF596" s="25">
        <v>0</v>
      </c>
    </row>
    <row r="597" spans="1:32" x14ac:dyDescent="0.25">
      <c r="A597" s="25" t="s">
        <v>666</v>
      </c>
      <c r="B597" s="25">
        <v>0</v>
      </c>
      <c r="C597" s="25">
        <v>0</v>
      </c>
      <c r="D597" s="25">
        <v>0</v>
      </c>
      <c r="E597" s="25">
        <v>0</v>
      </c>
      <c r="F597" s="25">
        <v>0</v>
      </c>
      <c r="G597" s="25">
        <v>0</v>
      </c>
      <c r="H597" s="25">
        <v>0</v>
      </c>
      <c r="I597" s="25">
        <v>0</v>
      </c>
      <c r="J597" s="25">
        <v>0</v>
      </c>
      <c r="K597" s="25">
        <v>0</v>
      </c>
      <c r="L597" s="25">
        <v>0</v>
      </c>
      <c r="M597" s="25">
        <v>0</v>
      </c>
      <c r="N597" s="25">
        <v>0</v>
      </c>
      <c r="O597" s="25">
        <v>0</v>
      </c>
      <c r="P597" s="25">
        <v>0</v>
      </c>
      <c r="Q597" s="25">
        <v>0</v>
      </c>
      <c r="R597" s="25">
        <v>0</v>
      </c>
      <c r="S597" s="25">
        <v>0</v>
      </c>
      <c r="T597" s="25">
        <v>0</v>
      </c>
      <c r="U597" s="25">
        <v>0</v>
      </c>
      <c r="V597" s="25">
        <v>0</v>
      </c>
      <c r="W597" s="25">
        <v>0</v>
      </c>
      <c r="X597" s="25">
        <v>0</v>
      </c>
      <c r="Y597" s="25">
        <v>0</v>
      </c>
      <c r="Z597" s="25">
        <v>0</v>
      </c>
      <c r="AA597" s="25">
        <v>0</v>
      </c>
      <c r="AB597" s="25">
        <v>0</v>
      </c>
      <c r="AC597" s="25">
        <v>0</v>
      </c>
      <c r="AD597" s="25">
        <v>0</v>
      </c>
      <c r="AE597" s="25">
        <v>0</v>
      </c>
      <c r="AF597" s="25">
        <v>0</v>
      </c>
    </row>
    <row r="598" spans="1:32" x14ac:dyDescent="0.25">
      <c r="A598" s="25" t="s">
        <v>667</v>
      </c>
      <c r="B598" s="25">
        <v>0</v>
      </c>
      <c r="C598" s="25">
        <v>0</v>
      </c>
      <c r="D598" s="25">
        <v>0</v>
      </c>
      <c r="E598" s="25">
        <v>0</v>
      </c>
      <c r="F598" s="25">
        <v>0</v>
      </c>
      <c r="G598" s="25">
        <v>0</v>
      </c>
      <c r="H598" s="25">
        <v>0</v>
      </c>
      <c r="I598" s="25">
        <v>0</v>
      </c>
      <c r="J598" s="25">
        <v>0</v>
      </c>
      <c r="K598" s="25">
        <v>0</v>
      </c>
      <c r="L598" s="25">
        <v>0</v>
      </c>
      <c r="M598" s="25">
        <v>0</v>
      </c>
      <c r="N598" s="25">
        <v>0</v>
      </c>
      <c r="O598" s="25">
        <v>0</v>
      </c>
      <c r="P598" s="25">
        <v>0</v>
      </c>
      <c r="Q598" s="25">
        <v>0</v>
      </c>
      <c r="R598" s="25">
        <v>0</v>
      </c>
      <c r="S598" s="25">
        <v>0</v>
      </c>
      <c r="T598" s="25">
        <v>0</v>
      </c>
      <c r="U598" s="25">
        <v>0</v>
      </c>
      <c r="V598" s="25">
        <v>0</v>
      </c>
      <c r="W598" s="25">
        <v>0</v>
      </c>
      <c r="X598" s="25">
        <v>0</v>
      </c>
      <c r="Y598" s="25">
        <v>0</v>
      </c>
      <c r="Z598" s="25">
        <v>0</v>
      </c>
      <c r="AA598" s="25">
        <v>0</v>
      </c>
      <c r="AB598" s="25">
        <v>0</v>
      </c>
      <c r="AC598" s="25">
        <v>0</v>
      </c>
      <c r="AD598" s="25">
        <v>0</v>
      </c>
      <c r="AE598" s="25">
        <v>0</v>
      </c>
      <c r="AF598" s="25">
        <v>0</v>
      </c>
    </row>
    <row r="599" spans="1:32" x14ac:dyDescent="0.25">
      <c r="A599" s="25" t="s">
        <v>668</v>
      </c>
      <c r="B599" s="25">
        <v>0</v>
      </c>
      <c r="C599" s="25">
        <v>0</v>
      </c>
      <c r="D599" s="25">
        <v>0</v>
      </c>
      <c r="E599" s="25">
        <v>0</v>
      </c>
      <c r="F599" s="25">
        <v>0</v>
      </c>
      <c r="G599" s="25">
        <v>0</v>
      </c>
      <c r="H599" s="25">
        <v>0</v>
      </c>
      <c r="I599" s="25">
        <v>0</v>
      </c>
      <c r="J599" s="25">
        <v>0</v>
      </c>
      <c r="K599" s="25">
        <v>0</v>
      </c>
      <c r="L599" s="25">
        <v>0</v>
      </c>
      <c r="M599" s="25">
        <v>0</v>
      </c>
      <c r="N599" s="25">
        <v>0</v>
      </c>
      <c r="O599" s="25">
        <v>0</v>
      </c>
      <c r="P599" s="25">
        <v>0</v>
      </c>
      <c r="Q599" s="25">
        <v>0</v>
      </c>
      <c r="R599" s="25">
        <v>0</v>
      </c>
      <c r="S599" s="25">
        <v>0</v>
      </c>
      <c r="T599" s="25">
        <v>0</v>
      </c>
      <c r="U599" s="25">
        <v>0</v>
      </c>
      <c r="V599" s="25">
        <v>0</v>
      </c>
      <c r="W599" s="25">
        <v>0</v>
      </c>
      <c r="X599" s="25">
        <v>0</v>
      </c>
      <c r="Y599" s="25">
        <v>0</v>
      </c>
      <c r="Z599" s="25">
        <v>0</v>
      </c>
      <c r="AA599" s="25">
        <v>0</v>
      </c>
      <c r="AB599" s="25">
        <v>0</v>
      </c>
      <c r="AC599" s="25">
        <v>0</v>
      </c>
      <c r="AD599" s="25">
        <v>0</v>
      </c>
      <c r="AE599" s="25">
        <v>0</v>
      </c>
      <c r="AF599" s="25">
        <v>0</v>
      </c>
    </row>
    <row r="600" spans="1:32" x14ac:dyDescent="0.25">
      <c r="A600" s="25" t="s">
        <v>669</v>
      </c>
      <c r="B600" s="25">
        <v>0</v>
      </c>
      <c r="C600" s="25">
        <v>0</v>
      </c>
      <c r="D600" s="25">
        <v>0</v>
      </c>
      <c r="E600" s="25">
        <v>0</v>
      </c>
      <c r="F600" s="25">
        <v>0</v>
      </c>
      <c r="G600" s="25">
        <v>0</v>
      </c>
      <c r="H600" s="25">
        <v>0</v>
      </c>
      <c r="I600" s="25">
        <v>0</v>
      </c>
      <c r="J600" s="25">
        <v>0</v>
      </c>
      <c r="K600" s="25">
        <v>0</v>
      </c>
      <c r="L600" s="25">
        <v>0</v>
      </c>
      <c r="M600" s="25">
        <v>0</v>
      </c>
      <c r="N600" s="25">
        <v>0</v>
      </c>
      <c r="O600" s="25">
        <v>0</v>
      </c>
      <c r="P600" s="25">
        <v>0</v>
      </c>
      <c r="Q600" s="25">
        <v>0</v>
      </c>
      <c r="R600" s="25">
        <v>0</v>
      </c>
      <c r="S600" s="25">
        <v>0</v>
      </c>
      <c r="T600" s="25">
        <v>0</v>
      </c>
      <c r="U600" s="25">
        <v>0</v>
      </c>
      <c r="V600" s="25">
        <v>0</v>
      </c>
      <c r="W600" s="25">
        <v>0</v>
      </c>
      <c r="X600" s="25">
        <v>0</v>
      </c>
      <c r="Y600" s="25">
        <v>0</v>
      </c>
      <c r="Z600" s="25">
        <v>0</v>
      </c>
      <c r="AA600" s="25">
        <v>0</v>
      </c>
      <c r="AB600" s="25">
        <v>0</v>
      </c>
      <c r="AC600" s="25">
        <v>0</v>
      </c>
      <c r="AD600" s="25">
        <v>0</v>
      </c>
      <c r="AE600" s="25">
        <v>0</v>
      </c>
      <c r="AF600" s="25">
        <v>0</v>
      </c>
    </row>
    <row r="601" spans="1:32" x14ac:dyDescent="0.25">
      <c r="A601" s="25" t="s">
        <v>670</v>
      </c>
      <c r="B601" s="25">
        <v>0</v>
      </c>
      <c r="C601" s="25">
        <v>0</v>
      </c>
      <c r="D601" s="25">
        <v>0</v>
      </c>
      <c r="E601" s="25">
        <v>0</v>
      </c>
      <c r="F601" s="25">
        <v>0</v>
      </c>
      <c r="G601" s="25">
        <v>0</v>
      </c>
      <c r="H601" s="25">
        <v>0</v>
      </c>
      <c r="I601" s="25">
        <v>0</v>
      </c>
      <c r="J601" s="25">
        <v>0</v>
      </c>
      <c r="K601" s="25">
        <v>0</v>
      </c>
      <c r="L601" s="25">
        <v>0</v>
      </c>
      <c r="M601" s="25">
        <v>0</v>
      </c>
      <c r="N601" s="25">
        <v>0</v>
      </c>
      <c r="O601" s="25">
        <v>0</v>
      </c>
      <c r="P601" s="25">
        <v>0</v>
      </c>
      <c r="Q601" s="25">
        <v>0</v>
      </c>
      <c r="R601" s="25">
        <v>0</v>
      </c>
      <c r="S601" s="25">
        <v>0</v>
      </c>
      <c r="T601" s="25">
        <v>0</v>
      </c>
      <c r="U601" s="25">
        <v>0</v>
      </c>
      <c r="V601" s="25">
        <v>0</v>
      </c>
      <c r="W601" s="25">
        <v>0</v>
      </c>
      <c r="X601" s="25">
        <v>0</v>
      </c>
      <c r="Y601" s="25">
        <v>0</v>
      </c>
      <c r="Z601" s="25">
        <v>0</v>
      </c>
      <c r="AA601" s="25">
        <v>0</v>
      </c>
      <c r="AB601" s="25">
        <v>0</v>
      </c>
      <c r="AC601" s="25">
        <v>0</v>
      </c>
      <c r="AD601" s="25">
        <v>0</v>
      </c>
      <c r="AE601" s="25">
        <v>0</v>
      </c>
      <c r="AF601" s="25">
        <v>0</v>
      </c>
    </row>
    <row r="602" spans="1:32" x14ac:dyDescent="0.25">
      <c r="A602" s="25" t="s">
        <v>671</v>
      </c>
      <c r="B602" s="25">
        <v>0</v>
      </c>
      <c r="C602" s="25">
        <v>0</v>
      </c>
      <c r="D602" s="25">
        <v>0</v>
      </c>
      <c r="E602" s="25">
        <v>0</v>
      </c>
      <c r="F602" s="25">
        <v>0</v>
      </c>
      <c r="G602" s="25">
        <v>0</v>
      </c>
      <c r="H602" s="25">
        <v>0</v>
      </c>
      <c r="I602" s="25">
        <v>0</v>
      </c>
      <c r="J602" s="25">
        <v>0</v>
      </c>
      <c r="K602" s="25">
        <v>0</v>
      </c>
      <c r="L602" s="25">
        <v>0</v>
      </c>
      <c r="M602" s="25">
        <v>0</v>
      </c>
      <c r="N602" s="25">
        <v>0</v>
      </c>
      <c r="O602" s="25">
        <v>0</v>
      </c>
      <c r="P602" s="25">
        <v>0</v>
      </c>
      <c r="Q602" s="25">
        <v>0</v>
      </c>
      <c r="R602" s="25">
        <v>0</v>
      </c>
      <c r="S602" s="25">
        <v>0</v>
      </c>
      <c r="T602" s="25">
        <v>0</v>
      </c>
      <c r="U602" s="25">
        <v>0</v>
      </c>
      <c r="V602" s="25">
        <v>0</v>
      </c>
      <c r="W602" s="25">
        <v>0</v>
      </c>
      <c r="X602" s="25">
        <v>0</v>
      </c>
      <c r="Y602" s="25">
        <v>0</v>
      </c>
      <c r="Z602" s="25">
        <v>0</v>
      </c>
      <c r="AA602" s="25">
        <v>0</v>
      </c>
      <c r="AB602" s="25">
        <v>0</v>
      </c>
      <c r="AC602" s="25">
        <v>0</v>
      </c>
      <c r="AD602" s="25">
        <v>0</v>
      </c>
      <c r="AE602" s="25">
        <v>0</v>
      </c>
      <c r="AF602" s="25">
        <v>0</v>
      </c>
    </row>
    <row r="603" spans="1:32" x14ac:dyDescent="0.25">
      <c r="A603" s="25" t="s">
        <v>672</v>
      </c>
      <c r="B603" s="25">
        <v>0</v>
      </c>
      <c r="C603" s="25">
        <v>0</v>
      </c>
      <c r="D603" s="25">
        <v>0</v>
      </c>
      <c r="E603" s="25">
        <v>0</v>
      </c>
      <c r="F603" s="25">
        <v>0</v>
      </c>
      <c r="G603" s="25">
        <v>0</v>
      </c>
      <c r="H603" s="25">
        <v>0</v>
      </c>
      <c r="I603" s="25">
        <v>0</v>
      </c>
      <c r="J603" s="25">
        <v>0</v>
      </c>
      <c r="K603" s="25">
        <v>0</v>
      </c>
      <c r="L603" s="25">
        <v>0</v>
      </c>
      <c r="M603" s="25">
        <v>0</v>
      </c>
      <c r="N603" s="25">
        <v>0</v>
      </c>
      <c r="O603" s="25">
        <v>0</v>
      </c>
      <c r="P603" s="25">
        <v>0</v>
      </c>
      <c r="Q603" s="25">
        <v>0</v>
      </c>
      <c r="R603" s="25">
        <v>0</v>
      </c>
      <c r="S603" s="25">
        <v>0</v>
      </c>
      <c r="T603" s="25">
        <v>0</v>
      </c>
      <c r="U603" s="25">
        <v>0</v>
      </c>
      <c r="V603" s="25">
        <v>0</v>
      </c>
      <c r="W603" s="25">
        <v>0</v>
      </c>
      <c r="X603" s="25">
        <v>0</v>
      </c>
      <c r="Y603" s="25">
        <v>0</v>
      </c>
      <c r="Z603" s="25">
        <v>0</v>
      </c>
      <c r="AA603" s="25">
        <v>0</v>
      </c>
      <c r="AB603" s="25">
        <v>0</v>
      </c>
      <c r="AC603" s="25">
        <v>0</v>
      </c>
      <c r="AD603" s="25">
        <v>0</v>
      </c>
      <c r="AE603" s="25">
        <v>0</v>
      </c>
      <c r="AF603" s="25">
        <v>0</v>
      </c>
    </row>
    <row r="604" spans="1:32" x14ac:dyDescent="0.25">
      <c r="A604" s="25" t="s">
        <v>673</v>
      </c>
      <c r="B604" s="25">
        <v>0</v>
      </c>
      <c r="C604" s="25">
        <v>0</v>
      </c>
      <c r="D604" s="25">
        <v>0</v>
      </c>
      <c r="E604" s="25">
        <v>0</v>
      </c>
      <c r="F604" s="25">
        <v>0</v>
      </c>
      <c r="G604" s="25">
        <v>0</v>
      </c>
      <c r="H604" s="25">
        <v>0</v>
      </c>
      <c r="I604" s="25">
        <v>0</v>
      </c>
      <c r="J604" s="25">
        <v>0</v>
      </c>
      <c r="K604" s="25">
        <v>0</v>
      </c>
      <c r="L604" s="25">
        <v>0</v>
      </c>
      <c r="M604" s="25">
        <v>0</v>
      </c>
      <c r="N604" s="25">
        <v>0</v>
      </c>
      <c r="O604" s="25">
        <v>0</v>
      </c>
      <c r="P604" s="25">
        <v>0</v>
      </c>
      <c r="Q604" s="25">
        <v>0</v>
      </c>
      <c r="R604" s="25">
        <v>0</v>
      </c>
      <c r="S604" s="25">
        <v>0</v>
      </c>
      <c r="T604" s="25">
        <v>0</v>
      </c>
      <c r="U604" s="25">
        <v>0</v>
      </c>
      <c r="V604" s="25">
        <v>0</v>
      </c>
      <c r="W604" s="25">
        <v>0</v>
      </c>
      <c r="X604" s="25">
        <v>0</v>
      </c>
      <c r="Y604" s="25">
        <v>0</v>
      </c>
      <c r="Z604" s="25">
        <v>0</v>
      </c>
      <c r="AA604" s="25">
        <v>0</v>
      </c>
      <c r="AB604" s="25">
        <v>0</v>
      </c>
      <c r="AC604" s="25">
        <v>0</v>
      </c>
      <c r="AD604" s="25">
        <v>0</v>
      </c>
      <c r="AE604" s="25">
        <v>0</v>
      </c>
      <c r="AF604" s="25">
        <v>0</v>
      </c>
    </row>
    <row r="605" spans="1:32" x14ac:dyDescent="0.25">
      <c r="A605" s="25" t="s">
        <v>674</v>
      </c>
      <c r="B605" s="25">
        <v>0</v>
      </c>
      <c r="C605" s="25">
        <v>0</v>
      </c>
      <c r="D605" s="25">
        <v>0</v>
      </c>
      <c r="E605" s="25">
        <v>0</v>
      </c>
      <c r="F605" s="25">
        <v>0</v>
      </c>
      <c r="G605" s="25">
        <v>0</v>
      </c>
      <c r="H605" s="25">
        <v>0</v>
      </c>
      <c r="I605" s="25">
        <v>0</v>
      </c>
      <c r="J605" s="25">
        <v>0</v>
      </c>
      <c r="K605" s="25">
        <v>0</v>
      </c>
      <c r="L605" s="25">
        <v>0</v>
      </c>
      <c r="M605" s="25">
        <v>0</v>
      </c>
      <c r="N605" s="25">
        <v>0</v>
      </c>
      <c r="O605" s="25">
        <v>0</v>
      </c>
      <c r="P605" s="25">
        <v>0</v>
      </c>
      <c r="Q605" s="25">
        <v>0</v>
      </c>
      <c r="R605" s="25">
        <v>0</v>
      </c>
      <c r="S605" s="25">
        <v>0</v>
      </c>
      <c r="T605" s="25">
        <v>0</v>
      </c>
      <c r="U605" s="25">
        <v>0</v>
      </c>
      <c r="V605" s="25">
        <v>0</v>
      </c>
      <c r="W605" s="25">
        <v>0</v>
      </c>
      <c r="X605" s="25">
        <v>0</v>
      </c>
      <c r="Y605" s="25">
        <v>0</v>
      </c>
      <c r="Z605" s="25">
        <v>0</v>
      </c>
      <c r="AA605" s="25">
        <v>0</v>
      </c>
      <c r="AB605" s="25">
        <v>0</v>
      </c>
      <c r="AC605" s="25">
        <v>0</v>
      </c>
      <c r="AD605" s="25">
        <v>0</v>
      </c>
      <c r="AE605" s="25">
        <v>0</v>
      </c>
      <c r="AF605" s="25">
        <v>0</v>
      </c>
    </row>
    <row r="606" spans="1:32" x14ac:dyDescent="0.25">
      <c r="A606" s="25" t="s">
        <v>675</v>
      </c>
      <c r="B606" s="25">
        <v>0</v>
      </c>
      <c r="C606" s="25">
        <v>0</v>
      </c>
      <c r="D606" s="25">
        <v>0</v>
      </c>
      <c r="E606" s="25">
        <v>0</v>
      </c>
      <c r="F606" s="25">
        <v>0</v>
      </c>
      <c r="G606" s="25">
        <v>0</v>
      </c>
      <c r="H606" s="25">
        <v>0</v>
      </c>
      <c r="I606" s="25">
        <v>0</v>
      </c>
      <c r="J606" s="25">
        <v>0</v>
      </c>
      <c r="K606" s="25">
        <v>0</v>
      </c>
      <c r="L606" s="25">
        <v>0</v>
      </c>
      <c r="M606" s="25">
        <v>0</v>
      </c>
      <c r="N606" s="25">
        <v>0</v>
      </c>
      <c r="O606" s="25">
        <v>0</v>
      </c>
      <c r="P606" s="25">
        <v>0</v>
      </c>
      <c r="Q606" s="25">
        <v>0</v>
      </c>
      <c r="R606" s="25">
        <v>0</v>
      </c>
      <c r="S606" s="25">
        <v>0</v>
      </c>
      <c r="T606" s="25">
        <v>0</v>
      </c>
      <c r="U606" s="25">
        <v>0</v>
      </c>
      <c r="V606" s="25">
        <v>0</v>
      </c>
      <c r="W606" s="25">
        <v>0</v>
      </c>
      <c r="X606" s="25">
        <v>0</v>
      </c>
      <c r="Y606" s="25">
        <v>0</v>
      </c>
      <c r="Z606" s="25">
        <v>0</v>
      </c>
      <c r="AA606" s="25">
        <v>0</v>
      </c>
      <c r="AB606" s="25">
        <v>0</v>
      </c>
      <c r="AC606" s="25">
        <v>0</v>
      </c>
      <c r="AD606" s="25">
        <v>0</v>
      </c>
      <c r="AE606" s="25">
        <v>0</v>
      </c>
      <c r="AF606" s="25">
        <v>0</v>
      </c>
    </row>
    <row r="607" spans="1:32" x14ac:dyDescent="0.25">
      <c r="A607" s="25" t="s">
        <v>676</v>
      </c>
      <c r="B607" s="25">
        <v>0</v>
      </c>
      <c r="C607" s="25">
        <v>0</v>
      </c>
      <c r="D607" s="25">
        <v>0</v>
      </c>
      <c r="E607" s="25">
        <v>0</v>
      </c>
      <c r="F607" s="25">
        <v>0</v>
      </c>
      <c r="G607" s="25">
        <v>0</v>
      </c>
      <c r="H607" s="25">
        <v>0</v>
      </c>
      <c r="I607" s="25">
        <v>0</v>
      </c>
      <c r="J607" s="25">
        <v>0</v>
      </c>
      <c r="K607" s="25">
        <v>0</v>
      </c>
      <c r="L607" s="25">
        <v>0</v>
      </c>
      <c r="M607" s="25">
        <v>0</v>
      </c>
      <c r="N607" s="25">
        <v>0</v>
      </c>
      <c r="O607" s="25">
        <v>0</v>
      </c>
      <c r="P607" s="25">
        <v>0</v>
      </c>
      <c r="Q607" s="25">
        <v>0</v>
      </c>
      <c r="R607" s="25">
        <v>0</v>
      </c>
      <c r="S607" s="25">
        <v>0</v>
      </c>
      <c r="T607" s="25">
        <v>0</v>
      </c>
      <c r="U607" s="25">
        <v>0</v>
      </c>
      <c r="V607" s="25">
        <v>0</v>
      </c>
      <c r="W607" s="25">
        <v>0</v>
      </c>
      <c r="X607" s="25">
        <v>0</v>
      </c>
      <c r="Y607" s="25">
        <v>0</v>
      </c>
      <c r="Z607" s="25">
        <v>0</v>
      </c>
      <c r="AA607" s="25">
        <v>0</v>
      </c>
      <c r="AB607" s="25">
        <v>0</v>
      </c>
      <c r="AC607" s="25">
        <v>0</v>
      </c>
      <c r="AD607" s="25">
        <v>0</v>
      </c>
      <c r="AE607" s="25">
        <v>0</v>
      </c>
      <c r="AF607" s="25">
        <v>0</v>
      </c>
    </row>
    <row r="608" spans="1:32" x14ac:dyDescent="0.25">
      <c r="A608" s="25" t="s">
        <v>677</v>
      </c>
      <c r="B608" s="25">
        <v>0</v>
      </c>
      <c r="C608" s="25">
        <v>0</v>
      </c>
      <c r="D608" s="25">
        <v>0</v>
      </c>
      <c r="E608" s="25">
        <v>0</v>
      </c>
      <c r="F608" s="25">
        <v>0</v>
      </c>
      <c r="G608" s="25">
        <v>0</v>
      </c>
      <c r="H608" s="25">
        <v>0</v>
      </c>
      <c r="I608" s="25">
        <v>0</v>
      </c>
      <c r="J608" s="25">
        <v>0</v>
      </c>
      <c r="K608" s="25">
        <v>0</v>
      </c>
      <c r="L608" s="25">
        <v>0</v>
      </c>
      <c r="M608" s="25">
        <v>0</v>
      </c>
      <c r="N608" s="25">
        <v>0</v>
      </c>
      <c r="O608" s="25">
        <v>0</v>
      </c>
      <c r="P608" s="25">
        <v>0</v>
      </c>
      <c r="Q608" s="25">
        <v>0</v>
      </c>
      <c r="R608" s="25">
        <v>0</v>
      </c>
      <c r="S608" s="25">
        <v>0</v>
      </c>
      <c r="T608" s="25">
        <v>0</v>
      </c>
      <c r="U608" s="25">
        <v>0</v>
      </c>
      <c r="V608" s="25">
        <v>0</v>
      </c>
      <c r="W608" s="25">
        <v>0</v>
      </c>
      <c r="X608" s="25">
        <v>0</v>
      </c>
      <c r="Y608" s="25">
        <v>0</v>
      </c>
      <c r="Z608" s="25">
        <v>0</v>
      </c>
      <c r="AA608" s="25">
        <v>0</v>
      </c>
      <c r="AB608" s="25">
        <v>0</v>
      </c>
      <c r="AC608" s="25">
        <v>0</v>
      </c>
      <c r="AD608" s="25">
        <v>0</v>
      </c>
      <c r="AE608" s="25">
        <v>0</v>
      </c>
      <c r="AF608" s="25">
        <v>0</v>
      </c>
    </row>
    <row r="609" spans="1:32" x14ac:dyDescent="0.25">
      <c r="A609" s="25" t="s">
        <v>678</v>
      </c>
      <c r="B609" s="25">
        <v>0</v>
      </c>
      <c r="C609" s="25">
        <v>0</v>
      </c>
      <c r="D609" s="25">
        <v>0</v>
      </c>
      <c r="E609" s="25">
        <v>0</v>
      </c>
      <c r="F609" s="25">
        <v>0</v>
      </c>
      <c r="G609" s="25">
        <v>0</v>
      </c>
      <c r="H609" s="25">
        <v>0</v>
      </c>
      <c r="I609" s="25">
        <v>0</v>
      </c>
      <c r="J609" s="25">
        <v>0</v>
      </c>
      <c r="K609" s="25">
        <v>0</v>
      </c>
      <c r="L609" s="25">
        <v>0</v>
      </c>
      <c r="M609" s="25">
        <v>0</v>
      </c>
      <c r="N609" s="25">
        <v>0</v>
      </c>
      <c r="O609" s="25">
        <v>0</v>
      </c>
      <c r="P609" s="25">
        <v>0</v>
      </c>
      <c r="Q609" s="25">
        <v>0</v>
      </c>
      <c r="R609" s="25">
        <v>0</v>
      </c>
      <c r="S609" s="25">
        <v>0</v>
      </c>
      <c r="T609" s="25">
        <v>0</v>
      </c>
      <c r="U609" s="25">
        <v>0</v>
      </c>
      <c r="V609" s="25">
        <v>0</v>
      </c>
      <c r="W609" s="25">
        <v>0</v>
      </c>
      <c r="X609" s="25">
        <v>0</v>
      </c>
      <c r="Y609" s="25">
        <v>0</v>
      </c>
      <c r="Z609" s="25">
        <v>0</v>
      </c>
      <c r="AA609" s="25">
        <v>0</v>
      </c>
      <c r="AB609" s="25">
        <v>0</v>
      </c>
      <c r="AC609" s="25">
        <v>0</v>
      </c>
      <c r="AD609" s="25">
        <v>0</v>
      </c>
      <c r="AE609" s="25">
        <v>0</v>
      </c>
      <c r="AF609" s="25">
        <v>0</v>
      </c>
    </row>
    <row r="610" spans="1:32" x14ac:dyDescent="0.25">
      <c r="A610" s="25" t="s">
        <v>679</v>
      </c>
      <c r="B610" s="25">
        <v>0</v>
      </c>
      <c r="C610" s="25">
        <v>0</v>
      </c>
      <c r="D610" s="25">
        <v>0</v>
      </c>
      <c r="E610" s="25">
        <v>0</v>
      </c>
      <c r="F610" s="25">
        <v>0</v>
      </c>
      <c r="G610" s="25">
        <v>0</v>
      </c>
      <c r="H610" s="25">
        <v>0</v>
      </c>
      <c r="I610" s="25">
        <v>0</v>
      </c>
      <c r="J610" s="25">
        <v>0</v>
      </c>
      <c r="K610" s="25">
        <v>0</v>
      </c>
      <c r="L610" s="25">
        <v>0</v>
      </c>
      <c r="M610" s="25">
        <v>0</v>
      </c>
      <c r="N610" s="25">
        <v>0</v>
      </c>
      <c r="O610" s="25">
        <v>0</v>
      </c>
      <c r="P610" s="25">
        <v>0</v>
      </c>
      <c r="Q610" s="25">
        <v>0</v>
      </c>
      <c r="R610" s="25">
        <v>0</v>
      </c>
      <c r="S610" s="25">
        <v>0</v>
      </c>
      <c r="T610" s="25">
        <v>0</v>
      </c>
      <c r="U610" s="25">
        <v>0</v>
      </c>
      <c r="V610" s="25">
        <v>0</v>
      </c>
      <c r="W610" s="25">
        <v>0</v>
      </c>
      <c r="X610" s="25">
        <v>0</v>
      </c>
      <c r="Y610" s="25">
        <v>0</v>
      </c>
      <c r="Z610" s="25">
        <v>0</v>
      </c>
      <c r="AA610" s="25">
        <v>0</v>
      </c>
      <c r="AB610" s="25">
        <v>0</v>
      </c>
      <c r="AC610" s="25">
        <v>0</v>
      </c>
      <c r="AD610" s="25">
        <v>0</v>
      </c>
      <c r="AE610" s="25">
        <v>0</v>
      </c>
      <c r="AF610" s="25">
        <v>0</v>
      </c>
    </row>
    <row r="611" spans="1:32" x14ac:dyDescent="0.25">
      <c r="A611" s="25" t="s">
        <v>680</v>
      </c>
      <c r="B611" s="25">
        <v>0</v>
      </c>
      <c r="C611" s="25">
        <v>0</v>
      </c>
      <c r="D611" s="25">
        <v>0</v>
      </c>
      <c r="E611" s="25">
        <v>0</v>
      </c>
      <c r="F611" s="25">
        <v>0</v>
      </c>
      <c r="G611" s="25">
        <v>0</v>
      </c>
      <c r="H611" s="25">
        <v>0</v>
      </c>
      <c r="I611" s="25">
        <v>0</v>
      </c>
      <c r="J611" s="25">
        <v>0</v>
      </c>
      <c r="K611" s="25">
        <v>0</v>
      </c>
      <c r="L611" s="25">
        <v>0</v>
      </c>
      <c r="M611" s="25">
        <v>0</v>
      </c>
      <c r="N611" s="25">
        <v>0</v>
      </c>
      <c r="O611" s="25">
        <v>0</v>
      </c>
      <c r="P611" s="25">
        <v>0</v>
      </c>
      <c r="Q611" s="25">
        <v>0</v>
      </c>
      <c r="R611" s="25">
        <v>0</v>
      </c>
      <c r="S611" s="25">
        <v>0</v>
      </c>
      <c r="T611" s="25">
        <v>0</v>
      </c>
      <c r="U611" s="25">
        <v>0</v>
      </c>
      <c r="V611" s="25">
        <v>0</v>
      </c>
      <c r="W611" s="25">
        <v>0</v>
      </c>
      <c r="X611" s="25">
        <v>0</v>
      </c>
      <c r="Y611" s="25">
        <v>0</v>
      </c>
      <c r="Z611" s="25">
        <v>0</v>
      </c>
      <c r="AA611" s="25">
        <v>0</v>
      </c>
      <c r="AB611" s="25">
        <v>0</v>
      </c>
      <c r="AC611" s="25">
        <v>0</v>
      </c>
      <c r="AD611" s="25">
        <v>0</v>
      </c>
      <c r="AE611" s="25">
        <v>0</v>
      </c>
      <c r="AF611" s="25">
        <v>0</v>
      </c>
    </row>
    <row r="612" spans="1:32" x14ac:dyDescent="0.25">
      <c r="A612" s="25" t="s">
        <v>681</v>
      </c>
      <c r="B612" s="25">
        <v>0</v>
      </c>
      <c r="C612" s="25">
        <v>0</v>
      </c>
      <c r="D612" s="25">
        <v>0</v>
      </c>
      <c r="E612" s="25">
        <v>0</v>
      </c>
      <c r="F612" s="25">
        <v>0</v>
      </c>
      <c r="G612" s="25">
        <v>0</v>
      </c>
      <c r="H612" s="25">
        <v>0</v>
      </c>
      <c r="I612" s="25">
        <v>0</v>
      </c>
      <c r="J612" s="25">
        <v>0</v>
      </c>
      <c r="K612" s="25">
        <v>0</v>
      </c>
      <c r="L612" s="25">
        <v>0</v>
      </c>
      <c r="M612" s="25">
        <v>0</v>
      </c>
      <c r="N612" s="25">
        <v>0</v>
      </c>
      <c r="O612" s="25">
        <v>0</v>
      </c>
      <c r="P612" s="25">
        <v>0</v>
      </c>
      <c r="Q612" s="25">
        <v>0</v>
      </c>
      <c r="R612" s="25">
        <v>0</v>
      </c>
      <c r="S612" s="25">
        <v>0</v>
      </c>
      <c r="T612" s="25">
        <v>0</v>
      </c>
      <c r="U612" s="25">
        <v>0</v>
      </c>
      <c r="V612" s="25">
        <v>0</v>
      </c>
      <c r="W612" s="25">
        <v>0</v>
      </c>
      <c r="X612" s="25">
        <v>0</v>
      </c>
      <c r="Y612" s="25">
        <v>0</v>
      </c>
      <c r="Z612" s="25">
        <v>0</v>
      </c>
      <c r="AA612" s="25">
        <v>0</v>
      </c>
      <c r="AB612" s="25">
        <v>0</v>
      </c>
      <c r="AC612" s="25">
        <v>0</v>
      </c>
      <c r="AD612" s="25">
        <v>0</v>
      </c>
      <c r="AE612" s="25">
        <v>0</v>
      </c>
      <c r="AF612" s="25">
        <v>0</v>
      </c>
    </row>
    <row r="613" spans="1:32" x14ac:dyDescent="0.25">
      <c r="A613" s="25" t="s">
        <v>682</v>
      </c>
      <c r="B613" s="25">
        <v>0</v>
      </c>
      <c r="C613" s="25">
        <v>0</v>
      </c>
      <c r="D613" s="25">
        <v>0</v>
      </c>
      <c r="E613" s="25">
        <v>0</v>
      </c>
      <c r="F613" s="25">
        <v>0</v>
      </c>
      <c r="G613" s="25">
        <v>0</v>
      </c>
      <c r="H613" s="25">
        <v>0</v>
      </c>
      <c r="I613" s="25">
        <v>0</v>
      </c>
      <c r="J613" s="25">
        <v>0</v>
      </c>
      <c r="K613" s="25">
        <v>0</v>
      </c>
      <c r="L613" s="25">
        <v>0</v>
      </c>
      <c r="M613" s="25">
        <v>0</v>
      </c>
      <c r="N613" s="25">
        <v>0</v>
      </c>
      <c r="O613" s="25">
        <v>0</v>
      </c>
      <c r="P613" s="25">
        <v>0</v>
      </c>
      <c r="Q613" s="25">
        <v>0</v>
      </c>
      <c r="R613" s="25">
        <v>0</v>
      </c>
      <c r="S613" s="25">
        <v>0</v>
      </c>
      <c r="T613" s="25">
        <v>0</v>
      </c>
      <c r="U613" s="25">
        <v>0</v>
      </c>
      <c r="V613" s="25">
        <v>0</v>
      </c>
      <c r="W613" s="25">
        <v>0</v>
      </c>
      <c r="X613" s="25">
        <v>0</v>
      </c>
      <c r="Y613" s="25">
        <v>0</v>
      </c>
      <c r="Z613" s="25">
        <v>0</v>
      </c>
      <c r="AA613" s="25">
        <v>0</v>
      </c>
      <c r="AB613" s="25">
        <v>0</v>
      </c>
      <c r="AC613" s="25">
        <v>0</v>
      </c>
      <c r="AD613" s="25">
        <v>0</v>
      </c>
      <c r="AE613" s="25">
        <v>0</v>
      </c>
      <c r="AF613" s="25">
        <v>0</v>
      </c>
    </row>
    <row r="614" spans="1:32" x14ac:dyDescent="0.25">
      <c r="A614" s="25" t="s">
        <v>683</v>
      </c>
      <c r="B614" s="25">
        <v>0</v>
      </c>
      <c r="C614" s="25">
        <v>0</v>
      </c>
      <c r="D614" s="25">
        <v>0</v>
      </c>
      <c r="E614" s="25">
        <v>0</v>
      </c>
      <c r="F614" s="25">
        <v>0</v>
      </c>
      <c r="G614" s="25">
        <v>0</v>
      </c>
      <c r="H614" s="25">
        <v>0</v>
      </c>
      <c r="I614" s="25">
        <v>0</v>
      </c>
      <c r="J614" s="25">
        <v>0</v>
      </c>
      <c r="K614" s="25">
        <v>0</v>
      </c>
      <c r="L614" s="25">
        <v>0</v>
      </c>
      <c r="M614" s="25">
        <v>0</v>
      </c>
      <c r="N614" s="25">
        <v>0</v>
      </c>
      <c r="O614" s="25">
        <v>0</v>
      </c>
      <c r="P614" s="25">
        <v>0</v>
      </c>
      <c r="Q614" s="25">
        <v>0</v>
      </c>
      <c r="R614" s="25">
        <v>0</v>
      </c>
      <c r="S614" s="25">
        <v>0</v>
      </c>
      <c r="T614" s="25">
        <v>0</v>
      </c>
      <c r="U614" s="25">
        <v>0</v>
      </c>
      <c r="V614" s="25">
        <v>0</v>
      </c>
      <c r="W614" s="25">
        <v>0</v>
      </c>
      <c r="X614" s="25">
        <v>0</v>
      </c>
      <c r="Y614" s="25">
        <v>0</v>
      </c>
      <c r="Z614" s="25">
        <v>0</v>
      </c>
      <c r="AA614" s="25">
        <v>0</v>
      </c>
      <c r="AB614" s="25">
        <v>0</v>
      </c>
      <c r="AC614" s="25">
        <v>0</v>
      </c>
      <c r="AD614" s="25">
        <v>0</v>
      </c>
      <c r="AE614" s="25">
        <v>0</v>
      </c>
      <c r="AF614" s="25">
        <v>0</v>
      </c>
    </row>
    <row r="615" spans="1:32" x14ac:dyDescent="0.25">
      <c r="A615" s="25" t="s">
        <v>684</v>
      </c>
      <c r="B615" s="25">
        <v>0</v>
      </c>
      <c r="C615" s="25">
        <v>0</v>
      </c>
      <c r="D615" s="25">
        <v>0</v>
      </c>
      <c r="E615" s="25">
        <v>0</v>
      </c>
      <c r="F615" s="25">
        <v>0</v>
      </c>
      <c r="G615" s="25">
        <v>0</v>
      </c>
      <c r="H615" s="25">
        <v>0</v>
      </c>
      <c r="I615" s="25">
        <v>0</v>
      </c>
      <c r="J615" s="25">
        <v>0</v>
      </c>
      <c r="K615" s="25">
        <v>0</v>
      </c>
      <c r="L615" s="25">
        <v>0</v>
      </c>
      <c r="M615" s="25">
        <v>0</v>
      </c>
      <c r="N615" s="25">
        <v>0</v>
      </c>
      <c r="O615" s="25">
        <v>0</v>
      </c>
      <c r="P615" s="25">
        <v>0</v>
      </c>
      <c r="Q615" s="25">
        <v>0</v>
      </c>
      <c r="R615" s="25">
        <v>0</v>
      </c>
      <c r="S615" s="25">
        <v>0</v>
      </c>
      <c r="T615" s="25">
        <v>0</v>
      </c>
      <c r="U615" s="25">
        <v>0</v>
      </c>
      <c r="V615" s="25">
        <v>0</v>
      </c>
      <c r="W615" s="25">
        <v>0</v>
      </c>
      <c r="X615" s="25">
        <v>0</v>
      </c>
      <c r="Y615" s="25">
        <v>0</v>
      </c>
      <c r="Z615" s="25">
        <v>0</v>
      </c>
      <c r="AA615" s="25">
        <v>0</v>
      </c>
      <c r="AB615" s="25">
        <v>0</v>
      </c>
      <c r="AC615" s="25">
        <v>0</v>
      </c>
      <c r="AD615" s="25">
        <v>0</v>
      </c>
      <c r="AE615" s="25">
        <v>0</v>
      </c>
      <c r="AF615" s="25">
        <v>0</v>
      </c>
    </row>
    <row r="616" spans="1:32" x14ac:dyDescent="0.25">
      <c r="A616" s="25" t="s">
        <v>685</v>
      </c>
      <c r="B616" s="12">
        <v>1339990000000000</v>
      </c>
      <c r="C616" s="12">
        <v>1789390000000000</v>
      </c>
      <c r="D616" s="12">
        <v>2208840000000000</v>
      </c>
      <c r="E616" s="12">
        <v>2495300000000000</v>
      </c>
      <c r="F616" s="12">
        <v>2590100000000000</v>
      </c>
      <c r="G616" s="12">
        <v>2667850000000000</v>
      </c>
      <c r="H616" s="12">
        <v>2727100000000000</v>
      </c>
      <c r="I616" s="12">
        <v>2765110000000000</v>
      </c>
      <c r="J616" s="12">
        <v>2801540000000000</v>
      </c>
      <c r="K616" s="12">
        <v>2841390000000000</v>
      </c>
      <c r="L616" s="12">
        <v>2885730000000000</v>
      </c>
      <c r="M616" s="12">
        <v>2921300000000000</v>
      </c>
      <c r="N616" s="12">
        <v>2939070000000000</v>
      </c>
      <c r="O616" s="12">
        <v>2975550000000000</v>
      </c>
      <c r="P616" s="12">
        <v>3009180000000000</v>
      </c>
      <c r="Q616" s="12">
        <v>3044150000000000</v>
      </c>
      <c r="R616" s="12">
        <v>3079610000000000</v>
      </c>
      <c r="S616" s="12">
        <v>3120060000000000</v>
      </c>
      <c r="T616" s="12">
        <v>3157650000000000</v>
      </c>
      <c r="U616" s="12">
        <v>3200440000000000</v>
      </c>
      <c r="V616" s="12">
        <v>3247810000000000</v>
      </c>
      <c r="W616" s="12">
        <v>3287400000000000</v>
      </c>
      <c r="X616" s="12">
        <v>3332170000000000</v>
      </c>
      <c r="Y616" s="12">
        <v>3379480000000000</v>
      </c>
      <c r="Z616" s="12">
        <v>3421120000000000</v>
      </c>
      <c r="AA616" s="12">
        <v>3471080000000000</v>
      </c>
      <c r="AB616" s="12">
        <v>3522030000000000</v>
      </c>
      <c r="AC616" s="12">
        <v>3567040000000000</v>
      </c>
      <c r="AD616" s="12">
        <v>3612640000000000</v>
      </c>
      <c r="AE616" s="12">
        <v>3666010000000000</v>
      </c>
      <c r="AF616" s="12">
        <v>3725280000000000</v>
      </c>
    </row>
    <row r="617" spans="1:32" x14ac:dyDescent="0.25">
      <c r="A617" s="25" t="s">
        <v>686</v>
      </c>
      <c r="B617" s="25">
        <v>0</v>
      </c>
      <c r="C617" s="25">
        <v>0</v>
      </c>
      <c r="D617" s="25">
        <v>0</v>
      </c>
      <c r="E617" s="25">
        <v>0</v>
      </c>
      <c r="F617" s="25">
        <v>0</v>
      </c>
      <c r="G617" s="25">
        <v>0</v>
      </c>
      <c r="H617" s="25">
        <v>0</v>
      </c>
      <c r="I617" s="25">
        <v>0</v>
      </c>
      <c r="J617" s="25">
        <v>0</v>
      </c>
      <c r="K617" s="25">
        <v>0</v>
      </c>
      <c r="L617" s="25">
        <v>0</v>
      </c>
      <c r="M617" s="25">
        <v>0</v>
      </c>
      <c r="N617" s="25">
        <v>0</v>
      </c>
      <c r="O617" s="25">
        <v>0</v>
      </c>
      <c r="P617" s="25">
        <v>0</v>
      </c>
      <c r="Q617" s="25">
        <v>0</v>
      </c>
      <c r="R617" s="25">
        <v>0</v>
      </c>
      <c r="S617" s="25">
        <v>0</v>
      </c>
      <c r="T617" s="25">
        <v>0</v>
      </c>
      <c r="U617" s="25">
        <v>0</v>
      </c>
      <c r="V617" s="25">
        <v>0</v>
      </c>
      <c r="W617" s="25">
        <v>0</v>
      </c>
      <c r="X617" s="25">
        <v>0</v>
      </c>
      <c r="Y617" s="25">
        <v>0</v>
      </c>
      <c r="Z617" s="25">
        <v>0</v>
      </c>
      <c r="AA617" s="25">
        <v>0</v>
      </c>
      <c r="AB617" s="25">
        <v>0</v>
      </c>
      <c r="AC617" s="25">
        <v>0</v>
      </c>
      <c r="AD617" s="25">
        <v>0</v>
      </c>
      <c r="AE617" s="25">
        <v>0</v>
      </c>
      <c r="AF617" s="25">
        <v>0</v>
      </c>
    </row>
    <row r="618" spans="1:32" x14ac:dyDescent="0.25">
      <c r="A618" s="25" t="s">
        <v>687</v>
      </c>
      <c r="B618" s="25">
        <v>0</v>
      </c>
      <c r="C618" s="25">
        <v>0</v>
      </c>
      <c r="D618" s="25">
        <v>0</v>
      </c>
      <c r="E618" s="25">
        <v>0</v>
      </c>
      <c r="F618" s="25">
        <v>0</v>
      </c>
      <c r="G618" s="25">
        <v>0</v>
      </c>
      <c r="H618" s="25">
        <v>0</v>
      </c>
      <c r="I618" s="25">
        <v>0</v>
      </c>
      <c r="J618" s="25">
        <v>0</v>
      </c>
      <c r="K618" s="25">
        <v>0</v>
      </c>
      <c r="L618" s="25">
        <v>0</v>
      </c>
      <c r="M618" s="25">
        <v>0</v>
      </c>
      <c r="N618" s="25">
        <v>0</v>
      </c>
      <c r="O618" s="25">
        <v>0</v>
      </c>
      <c r="P618" s="25">
        <v>0</v>
      </c>
      <c r="Q618" s="25">
        <v>0</v>
      </c>
      <c r="R618" s="25">
        <v>0</v>
      </c>
      <c r="S618" s="25">
        <v>0</v>
      </c>
      <c r="T618" s="25">
        <v>0</v>
      </c>
      <c r="U618" s="25">
        <v>0</v>
      </c>
      <c r="V618" s="25">
        <v>0</v>
      </c>
      <c r="W618" s="25">
        <v>0</v>
      </c>
      <c r="X618" s="25">
        <v>0</v>
      </c>
      <c r="Y618" s="25">
        <v>0</v>
      </c>
      <c r="Z618" s="25">
        <v>0</v>
      </c>
      <c r="AA618" s="25">
        <v>0</v>
      </c>
      <c r="AB618" s="25">
        <v>0</v>
      </c>
      <c r="AC618" s="25">
        <v>0</v>
      </c>
      <c r="AD618" s="25">
        <v>0</v>
      </c>
      <c r="AE618" s="25">
        <v>0</v>
      </c>
      <c r="AF618" s="25">
        <v>0</v>
      </c>
    </row>
    <row r="619" spans="1:32" x14ac:dyDescent="0.25">
      <c r="A619" s="25" t="s">
        <v>688</v>
      </c>
      <c r="B619" s="25">
        <v>0</v>
      </c>
      <c r="C619" s="25">
        <v>0</v>
      </c>
      <c r="D619" s="25">
        <v>0</v>
      </c>
      <c r="E619" s="25">
        <v>0</v>
      </c>
      <c r="F619" s="25">
        <v>0</v>
      </c>
      <c r="G619" s="25">
        <v>0</v>
      </c>
      <c r="H619" s="25">
        <v>0</v>
      </c>
      <c r="I619" s="25">
        <v>0</v>
      </c>
      <c r="J619" s="25">
        <v>0</v>
      </c>
      <c r="K619" s="25">
        <v>0</v>
      </c>
      <c r="L619" s="25">
        <v>0</v>
      </c>
      <c r="M619" s="25">
        <v>0</v>
      </c>
      <c r="N619" s="25">
        <v>0</v>
      </c>
      <c r="O619" s="25">
        <v>0</v>
      </c>
      <c r="P619" s="25">
        <v>0</v>
      </c>
      <c r="Q619" s="25">
        <v>0</v>
      </c>
      <c r="R619" s="25">
        <v>0</v>
      </c>
      <c r="S619" s="25">
        <v>0</v>
      </c>
      <c r="T619" s="25">
        <v>0</v>
      </c>
      <c r="U619" s="25">
        <v>0</v>
      </c>
      <c r="V619" s="25">
        <v>0</v>
      </c>
      <c r="W619" s="25">
        <v>0</v>
      </c>
      <c r="X619" s="25">
        <v>0</v>
      </c>
      <c r="Y619" s="25">
        <v>0</v>
      </c>
      <c r="Z619" s="25">
        <v>0</v>
      </c>
      <c r="AA619" s="25">
        <v>0</v>
      </c>
      <c r="AB619" s="25">
        <v>0</v>
      </c>
      <c r="AC619" s="25">
        <v>0</v>
      </c>
      <c r="AD619" s="25">
        <v>0</v>
      </c>
      <c r="AE619" s="25">
        <v>0</v>
      </c>
      <c r="AF619" s="25">
        <v>0</v>
      </c>
    </row>
    <row r="620" spans="1:32" x14ac:dyDescent="0.25">
      <c r="A620" s="25" t="s">
        <v>689</v>
      </c>
      <c r="B620" s="25">
        <v>0</v>
      </c>
      <c r="C620" s="25">
        <v>0</v>
      </c>
      <c r="D620" s="25">
        <v>0</v>
      </c>
      <c r="E620" s="25">
        <v>0</v>
      </c>
      <c r="F620" s="25">
        <v>0</v>
      </c>
      <c r="G620" s="25">
        <v>0</v>
      </c>
      <c r="H620" s="25">
        <v>0</v>
      </c>
      <c r="I620" s="25">
        <v>0</v>
      </c>
      <c r="J620" s="25">
        <v>0</v>
      </c>
      <c r="K620" s="25">
        <v>0</v>
      </c>
      <c r="L620" s="25">
        <v>0</v>
      </c>
      <c r="M620" s="25">
        <v>0</v>
      </c>
      <c r="N620" s="25">
        <v>0</v>
      </c>
      <c r="O620" s="25">
        <v>0</v>
      </c>
      <c r="P620" s="25">
        <v>0</v>
      </c>
      <c r="Q620" s="25">
        <v>0</v>
      </c>
      <c r="R620" s="25">
        <v>0</v>
      </c>
      <c r="S620" s="25">
        <v>0</v>
      </c>
      <c r="T620" s="25">
        <v>0</v>
      </c>
      <c r="U620" s="25">
        <v>0</v>
      </c>
      <c r="V620" s="25">
        <v>0</v>
      </c>
      <c r="W620" s="25">
        <v>0</v>
      </c>
      <c r="X620" s="25">
        <v>0</v>
      </c>
      <c r="Y620" s="25">
        <v>0</v>
      </c>
      <c r="Z620" s="25">
        <v>0</v>
      </c>
      <c r="AA620" s="25">
        <v>0</v>
      </c>
      <c r="AB620" s="25">
        <v>0</v>
      </c>
      <c r="AC620" s="25">
        <v>0</v>
      </c>
      <c r="AD620" s="25">
        <v>0</v>
      </c>
      <c r="AE620" s="25">
        <v>0</v>
      </c>
      <c r="AF620" s="25">
        <v>0</v>
      </c>
    </row>
    <row r="621" spans="1:32" x14ac:dyDescent="0.25">
      <c r="A621" s="25" t="s">
        <v>690</v>
      </c>
      <c r="B621" s="25">
        <v>0</v>
      </c>
      <c r="C621" s="25">
        <v>0</v>
      </c>
      <c r="D621" s="25">
        <v>0</v>
      </c>
      <c r="E621" s="25">
        <v>0</v>
      </c>
      <c r="F621" s="25">
        <v>0</v>
      </c>
      <c r="G621" s="25">
        <v>0</v>
      </c>
      <c r="H621" s="25">
        <v>0</v>
      </c>
      <c r="I621" s="25">
        <v>0</v>
      </c>
      <c r="J621" s="25">
        <v>0</v>
      </c>
      <c r="K621" s="25">
        <v>0</v>
      </c>
      <c r="L621" s="25">
        <v>0</v>
      </c>
      <c r="M621" s="25">
        <v>0</v>
      </c>
      <c r="N621" s="25">
        <v>0</v>
      </c>
      <c r="O621" s="25">
        <v>0</v>
      </c>
      <c r="P621" s="25">
        <v>0</v>
      </c>
      <c r="Q621" s="25">
        <v>0</v>
      </c>
      <c r="R621" s="25">
        <v>0</v>
      </c>
      <c r="S621" s="25">
        <v>0</v>
      </c>
      <c r="T621" s="25">
        <v>0</v>
      </c>
      <c r="U621" s="25">
        <v>0</v>
      </c>
      <c r="V621" s="25">
        <v>0</v>
      </c>
      <c r="W621" s="25">
        <v>0</v>
      </c>
      <c r="X621" s="25">
        <v>0</v>
      </c>
      <c r="Y621" s="25">
        <v>0</v>
      </c>
      <c r="Z621" s="25">
        <v>0</v>
      </c>
      <c r="AA621" s="25">
        <v>0</v>
      </c>
      <c r="AB621" s="25">
        <v>0</v>
      </c>
      <c r="AC621" s="25">
        <v>0</v>
      </c>
      <c r="AD621" s="25">
        <v>0</v>
      </c>
      <c r="AE621" s="25">
        <v>0</v>
      </c>
      <c r="AF621" s="25">
        <v>0</v>
      </c>
    </row>
    <row r="622" spans="1:32" x14ac:dyDescent="0.25">
      <c r="A622" s="25" t="s">
        <v>691</v>
      </c>
      <c r="B622" s="25">
        <v>0</v>
      </c>
      <c r="C622" s="25">
        <v>0</v>
      </c>
      <c r="D622" s="25">
        <v>0</v>
      </c>
      <c r="E622" s="25">
        <v>0</v>
      </c>
      <c r="F622" s="25">
        <v>0</v>
      </c>
      <c r="G622" s="25">
        <v>0</v>
      </c>
      <c r="H622" s="25">
        <v>0</v>
      </c>
      <c r="I622" s="25">
        <v>0</v>
      </c>
      <c r="J622" s="25">
        <v>0</v>
      </c>
      <c r="K622" s="25">
        <v>0</v>
      </c>
      <c r="L622" s="25">
        <v>0</v>
      </c>
      <c r="M622" s="25">
        <v>0</v>
      </c>
      <c r="N622" s="25">
        <v>0</v>
      </c>
      <c r="O622" s="25">
        <v>0</v>
      </c>
      <c r="P622" s="25">
        <v>0</v>
      </c>
      <c r="Q622" s="25">
        <v>0</v>
      </c>
      <c r="R622" s="25">
        <v>0</v>
      </c>
      <c r="S622" s="25">
        <v>0</v>
      </c>
      <c r="T622" s="25">
        <v>0</v>
      </c>
      <c r="U622" s="25">
        <v>0</v>
      </c>
      <c r="V622" s="25">
        <v>0</v>
      </c>
      <c r="W622" s="25">
        <v>0</v>
      </c>
      <c r="X622" s="25">
        <v>0</v>
      </c>
      <c r="Y622" s="25">
        <v>0</v>
      </c>
      <c r="Z622" s="25">
        <v>0</v>
      </c>
      <c r="AA622" s="25">
        <v>0</v>
      </c>
      <c r="AB622" s="25">
        <v>0</v>
      </c>
      <c r="AC622" s="25">
        <v>0</v>
      </c>
      <c r="AD622" s="25">
        <v>0</v>
      </c>
      <c r="AE622" s="25">
        <v>0</v>
      </c>
      <c r="AF622" s="25">
        <v>0</v>
      </c>
    </row>
    <row r="623" spans="1:32" x14ac:dyDescent="0.25">
      <c r="A623" s="25" t="s">
        <v>692</v>
      </c>
      <c r="B623" s="25">
        <v>0</v>
      </c>
      <c r="C623" s="25">
        <v>0</v>
      </c>
      <c r="D623" s="25">
        <v>0</v>
      </c>
      <c r="E623" s="25">
        <v>0</v>
      </c>
      <c r="F623" s="25">
        <v>0</v>
      </c>
      <c r="G623" s="25">
        <v>0</v>
      </c>
      <c r="H623" s="25">
        <v>0</v>
      </c>
      <c r="I623" s="25">
        <v>0</v>
      </c>
      <c r="J623" s="25">
        <v>0</v>
      </c>
      <c r="K623" s="25">
        <v>0</v>
      </c>
      <c r="L623" s="25">
        <v>0</v>
      </c>
      <c r="M623" s="25">
        <v>0</v>
      </c>
      <c r="N623" s="25">
        <v>0</v>
      </c>
      <c r="O623" s="25">
        <v>0</v>
      </c>
      <c r="P623" s="25">
        <v>0</v>
      </c>
      <c r="Q623" s="25">
        <v>0</v>
      </c>
      <c r="R623" s="25">
        <v>0</v>
      </c>
      <c r="S623" s="25">
        <v>0</v>
      </c>
      <c r="T623" s="25">
        <v>0</v>
      </c>
      <c r="U623" s="25">
        <v>0</v>
      </c>
      <c r="V623" s="25">
        <v>0</v>
      </c>
      <c r="W623" s="25">
        <v>0</v>
      </c>
      <c r="X623" s="25">
        <v>0</v>
      </c>
      <c r="Y623" s="25">
        <v>0</v>
      </c>
      <c r="Z623" s="25">
        <v>0</v>
      </c>
      <c r="AA623" s="25">
        <v>0</v>
      </c>
      <c r="AB623" s="25">
        <v>0</v>
      </c>
      <c r="AC623" s="25">
        <v>0</v>
      </c>
      <c r="AD623" s="25">
        <v>0</v>
      </c>
      <c r="AE623" s="25">
        <v>0</v>
      </c>
      <c r="AF623" s="25">
        <v>0</v>
      </c>
    </row>
    <row r="624" spans="1:32" x14ac:dyDescent="0.25">
      <c r="A624" s="25" t="s">
        <v>693</v>
      </c>
      <c r="B624" s="25">
        <v>0</v>
      </c>
      <c r="C624" s="25">
        <v>0</v>
      </c>
      <c r="D624" s="25">
        <v>0</v>
      </c>
      <c r="E624" s="25">
        <v>0</v>
      </c>
      <c r="F624" s="25">
        <v>0</v>
      </c>
      <c r="G624" s="25">
        <v>0</v>
      </c>
      <c r="H624" s="25">
        <v>0</v>
      </c>
      <c r="I624" s="25">
        <v>0</v>
      </c>
      <c r="J624" s="25">
        <v>0</v>
      </c>
      <c r="K624" s="25">
        <v>0</v>
      </c>
      <c r="L624" s="25">
        <v>0</v>
      </c>
      <c r="M624" s="25">
        <v>0</v>
      </c>
      <c r="N624" s="25">
        <v>0</v>
      </c>
      <c r="O624" s="25">
        <v>0</v>
      </c>
      <c r="P624" s="25">
        <v>0</v>
      </c>
      <c r="Q624" s="25">
        <v>0</v>
      </c>
      <c r="R624" s="25">
        <v>0</v>
      </c>
      <c r="S624" s="25">
        <v>0</v>
      </c>
      <c r="T624" s="25">
        <v>0</v>
      </c>
      <c r="U624" s="25">
        <v>0</v>
      </c>
      <c r="V624" s="25">
        <v>0</v>
      </c>
      <c r="W624" s="25">
        <v>0</v>
      </c>
      <c r="X624" s="25">
        <v>0</v>
      </c>
      <c r="Y624" s="25">
        <v>0</v>
      </c>
      <c r="Z624" s="25">
        <v>0</v>
      </c>
      <c r="AA624" s="25">
        <v>0</v>
      </c>
      <c r="AB624" s="25">
        <v>0</v>
      </c>
      <c r="AC624" s="25">
        <v>0</v>
      </c>
      <c r="AD624" s="25">
        <v>0</v>
      </c>
      <c r="AE624" s="25">
        <v>0</v>
      </c>
      <c r="AF624" s="25">
        <v>0</v>
      </c>
    </row>
    <row r="625" spans="1:32" x14ac:dyDescent="0.25">
      <c r="A625" s="25" t="s">
        <v>694</v>
      </c>
      <c r="B625" s="25">
        <v>0</v>
      </c>
      <c r="C625" s="25">
        <v>0</v>
      </c>
      <c r="D625" s="25">
        <v>0</v>
      </c>
      <c r="E625" s="25">
        <v>0</v>
      </c>
      <c r="F625" s="25">
        <v>0</v>
      </c>
      <c r="G625" s="25">
        <v>0</v>
      </c>
      <c r="H625" s="25">
        <v>0</v>
      </c>
      <c r="I625" s="25">
        <v>0</v>
      </c>
      <c r="J625" s="25">
        <v>0</v>
      </c>
      <c r="K625" s="25">
        <v>0</v>
      </c>
      <c r="L625" s="25">
        <v>0</v>
      </c>
      <c r="M625" s="25">
        <v>0</v>
      </c>
      <c r="N625" s="25">
        <v>0</v>
      </c>
      <c r="O625" s="25">
        <v>0</v>
      </c>
      <c r="P625" s="25">
        <v>0</v>
      </c>
      <c r="Q625" s="25">
        <v>0</v>
      </c>
      <c r="R625" s="25">
        <v>0</v>
      </c>
      <c r="S625" s="25">
        <v>0</v>
      </c>
      <c r="T625" s="25">
        <v>0</v>
      </c>
      <c r="U625" s="25">
        <v>0</v>
      </c>
      <c r="V625" s="25">
        <v>0</v>
      </c>
      <c r="W625" s="25">
        <v>0</v>
      </c>
      <c r="X625" s="25">
        <v>0</v>
      </c>
      <c r="Y625" s="25">
        <v>0</v>
      </c>
      <c r="Z625" s="25">
        <v>0</v>
      </c>
      <c r="AA625" s="25">
        <v>0</v>
      </c>
      <c r="AB625" s="25">
        <v>0</v>
      </c>
      <c r="AC625" s="25">
        <v>0</v>
      </c>
      <c r="AD625" s="25">
        <v>0</v>
      </c>
      <c r="AE625" s="25">
        <v>0</v>
      </c>
      <c r="AF625" s="25">
        <v>0</v>
      </c>
    </row>
    <row r="626" spans="1:32" x14ac:dyDescent="0.25">
      <c r="A626" s="25" t="s">
        <v>695</v>
      </c>
      <c r="B626" s="25">
        <v>0</v>
      </c>
      <c r="C626" s="25">
        <v>0</v>
      </c>
      <c r="D626" s="25">
        <v>0</v>
      </c>
      <c r="E626" s="25">
        <v>0</v>
      </c>
      <c r="F626" s="25">
        <v>0</v>
      </c>
      <c r="G626" s="25">
        <v>0</v>
      </c>
      <c r="H626" s="25">
        <v>0</v>
      </c>
      <c r="I626" s="25">
        <v>0</v>
      </c>
      <c r="J626" s="25">
        <v>0</v>
      </c>
      <c r="K626" s="25">
        <v>0</v>
      </c>
      <c r="L626" s="25">
        <v>0</v>
      </c>
      <c r="M626" s="25">
        <v>0</v>
      </c>
      <c r="N626" s="25">
        <v>0</v>
      </c>
      <c r="O626" s="25">
        <v>0</v>
      </c>
      <c r="P626" s="25">
        <v>0</v>
      </c>
      <c r="Q626" s="25">
        <v>0</v>
      </c>
      <c r="R626" s="25">
        <v>0</v>
      </c>
      <c r="S626" s="25">
        <v>0</v>
      </c>
      <c r="T626" s="25">
        <v>0</v>
      </c>
      <c r="U626" s="25">
        <v>0</v>
      </c>
      <c r="V626" s="25">
        <v>0</v>
      </c>
      <c r="W626" s="25">
        <v>0</v>
      </c>
      <c r="X626" s="25">
        <v>0</v>
      </c>
      <c r="Y626" s="25">
        <v>0</v>
      </c>
      <c r="Z626" s="25">
        <v>0</v>
      </c>
      <c r="AA626" s="25">
        <v>0</v>
      </c>
      <c r="AB626" s="25">
        <v>0</v>
      </c>
      <c r="AC626" s="25">
        <v>0</v>
      </c>
      <c r="AD626" s="25">
        <v>0</v>
      </c>
      <c r="AE626" s="25">
        <v>0</v>
      </c>
      <c r="AF626" s="25">
        <v>0</v>
      </c>
    </row>
    <row r="627" spans="1:32" x14ac:dyDescent="0.25">
      <c r="A627" s="25" t="s">
        <v>696</v>
      </c>
      <c r="B627" s="25">
        <v>0</v>
      </c>
      <c r="C627" s="25">
        <v>0</v>
      </c>
      <c r="D627" s="25">
        <v>0</v>
      </c>
      <c r="E627" s="25">
        <v>0</v>
      </c>
      <c r="F627" s="25">
        <v>0</v>
      </c>
      <c r="G627" s="25">
        <v>0</v>
      </c>
      <c r="H627" s="25">
        <v>0</v>
      </c>
      <c r="I627" s="25">
        <v>0</v>
      </c>
      <c r="J627" s="25">
        <v>0</v>
      </c>
      <c r="K627" s="25">
        <v>0</v>
      </c>
      <c r="L627" s="25">
        <v>0</v>
      </c>
      <c r="M627" s="25">
        <v>0</v>
      </c>
      <c r="N627" s="25">
        <v>0</v>
      </c>
      <c r="O627" s="25">
        <v>0</v>
      </c>
      <c r="P627" s="25">
        <v>0</v>
      </c>
      <c r="Q627" s="25">
        <v>0</v>
      </c>
      <c r="R627" s="25">
        <v>0</v>
      </c>
      <c r="S627" s="25">
        <v>0</v>
      </c>
      <c r="T627" s="25">
        <v>0</v>
      </c>
      <c r="U627" s="25">
        <v>0</v>
      </c>
      <c r="V627" s="25">
        <v>0</v>
      </c>
      <c r="W627" s="25">
        <v>0</v>
      </c>
      <c r="X627" s="25">
        <v>0</v>
      </c>
      <c r="Y627" s="25">
        <v>0</v>
      </c>
      <c r="Z627" s="25">
        <v>0</v>
      </c>
      <c r="AA627" s="25">
        <v>0</v>
      </c>
      <c r="AB627" s="25">
        <v>0</v>
      </c>
      <c r="AC627" s="25">
        <v>0</v>
      </c>
      <c r="AD627" s="25">
        <v>0</v>
      </c>
      <c r="AE627" s="25">
        <v>0</v>
      </c>
      <c r="AF627" s="25">
        <v>0</v>
      </c>
    </row>
    <row r="628" spans="1:32" x14ac:dyDescent="0.25">
      <c r="A628" s="25" t="s">
        <v>697</v>
      </c>
      <c r="B628" s="25">
        <v>0</v>
      </c>
      <c r="C628" s="25">
        <v>0</v>
      </c>
      <c r="D628" s="25">
        <v>0</v>
      </c>
      <c r="E628" s="25">
        <v>0</v>
      </c>
      <c r="F628" s="25">
        <v>0</v>
      </c>
      <c r="G628" s="25">
        <v>0</v>
      </c>
      <c r="H628" s="25">
        <v>0</v>
      </c>
      <c r="I628" s="25">
        <v>0</v>
      </c>
      <c r="J628" s="25">
        <v>0</v>
      </c>
      <c r="K628" s="25">
        <v>0</v>
      </c>
      <c r="L628" s="25">
        <v>0</v>
      </c>
      <c r="M628" s="25">
        <v>0</v>
      </c>
      <c r="N628" s="25">
        <v>0</v>
      </c>
      <c r="O628" s="25">
        <v>0</v>
      </c>
      <c r="P628" s="25">
        <v>0</v>
      </c>
      <c r="Q628" s="25">
        <v>0</v>
      </c>
      <c r="R628" s="25">
        <v>0</v>
      </c>
      <c r="S628" s="25">
        <v>0</v>
      </c>
      <c r="T628" s="25">
        <v>0</v>
      </c>
      <c r="U628" s="25">
        <v>0</v>
      </c>
      <c r="V628" s="25">
        <v>0</v>
      </c>
      <c r="W628" s="25">
        <v>0</v>
      </c>
      <c r="X628" s="25">
        <v>0</v>
      </c>
      <c r="Y628" s="25">
        <v>0</v>
      </c>
      <c r="Z628" s="25">
        <v>0</v>
      </c>
      <c r="AA628" s="25">
        <v>0</v>
      </c>
      <c r="AB628" s="25">
        <v>0</v>
      </c>
      <c r="AC628" s="25">
        <v>0</v>
      </c>
      <c r="AD628" s="25">
        <v>0</v>
      </c>
      <c r="AE628" s="25">
        <v>0</v>
      </c>
      <c r="AF628" s="25">
        <v>0</v>
      </c>
    </row>
    <row r="629" spans="1:32" x14ac:dyDescent="0.25">
      <c r="A629" s="25" t="s">
        <v>698</v>
      </c>
      <c r="B629" s="25">
        <v>0</v>
      </c>
      <c r="C629" s="25">
        <v>0</v>
      </c>
      <c r="D629" s="25">
        <v>0</v>
      </c>
      <c r="E629" s="25">
        <v>0</v>
      </c>
      <c r="F629" s="25">
        <v>0</v>
      </c>
      <c r="G629" s="25">
        <v>0</v>
      </c>
      <c r="H629" s="25">
        <v>0</v>
      </c>
      <c r="I629" s="25">
        <v>0</v>
      </c>
      <c r="J629" s="25">
        <v>0</v>
      </c>
      <c r="K629" s="25">
        <v>0</v>
      </c>
      <c r="L629" s="25">
        <v>0</v>
      </c>
      <c r="M629" s="25">
        <v>0</v>
      </c>
      <c r="N629" s="25">
        <v>0</v>
      </c>
      <c r="O629" s="25">
        <v>0</v>
      </c>
      <c r="P629" s="25">
        <v>0</v>
      </c>
      <c r="Q629" s="25">
        <v>0</v>
      </c>
      <c r="R629" s="25">
        <v>0</v>
      </c>
      <c r="S629" s="25">
        <v>0</v>
      </c>
      <c r="T629" s="25">
        <v>0</v>
      </c>
      <c r="U629" s="25">
        <v>0</v>
      </c>
      <c r="V629" s="25">
        <v>0</v>
      </c>
      <c r="W629" s="25">
        <v>0</v>
      </c>
      <c r="X629" s="25">
        <v>0</v>
      </c>
      <c r="Y629" s="25">
        <v>0</v>
      </c>
      <c r="Z629" s="25">
        <v>0</v>
      </c>
      <c r="AA629" s="25">
        <v>0</v>
      </c>
      <c r="AB629" s="25">
        <v>0</v>
      </c>
      <c r="AC629" s="25">
        <v>0</v>
      </c>
      <c r="AD629" s="25">
        <v>0</v>
      </c>
      <c r="AE629" s="25">
        <v>0</v>
      </c>
      <c r="AF629" s="25">
        <v>0</v>
      </c>
    </row>
    <row r="630" spans="1:32" x14ac:dyDescent="0.25">
      <c r="A630" s="25" t="s">
        <v>699</v>
      </c>
      <c r="B630" s="25">
        <v>0</v>
      </c>
      <c r="C630" s="25">
        <v>0</v>
      </c>
      <c r="D630" s="25">
        <v>0</v>
      </c>
      <c r="E630" s="25">
        <v>0</v>
      </c>
      <c r="F630" s="25">
        <v>0</v>
      </c>
      <c r="G630" s="25">
        <v>0</v>
      </c>
      <c r="H630" s="25">
        <v>0</v>
      </c>
      <c r="I630" s="25">
        <v>0</v>
      </c>
      <c r="J630" s="25">
        <v>0</v>
      </c>
      <c r="K630" s="25">
        <v>0</v>
      </c>
      <c r="L630" s="25">
        <v>0</v>
      </c>
      <c r="M630" s="25">
        <v>0</v>
      </c>
      <c r="N630" s="25">
        <v>0</v>
      </c>
      <c r="O630" s="25">
        <v>0</v>
      </c>
      <c r="P630" s="25">
        <v>0</v>
      </c>
      <c r="Q630" s="25">
        <v>0</v>
      </c>
      <c r="R630" s="25">
        <v>0</v>
      </c>
      <c r="S630" s="25">
        <v>0</v>
      </c>
      <c r="T630" s="25">
        <v>0</v>
      </c>
      <c r="U630" s="25">
        <v>0</v>
      </c>
      <c r="V630" s="25">
        <v>0</v>
      </c>
      <c r="W630" s="25">
        <v>0</v>
      </c>
      <c r="X630" s="25">
        <v>0</v>
      </c>
      <c r="Y630" s="25">
        <v>0</v>
      </c>
      <c r="Z630" s="25">
        <v>0</v>
      </c>
      <c r="AA630" s="25">
        <v>0</v>
      </c>
      <c r="AB630" s="25">
        <v>0</v>
      </c>
      <c r="AC630" s="25">
        <v>0</v>
      </c>
      <c r="AD630" s="25">
        <v>0</v>
      </c>
      <c r="AE630" s="25">
        <v>0</v>
      </c>
      <c r="AF630" s="25">
        <v>0</v>
      </c>
    </row>
    <row r="631" spans="1:32" x14ac:dyDescent="0.25">
      <c r="A631" s="25" t="s">
        <v>700</v>
      </c>
      <c r="B631" s="25">
        <v>0</v>
      </c>
      <c r="C631" s="25">
        <v>0</v>
      </c>
      <c r="D631" s="25">
        <v>0</v>
      </c>
      <c r="E631" s="25">
        <v>0</v>
      </c>
      <c r="F631" s="25">
        <v>0</v>
      </c>
      <c r="G631" s="25">
        <v>0</v>
      </c>
      <c r="H631" s="25">
        <v>0</v>
      </c>
      <c r="I631" s="25">
        <v>0</v>
      </c>
      <c r="J631" s="25">
        <v>0</v>
      </c>
      <c r="K631" s="25">
        <v>0</v>
      </c>
      <c r="L631" s="25">
        <v>0</v>
      </c>
      <c r="M631" s="25">
        <v>0</v>
      </c>
      <c r="N631" s="25">
        <v>0</v>
      </c>
      <c r="O631" s="25">
        <v>0</v>
      </c>
      <c r="P631" s="25">
        <v>0</v>
      </c>
      <c r="Q631" s="25">
        <v>0</v>
      </c>
      <c r="R631" s="25">
        <v>0</v>
      </c>
      <c r="S631" s="25">
        <v>0</v>
      </c>
      <c r="T631" s="25">
        <v>0</v>
      </c>
      <c r="U631" s="25">
        <v>0</v>
      </c>
      <c r="V631" s="25">
        <v>0</v>
      </c>
      <c r="W631" s="25">
        <v>0</v>
      </c>
      <c r="X631" s="25">
        <v>0</v>
      </c>
      <c r="Y631" s="25">
        <v>0</v>
      </c>
      <c r="Z631" s="25">
        <v>0</v>
      </c>
      <c r="AA631" s="25">
        <v>0</v>
      </c>
      <c r="AB631" s="25">
        <v>0</v>
      </c>
      <c r="AC631" s="25">
        <v>0</v>
      </c>
      <c r="AD631" s="25">
        <v>0</v>
      </c>
      <c r="AE631" s="25">
        <v>0</v>
      </c>
      <c r="AF631" s="25">
        <v>0</v>
      </c>
    </row>
    <row r="632" spans="1:32" x14ac:dyDescent="0.25">
      <c r="A632" s="25" t="s">
        <v>701</v>
      </c>
      <c r="B632" s="25">
        <v>0</v>
      </c>
      <c r="C632" s="25">
        <v>0</v>
      </c>
      <c r="D632" s="25">
        <v>0</v>
      </c>
      <c r="E632" s="25">
        <v>0</v>
      </c>
      <c r="F632" s="25">
        <v>0</v>
      </c>
      <c r="G632" s="25">
        <v>0</v>
      </c>
      <c r="H632" s="25">
        <v>0</v>
      </c>
      <c r="I632" s="25">
        <v>0</v>
      </c>
      <c r="J632" s="25">
        <v>0</v>
      </c>
      <c r="K632" s="25">
        <v>0</v>
      </c>
      <c r="L632" s="25">
        <v>0</v>
      </c>
      <c r="M632" s="25">
        <v>0</v>
      </c>
      <c r="N632" s="25">
        <v>0</v>
      </c>
      <c r="O632" s="25">
        <v>0</v>
      </c>
      <c r="P632" s="25">
        <v>0</v>
      </c>
      <c r="Q632" s="25">
        <v>0</v>
      </c>
      <c r="R632" s="25">
        <v>0</v>
      </c>
      <c r="S632" s="25">
        <v>0</v>
      </c>
      <c r="T632" s="25">
        <v>0</v>
      </c>
      <c r="U632" s="25">
        <v>0</v>
      </c>
      <c r="V632" s="25">
        <v>0</v>
      </c>
      <c r="W632" s="25">
        <v>0</v>
      </c>
      <c r="X632" s="25">
        <v>0</v>
      </c>
      <c r="Y632" s="25">
        <v>0</v>
      </c>
      <c r="Z632" s="25">
        <v>0</v>
      </c>
      <c r="AA632" s="25">
        <v>0</v>
      </c>
      <c r="AB632" s="25">
        <v>0</v>
      </c>
      <c r="AC632" s="25">
        <v>0</v>
      </c>
      <c r="AD632" s="25">
        <v>0</v>
      </c>
      <c r="AE632" s="25">
        <v>0</v>
      </c>
      <c r="AF632" s="25">
        <v>0</v>
      </c>
    </row>
    <row r="633" spans="1:32" x14ac:dyDescent="0.25">
      <c r="A633" s="25" t="s">
        <v>702</v>
      </c>
      <c r="B633" s="25">
        <v>0</v>
      </c>
      <c r="C633" s="25">
        <v>0</v>
      </c>
      <c r="D633" s="25">
        <v>0</v>
      </c>
      <c r="E633" s="25">
        <v>0</v>
      </c>
      <c r="F633" s="25">
        <v>0</v>
      </c>
      <c r="G633" s="25">
        <v>0</v>
      </c>
      <c r="H633" s="25">
        <v>0</v>
      </c>
      <c r="I633" s="25">
        <v>0</v>
      </c>
      <c r="J633" s="25">
        <v>0</v>
      </c>
      <c r="K633" s="25">
        <v>0</v>
      </c>
      <c r="L633" s="25">
        <v>0</v>
      </c>
      <c r="M633" s="25">
        <v>0</v>
      </c>
      <c r="N633" s="25">
        <v>0</v>
      </c>
      <c r="O633" s="25">
        <v>0</v>
      </c>
      <c r="P633" s="25">
        <v>0</v>
      </c>
      <c r="Q633" s="25">
        <v>0</v>
      </c>
      <c r="R633" s="25">
        <v>0</v>
      </c>
      <c r="S633" s="25">
        <v>0</v>
      </c>
      <c r="T633" s="25">
        <v>0</v>
      </c>
      <c r="U633" s="25">
        <v>0</v>
      </c>
      <c r="V633" s="25">
        <v>0</v>
      </c>
      <c r="W633" s="25">
        <v>0</v>
      </c>
      <c r="X633" s="25">
        <v>0</v>
      </c>
      <c r="Y633" s="25">
        <v>0</v>
      </c>
      <c r="Z633" s="25">
        <v>0</v>
      </c>
      <c r="AA633" s="25">
        <v>0</v>
      </c>
      <c r="AB633" s="25">
        <v>0</v>
      </c>
      <c r="AC633" s="25">
        <v>0</v>
      </c>
      <c r="AD633" s="25">
        <v>0</v>
      </c>
      <c r="AE633" s="25">
        <v>0</v>
      </c>
      <c r="AF633" s="25">
        <v>0</v>
      </c>
    </row>
    <row r="634" spans="1:32" x14ac:dyDescent="0.25">
      <c r="A634" s="25" t="s">
        <v>703</v>
      </c>
      <c r="B634" s="25">
        <v>0</v>
      </c>
      <c r="C634" s="25">
        <v>0</v>
      </c>
      <c r="D634" s="25">
        <v>0</v>
      </c>
      <c r="E634" s="25">
        <v>0</v>
      </c>
      <c r="F634" s="25">
        <v>0</v>
      </c>
      <c r="G634" s="25">
        <v>0</v>
      </c>
      <c r="H634" s="25">
        <v>0</v>
      </c>
      <c r="I634" s="25">
        <v>0</v>
      </c>
      <c r="J634" s="25">
        <v>0</v>
      </c>
      <c r="K634" s="25">
        <v>0</v>
      </c>
      <c r="L634" s="25">
        <v>0</v>
      </c>
      <c r="M634" s="25">
        <v>0</v>
      </c>
      <c r="N634" s="25">
        <v>0</v>
      </c>
      <c r="O634" s="25">
        <v>0</v>
      </c>
      <c r="P634" s="25">
        <v>0</v>
      </c>
      <c r="Q634" s="25">
        <v>0</v>
      </c>
      <c r="R634" s="25">
        <v>0</v>
      </c>
      <c r="S634" s="25">
        <v>0</v>
      </c>
      <c r="T634" s="25">
        <v>0</v>
      </c>
      <c r="U634" s="25">
        <v>0</v>
      </c>
      <c r="V634" s="25">
        <v>0</v>
      </c>
      <c r="W634" s="25">
        <v>0</v>
      </c>
      <c r="X634" s="25">
        <v>0</v>
      </c>
      <c r="Y634" s="25">
        <v>0</v>
      </c>
      <c r="Z634" s="25">
        <v>0</v>
      </c>
      <c r="AA634" s="25">
        <v>0</v>
      </c>
      <c r="AB634" s="25">
        <v>0</v>
      </c>
      <c r="AC634" s="25">
        <v>0</v>
      </c>
      <c r="AD634" s="25">
        <v>0</v>
      </c>
      <c r="AE634" s="25">
        <v>0</v>
      </c>
      <c r="AF634" s="25">
        <v>0</v>
      </c>
    </row>
    <row r="635" spans="1:32" x14ac:dyDescent="0.25">
      <c r="A635" s="25" t="s">
        <v>704</v>
      </c>
      <c r="B635" s="25">
        <v>0</v>
      </c>
      <c r="C635" s="25">
        <v>0</v>
      </c>
      <c r="D635" s="25">
        <v>0</v>
      </c>
      <c r="E635" s="25">
        <v>0</v>
      </c>
      <c r="F635" s="25">
        <v>0</v>
      </c>
      <c r="G635" s="25">
        <v>0</v>
      </c>
      <c r="H635" s="25">
        <v>0</v>
      </c>
      <c r="I635" s="25">
        <v>0</v>
      </c>
      <c r="J635" s="25">
        <v>0</v>
      </c>
      <c r="K635" s="25">
        <v>0</v>
      </c>
      <c r="L635" s="25">
        <v>0</v>
      </c>
      <c r="M635" s="25">
        <v>0</v>
      </c>
      <c r="N635" s="25">
        <v>0</v>
      </c>
      <c r="O635" s="25">
        <v>0</v>
      </c>
      <c r="P635" s="25">
        <v>0</v>
      </c>
      <c r="Q635" s="25">
        <v>0</v>
      </c>
      <c r="R635" s="25">
        <v>0</v>
      </c>
      <c r="S635" s="25">
        <v>0</v>
      </c>
      <c r="T635" s="25">
        <v>0</v>
      </c>
      <c r="U635" s="25">
        <v>0</v>
      </c>
      <c r="V635" s="25">
        <v>0</v>
      </c>
      <c r="W635" s="25">
        <v>0</v>
      </c>
      <c r="X635" s="25">
        <v>0</v>
      </c>
      <c r="Y635" s="25">
        <v>0</v>
      </c>
      <c r="Z635" s="25">
        <v>0</v>
      </c>
      <c r="AA635" s="25">
        <v>0</v>
      </c>
      <c r="AB635" s="25">
        <v>0</v>
      </c>
      <c r="AC635" s="25">
        <v>0</v>
      </c>
      <c r="AD635" s="25">
        <v>0</v>
      </c>
      <c r="AE635" s="25">
        <v>0</v>
      </c>
      <c r="AF635" s="25">
        <v>0</v>
      </c>
    </row>
    <row r="636" spans="1:32" x14ac:dyDescent="0.25">
      <c r="A636" s="25" t="s">
        <v>705</v>
      </c>
      <c r="B636" s="25">
        <v>0</v>
      </c>
      <c r="C636" s="25">
        <v>0</v>
      </c>
      <c r="D636" s="25">
        <v>0</v>
      </c>
      <c r="E636" s="25">
        <v>0</v>
      </c>
      <c r="F636" s="25">
        <v>0</v>
      </c>
      <c r="G636" s="25">
        <v>0</v>
      </c>
      <c r="H636" s="25">
        <v>0</v>
      </c>
      <c r="I636" s="25">
        <v>0</v>
      </c>
      <c r="J636" s="25">
        <v>0</v>
      </c>
      <c r="K636" s="25">
        <v>0</v>
      </c>
      <c r="L636" s="25">
        <v>0</v>
      </c>
      <c r="M636" s="25">
        <v>0</v>
      </c>
      <c r="N636" s="25">
        <v>0</v>
      </c>
      <c r="O636" s="25">
        <v>0</v>
      </c>
      <c r="P636" s="25">
        <v>0</v>
      </c>
      <c r="Q636" s="25">
        <v>0</v>
      </c>
      <c r="R636" s="25">
        <v>0</v>
      </c>
      <c r="S636" s="25">
        <v>0</v>
      </c>
      <c r="T636" s="25">
        <v>0</v>
      </c>
      <c r="U636" s="25">
        <v>0</v>
      </c>
      <c r="V636" s="25">
        <v>0</v>
      </c>
      <c r="W636" s="25">
        <v>0</v>
      </c>
      <c r="X636" s="25">
        <v>0</v>
      </c>
      <c r="Y636" s="25">
        <v>0</v>
      </c>
      <c r="Z636" s="25">
        <v>0</v>
      </c>
      <c r="AA636" s="25">
        <v>0</v>
      </c>
      <c r="AB636" s="25">
        <v>0</v>
      </c>
      <c r="AC636" s="25">
        <v>0</v>
      </c>
      <c r="AD636" s="25">
        <v>0</v>
      </c>
      <c r="AE636" s="25">
        <v>0</v>
      </c>
      <c r="AF636" s="25">
        <v>0</v>
      </c>
    </row>
    <row r="637" spans="1:32" x14ac:dyDescent="0.25">
      <c r="A637" s="25" t="s">
        <v>706</v>
      </c>
      <c r="B637" s="25">
        <v>0</v>
      </c>
      <c r="C637" s="25">
        <v>0</v>
      </c>
      <c r="D637" s="25">
        <v>0</v>
      </c>
      <c r="E637" s="25">
        <v>0</v>
      </c>
      <c r="F637" s="25">
        <v>0</v>
      </c>
      <c r="G637" s="25">
        <v>0</v>
      </c>
      <c r="H637" s="25">
        <v>0</v>
      </c>
      <c r="I637" s="25">
        <v>0</v>
      </c>
      <c r="J637" s="25">
        <v>0</v>
      </c>
      <c r="K637" s="25">
        <v>0</v>
      </c>
      <c r="L637" s="25">
        <v>0</v>
      </c>
      <c r="M637" s="25">
        <v>0</v>
      </c>
      <c r="N637" s="25">
        <v>0</v>
      </c>
      <c r="O637" s="25">
        <v>0</v>
      </c>
      <c r="P637" s="25">
        <v>0</v>
      </c>
      <c r="Q637" s="25">
        <v>0</v>
      </c>
      <c r="R637" s="25">
        <v>0</v>
      </c>
      <c r="S637" s="25">
        <v>0</v>
      </c>
      <c r="T637" s="25">
        <v>0</v>
      </c>
      <c r="U637" s="25">
        <v>0</v>
      </c>
      <c r="V637" s="25">
        <v>0</v>
      </c>
      <c r="W637" s="25">
        <v>0</v>
      </c>
      <c r="X637" s="25">
        <v>0</v>
      </c>
      <c r="Y637" s="25">
        <v>0</v>
      </c>
      <c r="Z637" s="25">
        <v>0</v>
      </c>
      <c r="AA637" s="25">
        <v>0</v>
      </c>
      <c r="AB637" s="25">
        <v>0</v>
      </c>
      <c r="AC637" s="25">
        <v>0</v>
      </c>
      <c r="AD637" s="25">
        <v>0</v>
      </c>
      <c r="AE637" s="25">
        <v>0</v>
      </c>
      <c r="AF637" s="25">
        <v>0</v>
      </c>
    </row>
    <row r="638" spans="1:32" x14ac:dyDescent="0.25">
      <c r="A638" s="25" t="s">
        <v>707</v>
      </c>
      <c r="B638" s="25">
        <v>0</v>
      </c>
      <c r="C638" s="25">
        <v>0</v>
      </c>
      <c r="D638" s="25">
        <v>0</v>
      </c>
      <c r="E638" s="25">
        <v>0</v>
      </c>
      <c r="F638" s="25">
        <v>0</v>
      </c>
      <c r="G638" s="25">
        <v>0</v>
      </c>
      <c r="H638" s="25">
        <v>0</v>
      </c>
      <c r="I638" s="25">
        <v>0</v>
      </c>
      <c r="J638" s="25">
        <v>0</v>
      </c>
      <c r="K638" s="25">
        <v>0</v>
      </c>
      <c r="L638" s="25">
        <v>0</v>
      </c>
      <c r="M638" s="25">
        <v>0</v>
      </c>
      <c r="N638" s="25">
        <v>0</v>
      </c>
      <c r="O638" s="25">
        <v>0</v>
      </c>
      <c r="P638" s="25">
        <v>0</v>
      </c>
      <c r="Q638" s="25">
        <v>0</v>
      </c>
      <c r="R638" s="25">
        <v>0</v>
      </c>
      <c r="S638" s="25">
        <v>0</v>
      </c>
      <c r="T638" s="25">
        <v>0</v>
      </c>
      <c r="U638" s="25">
        <v>0</v>
      </c>
      <c r="V638" s="25">
        <v>0</v>
      </c>
      <c r="W638" s="25">
        <v>0</v>
      </c>
      <c r="X638" s="25">
        <v>0</v>
      </c>
      <c r="Y638" s="25">
        <v>0</v>
      </c>
      <c r="Z638" s="25">
        <v>0</v>
      </c>
      <c r="AA638" s="25">
        <v>0</v>
      </c>
      <c r="AB638" s="25">
        <v>0</v>
      </c>
      <c r="AC638" s="25">
        <v>0</v>
      </c>
      <c r="AD638" s="25">
        <v>0</v>
      </c>
      <c r="AE638" s="25">
        <v>0</v>
      </c>
      <c r="AF638" s="25">
        <v>0</v>
      </c>
    </row>
    <row r="639" spans="1:32" x14ac:dyDescent="0.25">
      <c r="A639" s="25" t="s">
        <v>708</v>
      </c>
      <c r="B639" s="25">
        <v>0</v>
      </c>
      <c r="C639" s="25">
        <v>0</v>
      </c>
      <c r="D639" s="25">
        <v>0</v>
      </c>
      <c r="E639" s="25">
        <v>0</v>
      </c>
      <c r="F639" s="25">
        <v>0</v>
      </c>
      <c r="G639" s="25">
        <v>0</v>
      </c>
      <c r="H639" s="25">
        <v>0</v>
      </c>
      <c r="I639" s="25">
        <v>0</v>
      </c>
      <c r="J639" s="25">
        <v>0</v>
      </c>
      <c r="K639" s="25">
        <v>0</v>
      </c>
      <c r="L639" s="25">
        <v>0</v>
      </c>
      <c r="M639" s="25">
        <v>0</v>
      </c>
      <c r="N639" s="25">
        <v>0</v>
      </c>
      <c r="O639" s="25">
        <v>0</v>
      </c>
      <c r="P639" s="25">
        <v>0</v>
      </c>
      <c r="Q639" s="25">
        <v>0</v>
      </c>
      <c r="R639" s="25">
        <v>0</v>
      </c>
      <c r="S639" s="25">
        <v>0</v>
      </c>
      <c r="T639" s="25">
        <v>0</v>
      </c>
      <c r="U639" s="25">
        <v>0</v>
      </c>
      <c r="V639" s="25">
        <v>0</v>
      </c>
      <c r="W639" s="25">
        <v>0</v>
      </c>
      <c r="X639" s="25">
        <v>0</v>
      </c>
      <c r="Y639" s="25">
        <v>0</v>
      </c>
      <c r="Z639" s="25">
        <v>0</v>
      </c>
      <c r="AA639" s="25">
        <v>0</v>
      </c>
      <c r="AB639" s="25">
        <v>0</v>
      </c>
      <c r="AC639" s="25">
        <v>0</v>
      </c>
      <c r="AD639" s="25">
        <v>0</v>
      </c>
      <c r="AE639" s="25">
        <v>0</v>
      </c>
      <c r="AF639" s="25">
        <v>0</v>
      </c>
    </row>
    <row r="640" spans="1:32" x14ac:dyDescent="0.25">
      <c r="A640" s="25" t="s">
        <v>709</v>
      </c>
      <c r="B640" s="25">
        <v>0</v>
      </c>
      <c r="C640" s="25">
        <v>0</v>
      </c>
      <c r="D640" s="25">
        <v>0</v>
      </c>
      <c r="E640" s="25">
        <v>0</v>
      </c>
      <c r="F640" s="25">
        <v>0</v>
      </c>
      <c r="G640" s="25">
        <v>0</v>
      </c>
      <c r="H640" s="25">
        <v>0</v>
      </c>
      <c r="I640" s="25">
        <v>0</v>
      </c>
      <c r="J640" s="25">
        <v>0</v>
      </c>
      <c r="K640" s="25">
        <v>0</v>
      </c>
      <c r="L640" s="25">
        <v>0</v>
      </c>
      <c r="M640" s="25">
        <v>0</v>
      </c>
      <c r="N640" s="25">
        <v>0</v>
      </c>
      <c r="O640" s="25">
        <v>0</v>
      </c>
      <c r="P640" s="25">
        <v>0</v>
      </c>
      <c r="Q640" s="25">
        <v>0</v>
      </c>
      <c r="R640" s="25">
        <v>0</v>
      </c>
      <c r="S640" s="25">
        <v>0</v>
      </c>
      <c r="T640" s="25">
        <v>0</v>
      </c>
      <c r="U640" s="25">
        <v>0</v>
      </c>
      <c r="V640" s="25">
        <v>0</v>
      </c>
      <c r="W640" s="25">
        <v>0</v>
      </c>
      <c r="X640" s="25">
        <v>0</v>
      </c>
      <c r="Y640" s="25">
        <v>0</v>
      </c>
      <c r="Z640" s="25">
        <v>0</v>
      </c>
      <c r="AA640" s="25">
        <v>0</v>
      </c>
      <c r="AB640" s="25">
        <v>0</v>
      </c>
      <c r="AC640" s="25">
        <v>0</v>
      </c>
      <c r="AD640" s="25">
        <v>0</v>
      </c>
      <c r="AE640" s="25">
        <v>0</v>
      </c>
      <c r="AF640" s="25">
        <v>0</v>
      </c>
    </row>
    <row r="641" spans="1:32" x14ac:dyDescent="0.25">
      <c r="A641" s="25" t="s">
        <v>710</v>
      </c>
      <c r="B641" s="25">
        <v>0</v>
      </c>
      <c r="C641" s="25">
        <v>0</v>
      </c>
      <c r="D641" s="25">
        <v>0</v>
      </c>
      <c r="E641" s="25">
        <v>0</v>
      </c>
      <c r="F641" s="25">
        <v>0</v>
      </c>
      <c r="G641" s="25">
        <v>0</v>
      </c>
      <c r="H641" s="25">
        <v>0</v>
      </c>
      <c r="I641" s="25">
        <v>0</v>
      </c>
      <c r="J641" s="25">
        <v>0</v>
      </c>
      <c r="K641" s="25">
        <v>0</v>
      </c>
      <c r="L641" s="25">
        <v>0</v>
      </c>
      <c r="M641" s="25">
        <v>0</v>
      </c>
      <c r="N641" s="25">
        <v>0</v>
      </c>
      <c r="O641" s="25">
        <v>0</v>
      </c>
      <c r="P641" s="25">
        <v>0</v>
      </c>
      <c r="Q641" s="25">
        <v>0</v>
      </c>
      <c r="R641" s="25">
        <v>0</v>
      </c>
      <c r="S641" s="25">
        <v>0</v>
      </c>
      <c r="T641" s="25">
        <v>0</v>
      </c>
      <c r="U641" s="25">
        <v>0</v>
      </c>
      <c r="V641" s="25">
        <v>0</v>
      </c>
      <c r="W641" s="25">
        <v>0</v>
      </c>
      <c r="X641" s="25">
        <v>0</v>
      </c>
      <c r="Y641" s="25">
        <v>0</v>
      </c>
      <c r="Z641" s="25">
        <v>0</v>
      </c>
      <c r="AA641" s="25">
        <v>0</v>
      </c>
      <c r="AB641" s="25">
        <v>0</v>
      </c>
      <c r="AC641" s="25">
        <v>0</v>
      </c>
      <c r="AD641" s="25">
        <v>0</v>
      </c>
      <c r="AE641" s="25">
        <v>0</v>
      </c>
      <c r="AF641" s="25">
        <v>0</v>
      </c>
    </row>
    <row r="642" spans="1:32" x14ac:dyDescent="0.25">
      <c r="A642" s="25" t="s">
        <v>711</v>
      </c>
      <c r="B642" s="25">
        <v>0</v>
      </c>
      <c r="C642" s="25">
        <v>0</v>
      </c>
      <c r="D642" s="25">
        <v>0</v>
      </c>
      <c r="E642" s="25">
        <v>0</v>
      </c>
      <c r="F642" s="25">
        <v>0</v>
      </c>
      <c r="G642" s="25">
        <v>0</v>
      </c>
      <c r="H642" s="25">
        <v>0</v>
      </c>
      <c r="I642" s="25">
        <v>0</v>
      </c>
      <c r="J642" s="25">
        <v>0</v>
      </c>
      <c r="K642" s="25">
        <v>0</v>
      </c>
      <c r="L642" s="25">
        <v>0</v>
      </c>
      <c r="M642" s="25">
        <v>0</v>
      </c>
      <c r="N642" s="25">
        <v>0</v>
      </c>
      <c r="O642" s="25">
        <v>0</v>
      </c>
      <c r="P642" s="25">
        <v>0</v>
      </c>
      <c r="Q642" s="25">
        <v>0</v>
      </c>
      <c r="R642" s="25">
        <v>0</v>
      </c>
      <c r="S642" s="25">
        <v>0</v>
      </c>
      <c r="T642" s="25">
        <v>0</v>
      </c>
      <c r="U642" s="25">
        <v>0</v>
      </c>
      <c r="V642" s="25">
        <v>0</v>
      </c>
      <c r="W642" s="25">
        <v>0</v>
      </c>
      <c r="X642" s="25">
        <v>0</v>
      </c>
      <c r="Y642" s="25">
        <v>0</v>
      </c>
      <c r="Z642" s="25">
        <v>0</v>
      </c>
      <c r="AA642" s="25">
        <v>0</v>
      </c>
      <c r="AB642" s="25">
        <v>0</v>
      </c>
      <c r="AC642" s="25">
        <v>0</v>
      </c>
      <c r="AD642" s="25">
        <v>0</v>
      </c>
      <c r="AE642" s="25">
        <v>0</v>
      </c>
      <c r="AF642" s="25">
        <v>0</v>
      </c>
    </row>
    <row r="643" spans="1:32" x14ac:dyDescent="0.25">
      <c r="A643" s="25" t="s">
        <v>712</v>
      </c>
      <c r="B643" s="25">
        <v>0</v>
      </c>
      <c r="C643" s="25">
        <v>0</v>
      </c>
      <c r="D643" s="25">
        <v>0</v>
      </c>
      <c r="E643" s="25">
        <v>0</v>
      </c>
      <c r="F643" s="25">
        <v>0</v>
      </c>
      <c r="G643" s="25">
        <v>0</v>
      </c>
      <c r="H643" s="25">
        <v>0</v>
      </c>
      <c r="I643" s="25">
        <v>0</v>
      </c>
      <c r="J643" s="25">
        <v>0</v>
      </c>
      <c r="K643" s="25">
        <v>0</v>
      </c>
      <c r="L643" s="25">
        <v>0</v>
      </c>
      <c r="M643" s="25">
        <v>0</v>
      </c>
      <c r="N643" s="25">
        <v>0</v>
      </c>
      <c r="O643" s="25">
        <v>0</v>
      </c>
      <c r="P643" s="25">
        <v>0</v>
      </c>
      <c r="Q643" s="25">
        <v>0</v>
      </c>
      <c r="R643" s="25">
        <v>0</v>
      </c>
      <c r="S643" s="25">
        <v>0</v>
      </c>
      <c r="T643" s="25">
        <v>0</v>
      </c>
      <c r="U643" s="25">
        <v>0</v>
      </c>
      <c r="V643" s="25">
        <v>0</v>
      </c>
      <c r="W643" s="25">
        <v>0</v>
      </c>
      <c r="X643" s="25">
        <v>0</v>
      </c>
      <c r="Y643" s="25">
        <v>0</v>
      </c>
      <c r="Z643" s="25">
        <v>0</v>
      </c>
      <c r="AA643" s="25">
        <v>0</v>
      </c>
      <c r="AB643" s="25">
        <v>0</v>
      </c>
      <c r="AC643" s="25">
        <v>0</v>
      </c>
      <c r="AD643" s="25">
        <v>0</v>
      </c>
      <c r="AE643" s="25">
        <v>0</v>
      </c>
      <c r="AF643" s="25">
        <v>0</v>
      </c>
    </row>
    <row r="644" spans="1:32" x14ac:dyDescent="0.25">
      <c r="A644" s="25" t="s">
        <v>713</v>
      </c>
      <c r="B644" s="25">
        <v>0</v>
      </c>
      <c r="C644" s="25">
        <v>0</v>
      </c>
      <c r="D644" s="25">
        <v>0</v>
      </c>
      <c r="E644" s="25">
        <v>0</v>
      </c>
      <c r="F644" s="25">
        <v>0</v>
      </c>
      <c r="G644" s="25">
        <v>0</v>
      </c>
      <c r="H644" s="25">
        <v>0</v>
      </c>
      <c r="I644" s="25">
        <v>0</v>
      </c>
      <c r="J644" s="25">
        <v>0</v>
      </c>
      <c r="K644" s="25">
        <v>0</v>
      </c>
      <c r="L644" s="25">
        <v>0</v>
      </c>
      <c r="M644" s="25">
        <v>0</v>
      </c>
      <c r="N644" s="25">
        <v>0</v>
      </c>
      <c r="O644" s="25">
        <v>0</v>
      </c>
      <c r="P644" s="25">
        <v>0</v>
      </c>
      <c r="Q644" s="25">
        <v>0</v>
      </c>
      <c r="R644" s="25">
        <v>0</v>
      </c>
      <c r="S644" s="25">
        <v>0</v>
      </c>
      <c r="T644" s="25">
        <v>0</v>
      </c>
      <c r="U644" s="25">
        <v>0</v>
      </c>
      <c r="V644" s="25">
        <v>0</v>
      </c>
      <c r="W644" s="25">
        <v>0</v>
      </c>
      <c r="X644" s="25">
        <v>0</v>
      </c>
      <c r="Y644" s="25">
        <v>0</v>
      </c>
      <c r="Z644" s="25">
        <v>0</v>
      </c>
      <c r="AA644" s="25">
        <v>0</v>
      </c>
      <c r="AB644" s="25">
        <v>0</v>
      </c>
      <c r="AC644" s="25">
        <v>0</v>
      </c>
      <c r="AD644" s="25">
        <v>0</v>
      </c>
      <c r="AE644" s="25">
        <v>0</v>
      </c>
      <c r="AF644" s="25">
        <v>0</v>
      </c>
    </row>
    <row r="645" spans="1:32" x14ac:dyDescent="0.25">
      <c r="A645" s="25" t="s">
        <v>714</v>
      </c>
      <c r="B645" s="25">
        <v>0</v>
      </c>
      <c r="C645" s="25">
        <v>0</v>
      </c>
      <c r="D645" s="25">
        <v>0</v>
      </c>
      <c r="E645" s="25">
        <v>0</v>
      </c>
      <c r="F645" s="25">
        <v>0</v>
      </c>
      <c r="G645" s="25">
        <v>0</v>
      </c>
      <c r="H645" s="25">
        <v>0</v>
      </c>
      <c r="I645" s="25">
        <v>0</v>
      </c>
      <c r="J645" s="25">
        <v>0</v>
      </c>
      <c r="K645" s="25">
        <v>0</v>
      </c>
      <c r="L645" s="25">
        <v>0</v>
      </c>
      <c r="M645" s="25">
        <v>0</v>
      </c>
      <c r="N645" s="25">
        <v>0</v>
      </c>
      <c r="O645" s="25">
        <v>0</v>
      </c>
      <c r="P645" s="25">
        <v>0</v>
      </c>
      <c r="Q645" s="25">
        <v>0</v>
      </c>
      <c r="R645" s="25">
        <v>0</v>
      </c>
      <c r="S645" s="25">
        <v>0</v>
      </c>
      <c r="T645" s="25">
        <v>0</v>
      </c>
      <c r="U645" s="25">
        <v>0</v>
      </c>
      <c r="V645" s="25">
        <v>0</v>
      </c>
      <c r="W645" s="25">
        <v>0</v>
      </c>
      <c r="X645" s="25">
        <v>0</v>
      </c>
      <c r="Y645" s="25">
        <v>0</v>
      </c>
      <c r="Z645" s="25">
        <v>0</v>
      </c>
      <c r="AA645" s="25">
        <v>0</v>
      </c>
      <c r="AB645" s="25">
        <v>0</v>
      </c>
      <c r="AC645" s="25">
        <v>0</v>
      </c>
      <c r="AD645" s="25">
        <v>0</v>
      </c>
      <c r="AE645" s="25">
        <v>0</v>
      </c>
      <c r="AF645" s="25">
        <v>0</v>
      </c>
    </row>
    <row r="646" spans="1:32" x14ac:dyDescent="0.25">
      <c r="A646" s="25" t="s">
        <v>715</v>
      </c>
      <c r="B646" s="25">
        <v>0</v>
      </c>
      <c r="C646" s="25">
        <v>0</v>
      </c>
      <c r="D646" s="25">
        <v>0</v>
      </c>
      <c r="E646" s="25">
        <v>0</v>
      </c>
      <c r="F646" s="25">
        <v>0</v>
      </c>
      <c r="G646" s="25">
        <v>0</v>
      </c>
      <c r="H646" s="25">
        <v>0</v>
      </c>
      <c r="I646" s="25">
        <v>0</v>
      </c>
      <c r="J646" s="25">
        <v>0</v>
      </c>
      <c r="K646" s="25">
        <v>0</v>
      </c>
      <c r="L646" s="25">
        <v>0</v>
      </c>
      <c r="M646" s="25">
        <v>0</v>
      </c>
      <c r="N646" s="25">
        <v>0</v>
      </c>
      <c r="O646" s="25">
        <v>0</v>
      </c>
      <c r="P646" s="25">
        <v>0</v>
      </c>
      <c r="Q646" s="25">
        <v>0</v>
      </c>
      <c r="R646" s="25">
        <v>0</v>
      </c>
      <c r="S646" s="25">
        <v>0</v>
      </c>
      <c r="T646" s="25">
        <v>0</v>
      </c>
      <c r="U646" s="25">
        <v>0</v>
      </c>
      <c r="V646" s="25">
        <v>0</v>
      </c>
      <c r="W646" s="25">
        <v>0</v>
      </c>
      <c r="X646" s="25">
        <v>0</v>
      </c>
      <c r="Y646" s="25">
        <v>0</v>
      </c>
      <c r="Z646" s="25">
        <v>0</v>
      </c>
      <c r="AA646" s="25">
        <v>0</v>
      </c>
      <c r="AB646" s="25">
        <v>0</v>
      </c>
      <c r="AC646" s="25">
        <v>0</v>
      </c>
      <c r="AD646" s="25">
        <v>0</v>
      </c>
      <c r="AE646" s="25">
        <v>0</v>
      </c>
      <c r="AF646" s="25">
        <v>0</v>
      </c>
    </row>
    <row r="647" spans="1:32" x14ac:dyDescent="0.25">
      <c r="A647" s="25" t="s">
        <v>716</v>
      </c>
      <c r="B647" s="25">
        <v>0</v>
      </c>
      <c r="C647" s="25">
        <v>0</v>
      </c>
      <c r="D647" s="25">
        <v>0</v>
      </c>
      <c r="E647" s="25">
        <v>0</v>
      </c>
      <c r="F647" s="25">
        <v>0</v>
      </c>
      <c r="G647" s="25">
        <v>0</v>
      </c>
      <c r="H647" s="25">
        <v>0</v>
      </c>
      <c r="I647" s="25">
        <v>0</v>
      </c>
      <c r="J647" s="25">
        <v>0</v>
      </c>
      <c r="K647" s="25">
        <v>0</v>
      </c>
      <c r="L647" s="25">
        <v>0</v>
      </c>
      <c r="M647" s="25">
        <v>0</v>
      </c>
      <c r="N647" s="25">
        <v>0</v>
      </c>
      <c r="O647" s="25">
        <v>0</v>
      </c>
      <c r="P647" s="25">
        <v>0</v>
      </c>
      <c r="Q647" s="25">
        <v>0</v>
      </c>
      <c r="R647" s="25">
        <v>0</v>
      </c>
      <c r="S647" s="25">
        <v>0</v>
      </c>
      <c r="T647" s="25">
        <v>0</v>
      </c>
      <c r="U647" s="25">
        <v>0</v>
      </c>
      <c r="V647" s="25">
        <v>0</v>
      </c>
      <c r="W647" s="25">
        <v>0</v>
      </c>
      <c r="X647" s="25">
        <v>0</v>
      </c>
      <c r="Y647" s="25">
        <v>0</v>
      </c>
      <c r="Z647" s="25">
        <v>0</v>
      </c>
      <c r="AA647" s="25">
        <v>0</v>
      </c>
      <c r="AB647" s="25">
        <v>0</v>
      </c>
      <c r="AC647" s="25">
        <v>0</v>
      </c>
      <c r="AD647" s="25">
        <v>0</v>
      </c>
      <c r="AE647" s="25">
        <v>0</v>
      </c>
      <c r="AF647" s="25">
        <v>0</v>
      </c>
    </row>
    <row r="648" spans="1:32" x14ac:dyDescent="0.25">
      <c r="A648" s="25" t="s">
        <v>717</v>
      </c>
      <c r="B648" s="25">
        <v>0</v>
      </c>
      <c r="C648" s="25">
        <v>0</v>
      </c>
      <c r="D648" s="25">
        <v>0</v>
      </c>
      <c r="E648" s="25">
        <v>0</v>
      </c>
      <c r="F648" s="25">
        <v>0</v>
      </c>
      <c r="G648" s="25">
        <v>0</v>
      </c>
      <c r="H648" s="25">
        <v>0</v>
      </c>
      <c r="I648" s="25">
        <v>0</v>
      </c>
      <c r="J648" s="25">
        <v>0</v>
      </c>
      <c r="K648" s="25">
        <v>0</v>
      </c>
      <c r="L648" s="25">
        <v>0</v>
      </c>
      <c r="M648" s="25">
        <v>0</v>
      </c>
      <c r="N648" s="25">
        <v>0</v>
      </c>
      <c r="O648" s="25">
        <v>0</v>
      </c>
      <c r="P648" s="25">
        <v>0</v>
      </c>
      <c r="Q648" s="25">
        <v>0</v>
      </c>
      <c r="R648" s="25">
        <v>0</v>
      </c>
      <c r="S648" s="25">
        <v>0</v>
      </c>
      <c r="T648" s="25">
        <v>0</v>
      </c>
      <c r="U648" s="25">
        <v>0</v>
      </c>
      <c r="V648" s="25">
        <v>0</v>
      </c>
      <c r="W648" s="25">
        <v>0</v>
      </c>
      <c r="X648" s="25">
        <v>0</v>
      </c>
      <c r="Y648" s="25">
        <v>0</v>
      </c>
      <c r="Z648" s="25">
        <v>0</v>
      </c>
      <c r="AA648" s="25">
        <v>0</v>
      </c>
      <c r="AB648" s="25">
        <v>0</v>
      </c>
      <c r="AC648" s="25">
        <v>0</v>
      </c>
      <c r="AD648" s="25">
        <v>0</v>
      </c>
      <c r="AE648" s="25">
        <v>0</v>
      </c>
      <c r="AF648" s="25">
        <v>0</v>
      </c>
    </row>
    <row r="649" spans="1:32" x14ac:dyDescent="0.25">
      <c r="A649" s="25" t="s">
        <v>718</v>
      </c>
      <c r="B649" s="25">
        <v>0</v>
      </c>
      <c r="C649" s="25">
        <v>0</v>
      </c>
      <c r="D649" s="25">
        <v>0</v>
      </c>
      <c r="E649" s="25">
        <v>0</v>
      </c>
      <c r="F649" s="25">
        <v>0</v>
      </c>
      <c r="G649" s="25">
        <v>0</v>
      </c>
      <c r="H649" s="25">
        <v>0</v>
      </c>
      <c r="I649" s="25">
        <v>0</v>
      </c>
      <c r="J649" s="25">
        <v>0</v>
      </c>
      <c r="K649" s="25">
        <v>0</v>
      </c>
      <c r="L649" s="25">
        <v>0</v>
      </c>
      <c r="M649" s="25">
        <v>0</v>
      </c>
      <c r="N649" s="25">
        <v>0</v>
      </c>
      <c r="O649" s="25">
        <v>0</v>
      </c>
      <c r="P649" s="25">
        <v>0</v>
      </c>
      <c r="Q649" s="25">
        <v>0</v>
      </c>
      <c r="R649" s="25">
        <v>0</v>
      </c>
      <c r="S649" s="25">
        <v>0</v>
      </c>
      <c r="T649" s="25">
        <v>0</v>
      </c>
      <c r="U649" s="25">
        <v>0</v>
      </c>
      <c r="V649" s="25">
        <v>0</v>
      </c>
      <c r="W649" s="25">
        <v>0</v>
      </c>
      <c r="X649" s="25">
        <v>0</v>
      </c>
      <c r="Y649" s="25">
        <v>0</v>
      </c>
      <c r="Z649" s="25">
        <v>0</v>
      </c>
      <c r="AA649" s="25">
        <v>0</v>
      </c>
      <c r="AB649" s="25">
        <v>0</v>
      </c>
      <c r="AC649" s="25">
        <v>0</v>
      </c>
      <c r="AD649" s="25">
        <v>0</v>
      </c>
      <c r="AE649" s="25">
        <v>0</v>
      </c>
      <c r="AF649" s="25">
        <v>0</v>
      </c>
    </row>
    <row r="650" spans="1:32" x14ac:dyDescent="0.25">
      <c r="A650" s="25" t="s">
        <v>719</v>
      </c>
      <c r="B650" s="25">
        <v>0</v>
      </c>
      <c r="C650" s="25">
        <v>0</v>
      </c>
      <c r="D650" s="25">
        <v>0</v>
      </c>
      <c r="E650" s="25">
        <v>0</v>
      </c>
      <c r="F650" s="25">
        <v>0</v>
      </c>
      <c r="G650" s="25">
        <v>0</v>
      </c>
      <c r="H650" s="25">
        <v>0</v>
      </c>
      <c r="I650" s="25">
        <v>0</v>
      </c>
      <c r="J650" s="25">
        <v>0</v>
      </c>
      <c r="K650" s="25">
        <v>0</v>
      </c>
      <c r="L650" s="25">
        <v>0</v>
      </c>
      <c r="M650" s="25">
        <v>0</v>
      </c>
      <c r="N650" s="25">
        <v>0</v>
      </c>
      <c r="O650" s="25">
        <v>0</v>
      </c>
      <c r="P650" s="25">
        <v>0</v>
      </c>
      <c r="Q650" s="25">
        <v>0</v>
      </c>
      <c r="R650" s="25">
        <v>0</v>
      </c>
      <c r="S650" s="25">
        <v>0</v>
      </c>
      <c r="T650" s="25">
        <v>0</v>
      </c>
      <c r="U650" s="25">
        <v>0</v>
      </c>
      <c r="V650" s="25">
        <v>0</v>
      </c>
      <c r="W650" s="25">
        <v>0</v>
      </c>
      <c r="X650" s="25">
        <v>0</v>
      </c>
      <c r="Y650" s="25">
        <v>0</v>
      </c>
      <c r="Z650" s="25">
        <v>0</v>
      </c>
      <c r="AA650" s="25">
        <v>0</v>
      </c>
      <c r="AB650" s="25">
        <v>0</v>
      </c>
      <c r="AC650" s="25">
        <v>0</v>
      </c>
      <c r="AD650" s="25">
        <v>0</v>
      </c>
      <c r="AE650" s="25">
        <v>0</v>
      </c>
      <c r="AF650" s="25">
        <v>0</v>
      </c>
    </row>
    <row r="651" spans="1:32" x14ac:dyDescent="0.25">
      <c r="A651" s="25" t="s">
        <v>720</v>
      </c>
      <c r="B651" s="25">
        <v>0</v>
      </c>
      <c r="C651" s="25">
        <v>0</v>
      </c>
      <c r="D651" s="25">
        <v>0</v>
      </c>
      <c r="E651" s="25">
        <v>0</v>
      </c>
      <c r="F651" s="25">
        <v>0</v>
      </c>
      <c r="G651" s="25">
        <v>0</v>
      </c>
      <c r="H651" s="25">
        <v>0</v>
      </c>
      <c r="I651" s="25">
        <v>0</v>
      </c>
      <c r="J651" s="25">
        <v>0</v>
      </c>
      <c r="K651" s="25">
        <v>0</v>
      </c>
      <c r="L651" s="25">
        <v>0</v>
      </c>
      <c r="M651" s="25">
        <v>0</v>
      </c>
      <c r="N651" s="25">
        <v>0</v>
      </c>
      <c r="O651" s="25">
        <v>0</v>
      </c>
      <c r="P651" s="25">
        <v>0</v>
      </c>
      <c r="Q651" s="25">
        <v>0</v>
      </c>
      <c r="R651" s="25">
        <v>0</v>
      </c>
      <c r="S651" s="25">
        <v>0</v>
      </c>
      <c r="T651" s="25">
        <v>0</v>
      </c>
      <c r="U651" s="25">
        <v>0</v>
      </c>
      <c r="V651" s="25">
        <v>0</v>
      </c>
      <c r="W651" s="25">
        <v>0</v>
      </c>
      <c r="X651" s="25">
        <v>0</v>
      </c>
      <c r="Y651" s="25">
        <v>0</v>
      </c>
      <c r="Z651" s="25">
        <v>0</v>
      </c>
      <c r="AA651" s="25">
        <v>0</v>
      </c>
      <c r="AB651" s="25">
        <v>0</v>
      </c>
      <c r="AC651" s="25">
        <v>0</v>
      </c>
      <c r="AD651" s="25">
        <v>0</v>
      </c>
      <c r="AE651" s="25">
        <v>0</v>
      </c>
      <c r="AF651" s="25">
        <v>0</v>
      </c>
    </row>
    <row r="652" spans="1:32" x14ac:dyDescent="0.25">
      <c r="A652" s="25" t="s">
        <v>721</v>
      </c>
      <c r="B652" s="25">
        <v>0</v>
      </c>
      <c r="C652" s="25">
        <v>0</v>
      </c>
      <c r="D652" s="25">
        <v>0</v>
      </c>
      <c r="E652" s="25">
        <v>0</v>
      </c>
      <c r="F652" s="25">
        <v>0</v>
      </c>
      <c r="G652" s="25">
        <v>0</v>
      </c>
      <c r="H652" s="25">
        <v>0</v>
      </c>
      <c r="I652" s="25">
        <v>0</v>
      </c>
      <c r="J652" s="25">
        <v>0</v>
      </c>
      <c r="K652" s="25">
        <v>0</v>
      </c>
      <c r="L652" s="25">
        <v>0</v>
      </c>
      <c r="M652" s="25">
        <v>0</v>
      </c>
      <c r="N652" s="25">
        <v>0</v>
      </c>
      <c r="O652" s="25">
        <v>0</v>
      </c>
      <c r="P652" s="25">
        <v>0</v>
      </c>
      <c r="Q652" s="25">
        <v>0</v>
      </c>
      <c r="R652" s="25">
        <v>0</v>
      </c>
      <c r="S652" s="25">
        <v>0</v>
      </c>
      <c r="T652" s="25">
        <v>0</v>
      </c>
      <c r="U652" s="25">
        <v>0</v>
      </c>
      <c r="V652" s="25">
        <v>0</v>
      </c>
      <c r="W652" s="25">
        <v>0</v>
      </c>
      <c r="X652" s="25">
        <v>0</v>
      </c>
      <c r="Y652" s="25">
        <v>0</v>
      </c>
      <c r="Z652" s="25">
        <v>0</v>
      </c>
      <c r="AA652" s="25">
        <v>0</v>
      </c>
      <c r="AB652" s="25">
        <v>0</v>
      </c>
      <c r="AC652" s="25">
        <v>0</v>
      </c>
      <c r="AD652" s="25">
        <v>0</v>
      </c>
      <c r="AE652" s="25">
        <v>0</v>
      </c>
      <c r="AF652" s="25">
        <v>0</v>
      </c>
    </row>
    <row r="653" spans="1:32" x14ac:dyDescent="0.25">
      <c r="A653" s="25" t="s">
        <v>722</v>
      </c>
      <c r="B653" s="25">
        <v>0</v>
      </c>
      <c r="C653" s="25">
        <v>0</v>
      </c>
      <c r="D653" s="25">
        <v>0</v>
      </c>
      <c r="E653" s="25">
        <v>0</v>
      </c>
      <c r="F653" s="25">
        <v>0</v>
      </c>
      <c r="G653" s="25">
        <v>0</v>
      </c>
      <c r="H653" s="25">
        <v>0</v>
      </c>
      <c r="I653" s="25">
        <v>0</v>
      </c>
      <c r="J653" s="25">
        <v>0</v>
      </c>
      <c r="K653" s="25">
        <v>0</v>
      </c>
      <c r="L653" s="25">
        <v>0</v>
      </c>
      <c r="M653" s="25">
        <v>0</v>
      </c>
      <c r="N653" s="25">
        <v>0</v>
      </c>
      <c r="O653" s="25">
        <v>0</v>
      </c>
      <c r="P653" s="25">
        <v>0</v>
      </c>
      <c r="Q653" s="25">
        <v>0</v>
      </c>
      <c r="R653" s="25">
        <v>0</v>
      </c>
      <c r="S653" s="25">
        <v>0</v>
      </c>
      <c r="T653" s="25">
        <v>0</v>
      </c>
      <c r="U653" s="25">
        <v>0</v>
      </c>
      <c r="V653" s="25">
        <v>0</v>
      </c>
      <c r="W653" s="25">
        <v>0</v>
      </c>
      <c r="X653" s="25">
        <v>0</v>
      </c>
      <c r="Y653" s="25">
        <v>0</v>
      </c>
      <c r="Z653" s="25">
        <v>0</v>
      </c>
      <c r="AA653" s="25">
        <v>0</v>
      </c>
      <c r="AB653" s="25">
        <v>0</v>
      </c>
      <c r="AC653" s="25">
        <v>0</v>
      </c>
      <c r="AD653" s="25">
        <v>0</v>
      </c>
      <c r="AE653" s="25">
        <v>0</v>
      </c>
      <c r="AF653" s="25">
        <v>0</v>
      </c>
    </row>
    <row r="654" spans="1:32" x14ac:dyDescent="0.25">
      <c r="A654" s="25" t="s">
        <v>723</v>
      </c>
      <c r="B654" s="25">
        <v>0</v>
      </c>
      <c r="C654" s="25">
        <v>0</v>
      </c>
      <c r="D654" s="25">
        <v>0</v>
      </c>
      <c r="E654" s="25">
        <v>0</v>
      </c>
      <c r="F654" s="25">
        <v>0</v>
      </c>
      <c r="G654" s="25">
        <v>0</v>
      </c>
      <c r="H654" s="25">
        <v>0</v>
      </c>
      <c r="I654" s="25">
        <v>0</v>
      </c>
      <c r="J654" s="25">
        <v>0</v>
      </c>
      <c r="K654" s="25">
        <v>0</v>
      </c>
      <c r="L654" s="25">
        <v>0</v>
      </c>
      <c r="M654" s="25">
        <v>0</v>
      </c>
      <c r="N654" s="25">
        <v>0</v>
      </c>
      <c r="O654" s="25">
        <v>0</v>
      </c>
      <c r="P654" s="25">
        <v>0</v>
      </c>
      <c r="Q654" s="25">
        <v>0</v>
      </c>
      <c r="R654" s="25">
        <v>0</v>
      </c>
      <c r="S654" s="25">
        <v>0</v>
      </c>
      <c r="T654" s="25">
        <v>0</v>
      </c>
      <c r="U654" s="25">
        <v>0</v>
      </c>
      <c r="V654" s="25">
        <v>0</v>
      </c>
      <c r="W654" s="25">
        <v>0</v>
      </c>
      <c r="X654" s="25">
        <v>0</v>
      </c>
      <c r="Y654" s="25">
        <v>0</v>
      </c>
      <c r="Z654" s="25">
        <v>0</v>
      </c>
      <c r="AA654" s="25">
        <v>0</v>
      </c>
      <c r="AB654" s="25">
        <v>0</v>
      </c>
      <c r="AC654" s="25">
        <v>0</v>
      </c>
      <c r="AD654" s="25">
        <v>0</v>
      </c>
      <c r="AE654" s="25">
        <v>0</v>
      </c>
      <c r="AF654" s="25">
        <v>0</v>
      </c>
    </row>
    <row r="655" spans="1:32" x14ac:dyDescent="0.25">
      <c r="A655" s="25" t="s">
        <v>724</v>
      </c>
      <c r="B655" s="25">
        <v>0</v>
      </c>
      <c r="C655" s="25">
        <v>0</v>
      </c>
      <c r="D655" s="25">
        <v>0</v>
      </c>
      <c r="E655" s="25">
        <v>0</v>
      </c>
      <c r="F655" s="25">
        <v>0</v>
      </c>
      <c r="G655" s="25">
        <v>0</v>
      </c>
      <c r="H655" s="25">
        <v>0</v>
      </c>
      <c r="I655" s="25">
        <v>0</v>
      </c>
      <c r="J655" s="25">
        <v>0</v>
      </c>
      <c r="K655" s="25">
        <v>0</v>
      </c>
      <c r="L655" s="25">
        <v>0</v>
      </c>
      <c r="M655" s="25">
        <v>0</v>
      </c>
      <c r="N655" s="25">
        <v>0</v>
      </c>
      <c r="O655" s="25">
        <v>0</v>
      </c>
      <c r="P655" s="25">
        <v>0</v>
      </c>
      <c r="Q655" s="25">
        <v>0</v>
      </c>
      <c r="R655" s="25">
        <v>0</v>
      </c>
      <c r="S655" s="25">
        <v>0</v>
      </c>
      <c r="T655" s="25">
        <v>0</v>
      </c>
      <c r="U655" s="25">
        <v>0</v>
      </c>
      <c r="V655" s="25">
        <v>0</v>
      </c>
      <c r="W655" s="25">
        <v>0</v>
      </c>
      <c r="X655" s="25">
        <v>0</v>
      </c>
      <c r="Y655" s="25">
        <v>0</v>
      </c>
      <c r="Z655" s="25">
        <v>0</v>
      </c>
      <c r="AA655" s="25">
        <v>0</v>
      </c>
      <c r="AB655" s="25">
        <v>0</v>
      </c>
      <c r="AC655" s="25">
        <v>0</v>
      </c>
      <c r="AD655" s="25">
        <v>0</v>
      </c>
      <c r="AE655" s="25">
        <v>0</v>
      </c>
      <c r="AF655" s="25">
        <v>0</v>
      </c>
    </row>
    <row r="656" spans="1:32" x14ac:dyDescent="0.25">
      <c r="A656" s="25" t="s">
        <v>725</v>
      </c>
      <c r="B656" s="25">
        <v>0</v>
      </c>
      <c r="C656" s="25">
        <v>0</v>
      </c>
      <c r="D656" s="25">
        <v>0</v>
      </c>
      <c r="E656" s="25">
        <v>0</v>
      </c>
      <c r="F656" s="25">
        <v>0</v>
      </c>
      <c r="G656" s="25">
        <v>0</v>
      </c>
      <c r="H656" s="25">
        <v>0</v>
      </c>
      <c r="I656" s="25">
        <v>0</v>
      </c>
      <c r="J656" s="25">
        <v>0</v>
      </c>
      <c r="K656" s="25">
        <v>0</v>
      </c>
      <c r="L656" s="25">
        <v>0</v>
      </c>
      <c r="M656" s="25">
        <v>0</v>
      </c>
      <c r="N656" s="25">
        <v>0</v>
      </c>
      <c r="O656" s="25">
        <v>0</v>
      </c>
      <c r="P656" s="25">
        <v>0</v>
      </c>
      <c r="Q656" s="25">
        <v>0</v>
      </c>
      <c r="R656" s="25">
        <v>0</v>
      </c>
      <c r="S656" s="25">
        <v>0</v>
      </c>
      <c r="T656" s="25">
        <v>0</v>
      </c>
      <c r="U656" s="25">
        <v>0</v>
      </c>
      <c r="V656" s="25">
        <v>0</v>
      </c>
      <c r="W656" s="25">
        <v>0</v>
      </c>
      <c r="X656" s="25">
        <v>0</v>
      </c>
      <c r="Y656" s="25">
        <v>0</v>
      </c>
      <c r="Z656" s="25">
        <v>0</v>
      </c>
      <c r="AA656" s="25">
        <v>0</v>
      </c>
      <c r="AB656" s="25">
        <v>0</v>
      </c>
      <c r="AC656" s="25">
        <v>0</v>
      </c>
      <c r="AD656" s="25">
        <v>0</v>
      </c>
      <c r="AE656" s="25">
        <v>0</v>
      </c>
      <c r="AF656" s="25">
        <v>0</v>
      </c>
    </row>
    <row r="657" spans="1:32" x14ac:dyDescent="0.25">
      <c r="A657" s="25" t="s">
        <v>726</v>
      </c>
      <c r="B657" s="25">
        <v>0</v>
      </c>
      <c r="C657" s="25">
        <v>0</v>
      </c>
      <c r="D657" s="25">
        <v>0</v>
      </c>
      <c r="E657" s="25">
        <v>0</v>
      </c>
      <c r="F657" s="25">
        <v>0</v>
      </c>
      <c r="G657" s="25">
        <v>0</v>
      </c>
      <c r="H657" s="25">
        <v>0</v>
      </c>
      <c r="I657" s="25">
        <v>0</v>
      </c>
      <c r="J657" s="25">
        <v>0</v>
      </c>
      <c r="K657" s="25">
        <v>0</v>
      </c>
      <c r="L657" s="25">
        <v>0</v>
      </c>
      <c r="M657" s="25">
        <v>0</v>
      </c>
      <c r="N657" s="25">
        <v>0</v>
      </c>
      <c r="O657" s="25">
        <v>0</v>
      </c>
      <c r="P657" s="25">
        <v>0</v>
      </c>
      <c r="Q657" s="25">
        <v>0</v>
      </c>
      <c r="R657" s="25">
        <v>0</v>
      </c>
      <c r="S657" s="25">
        <v>0</v>
      </c>
      <c r="T657" s="25">
        <v>0</v>
      </c>
      <c r="U657" s="25">
        <v>0</v>
      </c>
      <c r="V657" s="25">
        <v>0</v>
      </c>
      <c r="W657" s="25">
        <v>0</v>
      </c>
      <c r="X657" s="25">
        <v>0</v>
      </c>
      <c r="Y657" s="25">
        <v>0</v>
      </c>
      <c r="Z657" s="25">
        <v>0</v>
      </c>
      <c r="AA657" s="25">
        <v>0</v>
      </c>
      <c r="AB657" s="25">
        <v>0</v>
      </c>
      <c r="AC657" s="25">
        <v>0</v>
      </c>
      <c r="AD657" s="25">
        <v>0</v>
      </c>
      <c r="AE657" s="25">
        <v>0</v>
      </c>
      <c r="AF657" s="25">
        <v>0</v>
      </c>
    </row>
    <row r="658" spans="1:32" x14ac:dyDescent="0.25">
      <c r="A658" s="25" t="s">
        <v>727</v>
      </c>
      <c r="B658" s="25">
        <v>0</v>
      </c>
      <c r="C658" s="25">
        <v>0</v>
      </c>
      <c r="D658" s="25">
        <v>0</v>
      </c>
      <c r="E658" s="25">
        <v>0</v>
      </c>
      <c r="F658" s="25">
        <v>0</v>
      </c>
      <c r="G658" s="25">
        <v>0</v>
      </c>
      <c r="H658" s="25">
        <v>0</v>
      </c>
      <c r="I658" s="25">
        <v>0</v>
      </c>
      <c r="J658" s="25">
        <v>0</v>
      </c>
      <c r="K658" s="25">
        <v>0</v>
      </c>
      <c r="L658" s="25">
        <v>0</v>
      </c>
      <c r="M658" s="25">
        <v>0</v>
      </c>
      <c r="N658" s="25">
        <v>0</v>
      </c>
      <c r="O658" s="25">
        <v>0</v>
      </c>
      <c r="P658" s="25">
        <v>0</v>
      </c>
      <c r="Q658" s="25">
        <v>0</v>
      </c>
      <c r="R658" s="25">
        <v>0</v>
      </c>
      <c r="S658" s="25">
        <v>0</v>
      </c>
      <c r="T658" s="25">
        <v>0</v>
      </c>
      <c r="U658" s="25">
        <v>0</v>
      </c>
      <c r="V658" s="25">
        <v>0</v>
      </c>
      <c r="W658" s="25">
        <v>0</v>
      </c>
      <c r="X658" s="25">
        <v>0</v>
      </c>
      <c r="Y658" s="25">
        <v>0</v>
      </c>
      <c r="Z658" s="25">
        <v>0</v>
      </c>
      <c r="AA658" s="25">
        <v>0</v>
      </c>
      <c r="AB658" s="25">
        <v>0</v>
      </c>
      <c r="AC658" s="25">
        <v>0</v>
      </c>
      <c r="AD658" s="25">
        <v>0</v>
      </c>
      <c r="AE658" s="25">
        <v>0</v>
      </c>
      <c r="AF658" s="25">
        <v>0</v>
      </c>
    </row>
    <row r="659" spans="1:32" x14ac:dyDescent="0.25">
      <c r="A659" s="25" t="s">
        <v>728</v>
      </c>
      <c r="B659" s="25">
        <v>0</v>
      </c>
      <c r="C659" s="25">
        <v>0</v>
      </c>
      <c r="D659" s="25">
        <v>0</v>
      </c>
      <c r="E659" s="25">
        <v>0</v>
      </c>
      <c r="F659" s="25">
        <v>0</v>
      </c>
      <c r="G659" s="25">
        <v>0</v>
      </c>
      <c r="H659" s="25">
        <v>0</v>
      </c>
      <c r="I659" s="25">
        <v>0</v>
      </c>
      <c r="J659" s="25">
        <v>0</v>
      </c>
      <c r="K659" s="25">
        <v>0</v>
      </c>
      <c r="L659" s="25">
        <v>0</v>
      </c>
      <c r="M659" s="25">
        <v>0</v>
      </c>
      <c r="N659" s="25">
        <v>0</v>
      </c>
      <c r="O659" s="25">
        <v>0</v>
      </c>
      <c r="P659" s="25">
        <v>0</v>
      </c>
      <c r="Q659" s="25">
        <v>0</v>
      </c>
      <c r="R659" s="25">
        <v>0</v>
      </c>
      <c r="S659" s="25">
        <v>0</v>
      </c>
      <c r="T659" s="25">
        <v>0</v>
      </c>
      <c r="U659" s="25">
        <v>0</v>
      </c>
      <c r="V659" s="25">
        <v>0</v>
      </c>
      <c r="W659" s="25">
        <v>0</v>
      </c>
      <c r="X659" s="25">
        <v>0</v>
      </c>
      <c r="Y659" s="25">
        <v>0</v>
      </c>
      <c r="Z659" s="25">
        <v>0</v>
      </c>
      <c r="AA659" s="25">
        <v>0</v>
      </c>
      <c r="AB659" s="25">
        <v>0</v>
      </c>
      <c r="AC659" s="25">
        <v>0</v>
      </c>
      <c r="AD659" s="25">
        <v>0</v>
      </c>
      <c r="AE659" s="25">
        <v>0</v>
      </c>
      <c r="AF659" s="25">
        <v>0</v>
      </c>
    </row>
    <row r="660" spans="1:32" x14ac:dyDescent="0.25">
      <c r="A660" s="25" t="s">
        <v>729</v>
      </c>
      <c r="B660" s="25">
        <v>0</v>
      </c>
      <c r="C660" s="25">
        <v>0</v>
      </c>
      <c r="D660" s="25">
        <v>0</v>
      </c>
      <c r="E660" s="25">
        <v>0</v>
      </c>
      <c r="F660" s="25">
        <v>0</v>
      </c>
      <c r="G660" s="25">
        <v>0</v>
      </c>
      <c r="H660" s="25">
        <v>0</v>
      </c>
      <c r="I660" s="25">
        <v>0</v>
      </c>
      <c r="J660" s="25">
        <v>0</v>
      </c>
      <c r="K660" s="25">
        <v>0</v>
      </c>
      <c r="L660" s="25">
        <v>0</v>
      </c>
      <c r="M660" s="25">
        <v>0</v>
      </c>
      <c r="N660" s="25">
        <v>0</v>
      </c>
      <c r="O660" s="25">
        <v>0</v>
      </c>
      <c r="P660" s="25">
        <v>0</v>
      </c>
      <c r="Q660" s="25">
        <v>0</v>
      </c>
      <c r="R660" s="25">
        <v>0</v>
      </c>
      <c r="S660" s="25">
        <v>0</v>
      </c>
      <c r="T660" s="25">
        <v>0</v>
      </c>
      <c r="U660" s="25">
        <v>0</v>
      </c>
      <c r="V660" s="25">
        <v>0</v>
      </c>
      <c r="W660" s="25">
        <v>0</v>
      </c>
      <c r="X660" s="25">
        <v>0</v>
      </c>
      <c r="Y660" s="25">
        <v>0</v>
      </c>
      <c r="Z660" s="25">
        <v>0</v>
      </c>
      <c r="AA660" s="25">
        <v>0</v>
      </c>
      <c r="AB660" s="25">
        <v>0</v>
      </c>
      <c r="AC660" s="25">
        <v>0</v>
      </c>
      <c r="AD660" s="25">
        <v>0</v>
      </c>
      <c r="AE660" s="25">
        <v>0</v>
      </c>
      <c r="AF660" s="25">
        <v>0</v>
      </c>
    </row>
    <row r="661" spans="1:32" x14ac:dyDescent="0.25">
      <c r="A661" s="25" t="s">
        <v>730</v>
      </c>
      <c r="B661" s="25">
        <v>0</v>
      </c>
      <c r="C661" s="25">
        <v>0</v>
      </c>
      <c r="D661" s="25">
        <v>0</v>
      </c>
      <c r="E661" s="25">
        <v>0</v>
      </c>
      <c r="F661" s="25">
        <v>0</v>
      </c>
      <c r="G661" s="25">
        <v>0</v>
      </c>
      <c r="H661" s="25">
        <v>0</v>
      </c>
      <c r="I661" s="25">
        <v>0</v>
      </c>
      <c r="J661" s="25">
        <v>0</v>
      </c>
      <c r="K661" s="25">
        <v>0</v>
      </c>
      <c r="L661" s="25">
        <v>0</v>
      </c>
      <c r="M661" s="25">
        <v>0</v>
      </c>
      <c r="N661" s="25">
        <v>0</v>
      </c>
      <c r="O661" s="25">
        <v>0</v>
      </c>
      <c r="P661" s="25">
        <v>0</v>
      </c>
      <c r="Q661" s="25">
        <v>0</v>
      </c>
      <c r="R661" s="25">
        <v>0</v>
      </c>
      <c r="S661" s="25">
        <v>0</v>
      </c>
      <c r="T661" s="25">
        <v>0</v>
      </c>
      <c r="U661" s="25">
        <v>0</v>
      </c>
      <c r="V661" s="25">
        <v>0</v>
      </c>
      <c r="W661" s="25">
        <v>0</v>
      </c>
      <c r="X661" s="25">
        <v>0</v>
      </c>
      <c r="Y661" s="25">
        <v>0</v>
      </c>
      <c r="Z661" s="25">
        <v>0</v>
      </c>
      <c r="AA661" s="25">
        <v>0</v>
      </c>
      <c r="AB661" s="25">
        <v>0</v>
      </c>
      <c r="AC661" s="25">
        <v>0</v>
      </c>
      <c r="AD661" s="25">
        <v>0</v>
      </c>
      <c r="AE661" s="25">
        <v>0</v>
      </c>
      <c r="AF661" s="25">
        <v>0</v>
      </c>
    </row>
    <row r="662" spans="1:32" x14ac:dyDescent="0.25">
      <c r="A662" s="25" t="s">
        <v>731</v>
      </c>
      <c r="B662" s="25">
        <v>0</v>
      </c>
      <c r="C662" s="25">
        <v>0</v>
      </c>
      <c r="D662" s="25">
        <v>0</v>
      </c>
      <c r="E662" s="25">
        <v>0</v>
      </c>
      <c r="F662" s="25">
        <v>0</v>
      </c>
      <c r="G662" s="25">
        <v>0</v>
      </c>
      <c r="H662" s="25">
        <v>0</v>
      </c>
      <c r="I662" s="25">
        <v>0</v>
      </c>
      <c r="J662" s="25">
        <v>0</v>
      </c>
      <c r="K662" s="25">
        <v>0</v>
      </c>
      <c r="L662" s="25">
        <v>0</v>
      </c>
      <c r="M662" s="25">
        <v>0</v>
      </c>
      <c r="N662" s="25">
        <v>0</v>
      </c>
      <c r="O662" s="25">
        <v>0</v>
      </c>
      <c r="P662" s="25">
        <v>0</v>
      </c>
      <c r="Q662" s="25">
        <v>0</v>
      </c>
      <c r="R662" s="25">
        <v>0</v>
      </c>
      <c r="S662" s="25">
        <v>0</v>
      </c>
      <c r="T662" s="25">
        <v>0</v>
      </c>
      <c r="U662" s="25">
        <v>0</v>
      </c>
      <c r="V662" s="25">
        <v>0</v>
      </c>
      <c r="W662" s="25">
        <v>0</v>
      </c>
      <c r="X662" s="25">
        <v>0</v>
      </c>
      <c r="Y662" s="25">
        <v>0</v>
      </c>
      <c r="Z662" s="25">
        <v>0</v>
      </c>
      <c r="AA662" s="25">
        <v>0</v>
      </c>
      <c r="AB662" s="25">
        <v>0</v>
      </c>
      <c r="AC662" s="25">
        <v>0</v>
      </c>
      <c r="AD662" s="25">
        <v>0</v>
      </c>
      <c r="AE662" s="25">
        <v>0</v>
      </c>
      <c r="AF662" s="25">
        <v>0</v>
      </c>
    </row>
    <row r="663" spans="1:32" x14ac:dyDescent="0.25">
      <c r="A663" s="25" t="s">
        <v>732</v>
      </c>
      <c r="B663" s="25">
        <v>0</v>
      </c>
      <c r="C663" s="25">
        <v>0</v>
      </c>
      <c r="D663" s="25">
        <v>0</v>
      </c>
      <c r="E663" s="25">
        <v>0</v>
      </c>
      <c r="F663" s="25">
        <v>0</v>
      </c>
      <c r="G663" s="25">
        <v>0</v>
      </c>
      <c r="H663" s="25">
        <v>0</v>
      </c>
      <c r="I663" s="25">
        <v>0</v>
      </c>
      <c r="J663" s="25">
        <v>0</v>
      </c>
      <c r="K663" s="25">
        <v>0</v>
      </c>
      <c r="L663" s="25">
        <v>0</v>
      </c>
      <c r="M663" s="25">
        <v>0</v>
      </c>
      <c r="N663" s="25">
        <v>0</v>
      </c>
      <c r="O663" s="25">
        <v>0</v>
      </c>
      <c r="P663" s="25">
        <v>0</v>
      </c>
      <c r="Q663" s="25">
        <v>0</v>
      </c>
      <c r="R663" s="25">
        <v>0</v>
      </c>
      <c r="S663" s="25">
        <v>0</v>
      </c>
      <c r="T663" s="25">
        <v>0</v>
      </c>
      <c r="U663" s="25">
        <v>0</v>
      </c>
      <c r="V663" s="25">
        <v>0</v>
      </c>
      <c r="W663" s="25">
        <v>0</v>
      </c>
      <c r="X663" s="25">
        <v>0</v>
      </c>
      <c r="Y663" s="25">
        <v>0</v>
      </c>
      <c r="Z663" s="25">
        <v>0</v>
      </c>
      <c r="AA663" s="25">
        <v>0</v>
      </c>
      <c r="AB663" s="25">
        <v>0</v>
      </c>
      <c r="AC663" s="25">
        <v>0</v>
      </c>
      <c r="AD663" s="25">
        <v>0</v>
      </c>
      <c r="AE663" s="25">
        <v>0</v>
      </c>
      <c r="AF663" s="25">
        <v>0</v>
      </c>
    </row>
    <row r="664" spans="1:32" x14ac:dyDescent="0.25">
      <c r="A664" s="25" t="s">
        <v>733</v>
      </c>
      <c r="B664" s="25">
        <v>0</v>
      </c>
      <c r="C664" s="25">
        <v>0</v>
      </c>
      <c r="D664" s="25">
        <v>0</v>
      </c>
      <c r="E664" s="25">
        <v>0</v>
      </c>
      <c r="F664" s="25">
        <v>0</v>
      </c>
      <c r="G664" s="25">
        <v>0</v>
      </c>
      <c r="H664" s="25">
        <v>0</v>
      </c>
      <c r="I664" s="25">
        <v>0</v>
      </c>
      <c r="J664" s="25">
        <v>0</v>
      </c>
      <c r="K664" s="25">
        <v>0</v>
      </c>
      <c r="L664" s="25">
        <v>0</v>
      </c>
      <c r="M664" s="25">
        <v>0</v>
      </c>
      <c r="N664" s="25">
        <v>0</v>
      </c>
      <c r="O664" s="25">
        <v>0</v>
      </c>
      <c r="P664" s="25">
        <v>0</v>
      </c>
      <c r="Q664" s="25">
        <v>0</v>
      </c>
      <c r="R664" s="25">
        <v>0</v>
      </c>
      <c r="S664" s="25">
        <v>0</v>
      </c>
      <c r="T664" s="25">
        <v>0</v>
      </c>
      <c r="U664" s="25">
        <v>0</v>
      </c>
      <c r="V664" s="25">
        <v>0</v>
      </c>
      <c r="W664" s="25">
        <v>0</v>
      </c>
      <c r="X664" s="25">
        <v>0</v>
      </c>
      <c r="Y664" s="25">
        <v>0</v>
      </c>
      <c r="Z664" s="25">
        <v>0</v>
      </c>
      <c r="AA664" s="25">
        <v>0</v>
      </c>
      <c r="AB664" s="25">
        <v>0</v>
      </c>
      <c r="AC664" s="25">
        <v>0</v>
      </c>
      <c r="AD664" s="25">
        <v>0</v>
      </c>
      <c r="AE664" s="25">
        <v>0</v>
      </c>
      <c r="AF664" s="25">
        <v>0</v>
      </c>
    </row>
    <row r="665" spans="1:32" x14ac:dyDescent="0.25">
      <c r="A665" s="25" t="s">
        <v>734</v>
      </c>
      <c r="B665" s="25">
        <v>0</v>
      </c>
      <c r="C665" s="25">
        <v>0</v>
      </c>
      <c r="D665" s="25">
        <v>0</v>
      </c>
      <c r="E665" s="25">
        <v>0</v>
      </c>
      <c r="F665" s="25">
        <v>0</v>
      </c>
      <c r="G665" s="25">
        <v>0</v>
      </c>
      <c r="H665" s="25">
        <v>0</v>
      </c>
      <c r="I665" s="25">
        <v>0</v>
      </c>
      <c r="J665" s="25">
        <v>0</v>
      </c>
      <c r="K665" s="25">
        <v>0</v>
      </c>
      <c r="L665" s="25">
        <v>0</v>
      </c>
      <c r="M665" s="25">
        <v>0</v>
      </c>
      <c r="N665" s="25">
        <v>0</v>
      </c>
      <c r="O665" s="25">
        <v>0</v>
      </c>
      <c r="P665" s="25">
        <v>0</v>
      </c>
      <c r="Q665" s="25">
        <v>0</v>
      </c>
      <c r="R665" s="25">
        <v>0</v>
      </c>
      <c r="S665" s="25">
        <v>0</v>
      </c>
      <c r="T665" s="25">
        <v>0</v>
      </c>
      <c r="U665" s="25">
        <v>0</v>
      </c>
      <c r="V665" s="25">
        <v>0</v>
      </c>
      <c r="W665" s="25">
        <v>0</v>
      </c>
      <c r="X665" s="25">
        <v>0</v>
      </c>
      <c r="Y665" s="25">
        <v>0</v>
      </c>
      <c r="Z665" s="25">
        <v>0</v>
      </c>
      <c r="AA665" s="25">
        <v>0</v>
      </c>
      <c r="AB665" s="25">
        <v>0</v>
      </c>
      <c r="AC665" s="25">
        <v>0</v>
      </c>
      <c r="AD665" s="25">
        <v>0</v>
      </c>
      <c r="AE665" s="25">
        <v>0</v>
      </c>
      <c r="AF665" s="25">
        <v>0</v>
      </c>
    </row>
    <row r="666" spans="1:32" x14ac:dyDescent="0.25">
      <c r="A666" s="25" t="s">
        <v>735</v>
      </c>
      <c r="B666" s="25">
        <v>0</v>
      </c>
      <c r="C666" s="25">
        <v>0</v>
      </c>
      <c r="D666" s="25">
        <v>0</v>
      </c>
      <c r="E666" s="25">
        <v>0</v>
      </c>
      <c r="F666" s="25">
        <v>0</v>
      </c>
      <c r="G666" s="25">
        <v>0</v>
      </c>
      <c r="H666" s="25">
        <v>0</v>
      </c>
      <c r="I666" s="25">
        <v>0</v>
      </c>
      <c r="J666" s="25">
        <v>0</v>
      </c>
      <c r="K666" s="25">
        <v>0</v>
      </c>
      <c r="L666" s="25">
        <v>0</v>
      </c>
      <c r="M666" s="25">
        <v>0</v>
      </c>
      <c r="N666" s="25">
        <v>0</v>
      </c>
      <c r="O666" s="25">
        <v>0</v>
      </c>
      <c r="P666" s="25">
        <v>0</v>
      </c>
      <c r="Q666" s="25">
        <v>0</v>
      </c>
      <c r="R666" s="25">
        <v>0</v>
      </c>
      <c r="S666" s="25">
        <v>0</v>
      </c>
      <c r="T666" s="25">
        <v>0</v>
      </c>
      <c r="U666" s="25">
        <v>0</v>
      </c>
      <c r="V666" s="25">
        <v>0</v>
      </c>
      <c r="W666" s="25">
        <v>0</v>
      </c>
      <c r="X666" s="25">
        <v>0</v>
      </c>
      <c r="Y666" s="25">
        <v>0</v>
      </c>
      <c r="Z666" s="25">
        <v>0</v>
      </c>
      <c r="AA666" s="25">
        <v>0</v>
      </c>
      <c r="AB666" s="25">
        <v>0</v>
      </c>
      <c r="AC666" s="25">
        <v>0</v>
      </c>
      <c r="AD666" s="25">
        <v>0</v>
      </c>
      <c r="AE666" s="25">
        <v>0</v>
      </c>
      <c r="AF666" s="25">
        <v>0</v>
      </c>
    </row>
    <row r="667" spans="1:32" x14ac:dyDescent="0.25">
      <c r="A667" s="25" t="s">
        <v>736</v>
      </c>
      <c r="B667" s="25">
        <v>0</v>
      </c>
      <c r="C667" s="25">
        <v>0</v>
      </c>
      <c r="D667" s="25">
        <v>0</v>
      </c>
      <c r="E667" s="25">
        <v>0</v>
      </c>
      <c r="F667" s="25">
        <v>0</v>
      </c>
      <c r="G667" s="25">
        <v>0</v>
      </c>
      <c r="H667" s="25">
        <v>0</v>
      </c>
      <c r="I667" s="25">
        <v>0</v>
      </c>
      <c r="J667" s="25">
        <v>0</v>
      </c>
      <c r="K667" s="25">
        <v>0</v>
      </c>
      <c r="L667" s="25">
        <v>0</v>
      </c>
      <c r="M667" s="25">
        <v>0</v>
      </c>
      <c r="N667" s="25">
        <v>0</v>
      </c>
      <c r="O667" s="25">
        <v>0</v>
      </c>
      <c r="P667" s="25">
        <v>0</v>
      </c>
      <c r="Q667" s="25">
        <v>0</v>
      </c>
      <c r="R667" s="25">
        <v>0</v>
      </c>
      <c r="S667" s="25">
        <v>0</v>
      </c>
      <c r="T667" s="25">
        <v>0</v>
      </c>
      <c r="U667" s="25">
        <v>0</v>
      </c>
      <c r="V667" s="25">
        <v>0</v>
      </c>
      <c r="W667" s="25">
        <v>0</v>
      </c>
      <c r="X667" s="25">
        <v>0</v>
      </c>
      <c r="Y667" s="25">
        <v>0</v>
      </c>
      <c r="Z667" s="25">
        <v>0</v>
      </c>
      <c r="AA667" s="25">
        <v>0</v>
      </c>
      <c r="AB667" s="25">
        <v>0</v>
      </c>
      <c r="AC667" s="25">
        <v>0</v>
      </c>
      <c r="AD667" s="25">
        <v>0</v>
      </c>
      <c r="AE667" s="25">
        <v>0</v>
      </c>
      <c r="AF667" s="25">
        <v>0</v>
      </c>
    </row>
    <row r="668" spans="1:32" x14ac:dyDescent="0.25">
      <c r="A668" s="25" t="s">
        <v>737</v>
      </c>
      <c r="B668" s="25">
        <v>0</v>
      </c>
      <c r="C668" s="25">
        <v>0</v>
      </c>
      <c r="D668" s="25">
        <v>0</v>
      </c>
      <c r="E668" s="25">
        <v>0</v>
      </c>
      <c r="F668" s="25">
        <v>0</v>
      </c>
      <c r="G668" s="25">
        <v>0</v>
      </c>
      <c r="H668" s="25">
        <v>0</v>
      </c>
      <c r="I668" s="25">
        <v>0</v>
      </c>
      <c r="J668" s="25">
        <v>0</v>
      </c>
      <c r="K668" s="25">
        <v>0</v>
      </c>
      <c r="L668" s="25">
        <v>0</v>
      </c>
      <c r="M668" s="25">
        <v>0</v>
      </c>
      <c r="N668" s="25">
        <v>0</v>
      </c>
      <c r="O668" s="25">
        <v>0</v>
      </c>
      <c r="P668" s="25">
        <v>0</v>
      </c>
      <c r="Q668" s="25">
        <v>0</v>
      </c>
      <c r="R668" s="25">
        <v>0</v>
      </c>
      <c r="S668" s="25">
        <v>0</v>
      </c>
      <c r="T668" s="25">
        <v>0</v>
      </c>
      <c r="U668" s="25">
        <v>0</v>
      </c>
      <c r="V668" s="25">
        <v>0</v>
      </c>
      <c r="W668" s="25">
        <v>0</v>
      </c>
      <c r="X668" s="25">
        <v>0</v>
      </c>
      <c r="Y668" s="25">
        <v>0</v>
      </c>
      <c r="Z668" s="25">
        <v>0</v>
      </c>
      <c r="AA668" s="25">
        <v>0</v>
      </c>
      <c r="AB668" s="25">
        <v>0</v>
      </c>
      <c r="AC668" s="25">
        <v>0</v>
      </c>
      <c r="AD668" s="25">
        <v>0</v>
      </c>
      <c r="AE668" s="25">
        <v>0</v>
      </c>
      <c r="AF668" s="25">
        <v>0</v>
      </c>
    </row>
    <row r="669" spans="1:32" x14ac:dyDescent="0.25">
      <c r="A669" s="25" t="s">
        <v>738</v>
      </c>
      <c r="B669" s="25">
        <v>0</v>
      </c>
      <c r="C669" s="25">
        <v>0</v>
      </c>
      <c r="D669" s="25">
        <v>0</v>
      </c>
      <c r="E669" s="25">
        <v>0</v>
      </c>
      <c r="F669" s="25">
        <v>0</v>
      </c>
      <c r="G669" s="25">
        <v>0</v>
      </c>
      <c r="H669" s="25">
        <v>0</v>
      </c>
      <c r="I669" s="25">
        <v>0</v>
      </c>
      <c r="J669" s="25">
        <v>0</v>
      </c>
      <c r="K669" s="25">
        <v>0</v>
      </c>
      <c r="L669" s="25">
        <v>0</v>
      </c>
      <c r="M669" s="25">
        <v>0</v>
      </c>
      <c r="N669" s="25">
        <v>0</v>
      </c>
      <c r="O669" s="25">
        <v>0</v>
      </c>
      <c r="P669" s="25">
        <v>0</v>
      </c>
      <c r="Q669" s="25">
        <v>0</v>
      </c>
      <c r="R669" s="25">
        <v>0</v>
      </c>
      <c r="S669" s="25">
        <v>0</v>
      </c>
      <c r="T669" s="25">
        <v>0</v>
      </c>
      <c r="U669" s="25">
        <v>0</v>
      </c>
      <c r="V669" s="25">
        <v>0</v>
      </c>
      <c r="W669" s="25">
        <v>0</v>
      </c>
      <c r="X669" s="25">
        <v>0</v>
      </c>
      <c r="Y669" s="25">
        <v>0</v>
      </c>
      <c r="Z669" s="25">
        <v>0</v>
      </c>
      <c r="AA669" s="25">
        <v>0</v>
      </c>
      <c r="AB669" s="25">
        <v>0</v>
      </c>
      <c r="AC669" s="25">
        <v>0</v>
      </c>
      <c r="AD669" s="25">
        <v>0</v>
      </c>
      <c r="AE669" s="25">
        <v>0</v>
      </c>
      <c r="AF669" s="25">
        <v>0</v>
      </c>
    </row>
    <row r="670" spans="1:32" x14ac:dyDescent="0.25">
      <c r="A670" s="25" t="s">
        <v>739</v>
      </c>
      <c r="B670" s="25">
        <v>0</v>
      </c>
      <c r="C670" s="25">
        <v>0</v>
      </c>
      <c r="D670" s="25">
        <v>0</v>
      </c>
      <c r="E670" s="25">
        <v>0</v>
      </c>
      <c r="F670" s="25">
        <v>0</v>
      </c>
      <c r="G670" s="25">
        <v>0</v>
      </c>
      <c r="H670" s="25">
        <v>0</v>
      </c>
      <c r="I670" s="25">
        <v>0</v>
      </c>
      <c r="J670" s="25">
        <v>0</v>
      </c>
      <c r="K670" s="25">
        <v>0</v>
      </c>
      <c r="L670" s="25">
        <v>0</v>
      </c>
      <c r="M670" s="25">
        <v>0</v>
      </c>
      <c r="N670" s="25">
        <v>0</v>
      </c>
      <c r="O670" s="25">
        <v>0</v>
      </c>
      <c r="P670" s="25">
        <v>0</v>
      </c>
      <c r="Q670" s="25">
        <v>0</v>
      </c>
      <c r="R670" s="25">
        <v>0</v>
      </c>
      <c r="S670" s="25">
        <v>0</v>
      </c>
      <c r="T670" s="25">
        <v>0</v>
      </c>
      <c r="U670" s="25">
        <v>0</v>
      </c>
      <c r="V670" s="25">
        <v>0</v>
      </c>
      <c r="W670" s="25">
        <v>0</v>
      </c>
      <c r="X670" s="25">
        <v>0</v>
      </c>
      <c r="Y670" s="25">
        <v>0</v>
      </c>
      <c r="Z670" s="25">
        <v>0</v>
      </c>
      <c r="AA670" s="25">
        <v>0</v>
      </c>
      <c r="AB670" s="25">
        <v>0</v>
      </c>
      <c r="AC670" s="25">
        <v>0</v>
      </c>
      <c r="AD670" s="25">
        <v>0</v>
      </c>
      <c r="AE670" s="25">
        <v>0</v>
      </c>
      <c r="AF670" s="25">
        <v>0</v>
      </c>
    </row>
    <row r="671" spans="1:32" x14ac:dyDescent="0.25">
      <c r="A671" s="25" t="s">
        <v>740</v>
      </c>
      <c r="B671" s="25">
        <v>0</v>
      </c>
      <c r="C671" s="25">
        <v>0</v>
      </c>
      <c r="D671" s="25">
        <v>0</v>
      </c>
      <c r="E671" s="25">
        <v>0</v>
      </c>
      <c r="F671" s="25">
        <v>0</v>
      </c>
      <c r="G671" s="25">
        <v>0</v>
      </c>
      <c r="H671" s="25">
        <v>0</v>
      </c>
      <c r="I671" s="25">
        <v>0</v>
      </c>
      <c r="J671" s="25">
        <v>0</v>
      </c>
      <c r="K671" s="25">
        <v>0</v>
      </c>
      <c r="L671" s="25">
        <v>0</v>
      </c>
      <c r="M671" s="25">
        <v>0</v>
      </c>
      <c r="N671" s="25">
        <v>0</v>
      </c>
      <c r="O671" s="25">
        <v>0</v>
      </c>
      <c r="P671" s="25">
        <v>0</v>
      </c>
      <c r="Q671" s="25">
        <v>0</v>
      </c>
      <c r="R671" s="25">
        <v>0</v>
      </c>
      <c r="S671" s="25">
        <v>0</v>
      </c>
      <c r="T671" s="25">
        <v>0</v>
      </c>
      <c r="U671" s="25">
        <v>0</v>
      </c>
      <c r="V671" s="25">
        <v>0</v>
      </c>
      <c r="W671" s="25">
        <v>0</v>
      </c>
      <c r="X671" s="25">
        <v>0</v>
      </c>
      <c r="Y671" s="25">
        <v>0</v>
      </c>
      <c r="Z671" s="25">
        <v>0</v>
      </c>
      <c r="AA671" s="25">
        <v>0</v>
      </c>
      <c r="AB671" s="25">
        <v>0</v>
      </c>
      <c r="AC671" s="25">
        <v>0</v>
      </c>
      <c r="AD671" s="25">
        <v>0</v>
      </c>
      <c r="AE671" s="25">
        <v>0</v>
      </c>
      <c r="AF671" s="25">
        <v>0</v>
      </c>
    </row>
    <row r="672" spans="1:32" x14ac:dyDescent="0.25">
      <c r="A672" s="25" t="s">
        <v>741</v>
      </c>
      <c r="B672" s="25">
        <v>0</v>
      </c>
      <c r="C672" s="25">
        <v>0</v>
      </c>
      <c r="D672" s="25">
        <v>0</v>
      </c>
      <c r="E672" s="25">
        <v>0</v>
      </c>
      <c r="F672" s="25">
        <v>0</v>
      </c>
      <c r="G672" s="25">
        <v>0</v>
      </c>
      <c r="H672" s="25">
        <v>0</v>
      </c>
      <c r="I672" s="25">
        <v>0</v>
      </c>
      <c r="J672" s="25">
        <v>0</v>
      </c>
      <c r="K672" s="25">
        <v>0</v>
      </c>
      <c r="L672" s="25">
        <v>0</v>
      </c>
      <c r="M672" s="25">
        <v>0</v>
      </c>
      <c r="N672" s="25">
        <v>0</v>
      </c>
      <c r="O672" s="25">
        <v>0</v>
      </c>
      <c r="P672" s="25">
        <v>0</v>
      </c>
      <c r="Q672" s="25">
        <v>0</v>
      </c>
      <c r="R672" s="25">
        <v>0</v>
      </c>
      <c r="S672" s="25">
        <v>0</v>
      </c>
      <c r="T672" s="25">
        <v>0</v>
      </c>
      <c r="U672" s="25">
        <v>0</v>
      </c>
      <c r="V672" s="25">
        <v>0</v>
      </c>
      <c r="W672" s="25">
        <v>0</v>
      </c>
      <c r="X672" s="25">
        <v>0</v>
      </c>
      <c r="Y672" s="25">
        <v>0</v>
      </c>
      <c r="Z672" s="25">
        <v>0</v>
      </c>
      <c r="AA672" s="25">
        <v>0</v>
      </c>
      <c r="AB672" s="25">
        <v>0</v>
      </c>
      <c r="AC672" s="25">
        <v>0</v>
      </c>
      <c r="AD672" s="25">
        <v>0</v>
      </c>
      <c r="AE672" s="25">
        <v>0</v>
      </c>
      <c r="AF672" s="25">
        <v>0</v>
      </c>
    </row>
    <row r="673" spans="1:32" x14ac:dyDescent="0.25">
      <c r="A673" s="25" t="s">
        <v>742</v>
      </c>
      <c r="B673" s="25">
        <v>0</v>
      </c>
      <c r="C673" s="25">
        <v>0</v>
      </c>
      <c r="D673" s="25">
        <v>0</v>
      </c>
      <c r="E673" s="25">
        <v>0</v>
      </c>
      <c r="F673" s="25">
        <v>0</v>
      </c>
      <c r="G673" s="25">
        <v>0</v>
      </c>
      <c r="H673" s="25">
        <v>0</v>
      </c>
      <c r="I673" s="25">
        <v>0</v>
      </c>
      <c r="J673" s="25">
        <v>0</v>
      </c>
      <c r="K673" s="25">
        <v>0</v>
      </c>
      <c r="L673" s="25">
        <v>0</v>
      </c>
      <c r="M673" s="25">
        <v>0</v>
      </c>
      <c r="N673" s="25">
        <v>0</v>
      </c>
      <c r="O673" s="25">
        <v>0</v>
      </c>
      <c r="P673" s="25">
        <v>0</v>
      </c>
      <c r="Q673" s="25">
        <v>0</v>
      </c>
      <c r="R673" s="25">
        <v>0</v>
      </c>
      <c r="S673" s="25">
        <v>0</v>
      </c>
      <c r="T673" s="25">
        <v>0</v>
      </c>
      <c r="U673" s="25">
        <v>0</v>
      </c>
      <c r="V673" s="25">
        <v>0</v>
      </c>
      <c r="W673" s="25">
        <v>0</v>
      </c>
      <c r="X673" s="25">
        <v>0</v>
      </c>
      <c r="Y673" s="25">
        <v>0</v>
      </c>
      <c r="Z673" s="25">
        <v>0</v>
      </c>
      <c r="AA673" s="25">
        <v>0</v>
      </c>
      <c r="AB673" s="25">
        <v>0</v>
      </c>
      <c r="AC673" s="25">
        <v>0</v>
      </c>
      <c r="AD673" s="25">
        <v>0</v>
      </c>
      <c r="AE673" s="25">
        <v>0</v>
      </c>
      <c r="AF673" s="25">
        <v>0</v>
      </c>
    </row>
    <row r="674" spans="1:32" x14ac:dyDescent="0.25">
      <c r="A674" s="25" t="s">
        <v>743</v>
      </c>
      <c r="B674" s="25">
        <v>0</v>
      </c>
      <c r="C674" s="25">
        <v>0</v>
      </c>
      <c r="D674" s="25">
        <v>0</v>
      </c>
      <c r="E674" s="25">
        <v>0</v>
      </c>
      <c r="F674" s="25">
        <v>0</v>
      </c>
      <c r="G674" s="25">
        <v>0</v>
      </c>
      <c r="H674" s="25">
        <v>0</v>
      </c>
      <c r="I674" s="25">
        <v>0</v>
      </c>
      <c r="J674" s="25">
        <v>0</v>
      </c>
      <c r="K674" s="25">
        <v>0</v>
      </c>
      <c r="L674" s="25">
        <v>0</v>
      </c>
      <c r="M674" s="25">
        <v>0</v>
      </c>
      <c r="N674" s="25">
        <v>0</v>
      </c>
      <c r="O674" s="25">
        <v>0</v>
      </c>
      <c r="P674" s="25">
        <v>0</v>
      </c>
      <c r="Q674" s="25">
        <v>0</v>
      </c>
      <c r="R674" s="25">
        <v>0</v>
      </c>
      <c r="S674" s="25">
        <v>0</v>
      </c>
      <c r="T674" s="25">
        <v>0</v>
      </c>
      <c r="U674" s="25">
        <v>0</v>
      </c>
      <c r="V674" s="25">
        <v>0</v>
      </c>
      <c r="W674" s="25">
        <v>0</v>
      </c>
      <c r="X674" s="25">
        <v>0</v>
      </c>
      <c r="Y674" s="25">
        <v>0</v>
      </c>
      <c r="Z674" s="25">
        <v>0</v>
      </c>
      <c r="AA674" s="25">
        <v>0</v>
      </c>
      <c r="AB674" s="25">
        <v>0</v>
      </c>
      <c r="AC674" s="25">
        <v>0</v>
      </c>
      <c r="AD674" s="25">
        <v>0</v>
      </c>
      <c r="AE674" s="25">
        <v>0</v>
      </c>
      <c r="AF674" s="25">
        <v>0</v>
      </c>
    </row>
    <row r="675" spans="1:32" x14ac:dyDescent="0.25">
      <c r="A675" s="25" t="s">
        <v>744</v>
      </c>
      <c r="B675" s="25">
        <v>0</v>
      </c>
      <c r="C675" s="25">
        <v>0</v>
      </c>
      <c r="D675" s="25">
        <v>0</v>
      </c>
      <c r="E675" s="25">
        <v>0</v>
      </c>
      <c r="F675" s="25">
        <v>0</v>
      </c>
      <c r="G675" s="25">
        <v>0</v>
      </c>
      <c r="H675" s="25">
        <v>0</v>
      </c>
      <c r="I675" s="25">
        <v>0</v>
      </c>
      <c r="J675" s="25">
        <v>0</v>
      </c>
      <c r="K675" s="25">
        <v>0</v>
      </c>
      <c r="L675" s="25">
        <v>0</v>
      </c>
      <c r="M675" s="25">
        <v>0</v>
      </c>
      <c r="N675" s="25">
        <v>0</v>
      </c>
      <c r="O675" s="25">
        <v>0</v>
      </c>
      <c r="P675" s="25">
        <v>0</v>
      </c>
      <c r="Q675" s="25">
        <v>0</v>
      </c>
      <c r="R675" s="25">
        <v>0</v>
      </c>
      <c r="S675" s="25">
        <v>0</v>
      </c>
      <c r="T675" s="25">
        <v>0</v>
      </c>
      <c r="U675" s="25">
        <v>0</v>
      </c>
      <c r="V675" s="25">
        <v>0</v>
      </c>
      <c r="W675" s="25">
        <v>0</v>
      </c>
      <c r="X675" s="25">
        <v>0</v>
      </c>
      <c r="Y675" s="25">
        <v>0</v>
      </c>
      <c r="Z675" s="25">
        <v>0</v>
      </c>
      <c r="AA675" s="25">
        <v>0</v>
      </c>
      <c r="AB675" s="25">
        <v>0</v>
      </c>
      <c r="AC675" s="25">
        <v>0</v>
      </c>
      <c r="AD675" s="25">
        <v>0</v>
      </c>
      <c r="AE675" s="25">
        <v>0</v>
      </c>
      <c r="AF675" s="25">
        <v>0</v>
      </c>
    </row>
    <row r="676" spans="1:32" x14ac:dyDescent="0.25">
      <c r="A676" s="25" t="s">
        <v>745</v>
      </c>
      <c r="B676" s="25">
        <v>0</v>
      </c>
      <c r="C676" s="25">
        <v>0</v>
      </c>
      <c r="D676" s="25">
        <v>0</v>
      </c>
      <c r="E676" s="25">
        <v>0</v>
      </c>
      <c r="F676" s="25">
        <v>0</v>
      </c>
      <c r="G676" s="25">
        <v>0</v>
      </c>
      <c r="H676" s="25">
        <v>0</v>
      </c>
      <c r="I676" s="25">
        <v>0</v>
      </c>
      <c r="J676" s="25">
        <v>0</v>
      </c>
      <c r="K676" s="25">
        <v>0</v>
      </c>
      <c r="L676" s="25">
        <v>0</v>
      </c>
      <c r="M676" s="25">
        <v>0</v>
      </c>
      <c r="N676" s="25">
        <v>0</v>
      </c>
      <c r="O676" s="25">
        <v>0</v>
      </c>
      <c r="P676" s="25">
        <v>0</v>
      </c>
      <c r="Q676" s="25">
        <v>0</v>
      </c>
      <c r="R676" s="25">
        <v>0</v>
      </c>
      <c r="S676" s="25">
        <v>0</v>
      </c>
      <c r="T676" s="25">
        <v>0</v>
      </c>
      <c r="U676" s="25">
        <v>0</v>
      </c>
      <c r="V676" s="25">
        <v>0</v>
      </c>
      <c r="W676" s="25">
        <v>0</v>
      </c>
      <c r="X676" s="25">
        <v>0</v>
      </c>
      <c r="Y676" s="25">
        <v>0</v>
      </c>
      <c r="Z676" s="25">
        <v>0</v>
      </c>
      <c r="AA676" s="25">
        <v>0</v>
      </c>
      <c r="AB676" s="25">
        <v>0</v>
      </c>
      <c r="AC676" s="25">
        <v>0</v>
      </c>
      <c r="AD676" s="25">
        <v>0</v>
      </c>
      <c r="AE676" s="25">
        <v>0</v>
      </c>
      <c r="AF676" s="25">
        <v>0</v>
      </c>
    </row>
    <row r="677" spans="1:32" x14ac:dyDescent="0.25">
      <c r="A677" s="25" t="s">
        <v>746</v>
      </c>
      <c r="B677" s="25">
        <v>0</v>
      </c>
      <c r="C677" s="25">
        <v>0</v>
      </c>
      <c r="D677" s="25">
        <v>0</v>
      </c>
      <c r="E677" s="25">
        <v>0</v>
      </c>
      <c r="F677" s="25">
        <v>0</v>
      </c>
      <c r="G677" s="25">
        <v>0</v>
      </c>
      <c r="H677" s="25">
        <v>0</v>
      </c>
      <c r="I677" s="25">
        <v>0</v>
      </c>
      <c r="J677" s="25">
        <v>0</v>
      </c>
      <c r="K677" s="25">
        <v>0</v>
      </c>
      <c r="L677" s="25">
        <v>0</v>
      </c>
      <c r="M677" s="25">
        <v>0</v>
      </c>
      <c r="N677" s="25">
        <v>0</v>
      </c>
      <c r="O677" s="25">
        <v>0</v>
      </c>
      <c r="P677" s="25">
        <v>0</v>
      </c>
      <c r="Q677" s="25">
        <v>0</v>
      </c>
      <c r="R677" s="25">
        <v>0</v>
      </c>
      <c r="S677" s="25">
        <v>0</v>
      </c>
      <c r="T677" s="25">
        <v>0</v>
      </c>
      <c r="U677" s="25">
        <v>0</v>
      </c>
      <c r="V677" s="25">
        <v>0</v>
      </c>
      <c r="W677" s="25">
        <v>0</v>
      </c>
      <c r="X677" s="25">
        <v>0</v>
      </c>
      <c r="Y677" s="25">
        <v>0</v>
      </c>
      <c r="Z677" s="25">
        <v>0</v>
      </c>
      <c r="AA677" s="25">
        <v>0</v>
      </c>
      <c r="AB677" s="25">
        <v>0</v>
      </c>
      <c r="AC677" s="25">
        <v>0</v>
      </c>
      <c r="AD677" s="25">
        <v>0</v>
      </c>
      <c r="AE677" s="25">
        <v>0</v>
      </c>
      <c r="AF677" s="25">
        <v>0</v>
      </c>
    </row>
    <row r="678" spans="1:32" x14ac:dyDescent="0.25">
      <c r="A678" s="25" t="s">
        <v>747</v>
      </c>
      <c r="B678" s="25">
        <v>0</v>
      </c>
      <c r="C678" s="25">
        <v>0</v>
      </c>
      <c r="D678" s="25">
        <v>0</v>
      </c>
      <c r="E678" s="25">
        <v>0</v>
      </c>
      <c r="F678" s="25">
        <v>0</v>
      </c>
      <c r="G678" s="25">
        <v>0</v>
      </c>
      <c r="H678" s="25">
        <v>0</v>
      </c>
      <c r="I678" s="25">
        <v>0</v>
      </c>
      <c r="J678" s="25">
        <v>0</v>
      </c>
      <c r="K678" s="25">
        <v>0</v>
      </c>
      <c r="L678" s="25">
        <v>0</v>
      </c>
      <c r="M678" s="25">
        <v>0</v>
      </c>
      <c r="N678" s="25">
        <v>0</v>
      </c>
      <c r="O678" s="25">
        <v>0</v>
      </c>
      <c r="P678" s="25">
        <v>0</v>
      </c>
      <c r="Q678" s="25">
        <v>0</v>
      </c>
      <c r="R678" s="25">
        <v>0</v>
      </c>
      <c r="S678" s="25">
        <v>0</v>
      </c>
      <c r="T678" s="25">
        <v>0</v>
      </c>
      <c r="U678" s="25">
        <v>0</v>
      </c>
      <c r="V678" s="25">
        <v>0</v>
      </c>
      <c r="W678" s="25">
        <v>0</v>
      </c>
      <c r="X678" s="25">
        <v>0</v>
      </c>
      <c r="Y678" s="25">
        <v>0</v>
      </c>
      <c r="Z678" s="25">
        <v>0</v>
      </c>
      <c r="AA678" s="25">
        <v>0</v>
      </c>
      <c r="AB678" s="25">
        <v>0</v>
      </c>
      <c r="AC678" s="25">
        <v>0</v>
      </c>
      <c r="AD678" s="25">
        <v>0</v>
      </c>
      <c r="AE678" s="25">
        <v>0</v>
      </c>
      <c r="AF678" s="25">
        <v>0</v>
      </c>
    </row>
    <row r="679" spans="1:32" x14ac:dyDescent="0.25">
      <c r="A679" s="25" t="s">
        <v>748</v>
      </c>
      <c r="B679" s="25">
        <v>0</v>
      </c>
      <c r="C679" s="25">
        <v>0</v>
      </c>
      <c r="D679" s="25">
        <v>0</v>
      </c>
      <c r="E679" s="25">
        <v>0</v>
      </c>
      <c r="F679" s="25">
        <v>0</v>
      </c>
      <c r="G679" s="25">
        <v>0</v>
      </c>
      <c r="H679" s="25">
        <v>0</v>
      </c>
      <c r="I679" s="25">
        <v>0</v>
      </c>
      <c r="J679" s="25">
        <v>0</v>
      </c>
      <c r="K679" s="25">
        <v>0</v>
      </c>
      <c r="L679" s="25">
        <v>0</v>
      </c>
      <c r="M679" s="25">
        <v>0</v>
      </c>
      <c r="N679" s="25">
        <v>0</v>
      </c>
      <c r="O679" s="25">
        <v>0</v>
      </c>
      <c r="P679" s="25">
        <v>0</v>
      </c>
      <c r="Q679" s="25">
        <v>0</v>
      </c>
      <c r="R679" s="25">
        <v>0</v>
      </c>
      <c r="S679" s="25">
        <v>0</v>
      </c>
      <c r="T679" s="25">
        <v>0</v>
      </c>
      <c r="U679" s="25">
        <v>0</v>
      </c>
      <c r="V679" s="25">
        <v>0</v>
      </c>
      <c r="W679" s="25">
        <v>0</v>
      </c>
      <c r="X679" s="25">
        <v>0</v>
      </c>
      <c r="Y679" s="25">
        <v>0</v>
      </c>
      <c r="Z679" s="25">
        <v>0</v>
      </c>
      <c r="AA679" s="25">
        <v>0</v>
      </c>
      <c r="AB679" s="25">
        <v>0</v>
      </c>
      <c r="AC679" s="25">
        <v>0</v>
      </c>
      <c r="AD679" s="25">
        <v>0</v>
      </c>
      <c r="AE679" s="25">
        <v>0</v>
      </c>
      <c r="AF679" s="25">
        <v>0</v>
      </c>
    </row>
    <row r="680" spans="1:32" x14ac:dyDescent="0.25">
      <c r="A680" s="25" t="s">
        <v>749</v>
      </c>
      <c r="B680" s="25">
        <v>0</v>
      </c>
      <c r="C680" s="25">
        <v>0</v>
      </c>
      <c r="D680" s="25">
        <v>0</v>
      </c>
      <c r="E680" s="25">
        <v>0</v>
      </c>
      <c r="F680" s="25">
        <v>0</v>
      </c>
      <c r="G680" s="25">
        <v>0</v>
      </c>
      <c r="H680" s="25">
        <v>0</v>
      </c>
      <c r="I680" s="25">
        <v>0</v>
      </c>
      <c r="J680" s="25">
        <v>0</v>
      </c>
      <c r="K680" s="25">
        <v>0</v>
      </c>
      <c r="L680" s="25">
        <v>0</v>
      </c>
      <c r="M680" s="25">
        <v>0</v>
      </c>
      <c r="N680" s="25">
        <v>0</v>
      </c>
      <c r="O680" s="25">
        <v>0</v>
      </c>
      <c r="P680" s="25">
        <v>0</v>
      </c>
      <c r="Q680" s="25">
        <v>0</v>
      </c>
      <c r="R680" s="25">
        <v>0</v>
      </c>
      <c r="S680" s="25">
        <v>0</v>
      </c>
      <c r="T680" s="25">
        <v>0</v>
      </c>
      <c r="U680" s="25">
        <v>0</v>
      </c>
      <c r="V680" s="25">
        <v>0</v>
      </c>
      <c r="W680" s="25">
        <v>0</v>
      </c>
      <c r="X680" s="25">
        <v>0</v>
      </c>
      <c r="Y680" s="25">
        <v>0</v>
      </c>
      <c r="Z680" s="25">
        <v>0</v>
      </c>
      <c r="AA680" s="25">
        <v>0</v>
      </c>
      <c r="AB680" s="25">
        <v>0</v>
      </c>
      <c r="AC680" s="25">
        <v>0</v>
      </c>
      <c r="AD680" s="25">
        <v>0</v>
      </c>
      <c r="AE680" s="25">
        <v>0</v>
      </c>
      <c r="AF680" s="25">
        <v>0</v>
      </c>
    </row>
    <row r="681" spans="1:32" x14ac:dyDescent="0.25">
      <c r="A681" s="25" t="s">
        <v>750</v>
      </c>
      <c r="B681" s="25">
        <v>0</v>
      </c>
      <c r="C681" s="25">
        <v>0</v>
      </c>
      <c r="D681" s="25">
        <v>0</v>
      </c>
      <c r="E681" s="25">
        <v>0</v>
      </c>
      <c r="F681" s="25">
        <v>0</v>
      </c>
      <c r="G681" s="25">
        <v>0</v>
      </c>
      <c r="H681" s="25">
        <v>0</v>
      </c>
      <c r="I681" s="25">
        <v>0</v>
      </c>
      <c r="J681" s="25">
        <v>0</v>
      </c>
      <c r="K681" s="25">
        <v>0</v>
      </c>
      <c r="L681" s="25">
        <v>0</v>
      </c>
      <c r="M681" s="25">
        <v>0</v>
      </c>
      <c r="N681" s="25">
        <v>0</v>
      </c>
      <c r="O681" s="25">
        <v>0</v>
      </c>
      <c r="P681" s="25">
        <v>0</v>
      </c>
      <c r="Q681" s="25">
        <v>0</v>
      </c>
      <c r="R681" s="25">
        <v>0</v>
      </c>
      <c r="S681" s="25">
        <v>0</v>
      </c>
      <c r="T681" s="25">
        <v>0</v>
      </c>
      <c r="U681" s="25">
        <v>0</v>
      </c>
      <c r="V681" s="25">
        <v>0</v>
      </c>
      <c r="W681" s="25">
        <v>0</v>
      </c>
      <c r="X681" s="25">
        <v>0</v>
      </c>
      <c r="Y681" s="25">
        <v>0</v>
      </c>
      <c r="Z681" s="25">
        <v>0</v>
      </c>
      <c r="AA681" s="25">
        <v>0</v>
      </c>
      <c r="AB681" s="25">
        <v>0</v>
      </c>
      <c r="AC681" s="25">
        <v>0</v>
      </c>
      <c r="AD681" s="25">
        <v>0</v>
      </c>
      <c r="AE681" s="25">
        <v>0</v>
      </c>
      <c r="AF681" s="25">
        <v>0</v>
      </c>
    </row>
    <row r="682" spans="1:32" x14ac:dyDescent="0.25">
      <c r="A682" s="25" t="s">
        <v>751</v>
      </c>
      <c r="B682" s="25">
        <v>0</v>
      </c>
      <c r="C682" s="25">
        <v>0</v>
      </c>
      <c r="D682" s="25">
        <v>0</v>
      </c>
      <c r="E682" s="25">
        <v>0</v>
      </c>
      <c r="F682" s="25">
        <v>0</v>
      </c>
      <c r="G682" s="25">
        <v>0</v>
      </c>
      <c r="H682" s="25">
        <v>0</v>
      </c>
      <c r="I682" s="25">
        <v>0</v>
      </c>
      <c r="J682" s="25">
        <v>0</v>
      </c>
      <c r="K682" s="25">
        <v>0</v>
      </c>
      <c r="L682" s="25">
        <v>0</v>
      </c>
      <c r="M682" s="25">
        <v>0</v>
      </c>
      <c r="N682" s="25">
        <v>0</v>
      </c>
      <c r="O682" s="25">
        <v>0</v>
      </c>
      <c r="P682" s="25">
        <v>0</v>
      </c>
      <c r="Q682" s="25">
        <v>0</v>
      </c>
      <c r="R682" s="25">
        <v>0</v>
      </c>
      <c r="S682" s="25">
        <v>0</v>
      </c>
      <c r="T682" s="25">
        <v>0</v>
      </c>
      <c r="U682" s="25">
        <v>0</v>
      </c>
      <c r="V682" s="25">
        <v>0</v>
      </c>
      <c r="W682" s="25">
        <v>0</v>
      </c>
      <c r="X682" s="25">
        <v>0</v>
      </c>
      <c r="Y682" s="25">
        <v>0</v>
      </c>
      <c r="Z682" s="25">
        <v>0</v>
      </c>
      <c r="AA682" s="25">
        <v>0</v>
      </c>
      <c r="AB682" s="25">
        <v>0</v>
      </c>
      <c r="AC682" s="25">
        <v>0</v>
      </c>
      <c r="AD682" s="25">
        <v>0</v>
      </c>
      <c r="AE682" s="25">
        <v>0</v>
      </c>
      <c r="AF682" s="25">
        <v>0</v>
      </c>
    </row>
    <row r="683" spans="1:32" x14ac:dyDescent="0.25">
      <c r="A683" s="25" t="s">
        <v>752</v>
      </c>
      <c r="B683" s="25">
        <v>0</v>
      </c>
      <c r="C683" s="25">
        <v>0</v>
      </c>
      <c r="D683" s="25">
        <v>0</v>
      </c>
      <c r="E683" s="25">
        <v>0</v>
      </c>
      <c r="F683" s="25">
        <v>0</v>
      </c>
      <c r="G683" s="25">
        <v>0</v>
      </c>
      <c r="H683" s="25">
        <v>0</v>
      </c>
      <c r="I683" s="25">
        <v>0</v>
      </c>
      <c r="J683" s="25">
        <v>0</v>
      </c>
      <c r="K683" s="25">
        <v>0</v>
      </c>
      <c r="L683" s="25">
        <v>0</v>
      </c>
      <c r="M683" s="25">
        <v>0</v>
      </c>
      <c r="N683" s="25">
        <v>0</v>
      </c>
      <c r="O683" s="25">
        <v>0</v>
      </c>
      <c r="P683" s="25">
        <v>0</v>
      </c>
      <c r="Q683" s="25">
        <v>0</v>
      </c>
      <c r="R683" s="25">
        <v>0</v>
      </c>
      <c r="S683" s="25">
        <v>0</v>
      </c>
      <c r="T683" s="25">
        <v>0</v>
      </c>
      <c r="U683" s="25">
        <v>0</v>
      </c>
      <c r="V683" s="25">
        <v>0</v>
      </c>
      <c r="W683" s="25">
        <v>0</v>
      </c>
      <c r="X683" s="25">
        <v>0</v>
      </c>
      <c r="Y683" s="25">
        <v>0</v>
      </c>
      <c r="Z683" s="25">
        <v>0</v>
      </c>
      <c r="AA683" s="25">
        <v>0</v>
      </c>
      <c r="AB683" s="25">
        <v>0</v>
      </c>
      <c r="AC683" s="25">
        <v>0</v>
      </c>
      <c r="AD683" s="25">
        <v>0</v>
      </c>
      <c r="AE683" s="25">
        <v>0</v>
      </c>
      <c r="AF683" s="25">
        <v>0</v>
      </c>
    </row>
    <row r="684" spans="1:32" x14ac:dyDescent="0.25">
      <c r="A684" s="25" t="s">
        <v>753</v>
      </c>
      <c r="B684" s="25">
        <v>0</v>
      </c>
      <c r="C684" s="25">
        <v>0</v>
      </c>
      <c r="D684" s="25">
        <v>0</v>
      </c>
      <c r="E684" s="25">
        <v>0</v>
      </c>
      <c r="F684" s="25">
        <v>0</v>
      </c>
      <c r="G684" s="25">
        <v>0</v>
      </c>
      <c r="H684" s="25">
        <v>0</v>
      </c>
      <c r="I684" s="25">
        <v>0</v>
      </c>
      <c r="J684" s="25">
        <v>0</v>
      </c>
      <c r="K684" s="25">
        <v>0</v>
      </c>
      <c r="L684" s="25">
        <v>0</v>
      </c>
      <c r="M684" s="25">
        <v>0</v>
      </c>
      <c r="N684" s="25">
        <v>0</v>
      </c>
      <c r="O684" s="25">
        <v>0</v>
      </c>
      <c r="P684" s="25">
        <v>0</v>
      </c>
      <c r="Q684" s="25">
        <v>0</v>
      </c>
      <c r="R684" s="25">
        <v>0</v>
      </c>
      <c r="S684" s="25">
        <v>0</v>
      </c>
      <c r="T684" s="25">
        <v>0</v>
      </c>
      <c r="U684" s="25">
        <v>0</v>
      </c>
      <c r="V684" s="25">
        <v>0</v>
      </c>
      <c r="W684" s="25">
        <v>0</v>
      </c>
      <c r="X684" s="25">
        <v>0</v>
      </c>
      <c r="Y684" s="25">
        <v>0</v>
      </c>
      <c r="Z684" s="25">
        <v>0</v>
      </c>
      <c r="AA684" s="25">
        <v>0</v>
      </c>
      <c r="AB684" s="25">
        <v>0</v>
      </c>
      <c r="AC684" s="25">
        <v>0</v>
      </c>
      <c r="AD684" s="25">
        <v>0</v>
      </c>
      <c r="AE684" s="25">
        <v>0</v>
      </c>
      <c r="AF684" s="25">
        <v>0</v>
      </c>
    </row>
    <row r="685" spans="1:32" x14ac:dyDescent="0.25">
      <c r="A685" s="25" t="s">
        <v>754</v>
      </c>
      <c r="B685" s="25">
        <v>0</v>
      </c>
      <c r="C685" s="25">
        <v>0</v>
      </c>
      <c r="D685" s="25">
        <v>0</v>
      </c>
      <c r="E685" s="25">
        <v>0</v>
      </c>
      <c r="F685" s="25">
        <v>0</v>
      </c>
      <c r="G685" s="25">
        <v>0</v>
      </c>
      <c r="H685" s="25">
        <v>0</v>
      </c>
      <c r="I685" s="25">
        <v>0</v>
      </c>
      <c r="J685" s="25">
        <v>0</v>
      </c>
      <c r="K685" s="25">
        <v>0</v>
      </c>
      <c r="L685" s="25">
        <v>0</v>
      </c>
      <c r="M685" s="25">
        <v>0</v>
      </c>
      <c r="N685" s="25">
        <v>0</v>
      </c>
      <c r="O685" s="25">
        <v>0</v>
      </c>
      <c r="P685" s="25">
        <v>0</v>
      </c>
      <c r="Q685" s="25">
        <v>0</v>
      </c>
      <c r="R685" s="25">
        <v>0</v>
      </c>
      <c r="S685" s="25">
        <v>0</v>
      </c>
      <c r="T685" s="25">
        <v>0</v>
      </c>
      <c r="U685" s="25">
        <v>0</v>
      </c>
      <c r="V685" s="25">
        <v>0</v>
      </c>
      <c r="W685" s="25">
        <v>0</v>
      </c>
      <c r="X685" s="25">
        <v>0</v>
      </c>
      <c r="Y685" s="25">
        <v>0</v>
      </c>
      <c r="Z685" s="25">
        <v>0</v>
      </c>
      <c r="AA685" s="25">
        <v>0</v>
      </c>
      <c r="AB685" s="25">
        <v>0</v>
      </c>
      <c r="AC685" s="25">
        <v>0</v>
      </c>
      <c r="AD685" s="25">
        <v>0</v>
      </c>
      <c r="AE685" s="25">
        <v>0</v>
      </c>
      <c r="AF685" s="25">
        <v>0</v>
      </c>
    </row>
    <row r="686" spans="1:32" x14ac:dyDescent="0.25">
      <c r="A686" s="25" t="s">
        <v>755</v>
      </c>
      <c r="B686" s="12">
        <v>523360000000000</v>
      </c>
      <c r="C686" s="12">
        <v>513214000000000</v>
      </c>
      <c r="D686" s="12">
        <v>487202000000000</v>
      </c>
      <c r="E686" s="12">
        <v>475385000000000</v>
      </c>
      <c r="F686" s="12">
        <v>470311000000000</v>
      </c>
      <c r="G686" s="12">
        <v>475445000000000</v>
      </c>
      <c r="H686" s="12">
        <v>484186000000000</v>
      </c>
      <c r="I686" s="12">
        <v>491081000000000</v>
      </c>
      <c r="J686" s="12">
        <v>497721000000000</v>
      </c>
      <c r="K686" s="12">
        <v>504519000000000</v>
      </c>
      <c r="L686" s="12">
        <v>511710000000000</v>
      </c>
      <c r="M686" s="12">
        <v>517814000000000</v>
      </c>
      <c r="N686" s="12">
        <v>520679000000000</v>
      </c>
      <c r="O686" s="12">
        <v>526660000000000</v>
      </c>
      <c r="P686" s="12">
        <v>532337000000000</v>
      </c>
      <c r="Q686" s="12">
        <v>538533000000000</v>
      </c>
      <c r="R686" s="12">
        <v>545041000000000</v>
      </c>
      <c r="S686" s="12">
        <v>552224000000000</v>
      </c>
      <c r="T686" s="12">
        <v>559114000000000</v>
      </c>
      <c r="U686" s="12">
        <v>566742000000000</v>
      </c>
      <c r="V686" s="12">
        <v>574955000000000</v>
      </c>
      <c r="W686" s="12">
        <v>582447000000000</v>
      </c>
      <c r="X686" s="12">
        <v>590584000000000</v>
      </c>
      <c r="Y686" s="12">
        <v>599025000000000</v>
      </c>
      <c r="Z686" s="12">
        <v>604895000000000</v>
      </c>
      <c r="AA686" s="12">
        <v>612444000000000</v>
      </c>
      <c r="AB686" s="12">
        <v>620542000000000</v>
      </c>
      <c r="AC686" s="12">
        <v>628253000000000</v>
      </c>
      <c r="AD686" s="12">
        <v>636271000000000</v>
      </c>
      <c r="AE686" s="12">
        <v>645158000000000</v>
      </c>
      <c r="AF686" s="12">
        <v>655067000000000</v>
      </c>
    </row>
    <row r="687" spans="1:32" x14ac:dyDescent="0.25">
      <c r="A687" s="25" t="s">
        <v>756</v>
      </c>
      <c r="B687" s="25">
        <v>0</v>
      </c>
      <c r="C687" s="25">
        <v>0</v>
      </c>
      <c r="D687" s="25">
        <v>0</v>
      </c>
      <c r="E687" s="25">
        <v>0</v>
      </c>
      <c r="F687" s="25">
        <v>0</v>
      </c>
      <c r="G687" s="25">
        <v>0</v>
      </c>
      <c r="H687" s="25">
        <v>0</v>
      </c>
      <c r="I687" s="25">
        <v>0</v>
      </c>
      <c r="J687" s="25">
        <v>0</v>
      </c>
      <c r="K687" s="25">
        <v>0</v>
      </c>
      <c r="L687" s="25">
        <v>0</v>
      </c>
      <c r="M687" s="25">
        <v>0</v>
      </c>
      <c r="N687" s="25">
        <v>0</v>
      </c>
      <c r="O687" s="25">
        <v>0</v>
      </c>
      <c r="P687" s="25">
        <v>0</v>
      </c>
      <c r="Q687" s="25">
        <v>0</v>
      </c>
      <c r="R687" s="25">
        <v>0</v>
      </c>
      <c r="S687" s="25">
        <v>0</v>
      </c>
      <c r="T687" s="25">
        <v>0</v>
      </c>
      <c r="U687" s="25">
        <v>0</v>
      </c>
      <c r="V687" s="25">
        <v>0</v>
      </c>
      <c r="W687" s="25">
        <v>0</v>
      </c>
      <c r="X687" s="25">
        <v>0</v>
      </c>
      <c r="Y687" s="25">
        <v>0</v>
      </c>
      <c r="Z687" s="25">
        <v>0</v>
      </c>
      <c r="AA687" s="25">
        <v>0</v>
      </c>
      <c r="AB687" s="25">
        <v>0</v>
      </c>
      <c r="AC687" s="25">
        <v>0</v>
      </c>
      <c r="AD687" s="25">
        <v>0</v>
      </c>
      <c r="AE687" s="25">
        <v>0</v>
      </c>
      <c r="AF687" s="25">
        <v>0</v>
      </c>
    </row>
    <row r="688" spans="1:32" x14ac:dyDescent="0.25">
      <c r="A688" s="25" t="s">
        <v>757</v>
      </c>
      <c r="B688" s="25">
        <v>0</v>
      </c>
      <c r="C688" s="25">
        <v>0</v>
      </c>
      <c r="D688" s="25">
        <v>0</v>
      </c>
      <c r="E688" s="25">
        <v>0</v>
      </c>
      <c r="F688" s="25">
        <v>0</v>
      </c>
      <c r="G688" s="25">
        <v>0</v>
      </c>
      <c r="H688" s="25">
        <v>0</v>
      </c>
      <c r="I688" s="25">
        <v>0</v>
      </c>
      <c r="J688" s="25">
        <v>0</v>
      </c>
      <c r="K688" s="25">
        <v>0</v>
      </c>
      <c r="L688" s="25">
        <v>0</v>
      </c>
      <c r="M688" s="25">
        <v>0</v>
      </c>
      <c r="N688" s="25">
        <v>0</v>
      </c>
      <c r="O688" s="25">
        <v>0</v>
      </c>
      <c r="P688" s="25">
        <v>0</v>
      </c>
      <c r="Q688" s="25">
        <v>0</v>
      </c>
      <c r="R688" s="25">
        <v>0</v>
      </c>
      <c r="S688" s="25">
        <v>0</v>
      </c>
      <c r="T688" s="25">
        <v>0</v>
      </c>
      <c r="U688" s="25">
        <v>0</v>
      </c>
      <c r="V688" s="25">
        <v>0</v>
      </c>
      <c r="W688" s="25">
        <v>0</v>
      </c>
      <c r="X688" s="25">
        <v>0</v>
      </c>
      <c r="Y688" s="25">
        <v>0</v>
      </c>
      <c r="Z688" s="25">
        <v>0</v>
      </c>
      <c r="AA688" s="25">
        <v>0</v>
      </c>
      <c r="AB688" s="25">
        <v>0</v>
      </c>
      <c r="AC688" s="25">
        <v>0</v>
      </c>
      <c r="AD688" s="25">
        <v>0</v>
      </c>
      <c r="AE688" s="25">
        <v>0</v>
      </c>
      <c r="AF688" s="25">
        <v>0</v>
      </c>
    </row>
    <row r="689" spans="1:32" x14ac:dyDescent="0.25">
      <c r="A689" s="25" t="s">
        <v>758</v>
      </c>
      <c r="B689" s="25">
        <v>0</v>
      </c>
      <c r="C689" s="25">
        <v>0</v>
      </c>
      <c r="D689" s="25">
        <v>0</v>
      </c>
      <c r="E689" s="25">
        <v>0</v>
      </c>
      <c r="F689" s="25">
        <v>0</v>
      </c>
      <c r="G689" s="25">
        <v>0</v>
      </c>
      <c r="H689" s="25">
        <v>0</v>
      </c>
      <c r="I689" s="25">
        <v>0</v>
      </c>
      <c r="J689" s="25">
        <v>0</v>
      </c>
      <c r="K689" s="25">
        <v>0</v>
      </c>
      <c r="L689" s="25">
        <v>0</v>
      </c>
      <c r="M689" s="25">
        <v>0</v>
      </c>
      <c r="N689" s="25">
        <v>0</v>
      </c>
      <c r="O689" s="25">
        <v>0</v>
      </c>
      <c r="P689" s="25">
        <v>0</v>
      </c>
      <c r="Q689" s="25">
        <v>0</v>
      </c>
      <c r="R689" s="25">
        <v>0</v>
      </c>
      <c r="S689" s="25">
        <v>0</v>
      </c>
      <c r="T689" s="25">
        <v>0</v>
      </c>
      <c r="U689" s="25">
        <v>0</v>
      </c>
      <c r="V689" s="25">
        <v>0</v>
      </c>
      <c r="W689" s="25">
        <v>0</v>
      </c>
      <c r="X689" s="25">
        <v>0</v>
      </c>
      <c r="Y689" s="25">
        <v>0</v>
      </c>
      <c r="Z689" s="25">
        <v>0</v>
      </c>
      <c r="AA689" s="25">
        <v>0</v>
      </c>
      <c r="AB689" s="25">
        <v>0</v>
      </c>
      <c r="AC689" s="25">
        <v>0</v>
      </c>
      <c r="AD689" s="25">
        <v>0</v>
      </c>
      <c r="AE689" s="25">
        <v>0</v>
      </c>
      <c r="AF689" s="25">
        <v>0</v>
      </c>
    </row>
    <row r="690" spans="1:32" x14ac:dyDescent="0.25">
      <c r="A690" s="25" t="s">
        <v>759</v>
      </c>
      <c r="B690" s="25">
        <v>0</v>
      </c>
      <c r="C690" s="25">
        <v>0</v>
      </c>
      <c r="D690" s="25">
        <v>0</v>
      </c>
      <c r="E690" s="25">
        <v>0</v>
      </c>
      <c r="F690" s="25">
        <v>0</v>
      </c>
      <c r="G690" s="25">
        <v>0</v>
      </c>
      <c r="H690" s="25">
        <v>0</v>
      </c>
      <c r="I690" s="25">
        <v>0</v>
      </c>
      <c r="J690" s="25">
        <v>0</v>
      </c>
      <c r="K690" s="25">
        <v>0</v>
      </c>
      <c r="L690" s="25">
        <v>0</v>
      </c>
      <c r="M690" s="25">
        <v>0</v>
      </c>
      <c r="N690" s="25">
        <v>0</v>
      </c>
      <c r="O690" s="25">
        <v>0</v>
      </c>
      <c r="P690" s="25">
        <v>0</v>
      </c>
      <c r="Q690" s="25">
        <v>0</v>
      </c>
      <c r="R690" s="25">
        <v>0</v>
      </c>
      <c r="S690" s="25">
        <v>0</v>
      </c>
      <c r="T690" s="25">
        <v>0</v>
      </c>
      <c r="U690" s="25">
        <v>0</v>
      </c>
      <c r="V690" s="25">
        <v>0</v>
      </c>
      <c r="W690" s="25">
        <v>0</v>
      </c>
      <c r="X690" s="25">
        <v>0</v>
      </c>
      <c r="Y690" s="25">
        <v>0</v>
      </c>
      <c r="Z690" s="25">
        <v>0</v>
      </c>
      <c r="AA690" s="25">
        <v>0</v>
      </c>
      <c r="AB690" s="25">
        <v>0</v>
      </c>
      <c r="AC690" s="25">
        <v>0</v>
      </c>
      <c r="AD690" s="25">
        <v>0</v>
      </c>
      <c r="AE690" s="25">
        <v>0</v>
      </c>
      <c r="AF690" s="25">
        <v>0</v>
      </c>
    </row>
    <row r="691" spans="1:32" x14ac:dyDescent="0.25">
      <c r="A691" s="25" t="s">
        <v>760</v>
      </c>
      <c r="B691" s="25">
        <v>0</v>
      </c>
      <c r="C691" s="25">
        <v>0</v>
      </c>
      <c r="D691" s="25">
        <v>0</v>
      </c>
      <c r="E691" s="25">
        <v>0</v>
      </c>
      <c r="F691" s="25">
        <v>0</v>
      </c>
      <c r="G691" s="25">
        <v>0</v>
      </c>
      <c r="H691" s="25">
        <v>0</v>
      </c>
      <c r="I691" s="25">
        <v>0</v>
      </c>
      <c r="J691" s="25">
        <v>0</v>
      </c>
      <c r="K691" s="25">
        <v>0</v>
      </c>
      <c r="L691" s="25">
        <v>0</v>
      </c>
      <c r="M691" s="25">
        <v>0</v>
      </c>
      <c r="N691" s="25">
        <v>0</v>
      </c>
      <c r="O691" s="25">
        <v>0</v>
      </c>
      <c r="P691" s="25">
        <v>0</v>
      </c>
      <c r="Q691" s="25">
        <v>0</v>
      </c>
      <c r="R691" s="25">
        <v>0</v>
      </c>
      <c r="S691" s="25">
        <v>0</v>
      </c>
      <c r="T691" s="25">
        <v>0</v>
      </c>
      <c r="U691" s="25">
        <v>0</v>
      </c>
      <c r="V691" s="25">
        <v>0</v>
      </c>
      <c r="W691" s="25">
        <v>0</v>
      </c>
      <c r="X691" s="25">
        <v>0</v>
      </c>
      <c r="Y691" s="25">
        <v>0</v>
      </c>
      <c r="Z691" s="25">
        <v>0</v>
      </c>
      <c r="AA691" s="25">
        <v>0</v>
      </c>
      <c r="AB691" s="25">
        <v>0</v>
      </c>
      <c r="AC691" s="25">
        <v>0</v>
      </c>
      <c r="AD691" s="25">
        <v>0</v>
      </c>
      <c r="AE691" s="25">
        <v>0</v>
      </c>
      <c r="AF691" s="25">
        <v>0</v>
      </c>
    </row>
    <row r="692" spans="1:32" x14ac:dyDescent="0.25">
      <c r="A692" s="25" t="s">
        <v>761</v>
      </c>
      <c r="B692" s="25">
        <v>0</v>
      </c>
      <c r="C692" s="25">
        <v>0</v>
      </c>
      <c r="D692" s="25">
        <v>0</v>
      </c>
      <c r="E692" s="25">
        <v>0</v>
      </c>
      <c r="F692" s="25">
        <v>0</v>
      </c>
      <c r="G692" s="25">
        <v>0</v>
      </c>
      <c r="H692" s="25">
        <v>0</v>
      </c>
      <c r="I692" s="25">
        <v>0</v>
      </c>
      <c r="J692" s="25">
        <v>0</v>
      </c>
      <c r="K692" s="25">
        <v>0</v>
      </c>
      <c r="L692" s="25">
        <v>0</v>
      </c>
      <c r="M692" s="25">
        <v>0</v>
      </c>
      <c r="N692" s="25">
        <v>0</v>
      </c>
      <c r="O692" s="25">
        <v>0</v>
      </c>
      <c r="P692" s="25">
        <v>0</v>
      </c>
      <c r="Q692" s="25">
        <v>0</v>
      </c>
      <c r="R692" s="25">
        <v>0</v>
      </c>
      <c r="S692" s="25">
        <v>0</v>
      </c>
      <c r="T692" s="25">
        <v>0</v>
      </c>
      <c r="U692" s="25">
        <v>0</v>
      </c>
      <c r="V692" s="25">
        <v>0</v>
      </c>
      <c r="W692" s="25">
        <v>0</v>
      </c>
      <c r="X692" s="25">
        <v>0</v>
      </c>
      <c r="Y692" s="25">
        <v>0</v>
      </c>
      <c r="Z692" s="25">
        <v>0</v>
      </c>
      <c r="AA692" s="25">
        <v>0</v>
      </c>
      <c r="AB692" s="25">
        <v>0</v>
      </c>
      <c r="AC692" s="25">
        <v>0</v>
      </c>
      <c r="AD692" s="25">
        <v>0</v>
      </c>
      <c r="AE692" s="25">
        <v>0</v>
      </c>
      <c r="AF692" s="25">
        <v>0</v>
      </c>
    </row>
    <row r="693" spans="1:32" x14ac:dyDescent="0.25">
      <c r="A693" s="25" t="s">
        <v>762</v>
      </c>
      <c r="B693" s="25">
        <v>0</v>
      </c>
      <c r="C693" s="25">
        <v>0</v>
      </c>
      <c r="D693" s="25">
        <v>0</v>
      </c>
      <c r="E693" s="25">
        <v>0</v>
      </c>
      <c r="F693" s="25">
        <v>0</v>
      </c>
      <c r="G693" s="25">
        <v>0</v>
      </c>
      <c r="H693" s="25">
        <v>0</v>
      </c>
      <c r="I693" s="25">
        <v>0</v>
      </c>
      <c r="J693" s="25">
        <v>0</v>
      </c>
      <c r="K693" s="25">
        <v>0</v>
      </c>
      <c r="L693" s="25">
        <v>0</v>
      </c>
      <c r="M693" s="25">
        <v>0</v>
      </c>
      <c r="N693" s="25">
        <v>0</v>
      </c>
      <c r="O693" s="25">
        <v>0</v>
      </c>
      <c r="P693" s="25">
        <v>0</v>
      </c>
      <c r="Q693" s="25">
        <v>0</v>
      </c>
      <c r="R693" s="25">
        <v>0</v>
      </c>
      <c r="S693" s="25">
        <v>0</v>
      </c>
      <c r="T693" s="25">
        <v>0</v>
      </c>
      <c r="U693" s="25">
        <v>0</v>
      </c>
      <c r="V693" s="25">
        <v>0</v>
      </c>
      <c r="W693" s="25">
        <v>0</v>
      </c>
      <c r="X693" s="25">
        <v>0</v>
      </c>
      <c r="Y693" s="25">
        <v>0</v>
      </c>
      <c r="Z693" s="25">
        <v>0</v>
      </c>
      <c r="AA693" s="25">
        <v>0</v>
      </c>
      <c r="AB693" s="25">
        <v>0</v>
      </c>
      <c r="AC693" s="25">
        <v>0</v>
      </c>
      <c r="AD693" s="25">
        <v>0</v>
      </c>
      <c r="AE693" s="25">
        <v>0</v>
      </c>
      <c r="AF693" s="25">
        <v>0</v>
      </c>
    </row>
    <row r="694" spans="1:32" x14ac:dyDescent="0.25">
      <c r="A694" s="25" t="s">
        <v>763</v>
      </c>
      <c r="B694" s="25">
        <v>0</v>
      </c>
      <c r="C694" s="25">
        <v>0</v>
      </c>
      <c r="D694" s="25">
        <v>0</v>
      </c>
      <c r="E694" s="25">
        <v>0</v>
      </c>
      <c r="F694" s="25">
        <v>0</v>
      </c>
      <c r="G694" s="25">
        <v>0</v>
      </c>
      <c r="H694" s="25">
        <v>0</v>
      </c>
      <c r="I694" s="25">
        <v>0</v>
      </c>
      <c r="J694" s="25">
        <v>0</v>
      </c>
      <c r="K694" s="25">
        <v>0</v>
      </c>
      <c r="L694" s="25">
        <v>0</v>
      </c>
      <c r="M694" s="25">
        <v>0</v>
      </c>
      <c r="N694" s="25">
        <v>0</v>
      </c>
      <c r="O694" s="25">
        <v>0</v>
      </c>
      <c r="P694" s="25">
        <v>0</v>
      </c>
      <c r="Q694" s="25">
        <v>0</v>
      </c>
      <c r="R694" s="25">
        <v>0</v>
      </c>
      <c r="S694" s="25">
        <v>0</v>
      </c>
      <c r="T694" s="25">
        <v>0</v>
      </c>
      <c r="U694" s="25">
        <v>0</v>
      </c>
      <c r="V694" s="25">
        <v>0</v>
      </c>
      <c r="W694" s="25">
        <v>0</v>
      </c>
      <c r="X694" s="25">
        <v>0</v>
      </c>
      <c r="Y694" s="25">
        <v>0</v>
      </c>
      <c r="Z694" s="25">
        <v>0</v>
      </c>
      <c r="AA694" s="25">
        <v>0</v>
      </c>
      <c r="AB694" s="25">
        <v>0</v>
      </c>
      <c r="AC694" s="25">
        <v>0</v>
      </c>
      <c r="AD694" s="25">
        <v>0</v>
      </c>
      <c r="AE694" s="25">
        <v>0</v>
      </c>
      <c r="AF694" s="25">
        <v>0</v>
      </c>
    </row>
    <row r="695" spans="1:32" x14ac:dyDescent="0.25">
      <c r="A695" s="25" t="s">
        <v>764</v>
      </c>
      <c r="B695" s="25">
        <v>0</v>
      </c>
      <c r="C695" s="25">
        <v>0</v>
      </c>
      <c r="D695" s="25">
        <v>0</v>
      </c>
      <c r="E695" s="25">
        <v>0</v>
      </c>
      <c r="F695" s="25">
        <v>0</v>
      </c>
      <c r="G695" s="25">
        <v>0</v>
      </c>
      <c r="H695" s="25">
        <v>0</v>
      </c>
      <c r="I695" s="25">
        <v>0</v>
      </c>
      <c r="J695" s="25">
        <v>0</v>
      </c>
      <c r="K695" s="25">
        <v>0</v>
      </c>
      <c r="L695" s="25">
        <v>0</v>
      </c>
      <c r="M695" s="25">
        <v>0</v>
      </c>
      <c r="N695" s="25">
        <v>0</v>
      </c>
      <c r="O695" s="25">
        <v>0</v>
      </c>
      <c r="P695" s="25">
        <v>0</v>
      </c>
      <c r="Q695" s="25">
        <v>0</v>
      </c>
      <c r="R695" s="25">
        <v>0</v>
      </c>
      <c r="S695" s="25">
        <v>0</v>
      </c>
      <c r="T695" s="25">
        <v>0</v>
      </c>
      <c r="U695" s="25">
        <v>0</v>
      </c>
      <c r="V695" s="25">
        <v>0</v>
      </c>
      <c r="W695" s="25">
        <v>0</v>
      </c>
      <c r="X695" s="25">
        <v>0</v>
      </c>
      <c r="Y695" s="25">
        <v>0</v>
      </c>
      <c r="Z695" s="25">
        <v>0</v>
      </c>
      <c r="AA695" s="25">
        <v>0</v>
      </c>
      <c r="AB695" s="25">
        <v>0</v>
      </c>
      <c r="AC695" s="25">
        <v>0</v>
      </c>
      <c r="AD695" s="25">
        <v>0</v>
      </c>
      <c r="AE695" s="25">
        <v>0</v>
      </c>
      <c r="AF695" s="25">
        <v>0</v>
      </c>
    </row>
    <row r="696" spans="1:32" x14ac:dyDescent="0.25">
      <c r="A696" s="25" t="s">
        <v>765</v>
      </c>
      <c r="B696" s="25">
        <v>0</v>
      </c>
      <c r="C696" s="25">
        <v>0</v>
      </c>
      <c r="D696" s="25">
        <v>0</v>
      </c>
      <c r="E696" s="25">
        <v>0</v>
      </c>
      <c r="F696" s="25">
        <v>0</v>
      </c>
      <c r="G696" s="25">
        <v>0</v>
      </c>
      <c r="H696" s="25">
        <v>0</v>
      </c>
      <c r="I696" s="25">
        <v>0</v>
      </c>
      <c r="J696" s="25">
        <v>0</v>
      </c>
      <c r="K696" s="25">
        <v>0</v>
      </c>
      <c r="L696" s="25">
        <v>0</v>
      </c>
      <c r="M696" s="25">
        <v>0</v>
      </c>
      <c r="N696" s="25">
        <v>0</v>
      </c>
      <c r="O696" s="25">
        <v>0</v>
      </c>
      <c r="P696" s="25">
        <v>0</v>
      </c>
      <c r="Q696" s="25">
        <v>0</v>
      </c>
      <c r="R696" s="25">
        <v>0</v>
      </c>
      <c r="S696" s="25">
        <v>0</v>
      </c>
      <c r="T696" s="25">
        <v>0</v>
      </c>
      <c r="U696" s="25">
        <v>0</v>
      </c>
      <c r="V696" s="25">
        <v>0</v>
      </c>
      <c r="W696" s="25">
        <v>0</v>
      </c>
      <c r="X696" s="25">
        <v>0</v>
      </c>
      <c r="Y696" s="25">
        <v>0</v>
      </c>
      <c r="Z696" s="25">
        <v>0</v>
      </c>
      <c r="AA696" s="25">
        <v>0</v>
      </c>
      <c r="AB696" s="25">
        <v>0</v>
      </c>
      <c r="AC696" s="25">
        <v>0</v>
      </c>
      <c r="AD696" s="25">
        <v>0</v>
      </c>
      <c r="AE696" s="25">
        <v>0</v>
      </c>
      <c r="AF696" s="25">
        <v>0</v>
      </c>
    </row>
    <row r="697" spans="1:32" x14ac:dyDescent="0.25">
      <c r="A697" s="25" t="s">
        <v>766</v>
      </c>
      <c r="B697" s="25">
        <v>0</v>
      </c>
      <c r="C697" s="25">
        <v>0</v>
      </c>
      <c r="D697" s="25">
        <v>0</v>
      </c>
      <c r="E697" s="25">
        <v>0</v>
      </c>
      <c r="F697" s="25">
        <v>0</v>
      </c>
      <c r="G697" s="25">
        <v>0</v>
      </c>
      <c r="H697" s="25">
        <v>0</v>
      </c>
      <c r="I697" s="25">
        <v>0</v>
      </c>
      <c r="J697" s="25">
        <v>0</v>
      </c>
      <c r="K697" s="25">
        <v>0</v>
      </c>
      <c r="L697" s="25">
        <v>0</v>
      </c>
      <c r="M697" s="25">
        <v>0</v>
      </c>
      <c r="N697" s="25">
        <v>0</v>
      </c>
      <c r="O697" s="25">
        <v>0</v>
      </c>
      <c r="P697" s="25">
        <v>0</v>
      </c>
      <c r="Q697" s="25">
        <v>0</v>
      </c>
      <c r="R697" s="25">
        <v>0</v>
      </c>
      <c r="S697" s="25">
        <v>0</v>
      </c>
      <c r="T697" s="25">
        <v>0</v>
      </c>
      <c r="U697" s="25">
        <v>0</v>
      </c>
      <c r="V697" s="25">
        <v>0</v>
      </c>
      <c r="W697" s="25">
        <v>0</v>
      </c>
      <c r="X697" s="25">
        <v>0</v>
      </c>
      <c r="Y697" s="25">
        <v>0</v>
      </c>
      <c r="Z697" s="25">
        <v>0</v>
      </c>
      <c r="AA697" s="25">
        <v>0</v>
      </c>
      <c r="AB697" s="25">
        <v>0</v>
      </c>
      <c r="AC697" s="25">
        <v>0</v>
      </c>
      <c r="AD697" s="25">
        <v>0</v>
      </c>
      <c r="AE697" s="25">
        <v>0</v>
      </c>
      <c r="AF697" s="25">
        <v>0</v>
      </c>
    </row>
    <row r="698" spans="1:32" x14ac:dyDescent="0.25">
      <c r="A698" s="25" t="s">
        <v>767</v>
      </c>
      <c r="B698" s="25">
        <v>0</v>
      </c>
      <c r="C698" s="25">
        <v>0</v>
      </c>
      <c r="D698" s="25">
        <v>0</v>
      </c>
      <c r="E698" s="25">
        <v>0</v>
      </c>
      <c r="F698" s="25">
        <v>0</v>
      </c>
      <c r="G698" s="25">
        <v>0</v>
      </c>
      <c r="H698" s="25">
        <v>0</v>
      </c>
      <c r="I698" s="25">
        <v>0</v>
      </c>
      <c r="J698" s="25">
        <v>0</v>
      </c>
      <c r="K698" s="25">
        <v>0</v>
      </c>
      <c r="L698" s="25">
        <v>0</v>
      </c>
      <c r="M698" s="25">
        <v>0</v>
      </c>
      <c r="N698" s="25">
        <v>0</v>
      </c>
      <c r="O698" s="25">
        <v>0</v>
      </c>
      <c r="P698" s="25">
        <v>0</v>
      </c>
      <c r="Q698" s="25">
        <v>0</v>
      </c>
      <c r="R698" s="25">
        <v>0</v>
      </c>
      <c r="S698" s="25">
        <v>0</v>
      </c>
      <c r="T698" s="25">
        <v>0</v>
      </c>
      <c r="U698" s="25">
        <v>0</v>
      </c>
      <c r="V698" s="25">
        <v>0</v>
      </c>
      <c r="W698" s="25">
        <v>0</v>
      </c>
      <c r="X698" s="25">
        <v>0</v>
      </c>
      <c r="Y698" s="25">
        <v>0</v>
      </c>
      <c r="Z698" s="25">
        <v>0</v>
      </c>
      <c r="AA698" s="25">
        <v>0</v>
      </c>
      <c r="AB698" s="25">
        <v>0</v>
      </c>
      <c r="AC698" s="25">
        <v>0</v>
      </c>
      <c r="AD698" s="25">
        <v>0</v>
      </c>
      <c r="AE698" s="25">
        <v>0</v>
      </c>
      <c r="AF698" s="25">
        <v>0</v>
      </c>
    </row>
    <row r="699" spans="1:32" x14ac:dyDescent="0.25">
      <c r="A699" s="25" t="s">
        <v>768</v>
      </c>
      <c r="B699" s="25">
        <v>0</v>
      </c>
      <c r="C699" s="25">
        <v>0</v>
      </c>
      <c r="D699" s="25">
        <v>0</v>
      </c>
      <c r="E699" s="25">
        <v>0</v>
      </c>
      <c r="F699" s="25">
        <v>0</v>
      </c>
      <c r="G699" s="25">
        <v>0</v>
      </c>
      <c r="H699" s="25">
        <v>0</v>
      </c>
      <c r="I699" s="25">
        <v>0</v>
      </c>
      <c r="J699" s="25">
        <v>0</v>
      </c>
      <c r="K699" s="25">
        <v>0</v>
      </c>
      <c r="L699" s="25">
        <v>0</v>
      </c>
      <c r="M699" s="25">
        <v>0</v>
      </c>
      <c r="N699" s="25">
        <v>0</v>
      </c>
      <c r="O699" s="25">
        <v>0</v>
      </c>
      <c r="P699" s="25">
        <v>0</v>
      </c>
      <c r="Q699" s="25">
        <v>0</v>
      </c>
      <c r="R699" s="25">
        <v>0</v>
      </c>
      <c r="S699" s="25">
        <v>0</v>
      </c>
      <c r="T699" s="25">
        <v>0</v>
      </c>
      <c r="U699" s="25">
        <v>0</v>
      </c>
      <c r="V699" s="25">
        <v>0</v>
      </c>
      <c r="W699" s="25">
        <v>0</v>
      </c>
      <c r="X699" s="25">
        <v>0</v>
      </c>
      <c r="Y699" s="25">
        <v>0</v>
      </c>
      <c r="Z699" s="25">
        <v>0</v>
      </c>
      <c r="AA699" s="25">
        <v>0</v>
      </c>
      <c r="AB699" s="25">
        <v>0</v>
      </c>
      <c r="AC699" s="25">
        <v>0</v>
      </c>
      <c r="AD699" s="25">
        <v>0</v>
      </c>
      <c r="AE699" s="25">
        <v>0</v>
      </c>
      <c r="AF699" s="25">
        <v>0</v>
      </c>
    </row>
    <row r="700" spans="1:32" x14ac:dyDescent="0.25">
      <c r="A700" s="25" t="s">
        <v>769</v>
      </c>
      <c r="B700" s="25">
        <v>0</v>
      </c>
      <c r="C700" s="25">
        <v>0</v>
      </c>
      <c r="D700" s="25">
        <v>0</v>
      </c>
      <c r="E700" s="25">
        <v>0</v>
      </c>
      <c r="F700" s="25">
        <v>0</v>
      </c>
      <c r="G700" s="25">
        <v>0</v>
      </c>
      <c r="H700" s="25">
        <v>0</v>
      </c>
      <c r="I700" s="25">
        <v>0</v>
      </c>
      <c r="J700" s="25">
        <v>0</v>
      </c>
      <c r="K700" s="25">
        <v>0</v>
      </c>
      <c r="L700" s="25">
        <v>0</v>
      </c>
      <c r="M700" s="25">
        <v>0</v>
      </c>
      <c r="N700" s="25">
        <v>0</v>
      </c>
      <c r="O700" s="25">
        <v>0</v>
      </c>
      <c r="P700" s="25">
        <v>0</v>
      </c>
      <c r="Q700" s="25">
        <v>0</v>
      </c>
      <c r="R700" s="25">
        <v>0</v>
      </c>
      <c r="S700" s="25">
        <v>0</v>
      </c>
      <c r="T700" s="25">
        <v>0</v>
      </c>
      <c r="U700" s="25">
        <v>0</v>
      </c>
      <c r="V700" s="25">
        <v>0</v>
      </c>
      <c r="W700" s="25">
        <v>0</v>
      </c>
      <c r="X700" s="25">
        <v>0</v>
      </c>
      <c r="Y700" s="25">
        <v>0</v>
      </c>
      <c r="Z700" s="25">
        <v>0</v>
      </c>
      <c r="AA700" s="25">
        <v>0</v>
      </c>
      <c r="AB700" s="25">
        <v>0</v>
      </c>
      <c r="AC700" s="25">
        <v>0</v>
      </c>
      <c r="AD700" s="25">
        <v>0</v>
      </c>
      <c r="AE700" s="25">
        <v>0</v>
      </c>
      <c r="AF700" s="25">
        <v>0</v>
      </c>
    </row>
    <row r="701" spans="1:32" x14ac:dyDescent="0.25">
      <c r="A701" s="25" t="s">
        <v>770</v>
      </c>
      <c r="B701" s="25">
        <v>0</v>
      </c>
      <c r="C701" s="25">
        <v>0</v>
      </c>
      <c r="D701" s="25">
        <v>0</v>
      </c>
      <c r="E701" s="25">
        <v>0</v>
      </c>
      <c r="F701" s="25">
        <v>0</v>
      </c>
      <c r="G701" s="25">
        <v>0</v>
      </c>
      <c r="H701" s="25">
        <v>0</v>
      </c>
      <c r="I701" s="25">
        <v>0</v>
      </c>
      <c r="J701" s="25">
        <v>0</v>
      </c>
      <c r="K701" s="25">
        <v>0</v>
      </c>
      <c r="L701" s="25">
        <v>0</v>
      </c>
      <c r="M701" s="25">
        <v>0</v>
      </c>
      <c r="N701" s="25">
        <v>0</v>
      </c>
      <c r="O701" s="25">
        <v>0</v>
      </c>
      <c r="P701" s="25">
        <v>0</v>
      </c>
      <c r="Q701" s="25">
        <v>0</v>
      </c>
      <c r="R701" s="25">
        <v>0</v>
      </c>
      <c r="S701" s="25">
        <v>0</v>
      </c>
      <c r="T701" s="25">
        <v>0</v>
      </c>
      <c r="U701" s="25">
        <v>0</v>
      </c>
      <c r="V701" s="25">
        <v>0</v>
      </c>
      <c r="W701" s="25">
        <v>0</v>
      </c>
      <c r="X701" s="25">
        <v>0</v>
      </c>
      <c r="Y701" s="25">
        <v>0</v>
      </c>
      <c r="Z701" s="25">
        <v>0</v>
      </c>
      <c r="AA701" s="25">
        <v>0</v>
      </c>
      <c r="AB701" s="25">
        <v>0</v>
      </c>
      <c r="AC701" s="25">
        <v>0</v>
      </c>
      <c r="AD701" s="25">
        <v>0</v>
      </c>
      <c r="AE701" s="25">
        <v>0</v>
      </c>
      <c r="AF701" s="25">
        <v>0</v>
      </c>
    </row>
    <row r="702" spans="1:32" x14ac:dyDescent="0.25">
      <c r="A702" s="25" t="s">
        <v>771</v>
      </c>
      <c r="B702" s="25">
        <v>0</v>
      </c>
      <c r="C702" s="25">
        <v>0</v>
      </c>
      <c r="D702" s="25">
        <v>0</v>
      </c>
      <c r="E702" s="25">
        <v>0</v>
      </c>
      <c r="F702" s="25">
        <v>0</v>
      </c>
      <c r="G702" s="25">
        <v>0</v>
      </c>
      <c r="H702" s="25">
        <v>0</v>
      </c>
      <c r="I702" s="25">
        <v>0</v>
      </c>
      <c r="J702" s="25">
        <v>0</v>
      </c>
      <c r="K702" s="25">
        <v>0</v>
      </c>
      <c r="L702" s="25">
        <v>0</v>
      </c>
      <c r="M702" s="25">
        <v>0</v>
      </c>
      <c r="N702" s="25">
        <v>0</v>
      </c>
      <c r="O702" s="25">
        <v>0</v>
      </c>
      <c r="P702" s="25">
        <v>0</v>
      </c>
      <c r="Q702" s="25">
        <v>0</v>
      </c>
      <c r="R702" s="25">
        <v>0</v>
      </c>
      <c r="S702" s="25">
        <v>0</v>
      </c>
      <c r="T702" s="25">
        <v>0</v>
      </c>
      <c r="U702" s="25">
        <v>0</v>
      </c>
      <c r="V702" s="25">
        <v>0</v>
      </c>
      <c r="W702" s="25">
        <v>0</v>
      </c>
      <c r="X702" s="25">
        <v>0</v>
      </c>
      <c r="Y702" s="25">
        <v>0</v>
      </c>
      <c r="Z702" s="25">
        <v>0</v>
      </c>
      <c r="AA702" s="25">
        <v>0</v>
      </c>
      <c r="AB702" s="25">
        <v>0</v>
      </c>
      <c r="AC702" s="25">
        <v>0</v>
      </c>
      <c r="AD702" s="25">
        <v>0</v>
      </c>
      <c r="AE702" s="25">
        <v>0</v>
      </c>
      <c r="AF702" s="25">
        <v>0</v>
      </c>
    </row>
    <row r="703" spans="1:32" x14ac:dyDescent="0.25">
      <c r="A703" s="25" t="s">
        <v>772</v>
      </c>
      <c r="B703" s="25">
        <v>0</v>
      </c>
      <c r="C703" s="25">
        <v>0</v>
      </c>
      <c r="D703" s="25">
        <v>0</v>
      </c>
      <c r="E703" s="25">
        <v>0</v>
      </c>
      <c r="F703" s="25">
        <v>0</v>
      </c>
      <c r="G703" s="25">
        <v>0</v>
      </c>
      <c r="H703" s="25">
        <v>0</v>
      </c>
      <c r="I703" s="25">
        <v>0</v>
      </c>
      <c r="J703" s="25">
        <v>0</v>
      </c>
      <c r="K703" s="25">
        <v>0</v>
      </c>
      <c r="L703" s="25">
        <v>0</v>
      </c>
      <c r="M703" s="25">
        <v>0</v>
      </c>
      <c r="N703" s="25">
        <v>0</v>
      </c>
      <c r="O703" s="25">
        <v>0</v>
      </c>
      <c r="P703" s="25">
        <v>0</v>
      </c>
      <c r="Q703" s="25">
        <v>0</v>
      </c>
      <c r="R703" s="25">
        <v>0</v>
      </c>
      <c r="S703" s="25">
        <v>0</v>
      </c>
      <c r="T703" s="25">
        <v>0</v>
      </c>
      <c r="U703" s="25">
        <v>0</v>
      </c>
      <c r="V703" s="25">
        <v>0</v>
      </c>
      <c r="W703" s="25">
        <v>0</v>
      </c>
      <c r="X703" s="25">
        <v>0</v>
      </c>
      <c r="Y703" s="25">
        <v>0</v>
      </c>
      <c r="Z703" s="25">
        <v>0</v>
      </c>
      <c r="AA703" s="25">
        <v>0</v>
      </c>
      <c r="AB703" s="25">
        <v>0</v>
      </c>
      <c r="AC703" s="25">
        <v>0</v>
      </c>
      <c r="AD703" s="25">
        <v>0</v>
      </c>
      <c r="AE703" s="25">
        <v>0</v>
      </c>
      <c r="AF703" s="25">
        <v>0</v>
      </c>
    </row>
    <row r="704" spans="1:32" x14ac:dyDescent="0.25">
      <c r="A704" s="25" t="s">
        <v>773</v>
      </c>
      <c r="B704" s="25">
        <v>0</v>
      </c>
      <c r="C704" s="25">
        <v>0</v>
      </c>
      <c r="D704" s="25">
        <v>0</v>
      </c>
      <c r="E704" s="25">
        <v>0</v>
      </c>
      <c r="F704" s="25">
        <v>0</v>
      </c>
      <c r="G704" s="25">
        <v>0</v>
      </c>
      <c r="H704" s="25">
        <v>0</v>
      </c>
      <c r="I704" s="25">
        <v>0</v>
      </c>
      <c r="J704" s="25">
        <v>0</v>
      </c>
      <c r="K704" s="25">
        <v>0</v>
      </c>
      <c r="L704" s="25">
        <v>0</v>
      </c>
      <c r="M704" s="25">
        <v>0</v>
      </c>
      <c r="N704" s="25">
        <v>0</v>
      </c>
      <c r="O704" s="25">
        <v>0</v>
      </c>
      <c r="P704" s="25">
        <v>0</v>
      </c>
      <c r="Q704" s="25">
        <v>0</v>
      </c>
      <c r="R704" s="25">
        <v>0</v>
      </c>
      <c r="S704" s="25">
        <v>0</v>
      </c>
      <c r="T704" s="25">
        <v>0</v>
      </c>
      <c r="U704" s="25">
        <v>0</v>
      </c>
      <c r="V704" s="25">
        <v>0</v>
      </c>
      <c r="W704" s="25">
        <v>0</v>
      </c>
      <c r="X704" s="25">
        <v>0</v>
      </c>
      <c r="Y704" s="25">
        <v>0</v>
      </c>
      <c r="Z704" s="25">
        <v>0</v>
      </c>
      <c r="AA704" s="25">
        <v>0</v>
      </c>
      <c r="AB704" s="25">
        <v>0</v>
      </c>
      <c r="AC704" s="25">
        <v>0</v>
      </c>
      <c r="AD704" s="25">
        <v>0</v>
      </c>
      <c r="AE704" s="25">
        <v>0</v>
      </c>
      <c r="AF704" s="25">
        <v>0</v>
      </c>
    </row>
    <row r="705" spans="1:32" x14ac:dyDescent="0.25">
      <c r="A705" s="25" t="s">
        <v>774</v>
      </c>
      <c r="B705" s="25">
        <v>0</v>
      </c>
      <c r="C705" s="25">
        <v>0</v>
      </c>
      <c r="D705" s="25">
        <v>0</v>
      </c>
      <c r="E705" s="25">
        <v>0</v>
      </c>
      <c r="F705" s="25">
        <v>0</v>
      </c>
      <c r="G705" s="25">
        <v>0</v>
      </c>
      <c r="H705" s="25">
        <v>0</v>
      </c>
      <c r="I705" s="25">
        <v>0</v>
      </c>
      <c r="J705" s="25">
        <v>0</v>
      </c>
      <c r="K705" s="25">
        <v>0</v>
      </c>
      <c r="L705" s="25">
        <v>0</v>
      </c>
      <c r="M705" s="25">
        <v>0</v>
      </c>
      <c r="N705" s="25">
        <v>0</v>
      </c>
      <c r="O705" s="25">
        <v>0</v>
      </c>
      <c r="P705" s="25">
        <v>0</v>
      </c>
      <c r="Q705" s="25">
        <v>0</v>
      </c>
      <c r="R705" s="25">
        <v>0</v>
      </c>
      <c r="S705" s="25">
        <v>0</v>
      </c>
      <c r="T705" s="25">
        <v>0</v>
      </c>
      <c r="U705" s="25">
        <v>0</v>
      </c>
      <c r="V705" s="25">
        <v>0</v>
      </c>
      <c r="W705" s="25">
        <v>0</v>
      </c>
      <c r="X705" s="25">
        <v>0</v>
      </c>
      <c r="Y705" s="25">
        <v>0</v>
      </c>
      <c r="Z705" s="25">
        <v>0</v>
      </c>
      <c r="AA705" s="25">
        <v>0</v>
      </c>
      <c r="AB705" s="25">
        <v>0</v>
      </c>
      <c r="AC705" s="25">
        <v>0</v>
      </c>
      <c r="AD705" s="25">
        <v>0</v>
      </c>
      <c r="AE705" s="25">
        <v>0</v>
      </c>
      <c r="AF705" s="25">
        <v>0</v>
      </c>
    </row>
    <row r="706" spans="1:32" x14ac:dyDescent="0.25">
      <c r="A706" s="25" t="s">
        <v>775</v>
      </c>
      <c r="B706" s="25">
        <v>0</v>
      </c>
      <c r="C706" s="25">
        <v>0</v>
      </c>
      <c r="D706" s="25">
        <v>0</v>
      </c>
      <c r="E706" s="25">
        <v>0</v>
      </c>
      <c r="F706" s="25">
        <v>0</v>
      </c>
      <c r="G706" s="25">
        <v>0</v>
      </c>
      <c r="H706" s="25">
        <v>0</v>
      </c>
      <c r="I706" s="25">
        <v>0</v>
      </c>
      <c r="J706" s="25">
        <v>0</v>
      </c>
      <c r="K706" s="25">
        <v>0</v>
      </c>
      <c r="L706" s="25">
        <v>0</v>
      </c>
      <c r="M706" s="25">
        <v>0</v>
      </c>
      <c r="N706" s="25">
        <v>0</v>
      </c>
      <c r="O706" s="25">
        <v>0</v>
      </c>
      <c r="P706" s="25">
        <v>0</v>
      </c>
      <c r="Q706" s="25">
        <v>0</v>
      </c>
      <c r="R706" s="25">
        <v>0</v>
      </c>
      <c r="S706" s="25">
        <v>0</v>
      </c>
      <c r="T706" s="25">
        <v>0</v>
      </c>
      <c r="U706" s="25">
        <v>0</v>
      </c>
      <c r="V706" s="25">
        <v>0</v>
      </c>
      <c r="W706" s="25">
        <v>0</v>
      </c>
      <c r="X706" s="25">
        <v>0</v>
      </c>
      <c r="Y706" s="25">
        <v>0</v>
      </c>
      <c r="Z706" s="25">
        <v>0</v>
      </c>
      <c r="AA706" s="25">
        <v>0</v>
      </c>
      <c r="AB706" s="25">
        <v>0</v>
      </c>
      <c r="AC706" s="25">
        <v>0</v>
      </c>
      <c r="AD706" s="25">
        <v>0</v>
      </c>
      <c r="AE706" s="25">
        <v>0</v>
      </c>
      <c r="AF706" s="25">
        <v>0</v>
      </c>
    </row>
    <row r="707" spans="1:32" x14ac:dyDescent="0.25">
      <c r="A707" s="25" t="s">
        <v>776</v>
      </c>
      <c r="B707" s="25">
        <v>0</v>
      </c>
      <c r="C707" s="25">
        <v>0</v>
      </c>
      <c r="D707" s="25">
        <v>0</v>
      </c>
      <c r="E707" s="25">
        <v>0</v>
      </c>
      <c r="F707" s="25">
        <v>0</v>
      </c>
      <c r="G707" s="25">
        <v>0</v>
      </c>
      <c r="H707" s="25">
        <v>0</v>
      </c>
      <c r="I707" s="25">
        <v>0</v>
      </c>
      <c r="J707" s="25">
        <v>0</v>
      </c>
      <c r="K707" s="25">
        <v>0</v>
      </c>
      <c r="L707" s="25">
        <v>0</v>
      </c>
      <c r="M707" s="25">
        <v>0</v>
      </c>
      <c r="N707" s="25">
        <v>0</v>
      </c>
      <c r="O707" s="25">
        <v>0</v>
      </c>
      <c r="P707" s="25">
        <v>0</v>
      </c>
      <c r="Q707" s="25">
        <v>0</v>
      </c>
      <c r="R707" s="25">
        <v>0</v>
      </c>
      <c r="S707" s="25">
        <v>0</v>
      </c>
      <c r="T707" s="25">
        <v>0</v>
      </c>
      <c r="U707" s="25">
        <v>0</v>
      </c>
      <c r="V707" s="25">
        <v>0</v>
      </c>
      <c r="W707" s="25">
        <v>0</v>
      </c>
      <c r="X707" s="25">
        <v>0</v>
      </c>
      <c r="Y707" s="25">
        <v>0</v>
      </c>
      <c r="Z707" s="25">
        <v>0</v>
      </c>
      <c r="AA707" s="25">
        <v>0</v>
      </c>
      <c r="AB707" s="25">
        <v>0</v>
      </c>
      <c r="AC707" s="25">
        <v>0</v>
      </c>
      <c r="AD707" s="25">
        <v>0</v>
      </c>
      <c r="AE707" s="25">
        <v>0</v>
      </c>
      <c r="AF707" s="25">
        <v>0</v>
      </c>
    </row>
    <row r="708" spans="1:32" x14ac:dyDescent="0.25">
      <c r="A708" s="25" t="s">
        <v>777</v>
      </c>
      <c r="B708" s="25">
        <v>0</v>
      </c>
      <c r="C708" s="25">
        <v>0</v>
      </c>
      <c r="D708" s="25">
        <v>0</v>
      </c>
      <c r="E708" s="25">
        <v>0</v>
      </c>
      <c r="F708" s="25">
        <v>0</v>
      </c>
      <c r="G708" s="25">
        <v>0</v>
      </c>
      <c r="H708" s="25">
        <v>0</v>
      </c>
      <c r="I708" s="25">
        <v>0</v>
      </c>
      <c r="J708" s="25">
        <v>0</v>
      </c>
      <c r="K708" s="25">
        <v>0</v>
      </c>
      <c r="L708" s="25">
        <v>0</v>
      </c>
      <c r="M708" s="25">
        <v>0</v>
      </c>
      <c r="N708" s="25">
        <v>0</v>
      </c>
      <c r="O708" s="25">
        <v>0</v>
      </c>
      <c r="P708" s="25">
        <v>0</v>
      </c>
      <c r="Q708" s="25">
        <v>0</v>
      </c>
      <c r="R708" s="25">
        <v>0</v>
      </c>
      <c r="S708" s="25">
        <v>0</v>
      </c>
      <c r="T708" s="25">
        <v>0</v>
      </c>
      <c r="U708" s="25">
        <v>0</v>
      </c>
      <c r="V708" s="25">
        <v>0</v>
      </c>
      <c r="W708" s="25">
        <v>0</v>
      </c>
      <c r="X708" s="25">
        <v>0</v>
      </c>
      <c r="Y708" s="25">
        <v>0</v>
      </c>
      <c r="Z708" s="25">
        <v>0</v>
      </c>
      <c r="AA708" s="25">
        <v>0</v>
      </c>
      <c r="AB708" s="25">
        <v>0</v>
      </c>
      <c r="AC708" s="25">
        <v>0</v>
      </c>
      <c r="AD708" s="25">
        <v>0</v>
      </c>
      <c r="AE708" s="25">
        <v>0</v>
      </c>
      <c r="AF708" s="25">
        <v>0</v>
      </c>
    </row>
    <row r="709" spans="1:32" x14ac:dyDescent="0.25">
      <c r="A709" s="25" t="s">
        <v>778</v>
      </c>
      <c r="B709" s="25">
        <v>0</v>
      </c>
      <c r="C709" s="25">
        <v>0</v>
      </c>
      <c r="D709" s="25">
        <v>0</v>
      </c>
      <c r="E709" s="25">
        <v>0</v>
      </c>
      <c r="F709" s="25">
        <v>0</v>
      </c>
      <c r="G709" s="25">
        <v>0</v>
      </c>
      <c r="H709" s="25">
        <v>0</v>
      </c>
      <c r="I709" s="25">
        <v>0</v>
      </c>
      <c r="J709" s="25">
        <v>0</v>
      </c>
      <c r="K709" s="25">
        <v>0</v>
      </c>
      <c r="L709" s="25">
        <v>0</v>
      </c>
      <c r="M709" s="25">
        <v>0</v>
      </c>
      <c r="N709" s="25">
        <v>0</v>
      </c>
      <c r="O709" s="25">
        <v>0</v>
      </c>
      <c r="P709" s="25">
        <v>0</v>
      </c>
      <c r="Q709" s="25">
        <v>0</v>
      </c>
      <c r="R709" s="25">
        <v>0</v>
      </c>
      <c r="S709" s="25">
        <v>0</v>
      </c>
      <c r="T709" s="25">
        <v>0</v>
      </c>
      <c r="U709" s="25">
        <v>0</v>
      </c>
      <c r="V709" s="25">
        <v>0</v>
      </c>
      <c r="W709" s="25">
        <v>0</v>
      </c>
      <c r="X709" s="25">
        <v>0</v>
      </c>
      <c r="Y709" s="25">
        <v>0</v>
      </c>
      <c r="Z709" s="25">
        <v>0</v>
      </c>
      <c r="AA709" s="25">
        <v>0</v>
      </c>
      <c r="AB709" s="25">
        <v>0</v>
      </c>
      <c r="AC709" s="25">
        <v>0</v>
      </c>
      <c r="AD709" s="25">
        <v>0</v>
      </c>
      <c r="AE709" s="25">
        <v>0</v>
      </c>
      <c r="AF709" s="25">
        <v>0</v>
      </c>
    </row>
    <row r="710" spans="1:32" x14ac:dyDescent="0.25">
      <c r="A710" s="25" t="s">
        <v>779</v>
      </c>
      <c r="B710" s="25">
        <v>0</v>
      </c>
      <c r="C710" s="25">
        <v>0</v>
      </c>
      <c r="D710" s="25">
        <v>0</v>
      </c>
      <c r="E710" s="25">
        <v>0</v>
      </c>
      <c r="F710" s="25">
        <v>0</v>
      </c>
      <c r="G710" s="25">
        <v>0</v>
      </c>
      <c r="H710" s="25">
        <v>0</v>
      </c>
      <c r="I710" s="25">
        <v>0</v>
      </c>
      <c r="J710" s="25">
        <v>0</v>
      </c>
      <c r="K710" s="25">
        <v>0</v>
      </c>
      <c r="L710" s="25">
        <v>0</v>
      </c>
      <c r="M710" s="25">
        <v>0</v>
      </c>
      <c r="N710" s="25">
        <v>0</v>
      </c>
      <c r="O710" s="25">
        <v>0</v>
      </c>
      <c r="P710" s="25">
        <v>0</v>
      </c>
      <c r="Q710" s="25">
        <v>0</v>
      </c>
      <c r="R710" s="25">
        <v>0</v>
      </c>
      <c r="S710" s="25">
        <v>0</v>
      </c>
      <c r="T710" s="25">
        <v>0</v>
      </c>
      <c r="U710" s="25">
        <v>0</v>
      </c>
      <c r="V710" s="25">
        <v>0</v>
      </c>
      <c r="W710" s="25">
        <v>0</v>
      </c>
      <c r="X710" s="25">
        <v>0</v>
      </c>
      <c r="Y710" s="25">
        <v>0</v>
      </c>
      <c r="Z710" s="25">
        <v>0</v>
      </c>
      <c r="AA710" s="25">
        <v>0</v>
      </c>
      <c r="AB710" s="25">
        <v>0</v>
      </c>
      <c r="AC710" s="25">
        <v>0</v>
      </c>
      <c r="AD710" s="25">
        <v>0</v>
      </c>
      <c r="AE710" s="25">
        <v>0</v>
      </c>
      <c r="AF710" s="25">
        <v>0</v>
      </c>
    </row>
    <row r="711" spans="1:32" x14ac:dyDescent="0.25">
      <c r="A711" s="25" t="s">
        <v>780</v>
      </c>
      <c r="B711" s="25">
        <v>0</v>
      </c>
      <c r="C711" s="25">
        <v>0</v>
      </c>
      <c r="D711" s="25">
        <v>0</v>
      </c>
      <c r="E711" s="25">
        <v>0</v>
      </c>
      <c r="F711" s="25">
        <v>0</v>
      </c>
      <c r="G711" s="25">
        <v>0</v>
      </c>
      <c r="H711" s="25">
        <v>0</v>
      </c>
      <c r="I711" s="25">
        <v>0</v>
      </c>
      <c r="J711" s="25">
        <v>0</v>
      </c>
      <c r="K711" s="25">
        <v>0</v>
      </c>
      <c r="L711" s="25">
        <v>0</v>
      </c>
      <c r="M711" s="25">
        <v>0</v>
      </c>
      <c r="N711" s="25">
        <v>0</v>
      </c>
      <c r="O711" s="25">
        <v>0</v>
      </c>
      <c r="P711" s="25">
        <v>0</v>
      </c>
      <c r="Q711" s="25">
        <v>0</v>
      </c>
      <c r="R711" s="25">
        <v>0</v>
      </c>
      <c r="S711" s="25">
        <v>0</v>
      </c>
      <c r="T711" s="25">
        <v>0</v>
      </c>
      <c r="U711" s="25">
        <v>0</v>
      </c>
      <c r="V711" s="25">
        <v>0</v>
      </c>
      <c r="W711" s="25">
        <v>0</v>
      </c>
      <c r="X711" s="25">
        <v>0</v>
      </c>
      <c r="Y711" s="25">
        <v>0</v>
      </c>
      <c r="Z711" s="25">
        <v>0</v>
      </c>
      <c r="AA711" s="25">
        <v>0</v>
      </c>
      <c r="AB711" s="25">
        <v>0</v>
      </c>
      <c r="AC711" s="25">
        <v>0</v>
      </c>
      <c r="AD711" s="25">
        <v>0</v>
      </c>
      <c r="AE711" s="25">
        <v>0</v>
      </c>
      <c r="AF711" s="25">
        <v>0</v>
      </c>
    </row>
    <row r="712" spans="1:32" x14ac:dyDescent="0.25">
      <c r="A712" s="25" t="s">
        <v>781</v>
      </c>
      <c r="B712" s="25">
        <v>0</v>
      </c>
      <c r="C712" s="25">
        <v>0</v>
      </c>
      <c r="D712" s="25">
        <v>0</v>
      </c>
      <c r="E712" s="25">
        <v>0</v>
      </c>
      <c r="F712" s="25">
        <v>0</v>
      </c>
      <c r="G712" s="25">
        <v>0</v>
      </c>
      <c r="H712" s="25">
        <v>0</v>
      </c>
      <c r="I712" s="25">
        <v>0</v>
      </c>
      <c r="J712" s="25">
        <v>0</v>
      </c>
      <c r="K712" s="25">
        <v>0</v>
      </c>
      <c r="L712" s="25">
        <v>0</v>
      </c>
      <c r="M712" s="25">
        <v>0</v>
      </c>
      <c r="N712" s="25">
        <v>0</v>
      </c>
      <c r="O712" s="25">
        <v>0</v>
      </c>
      <c r="P712" s="25">
        <v>0</v>
      </c>
      <c r="Q712" s="25">
        <v>0</v>
      </c>
      <c r="R712" s="25">
        <v>0</v>
      </c>
      <c r="S712" s="25">
        <v>0</v>
      </c>
      <c r="T712" s="25">
        <v>0</v>
      </c>
      <c r="U712" s="25">
        <v>0</v>
      </c>
      <c r="V712" s="25">
        <v>0</v>
      </c>
      <c r="W712" s="25">
        <v>0</v>
      </c>
      <c r="X712" s="25">
        <v>0</v>
      </c>
      <c r="Y712" s="25">
        <v>0</v>
      </c>
      <c r="Z712" s="25">
        <v>0</v>
      </c>
      <c r="AA712" s="25">
        <v>0</v>
      </c>
      <c r="AB712" s="25">
        <v>0</v>
      </c>
      <c r="AC712" s="25">
        <v>0</v>
      </c>
      <c r="AD712" s="25">
        <v>0</v>
      </c>
      <c r="AE712" s="25">
        <v>0</v>
      </c>
      <c r="AF712" s="25">
        <v>0</v>
      </c>
    </row>
    <row r="713" spans="1:32" x14ac:dyDescent="0.25">
      <c r="A713" s="25" t="s">
        <v>782</v>
      </c>
      <c r="B713" s="25">
        <v>0</v>
      </c>
      <c r="C713" s="25">
        <v>0</v>
      </c>
      <c r="D713" s="25">
        <v>0</v>
      </c>
      <c r="E713" s="25">
        <v>0</v>
      </c>
      <c r="F713" s="25">
        <v>0</v>
      </c>
      <c r="G713" s="25">
        <v>0</v>
      </c>
      <c r="H713" s="25">
        <v>0</v>
      </c>
      <c r="I713" s="25">
        <v>0</v>
      </c>
      <c r="J713" s="25">
        <v>0</v>
      </c>
      <c r="K713" s="25">
        <v>0</v>
      </c>
      <c r="L713" s="25">
        <v>0</v>
      </c>
      <c r="M713" s="25">
        <v>0</v>
      </c>
      <c r="N713" s="25">
        <v>0</v>
      </c>
      <c r="O713" s="25">
        <v>0</v>
      </c>
      <c r="P713" s="25">
        <v>0</v>
      </c>
      <c r="Q713" s="25">
        <v>0</v>
      </c>
      <c r="R713" s="25">
        <v>0</v>
      </c>
      <c r="S713" s="25">
        <v>0</v>
      </c>
      <c r="T713" s="25">
        <v>0</v>
      </c>
      <c r="U713" s="25">
        <v>0</v>
      </c>
      <c r="V713" s="25">
        <v>0</v>
      </c>
      <c r="W713" s="25">
        <v>0</v>
      </c>
      <c r="X713" s="25">
        <v>0</v>
      </c>
      <c r="Y713" s="25">
        <v>0</v>
      </c>
      <c r="Z713" s="25">
        <v>0</v>
      </c>
      <c r="AA713" s="25">
        <v>0</v>
      </c>
      <c r="AB713" s="25">
        <v>0</v>
      </c>
      <c r="AC713" s="25">
        <v>0</v>
      </c>
      <c r="AD713" s="25">
        <v>0</v>
      </c>
      <c r="AE713" s="25">
        <v>0</v>
      </c>
      <c r="AF713" s="25">
        <v>0</v>
      </c>
    </row>
    <row r="714" spans="1:32" x14ac:dyDescent="0.25">
      <c r="A714" s="25" t="s">
        <v>783</v>
      </c>
      <c r="B714" s="25">
        <v>0</v>
      </c>
      <c r="C714" s="25">
        <v>0</v>
      </c>
      <c r="D714" s="25">
        <v>0</v>
      </c>
      <c r="E714" s="25">
        <v>0</v>
      </c>
      <c r="F714" s="25">
        <v>0</v>
      </c>
      <c r="G714" s="25">
        <v>0</v>
      </c>
      <c r="H714" s="25">
        <v>0</v>
      </c>
      <c r="I714" s="25">
        <v>0</v>
      </c>
      <c r="J714" s="25">
        <v>0</v>
      </c>
      <c r="K714" s="25">
        <v>0</v>
      </c>
      <c r="L714" s="25">
        <v>0</v>
      </c>
      <c r="M714" s="25">
        <v>0</v>
      </c>
      <c r="N714" s="25">
        <v>0</v>
      </c>
      <c r="O714" s="25">
        <v>0</v>
      </c>
      <c r="P714" s="25">
        <v>0</v>
      </c>
      <c r="Q714" s="25">
        <v>0</v>
      </c>
      <c r="R714" s="25">
        <v>0</v>
      </c>
      <c r="S714" s="25">
        <v>0</v>
      </c>
      <c r="T714" s="25">
        <v>0</v>
      </c>
      <c r="U714" s="25">
        <v>0</v>
      </c>
      <c r="V714" s="25">
        <v>0</v>
      </c>
      <c r="W714" s="25">
        <v>0</v>
      </c>
      <c r="X714" s="25">
        <v>0</v>
      </c>
      <c r="Y714" s="25">
        <v>0</v>
      </c>
      <c r="Z714" s="25">
        <v>0</v>
      </c>
      <c r="AA714" s="25">
        <v>0</v>
      </c>
      <c r="AB714" s="25">
        <v>0</v>
      </c>
      <c r="AC714" s="25">
        <v>0</v>
      </c>
      <c r="AD714" s="25">
        <v>0</v>
      </c>
      <c r="AE714" s="25">
        <v>0</v>
      </c>
      <c r="AF714" s="25">
        <v>0</v>
      </c>
    </row>
    <row r="715" spans="1:32" x14ac:dyDescent="0.25">
      <c r="A715" s="25" t="s">
        <v>784</v>
      </c>
      <c r="B715" s="25">
        <v>0</v>
      </c>
      <c r="C715" s="25">
        <v>0</v>
      </c>
      <c r="D715" s="25">
        <v>0</v>
      </c>
      <c r="E715" s="25">
        <v>0</v>
      </c>
      <c r="F715" s="25">
        <v>0</v>
      </c>
      <c r="G715" s="25">
        <v>0</v>
      </c>
      <c r="H715" s="25">
        <v>0</v>
      </c>
      <c r="I715" s="25">
        <v>0</v>
      </c>
      <c r="J715" s="25">
        <v>0</v>
      </c>
      <c r="K715" s="25">
        <v>0</v>
      </c>
      <c r="L715" s="25">
        <v>0</v>
      </c>
      <c r="M715" s="25">
        <v>0</v>
      </c>
      <c r="N715" s="25">
        <v>0</v>
      </c>
      <c r="O715" s="25">
        <v>0</v>
      </c>
      <c r="P715" s="25">
        <v>0</v>
      </c>
      <c r="Q715" s="25">
        <v>0</v>
      </c>
      <c r="R715" s="25">
        <v>0</v>
      </c>
      <c r="S715" s="25">
        <v>0</v>
      </c>
      <c r="T715" s="25">
        <v>0</v>
      </c>
      <c r="U715" s="25">
        <v>0</v>
      </c>
      <c r="V715" s="25">
        <v>0</v>
      </c>
      <c r="W715" s="25">
        <v>0</v>
      </c>
      <c r="X715" s="25">
        <v>0</v>
      </c>
      <c r="Y715" s="25">
        <v>0</v>
      </c>
      <c r="Z715" s="25">
        <v>0</v>
      </c>
      <c r="AA715" s="25">
        <v>0</v>
      </c>
      <c r="AB715" s="25">
        <v>0</v>
      </c>
      <c r="AC715" s="25">
        <v>0</v>
      </c>
      <c r="AD715" s="25">
        <v>0</v>
      </c>
      <c r="AE715" s="25">
        <v>0</v>
      </c>
      <c r="AF715" s="25">
        <v>0</v>
      </c>
    </row>
    <row r="716" spans="1:32" x14ac:dyDescent="0.25">
      <c r="A716" s="25" t="s">
        <v>785</v>
      </c>
      <c r="B716" s="25">
        <v>0</v>
      </c>
      <c r="C716" s="25">
        <v>0</v>
      </c>
      <c r="D716" s="25">
        <v>0</v>
      </c>
      <c r="E716" s="25">
        <v>0</v>
      </c>
      <c r="F716" s="25">
        <v>0</v>
      </c>
      <c r="G716" s="25">
        <v>0</v>
      </c>
      <c r="H716" s="25">
        <v>0</v>
      </c>
      <c r="I716" s="25">
        <v>0</v>
      </c>
      <c r="J716" s="25">
        <v>0</v>
      </c>
      <c r="K716" s="25">
        <v>0</v>
      </c>
      <c r="L716" s="25">
        <v>0</v>
      </c>
      <c r="M716" s="25">
        <v>0</v>
      </c>
      <c r="N716" s="25">
        <v>0</v>
      </c>
      <c r="O716" s="25">
        <v>0</v>
      </c>
      <c r="P716" s="25">
        <v>0</v>
      </c>
      <c r="Q716" s="25">
        <v>0</v>
      </c>
      <c r="R716" s="25">
        <v>0</v>
      </c>
      <c r="S716" s="25">
        <v>0</v>
      </c>
      <c r="T716" s="25">
        <v>0</v>
      </c>
      <c r="U716" s="25">
        <v>0</v>
      </c>
      <c r="V716" s="25">
        <v>0</v>
      </c>
      <c r="W716" s="25">
        <v>0</v>
      </c>
      <c r="X716" s="25">
        <v>0</v>
      </c>
      <c r="Y716" s="25">
        <v>0</v>
      </c>
      <c r="Z716" s="25">
        <v>0</v>
      </c>
      <c r="AA716" s="25">
        <v>0</v>
      </c>
      <c r="AB716" s="25">
        <v>0</v>
      </c>
      <c r="AC716" s="25">
        <v>0</v>
      </c>
      <c r="AD716" s="25">
        <v>0</v>
      </c>
      <c r="AE716" s="25">
        <v>0</v>
      </c>
      <c r="AF716" s="25">
        <v>0</v>
      </c>
    </row>
    <row r="717" spans="1:32" x14ac:dyDescent="0.25">
      <c r="A717" s="25" t="s">
        <v>786</v>
      </c>
      <c r="B717" s="25">
        <v>0</v>
      </c>
      <c r="C717" s="25">
        <v>0</v>
      </c>
      <c r="D717" s="25">
        <v>0</v>
      </c>
      <c r="E717" s="25">
        <v>0</v>
      </c>
      <c r="F717" s="25">
        <v>0</v>
      </c>
      <c r="G717" s="25">
        <v>0</v>
      </c>
      <c r="H717" s="25">
        <v>0</v>
      </c>
      <c r="I717" s="25">
        <v>0</v>
      </c>
      <c r="J717" s="25">
        <v>0</v>
      </c>
      <c r="K717" s="25">
        <v>0</v>
      </c>
      <c r="L717" s="25">
        <v>0</v>
      </c>
      <c r="M717" s="25">
        <v>0</v>
      </c>
      <c r="N717" s="25">
        <v>0</v>
      </c>
      <c r="O717" s="25">
        <v>0</v>
      </c>
      <c r="P717" s="25">
        <v>0</v>
      </c>
      <c r="Q717" s="25">
        <v>0</v>
      </c>
      <c r="R717" s="25">
        <v>0</v>
      </c>
      <c r="S717" s="25">
        <v>0</v>
      </c>
      <c r="T717" s="25">
        <v>0</v>
      </c>
      <c r="U717" s="25">
        <v>0</v>
      </c>
      <c r="V717" s="25">
        <v>0</v>
      </c>
      <c r="W717" s="25">
        <v>0</v>
      </c>
      <c r="X717" s="25">
        <v>0</v>
      </c>
      <c r="Y717" s="25">
        <v>0</v>
      </c>
      <c r="Z717" s="25">
        <v>0</v>
      </c>
      <c r="AA717" s="25">
        <v>0</v>
      </c>
      <c r="AB717" s="25">
        <v>0</v>
      </c>
      <c r="AC717" s="25">
        <v>0</v>
      </c>
      <c r="AD717" s="25">
        <v>0</v>
      </c>
      <c r="AE717" s="25">
        <v>0</v>
      </c>
      <c r="AF717" s="25">
        <v>0</v>
      </c>
    </row>
    <row r="718" spans="1:32" x14ac:dyDescent="0.25">
      <c r="A718" s="25" t="s">
        <v>787</v>
      </c>
      <c r="B718" s="25">
        <v>0</v>
      </c>
      <c r="C718" s="25">
        <v>0</v>
      </c>
      <c r="D718" s="25">
        <v>0</v>
      </c>
      <c r="E718" s="25">
        <v>0</v>
      </c>
      <c r="F718" s="25">
        <v>0</v>
      </c>
      <c r="G718" s="25">
        <v>0</v>
      </c>
      <c r="H718" s="25">
        <v>0</v>
      </c>
      <c r="I718" s="25">
        <v>0</v>
      </c>
      <c r="J718" s="25">
        <v>0</v>
      </c>
      <c r="K718" s="25">
        <v>0</v>
      </c>
      <c r="L718" s="25">
        <v>0</v>
      </c>
      <c r="M718" s="25">
        <v>0</v>
      </c>
      <c r="N718" s="25">
        <v>0</v>
      </c>
      <c r="O718" s="25">
        <v>0</v>
      </c>
      <c r="P718" s="25">
        <v>0</v>
      </c>
      <c r="Q718" s="25">
        <v>0</v>
      </c>
      <c r="R718" s="25">
        <v>0</v>
      </c>
      <c r="S718" s="25">
        <v>0</v>
      </c>
      <c r="T718" s="25">
        <v>0</v>
      </c>
      <c r="U718" s="25">
        <v>0</v>
      </c>
      <c r="V718" s="25">
        <v>0</v>
      </c>
      <c r="W718" s="25">
        <v>0</v>
      </c>
      <c r="X718" s="25">
        <v>0</v>
      </c>
      <c r="Y718" s="25">
        <v>0</v>
      </c>
      <c r="Z718" s="25">
        <v>0</v>
      </c>
      <c r="AA718" s="25">
        <v>0</v>
      </c>
      <c r="AB718" s="25">
        <v>0</v>
      </c>
      <c r="AC718" s="25">
        <v>0</v>
      </c>
      <c r="AD718" s="25">
        <v>0</v>
      </c>
      <c r="AE718" s="25">
        <v>0</v>
      </c>
      <c r="AF718" s="25">
        <v>0</v>
      </c>
    </row>
    <row r="719" spans="1:32" x14ac:dyDescent="0.25">
      <c r="A719" s="25" t="s">
        <v>788</v>
      </c>
      <c r="B719" s="25">
        <v>0</v>
      </c>
      <c r="C719" s="25">
        <v>0</v>
      </c>
      <c r="D719" s="25">
        <v>0</v>
      </c>
      <c r="E719" s="25">
        <v>0</v>
      </c>
      <c r="F719" s="25">
        <v>0</v>
      </c>
      <c r="G719" s="25">
        <v>0</v>
      </c>
      <c r="H719" s="25">
        <v>0</v>
      </c>
      <c r="I719" s="25">
        <v>0</v>
      </c>
      <c r="J719" s="25">
        <v>0</v>
      </c>
      <c r="K719" s="25">
        <v>0</v>
      </c>
      <c r="L719" s="25">
        <v>0</v>
      </c>
      <c r="M719" s="25">
        <v>0</v>
      </c>
      <c r="N719" s="25">
        <v>0</v>
      </c>
      <c r="O719" s="25">
        <v>0</v>
      </c>
      <c r="P719" s="25">
        <v>0</v>
      </c>
      <c r="Q719" s="25">
        <v>0</v>
      </c>
      <c r="R719" s="25">
        <v>0</v>
      </c>
      <c r="S719" s="25">
        <v>0</v>
      </c>
      <c r="T719" s="25">
        <v>0</v>
      </c>
      <c r="U719" s="25">
        <v>0</v>
      </c>
      <c r="V719" s="25">
        <v>0</v>
      </c>
      <c r="W719" s="25">
        <v>0</v>
      </c>
      <c r="X719" s="25">
        <v>0</v>
      </c>
      <c r="Y719" s="25">
        <v>0</v>
      </c>
      <c r="Z719" s="25">
        <v>0</v>
      </c>
      <c r="AA719" s="25">
        <v>0</v>
      </c>
      <c r="AB719" s="25">
        <v>0</v>
      </c>
      <c r="AC719" s="25">
        <v>0</v>
      </c>
      <c r="AD719" s="25">
        <v>0</v>
      </c>
      <c r="AE719" s="25">
        <v>0</v>
      </c>
      <c r="AF719" s="25">
        <v>0</v>
      </c>
    </row>
    <row r="720" spans="1:32" x14ac:dyDescent="0.25">
      <c r="A720" s="25" t="s">
        <v>789</v>
      </c>
      <c r="B720" s="12">
        <v>15196500000000</v>
      </c>
      <c r="C720" s="12">
        <v>18173600000000</v>
      </c>
      <c r="D720" s="12">
        <v>20584000000000</v>
      </c>
      <c r="E720" s="12">
        <v>22182400000000</v>
      </c>
      <c r="F720" s="12">
        <v>23611300000000</v>
      </c>
      <c r="G720" s="12">
        <v>24776200000000</v>
      </c>
      <c r="H720" s="12">
        <v>25800800000000</v>
      </c>
      <c r="I720" s="12">
        <v>26589400000000</v>
      </c>
      <c r="J720" s="12">
        <v>27264000000000</v>
      </c>
      <c r="K720" s="12">
        <v>27916200000000</v>
      </c>
      <c r="L720" s="12">
        <v>28628900000000</v>
      </c>
      <c r="M720" s="12">
        <v>29337900000000</v>
      </c>
      <c r="N720" s="12">
        <v>29956100000000</v>
      </c>
      <c r="O720" s="12">
        <v>30553600000000</v>
      </c>
      <c r="P720" s="12">
        <v>31113600000000</v>
      </c>
      <c r="Q720" s="12">
        <v>31615000000000</v>
      </c>
      <c r="R720" s="12">
        <v>32133000000000</v>
      </c>
      <c r="S720" s="12">
        <v>32687200000000</v>
      </c>
      <c r="T720" s="12">
        <v>33220300000000</v>
      </c>
      <c r="U720" s="12">
        <v>33708900000000</v>
      </c>
      <c r="V720" s="12">
        <v>34268300000000</v>
      </c>
      <c r="W720" s="12">
        <v>34757800000000</v>
      </c>
      <c r="X720" s="12">
        <v>35240500000000</v>
      </c>
      <c r="Y720" s="12">
        <v>35765200000000</v>
      </c>
      <c r="Z720" s="12">
        <v>36299600000000</v>
      </c>
      <c r="AA720" s="12">
        <v>36871200000000</v>
      </c>
      <c r="AB720" s="12">
        <v>37484700000000</v>
      </c>
      <c r="AC720" s="12">
        <v>38023300000000</v>
      </c>
      <c r="AD720" s="12">
        <v>38539200000000</v>
      </c>
      <c r="AE720" s="12">
        <v>39096900000000</v>
      </c>
      <c r="AF720" s="12">
        <v>39703700000000</v>
      </c>
    </row>
    <row r="721" spans="1:32" x14ac:dyDescent="0.25">
      <c r="A721" s="25" t="s">
        <v>790</v>
      </c>
      <c r="B721" s="25">
        <v>0</v>
      </c>
      <c r="C721" s="25">
        <v>0</v>
      </c>
      <c r="D721" s="25">
        <v>0</v>
      </c>
      <c r="E721" s="25">
        <v>0</v>
      </c>
      <c r="F721" s="25">
        <v>0</v>
      </c>
      <c r="G721" s="25">
        <v>0</v>
      </c>
      <c r="H721" s="25">
        <v>0</v>
      </c>
      <c r="I721" s="25">
        <v>0</v>
      </c>
      <c r="J721" s="25">
        <v>0</v>
      </c>
      <c r="K721" s="25">
        <v>0</v>
      </c>
      <c r="L721" s="25">
        <v>0</v>
      </c>
      <c r="M721" s="25">
        <v>0</v>
      </c>
      <c r="N721" s="25">
        <v>0</v>
      </c>
      <c r="O721" s="25">
        <v>0</v>
      </c>
      <c r="P721" s="25">
        <v>0</v>
      </c>
      <c r="Q721" s="25">
        <v>0</v>
      </c>
      <c r="R721" s="25">
        <v>0</v>
      </c>
      <c r="S721" s="25">
        <v>0</v>
      </c>
      <c r="T721" s="25">
        <v>0</v>
      </c>
      <c r="U721" s="25">
        <v>0</v>
      </c>
      <c r="V721" s="25">
        <v>0</v>
      </c>
      <c r="W721" s="25">
        <v>0</v>
      </c>
      <c r="X721" s="25">
        <v>0</v>
      </c>
      <c r="Y721" s="25">
        <v>0</v>
      </c>
      <c r="Z721" s="25">
        <v>0</v>
      </c>
      <c r="AA721" s="25">
        <v>0</v>
      </c>
      <c r="AB721" s="25">
        <v>0</v>
      </c>
      <c r="AC721" s="25">
        <v>0</v>
      </c>
      <c r="AD721" s="25">
        <v>0</v>
      </c>
      <c r="AE721" s="25">
        <v>0</v>
      </c>
      <c r="AF721" s="25">
        <v>0</v>
      </c>
    </row>
    <row r="722" spans="1:32" x14ac:dyDescent="0.25">
      <c r="A722" s="25" t="s">
        <v>791</v>
      </c>
      <c r="B722" s="25">
        <v>0</v>
      </c>
      <c r="C722" s="25">
        <v>0</v>
      </c>
      <c r="D722" s="25">
        <v>0</v>
      </c>
      <c r="E722" s="25">
        <v>0</v>
      </c>
      <c r="F722" s="25">
        <v>0</v>
      </c>
      <c r="G722" s="25">
        <v>0</v>
      </c>
      <c r="H722" s="25">
        <v>0</v>
      </c>
      <c r="I722" s="25">
        <v>0</v>
      </c>
      <c r="J722" s="25">
        <v>0</v>
      </c>
      <c r="K722" s="25">
        <v>0</v>
      </c>
      <c r="L722" s="25">
        <v>0</v>
      </c>
      <c r="M722" s="25">
        <v>0</v>
      </c>
      <c r="N722" s="25">
        <v>0</v>
      </c>
      <c r="O722" s="25">
        <v>0</v>
      </c>
      <c r="P722" s="25">
        <v>0</v>
      </c>
      <c r="Q722" s="25">
        <v>0</v>
      </c>
      <c r="R722" s="25">
        <v>0</v>
      </c>
      <c r="S722" s="25">
        <v>0</v>
      </c>
      <c r="T722" s="25">
        <v>0</v>
      </c>
      <c r="U722" s="25">
        <v>0</v>
      </c>
      <c r="V722" s="25">
        <v>0</v>
      </c>
      <c r="W722" s="25">
        <v>0</v>
      </c>
      <c r="X722" s="25">
        <v>0</v>
      </c>
      <c r="Y722" s="25">
        <v>0</v>
      </c>
      <c r="Z722" s="25">
        <v>0</v>
      </c>
      <c r="AA722" s="25">
        <v>0</v>
      </c>
      <c r="AB722" s="25">
        <v>0</v>
      </c>
      <c r="AC722" s="25">
        <v>0</v>
      </c>
      <c r="AD722" s="25">
        <v>0</v>
      </c>
      <c r="AE722" s="25">
        <v>0</v>
      </c>
      <c r="AF722" s="25">
        <v>0</v>
      </c>
    </row>
    <row r="723" spans="1:32" x14ac:dyDescent="0.25">
      <c r="A723" s="25" t="s">
        <v>792</v>
      </c>
      <c r="B723" s="25">
        <v>0</v>
      </c>
      <c r="C723" s="25">
        <v>0</v>
      </c>
      <c r="D723" s="25">
        <v>0</v>
      </c>
      <c r="E723" s="25">
        <v>0</v>
      </c>
      <c r="F723" s="25">
        <v>0</v>
      </c>
      <c r="G723" s="25">
        <v>0</v>
      </c>
      <c r="H723" s="25">
        <v>0</v>
      </c>
      <c r="I723" s="25">
        <v>0</v>
      </c>
      <c r="J723" s="25">
        <v>0</v>
      </c>
      <c r="K723" s="25">
        <v>0</v>
      </c>
      <c r="L723" s="25">
        <v>0</v>
      </c>
      <c r="M723" s="25">
        <v>0</v>
      </c>
      <c r="N723" s="25">
        <v>0</v>
      </c>
      <c r="O723" s="25">
        <v>0</v>
      </c>
      <c r="P723" s="25">
        <v>0</v>
      </c>
      <c r="Q723" s="25">
        <v>0</v>
      </c>
      <c r="R723" s="25">
        <v>0</v>
      </c>
      <c r="S723" s="25">
        <v>0</v>
      </c>
      <c r="T723" s="25">
        <v>0</v>
      </c>
      <c r="U723" s="25">
        <v>0</v>
      </c>
      <c r="V723" s="25">
        <v>0</v>
      </c>
      <c r="W723" s="25">
        <v>0</v>
      </c>
      <c r="X723" s="25">
        <v>0</v>
      </c>
      <c r="Y723" s="25">
        <v>0</v>
      </c>
      <c r="Z723" s="25">
        <v>0</v>
      </c>
      <c r="AA723" s="25">
        <v>0</v>
      </c>
      <c r="AB723" s="25">
        <v>0</v>
      </c>
      <c r="AC723" s="25">
        <v>0</v>
      </c>
      <c r="AD723" s="25">
        <v>0</v>
      </c>
      <c r="AE723" s="25">
        <v>0</v>
      </c>
      <c r="AF723" s="25">
        <v>0</v>
      </c>
    </row>
    <row r="724" spans="1:32" x14ac:dyDescent="0.25">
      <c r="A724" s="25" t="s">
        <v>793</v>
      </c>
      <c r="B724" s="25">
        <v>0</v>
      </c>
      <c r="C724" s="25">
        <v>0</v>
      </c>
      <c r="D724" s="25">
        <v>0</v>
      </c>
      <c r="E724" s="25">
        <v>0</v>
      </c>
      <c r="F724" s="25">
        <v>0</v>
      </c>
      <c r="G724" s="25">
        <v>0</v>
      </c>
      <c r="H724" s="25">
        <v>0</v>
      </c>
      <c r="I724" s="25">
        <v>0</v>
      </c>
      <c r="J724" s="25">
        <v>0</v>
      </c>
      <c r="K724" s="25">
        <v>0</v>
      </c>
      <c r="L724" s="25">
        <v>0</v>
      </c>
      <c r="M724" s="25">
        <v>0</v>
      </c>
      <c r="N724" s="25">
        <v>0</v>
      </c>
      <c r="O724" s="25">
        <v>0</v>
      </c>
      <c r="P724" s="25">
        <v>0</v>
      </c>
      <c r="Q724" s="25">
        <v>0</v>
      </c>
      <c r="R724" s="25">
        <v>0</v>
      </c>
      <c r="S724" s="25">
        <v>0</v>
      </c>
      <c r="T724" s="25">
        <v>0</v>
      </c>
      <c r="U724" s="25">
        <v>0</v>
      </c>
      <c r="V724" s="25">
        <v>0</v>
      </c>
      <c r="W724" s="25">
        <v>0</v>
      </c>
      <c r="X724" s="25">
        <v>0</v>
      </c>
      <c r="Y724" s="25">
        <v>0</v>
      </c>
      <c r="Z724" s="25">
        <v>0</v>
      </c>
      <c r="AA724" s="25">
        <v>0</v>
      </c>
      <c r="AB724" s="25">
        <v>0</v>
      </c>
      <c r="AC724" s="25">
        <v>0</v>
      </c>
      <c r="AD724" s="25">
        <v>0</v>
      </c>
      <c r="AE724" s="25">
        <v>0</v>
      </c>
      <c r="AF724" s="25">
        <v>0</v>
      </c>
    </row>
    <row r="725" spans="1:32" x14ac:dyDescent="0.25">
      <c r="A725" s="25" t="s">
        <v>794</v>
      </c>
      <c r="B725" s="25">
        <v>0</v>
      </c>
      <c r="C725" s="25">
        <v>0</v>
      </c>
      <c r="D725" s="25">
        <v>0</v>
      </c>
      <c r="E725" s="25">
        <v>0</v>
      </c>
      <c r="F725" s="25">
        <v>0</v>
      </c>
      <c r="G725" s="25">
        <v>0</v>
      </c>
      <c r="H725" s="25">
        <v>0</v>
      </c>
      <c r="I725" s="25">
        <v>0</v>
      </c>
      <c r="J725" s="25">
        <v>0</v>
      </c>
      <c r="K725" s="25">
        <v>0</v>
      </c>
      <c r="L725" s="25">
        <v>0</v>
      </c>
      <c r="M725" s="25">
        <v>0</v>
      </c>
      <c r="N725" s="25">
        <v>0</v>
      </c>
      <c r="O725" s="25">
        <v>0</v>
      </c>
      <c r="P725" s="25">
        <v>0</v>
      </c>
      <c r="Q725" s="25">
        <v>0</v>
      </c>
      <c r="R725" s="25">
        <v>0</v>
      </c>
      <c r="S725" s="25">
        <v>0</v>
      </c>
      <c r="T725" s="25">
        <v>0</v>
      </c>
      <c r="U725" s="25">
        <v>0</v>
      </c>
      <c r="V725" s="25">
        <v>0</v>
      </c>
      <c r="W725" s="25">
        <v>0</v>
      </c>
      <c r="X725" s="25">
        <v>0</v>
      </c>
      <c r="Y725" s="25">
        <v>0</v>
      </c>
      <c r="Z725" s="25">
        <v>0</v>
      </c>
      <c r="AA725" s="25">
        <v>0</v>
      </c>
      <c r="AB725" s="25">
        <v>0</v>
      </c>
      <c r="AC725" s="25">
        <v>0</v>
      </c>
      <c r="AD725" s="25">
        <v>0</v>
      </c>
      <c r="AE725" s="25">
        <v>0</v>
      </c>
      <c r="AF725" s="25">
        <v>0</v>
      </c>
    </row>
    <row r="726" spans="1:32" x14ac:dyDescent="0.25">
      <c r="A726" s="25" t="s">
        <v>795</v>
      </c>
      <c r="B726" s="25">
        <v>0</v>
      </c>
      <c r="C726" s="25">
        <v>0</v>
      </c>
      <c r="D726" s="25">
        <v>0</v>
      </c>
      <c r="E726" s="25">
        <v>0</v>
      </c>
      <c r="F726" s="25">
        <v>0</v>
      </c>
      <c r="G726" s="25">
        <v>0</v>
      </c>
      <c r="H726" s="25">
        <v>0</v>
      </c>
      <c r="I726" s="25">
        <v>0</v>
      </c>
      <c r="J726" s="25">
        <v>0</v>
      </c>
      <c r="K726" s="25">
        <v>0</v>
      </c>
      <c r="L726" s="25">
        <v>0</v>
      </c>
      <c r="M726" s="25">
        <v>0</v>
      </c>
      <c r="N726" s="25">
        <v>0</v>
      </c>
      <c r="O726" s="25">
        <v>0</v>
      </c>
      <c r="P726" s="25">
        <v>0</v>
      </c>
      <c r="Q726" s="25">
        <v>0</v>
      </c>
      <c r="R726" s="25">
        <v>0</v>
      </c>
      <c r="S726" s="25">
        <v>0</v>
      </c>
      <c r="T726" s="25">
        <v>0</v>
      </c>
      <c r="U726" s="25">
        <v>0</v>
      </c>
      <c r="V726" s="25">
        <v>0</v>
      </c>
      <c r="W726" s="25">
        <v>0</v>
      </c>
      <c r="X726" s="25">
        <v>0</v>
      </c>
      <c r="Y726" s="25">
        <v>0</v>
      </c>
      <c r="Z726" s="25">
        <v>0</v>
      </c>
      <c r="AA726" s="25">
        <v>0</v>
      </c>
      <c r="AB726" s="25">
        <v>0</v>
      </c>
      <c r="AC726" s="25">
        <v>0</v>
      </c>
      <c r="AD726" s="25">
        <v>0</v>
      </c>
      <c r="AE726" s="25">
        <v>0</v>
      </c>
      <c r="AF726" s="25">
        <v>0</v>
      </c>
    </row>
    <row r="727" spans="1:32" x14ac:dyDescent="0.25">
      <c r="A727" s="25" t="s">
        <v>796</v>
      </c>
      <c r="B727" s="25">
        <v>0</v>
      </c>
      <c r="C727" s="25">
        <v>0</v>
      </c>
      <c r="D727" s="25">
        <v>0</v>
      </c>
      <c r="E727" s="25">
        <v>0</v>
      </c>
      <c r="F727" s="25">
        <v>0</v>
      </c>
      <c r="G727" s="25">
        <v>0</v>
      </c>
      <c r="H727" s="25">
        <v>0</v>
      </c>
      <c r="I727" s="25">
        <v>0</v>
      </c>
      <c r="J727" s="25">
        <v>0</v>
      </c>
      <c r="K727" s="25">
        <v>0</v>
      </c>
      <c r="L727" s="25">
        <v>0</v>
      </c>
      <c r="M727" s="25">
        <v>0</v>
      </c>
      <c r="N727" s="25">
        <v>0</v>
      </c>
      <c r="O727" s="25">
        <v>0</v>
      </c>
      <c r="P727" s="25">
        <v>0</v>
      </c>
      <c r="Q727" s="25">
        <v>0</v>
      </c>
      <c r="R727" s="25">
        <v>0</v>
      </c>
      <c r="S727" s="25">
        <v>0</v>
      </c>
      <c r="T727" s="25">
        <v>0</v>
      </c>
      <c r="U727" s="25">
        <v>0</v>
      </c>
      <c r="V727" s="25">
        <v>0</v>
      </c>
      <c r="W727" s="25">
        <v>0</v>
      </c>
      <c r="X727" s="25">
        <v>0</v>
      </c>
      <c r="Y727" s="25">
        <v>0</v>
      </c>
      <c r="Z727" s="25">
        <v>0</v>
      </c>
      <c r="AA727" s="25">
        <v>0</v>
      </c>
      <c r="AB727" s="25">
        <v>0</v>
      </c>
      <c r="AC727" s="25">
        <v>0</v>
      </c>
      <c r="AD727" s="25">
        <v>0</v>
      </c>
      <c r="AE727" s="25">
        <v>0</v>
      </c>
      <c r="AF727" s="25">
        <v>0</v>
      </c>
    </row>
    <row r="728" spans="1:32" x14ac:dyDescent="0.25">
      <c r="A728" s="25" t="s">
        <v>797</v>
      </c>
      <c r="B728" s="25">
        <v>0</v>
      </c>
      <c r="C728" s="25">
        <v>0</v>
      </c>
      <c r="D728" s="25">
        <v>0</v>
      </c>
      <c r="E728" s="25">
        <v>0</v>
      </c>
      <c r="F728" s="25">
        <v>0</v>
      </c>
      <c r="G728" s="25">
        <v>0</v>
      </c>
      <c r="H728" s="25">
        <v>0</v>
      </c>
      <c r="I728" s="25">
        <v>0</v>
      </c>
      <c r="J728" s="25">
        <v>0</v>
      </c>
      <c r="K728" s="25">
        <v>0</v>
      </c>
      <c r="L728" s="25">
        <v>0</v>
      </c>
      <c r="M728" s="25">
        <v>0</v>
      </c>
      <c r="N728" s="25">
        <v>0</v>
      </c>
      <c r="O728" s="25">
        <v>0</v>
      </c>
      <c r="P728" s="25">
        <v>0</v>
      </c>
      <c r="Q728" s="25">
        <v>0</v>
      </c>
      <c r="R728" s="25">
        <v>0</v>
      </c>
      <c r="S728" s="25">
        <v>0</v>
      </c>
      <c r="T728" s="25">
        <v>0</v>
      </c>
      <c r="U728" s="25">
        <v>0</v>
      </c>
      <c r="V728" s="25">
        <v>0</v>
      </c>
      <c r="W728" s="25">
        <v>0</v>
      </c>
      <c r="X728" s="25">
        <v>0</v>
      </c>
      <c r="Y728" s="25">
        <v>0</v>
      </c>
      <c r="Z728" s="25">
        <v>0</v>
      </c>
      <c r="AA728" s="25">
        <v>0</v>
      </c>
      <c r="AB728" s="25">
        <v>0</v>
      </c>
      <c r="AC728" s="25">
        <v>0</v>
      </c>
      <c r="AD728" s="25">
        <v>0</v>
      </c>
      <c r="AE728" s="25">
        <v>0</v>
      </c>
      <c r="AF728" s="25">
        <v>0</v>
      </c>
    </row>
    <row r="729" spans="1:32" x14ac:dyDescent="0.25">
      <c r="A729" s="25" t="s">
        <v>798</v>
      </c>
      <c r="B729" s="25">
        <v>0</v>
      </c>
      <c r="C729" s="25">
        <v>0</v>
      </c>
      <c r="D729" s="25">
        <v>0</v>
      </c>
      <c r="E729" s="25">
        <v>0</v>
      </c>
      <c r="F729" s="25">
        <v>0</v>
      </c>
      <c r="G729" s="25">
        <v>0</v>
      </c>
      <c r="H729" s="25">
        <v>0</v>
      </c>
      <c r="I729" s="25">
        <v>0</v>
      </c>
      <c r="J729" s="25">
        <v>0</v>
      </c>
      <c r="K729" s="25">
        <v>0</v>
      </c>
      <c r="L729" s="25">
        <v>0</v>
      </c>
      <c r="M729" s="25">
        <v>0</v>
      </c>
      <c r="N729" s="25">
        <v>0</v>
      </c>
      <c r="O729" s="25">
        <v>0</v>
      </c>
      <c r="P729" s="25">
        <v>0</v>
      </c>
      <c r="Q729" s="25">
        <v>0</v>
      </c>
      <c r="R729" s="25">
        <v>0</v>
      </c>
      <c r="S729" s="25">
        <v>0</v>
      </c>
      <c r="T729" s="25">
        <v>0</v>
      </c>
      <c r="U729" s="25">
        <v>0</v>
      </c>
      <c r="V729" s="25">
        <v>0</v>
      </c>
      <c r="W729" s="25">
        <v>0</v>
      </c>
      <c r="X729" s="25">
        <v>0</v>
      </c>
      <c r="Y729" s="25">
        <v>0</v>
      </c>
      <c r="Z729" s="25">
        <v>0</v>
      </c>
      <c r="AA729" s="25">
        <v>0</v>
      </c>
      <c r="AB729" s="25">
        <v>0</v>
      </c>
      <c r="AC729" s="25">
        <v>0</v>
      </c>
      <c r="AD729" s="25">
        <v>0</v>
      </c>
      <c r="AE729" s="25">
        <v>0</v>
      </c>
      <c r="AF729" s="25">
        <v>0</v>
      </c>
    </row>
    <row r="730" spans="1:32" x14ac:dyDescent="0.25">
      <c r="A730" s="25" t="s">
        <v>799</v>
      </c>
      <c r="B730" s="25">
        <v>0</v>
      </c>
      <c r="C730" s="25">
        <v>0</v>
      </c>
      <c r="D730" s="25">
        <v>0</v>
      </c>
      <c r="E730" s="25">
        <v>0</v>
      </c>
      <c r="F730" s="25">
        <v>0</v>
      </c>
      <c r="G730" s="25">
        <v>0</v>
      </c>
      <c r="H730" s="25">
        <v>0</v>
      </c>
      <c r="I730" s="25">
        <v>0</v>
      </c>
      <c r="J730" s="25">
        <v>0</v>
      </c>
      <c r="K730" s="25">
        <v>0</v>
      </c>
      <c r="L730" s="25">
        <v>0</v>
      </c>
      <c r="M730" s="25">
        <v>0</v>
      </c>
      <c r="N730" s="25">
        <v>0</v>
      </c>
      <c r="O730" s="25">
        <v>0</v>
      </c>
      <c r="P730" s="25">
        <v>0</v>
      </c>
      <c r="Q730" s="25">
        <v>0</v>
      </c>
      <c r="R730" s="25">
        <v>0</v>
      </c>
      <c r="S730" s="25">
        <v>0</v>
      </c>
      <c r="T730" s="25">
        <v>0</v>
      </c>
      <c r="U730" s="25">
        <v>0</v>
      </c>
      <c r="V730" s="25">
        <v>0</v>
      </c>
      <c r="W730" s="25">
        <v>0</v>
      </c>
      <c r="X730" s="25">
        <v>0</v>
      </c>
      <c r="Y730" s="25">
        <v>0</v>
      </c>
      <c r="Z730" s="25">
        <v>0</v>
      </c>
      <c r="AA730" s="25">
        <v>0</v>
      </c>
      <c r="AB730" s="25">
        <v>0</v>
      </c>
      <c r="AC730" s="25">
        <v>0</v>
      </c>
      <c r="AD730" s="25">
        <v>0</v>
      </c>
      <c r="AE730" s="25">
        <v>0</v>
      </c>
      <c r="AF730" s="25">
        <v>0</v>
      </c>
    </row>
    <row r="731" spans="1:32" x14ac:dyDescent="0.25">
      <c r="A731" s="25" t="s">
        <v>800</v>
      </c>
      <c r="B731" s="25">
        <v>0</v>
      </c>
      <c r="C731" s="25">
        <v>0</v>
      </c>
      <c r="D731" s="25">
        <v>0</v>
      </c>
      <c r="E731" s="25">
        <v>0</v>
      </c>
      <c r="F731" s="25">
        <v>0</v>
      </c>
      <c r="G731" s="25">
        <v>0</v>
      </c>
      <c r="H731" s="25">
        <v>0</v>
      </c>
      <c r="I731" s="25">
        <v>0</v>
      </c>
      <c r="J731" s="25">
        <v>0</v>
      </c>
      <c r="K731" s="25">
        <v>0</v>
      </c>
      <c r="L731" s="25">
        <v>0</v>
      </c>
      <c r="M731" s="25">
        <v>0</v>
      </c>
      <c r="N731" s="25">
        <v>0</v>
      </c>
      <c r="O731" s="25">
        <v>0</v>
      </c>
      <c r="P731" s="25">
        <v>0</v>
      </c>
      <c r="Q731" s="25">
        <v>0</v>
      </c>
      <c r="R731" s="25">
        <v>0</v>
      </c>
      <c r="S731" s="25">
        <v>0</v>
      </c>
      <c r="T731" s="25">
        <v>0</v>
      </c>
      <c r="U731" s="25">
        <v>0</v>
      </c>
      <c r="V731" s="25">
        <v>0</v>
      </c>
      <c r="W731" s="25">
        <v>0</v>
      </c>
      <c r="X731" s="25">
        <v>0</v>
      </c>
      <c r="Y731" s="25">
        <v>0</v>
      </c>
      <c r="Z731" s="25">
        <v>0</v>
      </c>
      <c r="AA731" s="25">
        <v>0</v>
      </c>
      <c r="AB731" s="25">
        <v>0</v>
      </c>
      <c r="AC731" s="25">
        <v>0</v>
      </c>
      <c r="AD731" s="25">
        <v>0</v>
      </c>
      <c r="AE731" s="25">
        <v>0</v>
      </c>
      <c r="AF731" s="25">
        <v>0</v>
      </c>
    </row>
    <row r="732" spans="1:32" x14ac:dyDescent="0.25">
      <c r="A732" s="25" t="s">
        <v>801</v>
      </c>
      <c r="B732" s="25">
        <v>0</v>
      </c>
      <c r="C732" s="25">
        <v>0</v>
      </c>
      <c r="D732" s="25">
        <v>0</v>
      </c>
      <c r="E732" s="25">
        <v>0</v>
      </c>
      <c r="F732" s="25">
        <v>0</v>
      </c>
      <c r="G732" s="25">
        <v>0</v>
      </c>
      <c r="H732" s="25">
        <v>0</v>
      </c>
      <c r="I732" s="25">
        <v>0</v>
      </c>
      <c r="J732" s="25">
        <v>0</v>
      </c>
      <c r="K732" s="25">
        <v>0</v>
      </c>
      <c r="L732" s="25">
        <v>0</v>
      </c>
      <c r="M732" s="25">
        <v>0</v>
      </c>
      <c r="N732" s="25">
        <v>0</v>
      </c>
      <c r="O732" s="25">
        <v>0</v>
      </c>
      <c r="P732" s="25">
        <v>0</v>
      </c>
      <c r="Q732" s="25">
        <v>0</v>
      </c>
      <c r="R732" s="25">
        <v>0</v>
      </c>
      <c r="S732" s="25">
        <v>0</v>
      </c>
      <c r="T732" s="25">
        <v>0</v>
      </c>
      <c r="U732" s="25">
        <v>0</v>
      </c>
      <c r="V732" s="25">
        <v>0</v>
      </c>
      <c r="W732" s="25">
        <v>0</v>
      </c>
      <c r="X732" s="25">
        <v>0</v>
      </c>
      <c r="Y732" s="25">
        <v>0</v>
      </c>
      <c r="Z732" s="25">
        <v>0</v>
      </c>
      <c r="AA732" s="25">
        <v>0</v>
      </c>
      <c r="AB732" s="25">
        <v>0</v>
      </c>
      <c r="AC732" s="25">
        <v>0</v>
      </c>
      <c r="AD732" s="25">
        <v>0</v>
      </c>
      <c r="AE732" s="25">
        <v>0</v>
      </c>
      <c r="AF732" s="25">
        <v>0</v>
      </c>
    </row>
    <row r="733" spans="1:32" x14ac:dyDescent="0.25">
      <c r="A733" s="25" t="s">
        <v>802</v>
      </c>
      <c r="B733" s="25">
        <v>0</v>
      </c>
      <c r="C733" s="25">
        <v>0</v>
      </c>
      <c r="D733" s="25">
        <v>0</v>
      </c>
      <c r="E733" s="25">
        <v>0</v>
      </c>
      <c r="F733" s="25">
        <v>0</v>
      </c>
      <c r="G733" s="25">
        <v>0</v>
      </c>
      <c r="H733" s="25">
        <v>0</v>
      </c>
      <c r="I733" s="25">
        <v>0</v>
      </c>
      <c r="J733" s="25">
        <v>0</v>
      </c>
      <c r="K733" s="25">
        <v>0</v>
      </c>
      <c r="L733" s="25">
        <v>0</v>
      </c>
      <c r="M733" s="25">
        <v>0</v>
      </c>
      <c r="N733" s="25">
        <v>0</v>
      </c>
      <c r="O733" s="25">
        <v>0</v>
      </c>
      <c r="P733" s="25">
        <v>0</v>
      </c>
      <c r="Q733" s="25">
        <v>0</v>
      </c>
      <c r="R733" s="25">
        <v>0</v>
      </c>
      <c r="S733" s="25">
        <v>0</v>
      </c>
      <c r="T733" s="25">
        <v>0</v>
      </c>
      <c r="U733" s="25">
        <v>0</v>
      </c>
      <c r="V733" s="25">
        <v>0</v>
      </c>
      <c r="W733" s="25">
        <v>0</v>
      </c>
      <c r="X733" s="25">
        <v>0</v>
      </c>
      <c r="Y733" s="25">
        <v>0</v>
      </c>
      <c r="Z733" s="25">
        <v>0</v>
      </c>
      <c r="AA733" s="25">
        <v>0</v>
      </c>
      <c r="AB733" s="25">
        <v>0</v>
      </c>
      <c r="AC733" s="25">
        <v>0</v>
      </c>
      <c r="AD733" s="25">
        <v>0</v>
      </c>
      <c r="AE733" s="25">
        <v>0</v>
      </c>
      <c r="AF733" s="25">
        <v>0</v>
      </c>
    </row>
    <row r="734" spans="1:32" x14ac:dyDescent="0.25">
      <c r="A734" s="25" t="s">
        <v>803</v>
      </c>
      <c r="B734" s="25">
        <v>0</v>
      </c>
      <c r="C734" s="25">
        <v>0</v>
      </c>
      <c r="D734" s="25">
        <v>0</v>
      </c>
      <c r="E734" s="25">
        <v>0</v>
      </c>
      <c r="F734" s="25">
        <v>0</v>
      </c>
      <c r="G734" s="25">
        <v>0</v>
      </c>
      <c r="H734" s="25">
        <v>0</v>
      </c>
      <c r="I734" s="25">
        <v>0</v>
      </c>
      <c r="J734" s="25">
        <v>0</v>
      </c>
      <c r="K734" s="25">
        <v>0</v>
      </c>
      <c r="L734" s="25">
        <v>0</v>
      </c>
      <c r="M734" s="25">
        <v>0</v>
      </c>
      <c r="N734" s="25">
        <v>0</v>
      </c>
      <c r="O734" s="25">
        <v>0</v>
      </c>
      <c r="P734" s="25">
        <v>0</v>
      </c>
      <c r="Q734" s="25">
        <v>0</v>
      </c>
      <c r="R734" s="25">
        <v>0</v>
      </c>
      <c r="S734" s="25">
        <v>0</v>
      </c>
      <c r="T734" s="25">
        <v>0</v>
      </c>
      <c r="U734" s="25">
        <v>0</v>
      </c>
      <c r="V734" s="25">
        <v>0</v>
      </c>
      <c r="W734" s="25">
        <v>0</v>
      </c>
      <c r="X734" s="25">
        <v>0</v>
      </c>
      <c r="Y734" s="25">
        <v>0</v>
      </c>
      <c r="Z734" s="25">
        <v>0</v>
      </c>
      <c r="AA734" s="25">
        <v>0</v>
      </c>
      <c r="AB734" s="25">
        <v>0</v>
      </c>
      <c r="AC734" s="25">
        <v>0</v>
      </c>
      <c r="AD734" s="25">
        <v>0</v>
      </c>
      <c r="AE734" s="25">
        <v>0</v>
      </c>
      <c r="AF734" s="25">
        <v>0</v>
      </c>
    </row>
    <row r="735" spans="1:32" x14ac:dyDescent="0.25">
      <c r="A735" s="25" t="s">
        <v>804</v>
      </c>
      <c r="B735" s="25">
        <v>0</v>
      </c>
      <c r="C735" s="25">
        <v>0</v>
      </c>
      <c r="D735" s="25">
        <v>0</v>
      </c>
      <c r="E735" s="25">
        <v>0</v>
      </c>
      <c r="F735" s="25">
        <v>0</v>
      </c>
      <c r="G735" s="25">
        <v>0</v>
      </c>
      <c r="H735" s="25">
        <v>0</v>
      </c>
      <c r="I735" s="25">
        <v>0</v>
      </c>
      <c r="J735" s="25">
        <v>0</v>
      </c>
      <c r="K735" s="25">
        <v>0</v>
      </c>
      <c r="L735" s="25">
        <v>0</v>
      </c>
      <c r="M735" s="25">
        <v>0</v>
      </c>
      <c r="N735" s="25">
        <v>0</v>
      </c>
      <c r="O735" s="25">
        <v>0</v>
      </c>
      <c r="P735" s="25">
        <v>0</v>
      </c>
      <c r="Q735" s="25">
        <v>0</v>
      </c>
      <c r="R735" s="25">
        <v>0</v>
      </c>
      <c r="S735" s="25">
        <v>0</v>
      </c>
      <c r="T735" s="25">
        <v>0</v>
      </c>
      <c r="U735" s="25">
        <v>0</v>
      </c>
      <c r="V735" s="25">
        <v>0</v>
      </c>
      <c r="W735" s="25">
        <v>0</v>
      </c>
      <c r="X735" s="25">
        <v>0</v>
      </c>
      <c r="Y735" s="25">
        <v>0</v>
      </c>
      <c r="Z735" s="25">
        <v>0</v>
      </c>
      <c r="AA735" s="25">
        <v>0</v>
      </c>
      <c r="AB735" s="25">
        <v>0</v>
      </c>
      <c r="AC735" s="25">
        <v>0</v>
      </c>
      <c r="AD735" s="25">
        <v>0</v>
      </c>
      <c r="AE735" s="25">
        <v>0</v>
      </c>
      <c r="AF735" s="25">
        <v>0</v>
      </c>
    </row>
    <row r="736" spans="1:32" x14ac:dyDescent="0.25">
      <c r="A736" s="25" t="s">
        <v>805</v>
      </c>
      <c r="B736" s="25">
        <v>0</v>
      </c>
      <c r="C736" s="25">
        <v>0</v>
      </c>
      <c r="D736" s="25">
        <v>0</v>
      </c>
      <c r="E736" s="25">
        <v>0</v>
      </c>
      <c r="F736" s="25">
        <v>0</v>
      </c>
      <c r="G736" s="25">
        <v>0</v>
      </c>
      <c r="H736" s="25">
        <v>0</v>
      </c>
      <c r="I736" s="25">
        <v>0</v>
      </c>
      <c r="J736" s="25">
        <v>0</v>
      </c>
      <c r="K736" s="25">
        <v>0</v>
      </c>
      <c r="L736" s="25">
        <v>0</v>
      </c>
      <c r="M736" s="25">
        <v>0</v>
      </c>
      <c r="N736" s="25">
        <v>0</v>
      </c>
      <c r="O736" s="25">
        <v>0</v>
      </c>
      <c r="P736" s="25">
        <v>0</v>
      </c>
      <c r="Q736" s="25">
        <v>0</v>
      </c>
      <c r="R736" s="25">
        <v>0</v>
      </c>
      <c r="S736" s="25">
        <v>0</v>
      </c>
      <c r="T736" s="25">
        <v>0</v>
      </c>
      <c r="U736" s="25">
        <v>0</v>
      </c>
      <c r="V736" s="25">
        <v>0</v>
      </c>
      <c r="W736" s="25">
        <v>0</v>
      </c>
      <c r="X736" s="25">
        <v>0</v>
      </c>
      <c r="Y736" s="25">
        <v>0</v>
      </c>
      <c r="Z736" s="25">
        <v>0</v>
      </c>
      <c r="AA736" s="25">
        <v>0</v>
      </c>
      <c r="AB736" s="25">
        <v>0</v>
      </c>
      <c r="AC736" s="25">
        <v>0</v>
      </c>
      <c r="AD736" s="25">
        <v>0</v>
      </c>
      <c r="AE736" s="25">
        <v>0</v>
      </c>
      <c r="AF736" s="25">
        <v>0</v>
      </c>
    </row>
    <row r="737" spans="1:32" x14ac:dyDescent="0.25">
      <c r="A737" s="25" t="s">
        <v>806</v>
      </c>
      <c r="B737" s="25">
        <v>0</v>
      </c>
      <c r="C737" s="25">
        <v>0</v>
      </c>
      <c r="D737" s="25">
        <v>0</v>
      </c>
      <c r="E737" s="25">
        <v>0</v>
      </c>
      <c r="F737" s="25">
        <v>0</v>
      </c>
      <c r="G737" s="25">
        <v>0</v>
      </c>
      <c r="H737" s="25">
        <v>0</v>
      </c>
      <c r="I737" s="25">
        <v>0</v>
      </c>
      <c r="J737" s="25">
        <v>0</v>
      </c>
      <c r="K737" s="25">
        <v>0</v>
      </c>
      <c r="L737" s="25">
        <v>0</v>
      </c>
      <c r="M737" s="25">
        <v>0</v>
      </c>
      <c r="N737" s="25">
        <v>0</v>
      </c>
      <c r="O737" s="25">
        <v>0</v>
      </c>
      <c r="P737" s="25">
        <v>0</v>
      </c>
      <c r="Q737" s="25">
        <v>0</v>
      </c>
      <c r="R737" s="25">
        <v>0</v>
      </c>
      <c r="S737" s="25">
        <v>0</v>
      </c>
      <c r="T737" s="25">
        <v>0</v>
      </c>
      <c r="U737" s="25">
        <v>0</v>
      </c>
      <c r="V737" s="25">
        <v>0</v>
      </c>
      <c r="W737" s="25">
        <v>0</v>
      </c>
      <c r="X737" s="25">
        <v>0</v>
      </c>
      <c r="Y737" s="25">
        <v>0</v>
      </c>
      <c r="Z737" s="25">
        <v>0</v>
      </c>
      <c r="AA737" s="25">
        <v>0</v>
      </c>
      <c r="AB737" s="25">
        <v>0</v>
      </c>
      <c r="AC737" s="25">
        <v>0</v>
      </c>
      <c r="AD737" s="25">
        <v>0</v>
      </c>
      <c r="AE737" s="25">
        <v>0</v>
      </c>
      <c r="AF737" s="25">
        <v>0</v>
      </c>
    </row>
    <row r="738" spans="1:32" x14ac:dyDescent="0.25">
      <c r="A738" s="25" t="s">
        <v>807</v>
      </c>
      <c r="B738" s="25">
        <v>0</v>
      </c>
      <c r="C738" s="25">
        <v>0</v>
      </c>
      <c r="D738" s="25">
        <v>0</v>
      </c>
      <c r="E738" s="25">
        <v>0</v>
      </c>
      <c r="F738" s="25">
        <v>0</v>
      </c>
      <c r="G738" s="25">
        <v>0</v>
      </c>
      <c r="H738" s="25">
        <v>0</v>
      </c>
      <c r="I738" s="25">
        <v>0</v>
      </c>
      <c r="J738" s="25">
        <v>0</v>
      </c>
      <c r="K738" s="25">
        <v>0</v>
      </c>
      <c r="L738" s="25">
        <v>0</v>
      </c>
      <c r="M738" s="25">
        <v>0</v>
      </c>
      <c r="N738" s="25">
        <v>0</v>
      </c>
      <c r="O738" s="25">
        <v>0</v>
      </c>
      <c r="P738" s="25">
        <v>0</v>
      </c>
      <c r="Q738" s="25">
        <v>0</v>
      </c>
      <c r="R738" s="25">
        <v>0</v>
      </c>
      <c r="S738" s="25">
        <v>0</v>
      </c>
      <c r="T738" s="25">
        <v>0</v>
      </c>
      <c r="U738" s="25">
        <v>0</v>
      </c>
      <c r="V738" s="25">
        <v>0</v>
      </c>
      <c r="W738" s="25">
        <v>0</v>
      </c>
      <c r="X738" s="25">
        <v>0</v>
      </c>
      <c r="Y738" s="25">
        <v>0</v>
      </c>
      <c r="Z738" s="25">
        <v>0</v>
      </c>
      <c r="AA738" s="25">
        <v>0</v>
      </c>
      <c r="AB738" s="25">
        <v>0</v>
      </c>
      <c r="AC738" s="25">
        <v>0</v>
      </c>
      <c r="AD738" s="25">
        <v>0</v>
      </c>
      <c r="AE738" s="25">
        <v>0</v>
      </c>
      <c r="AF738" s="25">
        <v>0</v>
      </c>
    </row>
    <row r="739" spans="1:32" x14ac:dyDescent="0.25">
      <c r="A739" s="25" t="s">
        <v>808</v>
      </c>
      <c r="B739" s="25">
        <v>0</v>
      </c>
      <c r="C739" s="25">
        <v>0</v>
      </c>
      <c r="D739" s="25">
        <v>0</v>
      </c>
      <c r="E739" s="25">
        <v>0</v>
      </c>
      <c r="F739" s="25">
        <v>0</v>
      </c>
      <c r="G739" s="25">
        <v>0</v>
      </c>
      <c r="H739" s="25">
        <v>0</v>
      </c>
      <c r="I739" s="25">
        <v>0</v>
      </c>
      <c r="J739" s="25">
        <v>0</v>
      </c>
      <c r="K739" s="25">
        <v>0</v>
      </c>
      <c r="L739" s="25">
        <v>0</v>
      </c>
      <c r="M739" s="25">
        <v>0</v>
      </c>
      <c r="N739" s="25">
        <v>0</v>
      </c>
      <c r="O739" s="25">
        <v>0</v>
      </c>
      <c r="P739" s="25">
        <v>0</v>
      </c>
      <c r="Q739" s="25">
        <v>0</v>
      </c>
      <c r="R739" s="25">
        <v>0</v>
      </c>
      <c r="S739" s="25">
        <v>0</v>
      </c>
      <c r="T739" s="25">
        <v>0</v>
      </c>
      <c r="U739" s="25">
        <v>0</v>
      </c>
      <c r="V739" s="25">
        <v>0</v>
      </c>
      <c r="W739" s="25">
        <v>0</v>
      </c>
      <c r="X739" s="25">
        <v>0</v>
      </c>
      <c r="Y739" s="25">
        <v>0</v>
      </c>
      <c r="Z739" s="25">
        <v>0</v>
      </c>
      <c r="AA739" s="25">
        <v>0</v>
      </c>
      <c r="AB739" s="25">
        <v>0</v>
      </c>
      <c r="AC739" s="25">
        <v>0</v>
      </c>
      <c r="AD739" s="25">
        <v>0</v>
      </c>
      <c r="AE739" s="25">
        <v>0</v>
      </c>
      <c r="AF739" s="25">
        <v>0</v>
      </c>
    </row>
    <row r="740" spans="1:32" x14ac:dyDescent="0.25">
      <c r="A740" s="25" t="s">
        <v>809</v>
      </c>
      <c r="B740" s="25">
        <v>0</v>
      </c>
      <c r="C740" s="25">
        <v>0</v>
      </c>
      <c r="D740" s="25">
        <v>0</v>
      </c>
      <c r="E740" s="25">
        <v>0</v>
      </c>
      <c r="F740" s="25">
        <v>0</v>
      </c>
      <c r="G740" s="25">
        <v>0</v>
      </c>
      <c r="H740" s="25">
        <v>0</v>
      </c>
      <c r="I740" s="25">
        <v>0</v>
      </c>
      <c r="J740" s="25">
        <v>0</v>
      </c>
      <c r="K740" s="25">
        <v>0</v>
      </c>
      <c r="L740" s="25">
        <v>0</v>
      </c>
      <c r="M740" s="25">
        <v>0</v>
      </c>
      <c r="N740" s="25">
        <v>0</v>
      </c>
      <c r="O740" s="25">
        <v>0</v>
      </c>
      <c r="P740" s="25">
        <v>0</v>
      </c>
      <c r="Q740" s="25">
        <v>0</v>
      </c>
      <c r="R740" s="25">
        <v>0</v>
      </c>
      <c r="S740" s="25">
        <v>0</v>
      </c>
      <c r="T740" s="25">
        <v>0</v>
      </c>
      <c r="U740" s="25">
        <v>0</v>
      </c>
      <c r="V740" s="25">
        <v>0</v>
      </c>
      <c r="W740" s="25">
        <v>0</v>
      </c>
      <c r="X740" s="25">
        <v>0</v>
      </c>
      <c r="Y740" s="25">
        <v>0</v>
      </c>
      <c r="Z740" s="25">
        <v>0</v>
      </c>
      <c r="AA740" s="25">
        <v>0</v>
      </c>
      <c r="AB740" s="25">
        <v>0</v>
      </c>
      <c r="AC740" s="25">
        <v>0</v>
      </c>
      <c r="AD740" s="25">
        <v>0</v>
      </c>
      <c r="AE740" s="25">
        <v>0</v>
      </c>
      <c r="AF740" s="25">
        <v>0</v>
      </c>
    </row>
    <row r="741" spans="1:32" x14ac:dyDescent="0.25">
      <c r="A741" s="25" t="s">
        <v>810</v>
      </c>
      <c r="B741" s="25">
        <v>0</v>
      </c>
      <c r="C741" s="25">
        <v>0</v>
      </c>
      <c r="D741" s="25">
        <v>0</v>
      </c>
      <c r="E741" s="25">
        <v>0</v>
      </c>
      <c r="F741" s="25">
        <v>0</v>
      </c>
      <c r="G741" s="25">
        <v>0</v>
      </c>
      <c r="H741" s="25">
        <v>0</v>
      </c>
      <c r="I741" s="25">
        <v>0</v>
      </c>
      <c r="J741" s="25">
        <v>0</v>
      </c>
      <c r="K741" s="25">
        <v>0</v>
      </c>
      <c r="L741" s="25">
        <v>0</v>
      </c>
      <c r="M741" s="25">
        <v>0</v>
      </c>
      <c r="N741" s="25">
        <v>0</v>
      </c>
      <c r="O741" s="25">
        <v>0</v>
      </c>
      <c r="P741" s="25">
        <v>0</v>
      </c>
      <c r="Q741" s="25">
        <v>0</v>
      </c>
      <c r="R741" s="25">
        <v>0</v>
      </c>
      <c r="S741" s="25">
        <v>0</v>
      </c>
      <c r="T741" s="25">
        <v>0</v>
      </c>
      <c r="U741" s="25">
        <v>0</v>
      </c>
      <c r="V741" s="25">
        <v>0</v>
      </c>
      <c r="W741" s="25">
        <v>0</v>
      </c>
      <c r="X741" s="25">
        <v>0</v>
      </c>
      <c r="Y741" s="25">
        <v>0</v>
      </c>
      <c r="Z741" s="25">
        <v>0</v>
      </c>
      <c r="AA741" s="25">
        <v>0</v>
      </c>
      <c r="AB741" s="25">
        <v>0</v>
      </c>
      <c r="AC741" s="25">
        <v>0</v>
      </c>
      <c r="AD741" s="25">
        <v>0</v>
      </c>
      <c r="AE741" s="25">
        <v>0</v>
      </c>
      <c r="AF741" s="25">
        <v>0</v>
      </c>
    </row>
    <row r="742" spans="1:32" x14ac:dyDescent="0.25">
      <c r="A742" s="25" t="s">
        <v>811</v>
      </c>
      <c r="B742" s="25">
        <v>0</v>
      </c>
      <c r="C742" s="25">
        <v>0</v>
      </c>
      <c r="D742" s="25">
        <v>0</v>
      </c>
      <c r="E742" s="25">
        <v>0</v>
      </c>
      <c r="F742" s="25">
        <v>0</v>
      </c>
      <c r="G742" s="25">
        <v>0</v>
      </c>
      <c r="H742" s="25">
        <v>0</v>
      </c>
      <c r="I742" s="25">
        <v>0</v>
      </c>
      <c r="J742" s="25">
        <v>0</v>
      </c>
      <c r="K742" s="25">
        <v>0</v>
      </c>
      <c r="L742" s="25">
        <v>0</v>
      </c>
      <c r="M742" s="25">
        <v>0</v>
      </c>
      <c r="N742" s="25">
        <v>0</v>
      </c>
      <c r="O742" s="25">
        <v>0</v>
      </c>
      <c r="P742" s="25">
        <v>0</v>
      </c>
      <c r="Q742" s="25">
        <v>0</v>
      </c>
      <c r="R742" s="25">
        <v>0</v>
      </c>
      <c r="S742" s="25">
        <v>0</v>
      </c>
      <c r="T742" s="25">
        <v>0</v>
      </c>
      <c r="U742" s="25">
        <v>0</v>
      </c>
      <c r="V742" s="25">
        <v>0</v>
      </c>
      <c r="W742" s="25">
        <v>0</v>
      </c>
      <c r="X742" s="25">
        <v>0</v>
      </c>
      <c r="Y742" s="25">
        <v>0</v>
      </c>
      <c r="Z742" s="25">
        <v>0</v>
      </c>
      <c r="AA742" s="25">
        <v>0</v>
      </c>
      <c r="AB742" s="25">
        <v>0</v>
      </c>
      <c r="AC742" s="25">
        <v>0</v>
      </c>
      <c r="AD742" s="25">
        <v>0</v>
      </c>
      <c r="AE742" s="25">
        <v>0</v>
      </c>
      <c r="AF742" s="25">
        <v>0</v>
      </c>
    </row>
    <row r="743" spans="1:32" x14ac:dyDescent="0.25">
      <c r="A743" s="25" t="s">
        <v>812</v>
      </c>
      <c r="B743" s="25">
        <v>0</v>
      </c>
      <c r="C743" s="25">
        <v>0</v>
      </c>
      <c r="D743" s="25">
        <v>0</v>
      </c>
      <c r="E743" s="25">
        <v>0</v>
      </c>
      <c r="F743" s="25">
        <v>0</v>
      </c>
      <c r="G743" s="25">
        <v>0</v>
      </c>
      <c r="H743" s="25">
        <v>0</v>
      </c>
      <c r="I743" s="25">
        <v>0</v>
      </c>
      <c r="J743" s="25">
        <v>0</v>
      </c>
      <c r="K743" s="25">
        <v>0</v>
      </c>
      <c r="L743" s="25">
        <v>0</v>
      </c>
      <c r="M743" s="25">
        <v>0</v>
      </c>
      <c r="N743" s="25">
        <v>0</v>
      </c>
      <c r="O743" s="25">
        <v>0</v>
      </c>
      <c r="P743" s="25">
        <v>0</v>
      </c>
      <c r="Q743" s="25">
        <v>0</v>
      </c>
      <c r="R743" s="25">
        <v>0</v>
      </c>
      <c r="S743" s="25">
        <v>0</v>
      </c>
      <c r="T743" s="25">
        <v>0</v>
      </c>
      <c r="U743" s="25">
        <v>0</v>
      </c>
      <c r="V743" s="25">
        <v>0</v>
      </c>
      <c r="W743" s="25">
        <v>0</v>
      </c>
      <c r="X743" s="25">
        <v>0</v>
      </c>
      <c r="Y743" s="25">
        <v>0</v>
      </c>
      <c r="Z743" s="25">
        <v>0</v>
      </c>
      <c r="AA743" s="25">
        <v>0</v>
      </c>
      <c r="AB743" s="25">
        <v>0</v>
      </c>
      <c r="AC743" s="25">
        <v>0</v>
      </c>
      <c r="AD743" s="25">
        <v>0</v>
      </c>
      <c r="AE743" s="25">
        <v>0</v>
      </c>
      <c r="AF743" s="25">
        <v>0</v>
      </c>
    </row>
    <row r="744" spans="1:32" x14ac:dyDescent="0.25">
      <c r="A744" s="25" t="s">
        <v>813</v>
      </c>
      <c r="B744" s="25">
        <v>0</v>
      </c>
      <c r="C744" s="25">
        <v>0</v>
      </c>
      <c r="D744" s="25">
        <v>0</v>
      </c>
      <c r="E744" s="25">
        <v>0</v>
      </c>
      <c r="F744" s="25">
        <v>0</v>
      </c>
      <c r="G744" s="25">
        <v>0</v>
      </c>
      <c r="H744" s="25">
        <v>0</v>
      </c>
      <c r="I744" s="25">
        <v>0</v>
      </c>
      <c r="J744" s="25">
        <v>0</v>
      </c>
      <c r="K744" s="25">
        <v>0</v>
      </c>
      <c r="L744" s="25">
        <v>0</v>
      </c>
      <c r="M744" s="25">
        <v>0</v>
      </c>
      <c r="N744" s="25">
        <v>0</v>
      </c>
      <c r="O744" s="25">
        <v>0</v>
      </c>
      <c r="P744" s="25">
        <v>0</v>
      </c>
      <c r="Q744" s="25">
        <v>0</v>
      </c>
      <c r="R744" s="25">
        <v>0</v>
      </c>
      <c r="S744" s="25">
        <v>0</v>
      </c>
      <c r="T744" s="25">
        <v>0</v>
      </c>
      <c r="U744" s="25">
        <v>0</v>
      </c>
      <c r="V744" s="25">
        <v>0</v>
      </c>
      <c r="W744" s="25">
        <v>0</v>
      </c>
      <c r="X744" s="25">
        <v>0</v>
      </c>
      <c r="Y744" s="25">
        <v>0</v>
      </c>
      <c r="Z744" s="25">
        <v>0</v>
      </c>
      <c r="AA744" s="25">
        <v>0</v>
      </c>
      <c r="AB744" s="25">
        <v>0</v>
      </c>
      <c r="AC744" s="25">
        <v>0</v>
      </c>
      <c r="AD744" s="25">
        <v>0</v>
      </c>
      <c r="AE744" s="25">
        <v>0</v>
      </c>
      <c r="AF744" s="25">
        <v>0</v>
      </c>
    </row>
    <row r="745" spans="1:32" x14ac:dyDescent="0.25">
      <c r="A745" s="25" t="s">
        <v>814</v>
      </c>
      <c r="B745" s="25">
        <v>0</v>
      </c>
      <c r="C745" s="25">
        <v>0</v>
      </c>
      <c r="D745" s="25">
        <v>0</v>
      </c>
      <c r="E745" s="25">
        <v>0</v>
      </c>
      <c r="F745" s="25">
        <v>0</v>
      </c>
      <c r="G745" s="25">
        <v>0</v>
      </c>
      <c r="H745" s="25">
        <v>0</v>
      </c>
      <c r="I745" s="25">
        <v>0</v>
      </c>
      <c r="J745" s="25">
        <v>0</v>
      </c>
      <c r="K745" s="25">
        <v>0</v>
      </c>
      <c r="L745" s="25">
        <v>0</v>
      </c>
      <c r="M745" s="25">
        <v>0</v>
      </c>
      <c r="N745" s="25">
        <v>0</v>
      </c>
      <c r="O745" s="25">
        <v>0</v>
      </c>
      <c r="P745" s="25">
        <v>0</v>
      </c>
      <c r="Q745" s="25">
        <v>0</v>
      </c>
      <c r="R745" s="25">
        <v>0</v>
      </c>
      <c r="S745" s="25">
        <v>0</v>
      </c>
      <c r="T745" s="25">
        <v>0</v>
      </c>
      <c r="U745" s="25">
        <v>0</v>
      </c>
      <c r="V745" s="25">
        <v>0</v>
      </c>
      <c r="W745" s="25">
        <v>0</v>
      </c>
      <c r="X745" s="25">
        <v>0</v>
      </c>
      <c r="Y745" s="25">
        <v>0</v>
      </c>
      <c r="Z745" s="25">
        <v>0</v>
      </c>
      <c r="AA745" s="25">
        <v>0</v>
      </c>
      <c r="AB745" s="25">
        <v>0</v>
      </c>
      <c r="AC745" s="25">
        <v>0</v>
      </c>
      <c r="AD745" s="25">
        <v>0</v>
      </c>
      <c r="AE745" s="25">
        <v>0</v>
      </c>
      <c r="AF745" s="25">
        <v>0</v>
      </c>
    </row>
    <row r="746" spans="1:32" x14ac:dyDescent="0.25">
      <c r="A746" s="25" t="s">
        <v>815</v>
      </c>
      <c r="B746" s="25">
        <v>0</v>
      </c>
      <c r="C746" s="25">
        <v>0</v>
      </c>
      <c r="D746" s="25">
        <v>0</v>
      </c>
      <c r="E746" s="25">
        <v>0</v>
      </c>
      <c r="F746" s="25">
        <v>0</v>
      </c>
      <c r="G746" s="25">
        <v>0</v>
      </c>
      <c r="H746" s="25">
        <v>0</v>
      </c>
      <c r="I746" s="25">
        <v>0</v>
      </c>
      <c r="J746" s="25">
        <v>0</v>
      </c>
      <c r="K746" s="25">
        <v>0</v>
      </c>
      <c r="L746" s="25">
        <v>0</v>
      </c>
      <c r="M746" s="25">
        <v>0</v>
      </c>
      <c r="N746" s="25">
        <v>0</v>
      </c>
      <c r="O746" s="25">
        <v>0</v>
      </c>
      <c r="P746" s="25">
        <v>0</v>
      </c>
      <c r="Q746" s="25">
        <v>0</v>
      </c>
      <c r="R746" s="25">
        <v>0</v>
      </c>
      <c r="S746" s="25">
        <v>0</v>
      </c>
      <c r="T746" s="25">
        <v>0</v>
      </c>
      <c r="U746" s="25">
        <v>0</v>
      </c>
      <c r="V746" s="25">
        <v>0</v>
      </c>
      <c r="W746" s="25">
        <v>0</v>
      </c>
      <c r="X746" s="25">
        <v>0</v>
      </c>
      <c r="Y746" s="25">
        <v>0</v>
      </c>
      <c r="Z746" s="25">
        <v>0</v>
      </c>
      <c r="AA746" s="25">
        <v>0</v>
      </c>
      <c r="AB746" s="25">
        <v>0</v>
      </c>
      <c r="AC746" s="25">
        <v>0</v>
      </c>
      <c r="AD746" s="25">
        <v>0</v>
      </c>
      <c r="AE746" s="25">
        <v>0</v>
      </c>
      <c r="AF746" s="25">
        <v>0</v>
      </c>
    </row>
    <row r="747" spans="1:32" x14ac:dyDescent="0.25">
      <c r="A747" s="25" t="s">
        <v>816</v>
      </c>
      <c r="B747" s="25">
        <v>0</v>
      </c>
      <c r="C747" s="25">
        <v>0</v>
      </c>
      <c r="D747" s="25">
        <v>0</v>
      </c>
      <c r="E747" s="25">
        <v>0</v>
      </c>
      <c r="F747" s="25">
        <v>0</v>
      </c>
      <c r="G747" s="25">
        <v>0</v>
      </c>
      <c r="H747" s="25">
        <v>0</v>
      </c>
      <c r="I747" s="25">
        <v>0</v>
      </c>
      <c r="J747" s="25">
        <v>0</v>
      </c>
      <c r="K747" s="25">
        <v>0</v>
      </c>
      <c r="L747" s="25">
        <v>0</v>
      </c>
      <c r="M747" s="25">
        <v>0</v>
      </c>
      <c r="N747" s="25">
        <v>0</v>
      </c>
      <c r="O747" s="25">
        <v>0</v>
      </c>
      <c r="P747" s="25">
        <v>0</v>
      </c>
      <c r="Q747" s="25">
        <v>0</v>
      </c>
      <c r="R747" s="25">
        <v>0</v>
      </c>
      <c r="S747" s="25">
        <v>0</v>
      </c>
      <c r="T747" s="25">
        <v>0</v>
      </c>
      <c r="U747" s="25">
        <v>0</v>
      </c>
      <c r="V747" s="25">
        <v>0</v>
      </c>
      <c r="W747" s="25">
        <v>0</v>
      </c>
      <c r="X747" s="25">
        <v>0</v>
      </c>
      <c r="Y747" s="25">
        <v>0</v>
      </c>
      <c r="Z747" s="25">
        <v>0</v>
      </c>
      <c r="AA747" s="25">
        <v>0</v>
      </c>
      <c r="AB747" s="25">
        <v>0</v>
      </c>
      <c r="AC747" s="25">
        <v>0</v>
      </c>
      <c r="AD747" s="25">
        <v>0</v>
      </c>
      <c r="AE747" s="25">
        <v>0</v>
      </c>
      <c r="AF747" s="25">
        <v>0</v>
      </c>
    </row>
    <row r="748" spans="1:32" x14ac:dyDescent="0.25">
      <c r="A748" s="25" t="s">
        <v>817</v>
      </c>
      <c r="B748" s="25">
        <v>0</v>
      </c>
      <c r="C748" s="25">
        <v>0</v>
      </c>
      <c r="D748" s="25">
        <v>0</v>
      </c>
      <c r="E748" s="25">
        <v>0</v>
      </c>
      <c r="F748" s="25">
        <v>0</v>
      </c>
      <c r="G748" s="25">
        <v>0</v>
      </c>
      <c r="H748" s="25">
        <v>0</v>
      </c>
      <c r="I748" s="25">
        <v>0</v>
      </c>
      <c r="J748" s="25">
        <v>0</v>
      </c>
      <c r="K748" s="25">
        <v>0</v>
      </c>
      <c r="L748" s="25">
        <v>0</v>
      </c>
      <c r="M748" s="25">
        <v>0</v>
      </c>
      <c r="N748" s="25">
        <v>0</v>
      </c>
      <c r="O748" s="25">
        <v>0</v>
      </c>
      <c r="P748" s="25">
        <v>0</v>
      </c>
      <c r="Q748" s="25">
        <v>0</v>
      </c>
      <c r="R748" s="25">
        <v>0</v>
      </c>
      <c r="S748" s="25">
        <v>0</v>
      </c>
      <c r="T748" s="25">
        <v>0</v>
      </c>
      <c r="U748" s="25">
        <v>0</v>
      </c>
      <c r="V748" s="25">
        <v>0</v>
      </c>
      <c r="W748" s="25">
        <v>0</v>
      </c>
      <c r="X748" s="25">
        <v>0</v>
      </c>
      <c r="Y748" s="25">
        <v>0</v>
      </c>
      <c r="Z748" s="25">
        <v>0</v>
      </c>
      <c r="AA748" s="25">
        <v>0</v>
      </c>
      <c r="AB748" s="25">
        <v>0</v>
      </c>
      <c r="AC748" s="25">
        <v>0</v>
      </c>
      <c r="AD748" s="25">
        <v>0</v>
      </c>
      <c r="AE748" s="25">
        <v>0</v>
      </c>
      <c r="AF748" s="25">
        <v>0</v>
      </c>
    </row>
    <row r="749" spans="1:32" x14ac:dyDescent="0.25">
      <c r="A749" s="25" t="s">
        <v>818</v>
      </c>
      <c r="B749" s="25">
        <v>0</v>
      </c>
      <c r="C749" s="25">
        <v>0</v>
      </c>
      <c r="D749" s="25">
        <v>0</v>
      </c>
      <c r="E749" s="25">
        <v>0</v>
      </c>
      <c r="F749" s="25">
        <v>0</v>
      </c>
      <c r="G749" s="25">
        <v>0</v>
      </c>
      <c r="H749" s="25">
        <v>0</v>
      </c>
      <c r="I749" s="25">
        <v>0</v>
      </c>
      <c r="J749" s="25">
        <v>0</v>
      </c>
      <c r="K749" s="25">
        <v>0</v>
      </c>
      <c r="L749" s="25">
        <v>0</v>
      </c>
      <c r="M749" s="25">
        <v>0</v>
      </c>
      <c r="N749" s="25">
        <v>0</v>
      </c>
      <c r="O749" s="25">
        <v>0</v>
      </c>
      <c r="P749" s="25">
        <v>0</v>
      </c>
      <c r="Q749" s="25">
        <v>0</v>
      </c>
      <c r="R749" s="25">
        <v>0</v>
      </c>
      <c r="S749" s="25">
        <v>0</v>
      </c>
      <c r="T749" s="25">
        <v>0</v>
      </c>
      <c r="U749" s="25">
        <v>0</v>
      </c>
      <c r="V749" s="25">
        <v>0</v>
      </c>
      <c r="W749" s="25">
        <v>0</v>
      </c>
      <c r="X749" s="25">
        <v>0</v>
      </c>
      <c r="Y749" s="25">
        <v>0</v>
      </c>
      <c r="Z749" s="25">
        <v>0</v>
      </c>
      <c r="AA749" s="25">
        <v>0</v>
      </c>
      <c r="AB749" s="25">
        <v>0</v>
      </c>
      <c r="AC749" s="25">
        <v>0</v>
      </c>
      <c r="AD749" s="25">
        <v>0</v>
      </c>
      <c r="AE749" s="25">
        <v>0</v>
      </c>
      <c r="AF749" s="25">
        <v>0</v>
      </c>
    </row>
    <row r="750" spans="1:32" x14ac:dyDescent="0.25">
      <c r="A750" s="25" t="s">
        <v>819</v>
      </c>
      <c r="B750" s="25">
        <v>0</v>
      </c>
      <c r="C750" s="25">
        <v>0</v>
      </c>
      <c r="D750" s="25">
        <v>0</v>
      </c>
      <c r="E750" s="25">
        <v>0</v>
      </c>
      <c r="F750" s="25">
        <v>0</v>
      </c>
      <c r="G750" s="25">
        <v>0</v>
      </c>
      <c r="H750" s="25">
        <v>0</v>
      </c>
      <c r="I750" s="25">
        <v>0</v>
      </c>
      <c r="J750" s="25">
        <v>0</v>
      </c>
      <c r="K750" s="25">
        <v>0</v>
      </c>
      <c r="L750" s="25">
        <v>0</v>
      </c>
      <c r="M750" s="25">
        <v>0</v>
      </c>
      <c r="N750" s="25">
        <v>0</v>
      </c>
      <c r="O750" s="25">
        <v>0</v>
      </c>
      <c r="P750" s="25">
        <v>0</v>
      </c>
      <c r="Q750" s="25">
        <v>0</v>
      </c>
      <c r="R750" s="25">
        <v>0</v>
      </c>
      <c r="S750" s="25">
        <v>0</v>
      </c>
      <c r="T750" s="25">
        <v>0</v>
      </c>
      <c r="U750" s="25">
        <v>0</v>
      </c>
      <c r="V750" s="25">
        <v>0</v>
      </c>
      <c r="W750" s="25">
        <v>0</v>
      </c>
      <c r="X750" s="25">
        <v>0</v>
      </c>
      <c r="Y750" s="25">
        <v>0</v>
      </c>
      <c r="Z750" s="25">
        <v>0</v>
      </c>
      <c r="AA750" s="25">
        <v>0</v>
      </c>
      <c r="AB750" s="25">
        <v>0</v>
      </c>
      <c r="AC750" s="25">
        <v>0</v>
      </c>
      <c r="AD750" s="25">
        <v>0</v>
      </c>
      <c r="AE750" s="25">
        <v>0</v>
      </c>
      <c r="AF750" s="25">
        <v>0</v>
      </c>
    </row>
    <row r="751" spans="1:32" x14ac:dyDescent="0.25">
      <c r="A751" s="25" t="s">
        <v>820</v>
      </c>
      <c r="B751" s="25">
        <v>0</v>
      </c>
      <c r="C751" s="25">
        <v>0</v>
      </c>
      <c r="D751" s="25">
        <v>0</v>
      </c>
      <c r="E751" s="25">
        <v>0</v>
      </c>
      <c r="F751" s="25">
        <v>0</v>
      </c>
      <c r="G751" s="25">
        <v>0</v>
      </c>
      <c r="H751" s="25">
        <v>0</v>
      </c>
      <c r="I751" s="25">
        <v>0</v>
      </c>
      <c r="J751" s="25">
        <v>0</v>
      </c>
      <c r="K751" s="25">
        <v>0</v>
      </c>
      <c r="L751" s="25">
        <v>0</v>
      </c>
      <c r="M751" s="25">
        <v>0</v>
      </c>
      <c r="N751" s="25">
        <v>0</v>
      </c>
      <c r="O751" s="25">
        <v>0</v>
      </c>
      <c r="P751" s="25">
        <v>0</v>
      </c>
      <c r="Q751" s="25">
        <v>0</v>
      </c>
      <c r="R751" s="25">
        <v>0</v>
      </c>
      <c r="S751" s="25">
        <v>0</v>
      </c>
      <c r="T751" s="25">
        <v>0</v>
      </c>
      <c r="U751" s="25">
        <v>0</v>
      </c>
      <c r="V751" s="25">
        <v>0</v>
      </c>
      <c r="W751" s="25">
        <v>0</v>
      </c>
      <c r="X751" s="25">
        <v>0</v>
      </c>
      <c r="Y751" s="25">
        <v>0</v>
      </c>
      <c r="Z751" s="25">
        <v>0</v>
      </c>
      <c r="AA751" s="25">
        <v>0</v>
      </c>
      <c r="AB751" s="25">
        <v>0</v>
      </c>
      <c r="AC751" s="25">
        <v>0</v>
      </c>
      <c r="AD751" s="25">
        <v>0</v>
      </c>
      <c r="AE751" s="25">
        <v>0</v>
      </c>
      <c r="AF751" s="25">
        <v>0</v>
      </c>
    </row>
    <row r="752" spans="1:32" x14ac:dyDescent="0.25">
      <c r="A752" s="25" t="s">
        <v>821</v>
      </c>
      <c r="B752" s="25">
        <v>0</v>
      </c>
      <c r="C752" s="25">
        <v>0</v>
      </c>
      <c r="D752" s="25">
        <v>0</v>
      </c>
      <c r="E752" s="25">
        <v>0</v>
      </c>
      <c r="F752" s="25">
        <v>0</v>
      </c>
      <c r="G752" s="25">
        <v>0</v>
      </c>
      <c r="H752" s="25">
        <v>0</v>
      </c>
      <c r="I752" s="25">
        <v>0</v>
      </c>
      <c r="J752" s="25">
        <v>0</v>
      </c>
      <c r="K752" s="25">
        <v>0</v>
      </c>
      <c r="L752" s="25">
        <v>0</v>
      </c>
      <c r="M752" s="25">
        <v>0</v>
      </c>
      <c r="N752" s="25">
        <v>0</v>
      </c>
      <c r="O752" s="25">
        <v>0</v>
      </c>
      <c r="P752" s="25">
        <v>0</v>
      </c>
      <c r="Q752" s="25">
        <v>0</v>
      </c>
      <c r="R752" s="25">
        <v>0</v>
      </c>
      <c r="S752" s="25">
        <v>0</v>
      </c>
      <c r="T752" s="25">
        <v>0</v>
      </c>
      <c r="U752" s="25">
        <v>0</v>
      </c>
      <c r="V752" s="25">
        <v>0</v>
      </c>
      <c r="W752" s="25">
        <v>0</v>
      </c>
      <c r="X752" s="25">
        <v>0</v>
      </c>
      <c r="Y752" s="25">
        <v>0</v>
      </c>
      <c r="Z752" s="25">
        <v>0</v>
      </c>
      <c r="AA752" s="25">
        <v>0</v>
      </c>
      <c r="AB752" s="25">
        <v>0</v>
      </c>
      <c r="AC752" s="25">
        <v>0</v>
      </c>
      <c r="AD752" s="25">
        <v>0</v>
      </c>
      <c r="AE752" s="25">
        <v>0</v>
      </c>
      <c r="AF752" s="25">
        <v>0</v>
      </c>
    </row>
    <row r="753" spans="1:32" x14ac:dyDescent="0.25">
      <c r="A753" s="25" t="s">
        <v>822</v>
      </c>
      <c r="B753" s="12">
        <v>14345400000000</v>
      </c>
      <c r="C753" s="12">
        <v>16731200000000</v>
      </c>
      <c r="D753" s="12">
        <v>18357700000000</v>
      </c>
      <c r="E753" s="12">
        <v>19156100000000</v>
      </c>
      <c r="F753" s="12">
        <v>19739600000000</v>
      </c>
      <c r="G753" s="12">
        <v>20062100000000</v>
      </c>
      <c r="H753" s="12">
        <v>20204800000000</v>
      </c>
      <c r="I753" s="12">
        <v>20161000000000</v>
      </c>
      <c r="J753" s="12">
        <v>20048400000000</v>
      </c>
      <c r="K753" s="12">
        <v>19893500000000</v>
      </c>
      <c r="L753" s="12">
        <v>19802800000000</v>
      </c>
      <c r="M753" s="12">
        <v>19673700000000</v>
      </c>
      <c r="N753" s="12">
        <v>19517600000000</v>
      </c>
      <c r="O753" s="12">
        <v>19380300000000</v>
      </c>
      <c r="P753" s="12">
        <v>19205900000000</v>
      </c>
      <c r="Q753" s="12">
        <v>18975700000000</v>
      </c>
      <c r="R753" s="12">
        <v>18737100000000</v>
      </c>
      <c r="S753" s="12">
        <v>18510000000000</v>
      </c>
      <c r="T753" s="12">
        <v>18303300000000</v>
      </c>
      <c r="U753" s="12">
        <v>18055900000000</v>
      </c>
      <c r="V753" s="12">
        <v>17830700000000</v>
      </c>
      <c r="W753" s="12">
        <v>17562100000000</v>
      </c>
      <c r="X753" s="12">
        <v>17329500000000</v>
      </c>
      <c r="Y753" s="12">
        <v>17112000000000</v>
      </c>
      <c r="Z753" s="12">
        <v>16877900000000</v>
      </c>
      <c r="AA753" s="12">
        <v>16647800000000</v>
      </c>
      <c r="AB753" s="12">
        <v>16475800000000</v>
      </c>
      <c r="AC753" s="12">
        <v>16265500000000</v>
      </c>
      <c r="AD753" s="12">
        <v>16036000000000</v>
      </c>
      <c r="AE753" s="12">
        <v>15866500000000</v>
      </c>
      <c r="AF753" s="12">
        <v>15712600000000</v>
      </c>
    </row>
    <row r="754" spans="1:32" x14ac:dyDescent="0.25">
      <c r="A754" s="25" t="s">
        <v>823</v>
      </c>
      <c r="B754" s="25">
        <v>0</v>
      </c>
      <c r="C754" s="25">
        <v>0</v>
      </c>
      <c r="D754" s="25">
        <v>0</v>
      </c>
      <c r="E754" s="25">
        <v>0</v>
      </c>
      <c r="F754" s="25">
        <v>0</v>
      </c>
      <c r="G754" s="25">
        <v>0</v>
      </c>
      <c r="H754" s="25">
        <v>0</v>
      </c>
      <c r="I754" s="25">
        <v>0</v>
      </c>
      <c r="J754" s="25">
        <v>0</v>
      </c>
      <c r="K754" s="25">
        <v>0</v>
      </c>
      <c r="L754" s="25">
        <v>0</v>
      </c>
      <c r="M754" s="25">
        <v>0</v>
      </c>
      <c r="N754" s="25">
        <v>0</v>
      </c>
      <c r="O754" s="25">
        <v>0</v>
      </c>
      <c r="P754" s="25">
        <v>0</v>
      </c>
      <c r="Q754" s="25">
        <v>0</v>
      </c>
      <c r="R754" s="25">
        <v>0</v>
      </c>
      <c r="S754" s="25">
        <v>0</v>
      </c>
      <c r="T754" s="25">
        <v>0</v>
      </c>
      <c r="U754" s="25">
        <v>0</v>
      </c>
      <c r="V754" s="25">
        <v>0</v>
      </c>
      <c r="W754" s="25">
        <v>0</v>
      </c>
      <c r="X754" s="25">
        <v>0</v>
      </c>
      <c r="Y754" s="25">
        <v>0</v>
      </c>
      <c r="Z754" s="25">
        <v>0</v>
      </c>
      <c r="AA754" s="25">
        <v>0</v>
      </c>
      <c r="AB754" s="25">
        <v>0</v>
      </c>
      <c r="AC754" s="25">
        <v>0</v>
      </c>
      <c r="AD754" s="25">
        <v>0</v>
      </c>
      <c r="AE754" s="25">
        <v>0</v>
      </c>
      <c r="AF754" s="25">
        <v>0</v>
      </c>
    </row>
    <row r="755" spans="1:32" x14ac:dyDescent="0.25">
      <c r="A755" s="25" t="s">
        <v>824</v>
      </c>
      <c r="B755" s="25">
        <v>0</v>
      </c>
      <c r="C755" s="12">
        <v>0</v>
      </c>
      <c r="D755" s="12">
        <v>0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25">
        <v>0</v>
      </c>
      <c r="K755" s="25">
        <v>0</v>
      </c>
      <c r="L755" s="25">
        <v>0</v>
      </c>
      <c r="M755" s="25">
        <v>0</v>
      </c>
      <c r="N755" s="25">
        <v>0</v>
      </c>
      <c r="O755" s="25">
        <v>0</v>
      </c>
      <c r="P755" s="25">
        <v>0</v>
      </c>
      <c r="Q755" s="25">
        <v>0</v>
      </c>
      <c r="R755" s="25">
        <v>0</v>
      </c>
      <c r="S755" s="25">
        <v>0</v>
      </c>
      <c r="T755" s="25">
        <v>0</v>
      </c>
      <c r="U755" s="25">
        <v>0</v>
      </c>
      <c r="V755" s="25">
        <v>0</v>
      </c>
      <c r="W755" s="25">
        <v>0</v>
      </c>
      <c r="X755" s="25">
        <v>0</v>
      </c>
      <c r="Y755" s="25">
        <v>0</v>
      </c>
      <c r="Z755" s="25">
        <v>0</v>
      </c>
      <c r="AA755" s="25">
        <v>0</v>
      </c>
      <c r="AB755" s="25">
        <v>0</v>
      </c>
      <c r="AC755" s="25">
        <v>0</v>
      </c>
      <c r="AD755" s="25">
        <v>0</v>
      </c>
      <c r="AE755" s="25">
        <v>0</v>
      </c>
      <c r="AF755" s="25">
        <v>0</v>
      </c>
    </row>
    <row r="756" spans="1:32" x14ac:dyDescent="0.25">
      <c r="A756" s="25" t="s">
        <v>825</v>
      </c>
      <c r="B756" s="25">
        <v>0</v>
      </c>
      <c r="C756" s="25">
        <v>0</v>
      </c>
      <c r="D756" s="25">
        <v>0</v>
      </c>
      <c r="E756" s="25">
        <v>0</v>
      </c>
      <c r="F756" s="25">
        <v>0</v>
      </c>
      <c r="G756" s="25">
        <v>0</v>
      </c>
      <c r="H756" s="25">
        <v>0</v>
      </c>
      <c r="I756" s="25">
        <v>0</v>
      </c>
      <c r="J756" s="25">
        <v>0</v>
      </c>
      <c r="K756" s="25">
        <v>0</v>
      </c>
      <c r="L756" s="25">
        <v>0</v>
      </c>
      <c r="M756" s="25">
        <v>0</v>
      </c>
      <c r="N756" s="25">
        <v>0</v>
      </c>
      <c r="O756" s="25">
        <v>0</v>
      </c>
      <c r="P756" s="25">
        <v>0</v>
      </c>
      <c r="Q756" s="25">
        <v>0</v>
      </c>
      <c r="R756" s="25">
        <v>0</v>
      </c>
      <c r="S756" s="25">
        <v>0</v>
      </c>
      <c r="T756" s="25">
        <v>0</v>
      </c>
      <c r="U756" s="25">
        <v>0</v>
      </c>
      <c r="V756" s="25">
        <v>0</v>
      </c>
      <c r="W756" s="25">
        <v>0</v>
      </c>
      <c r="X756" s="25">
        <v>0</v>
      </c>
      <c r="Y756" s="25">
        <v>0</v>
      </c>
      <c r="Z756" s="25">
        <v>0</v>
      </c>
      <c r="AA756" s="25">
        <v>0</v>
      </c>
      <c r="AB756" s="25">
        <v>0</v>
      </c>
      <c r="AC756" s="25">
        <v>0</v>
      </c>
      <c r="AD756" s="25">
        <v>0</v>
      </c>
      <c r="AE756" s="25">
        <v>0</v>
      </c>
      <c r="AF756" s="25">
        <v>0</v>
      </c>
    </row>
    <row r="757" spans="1:32" x14ac:dyDescent="0.25">
      <c r="A757" s="25" t="s">
        <v>826</v>
      </c>
      <c r="B757" s="25">
        <v>0</v>
      </c>
      <c r="C757" s="25">
        <v>0</v>
      </c>
      <c r="D757" s="25">
        <v>0</v>
      </c>
      <c r="E757" s="25">
        <v>0</v>
      </c>
      <c r="F757" s="25">
        <v>0</v>
      </c>
      <c r="G757" s="25">
        <v>0</v>
      </c>
      <c r="H757" s="25">
        <v>0</v>
      </c>
      <c r="I757" s="25">
        <v>0</v>
      </c>
      <c r="J757" s="25">
        <v>0</v>
      </c>
      <c r="K757" s="25">
        <v>0</v>
      </c>
      <c r="L757" s="25">
        <v>0</v>
      </c>
      <c r="M757" s="25">
        <v>0</v>
      </c>
      <c r="N757" s="25">
        <v>0</v>
      </c>
      <c r="O757" s="25">
        <v>0</v>
      </c>
      <c r="P757" s="25">
        <v>0</v>
      </c>
      <c r="Q757" s="25">
        <v>0</v>
      </c>
      <c r="R757" s="25">
        <v>0</v>
      </c>
      <c r="S757" s="25">
        <v>0</v>
      </c>
      <c r="T757" s="25">
        <v>0</v>
      </c>
      <c r="U757" s="25">
        <v>0</v>
      </c>
      <c r="V757" s="25">
        <v>0</v>
      </c>
      <c r="W757" s="25">
        <v>0</v>
      </c>
      <c r="X757" s="25">
        <v>0</v>
      </c>
      <c r="Y757" s="25">
        <v>0</v>
      </c>
      <c r="Z757" s="25">
        <v>0</v>
      </c>
      <c r="AA757" s="25">
        <v>0</v>
      </c>
      <c r="AB757" s="25">
        <v>0</v>
      </c>
      <c r="AC757" s="25">
        <v>0</v>
      </c>
      <c r="AD757" s="25">
        <v>0</v>
      </c>
      <c r="AE757" s="25">
        <v>0</v>
      </c>
      <c r="AF757" s="25">
        <v>0</v>
      </c>
    </row>
    <row r="758" spans="1:32" x14ac:dyDescent="0.25">
      <c r="A758" s="25" t="s">
        <v>827</v>
      </c>
      <c r="B758" s="25">
        <v>0</v>
      </c>
      <c r="C758" s="25">
        <v>0</v>
      </c>
      <c r="D758" s="25">
        <v>0</v>
      </c>
      <c r="E758" s="25">
        <v>0</v>
      </c>
      <c r="F758" s="25">
        <v>0</v>
      </c>
      <c r="G758" s="25">
        <v>0</v>
      </c>
      <c r="H758" s="25">
        <v>0</v>
      </c>
      <c r="I758" s="25">
        <v>0</v>
      </c>
      <c r="J758" s="25">
        <v>0</v>
      </c>
      <c r="K758" s="25">
        <v>0</v>
      </c>
      <c r="L758" s="25">
        <v>0</v>
      </c>
      <c r="M758" s="25">
        <v>0</v>
      </c>
      <c r="N758" s="25">
        <v>0</v>
      </c>
      <c r="O758" s="25">
        <v>0</v>
      </c>
      <c r="P758" s="25">
        <v>0</v>
      </c>
      <c r="Q758" s="25">
        <v>0</v>
      </c>
      <c r="R758" s="25">
        <v>0</v>
      </c>
      <c r="S758" s="25">
        <v>0</v>
      </c>
      <c r="T758" s="25">
        <v>0</v>
      </c>
      <c r="U758" s="25">
        <v>0</v>
      </c>
      <c r="V758" s="25">
        <v>0</v>
      </c>
      <c r="W758" s="25">
        <v>0</v>
      </c>
      <c r="X758" s="25">
        <v>0</v>
      </c>
      <c r="Y758" s="25">
        <v>0</v>
      </c>
      <c r="Z758" s="25">
        <v>0</v>
      </c>
      <c r="AA758" s="25">
        <v>0</v>
      </c>
      <c r="AB758" s="25">
        <v>0</v>
      </c>
      <c r="AC758" s="25">
        <v>0</v>
      </c>
      <c r="AD758" s="25">
        <v>0</v>
      </c>
      <c r="AE758" s="25">
        <v>0</v>
      </c>
      <c r="AF758" s="25">
        <v>0</v>
      </c>
    </row>
    <row r="759" spans="1:32" x14ac:dyDescent="0.25">
      <c r="A759" s="25" t="s">
        <v>828</v>
      </c>
      <c r="B759" s="25">
        <v>0</v>
      </c>
      <c r="C759" s="25">
        <v>0</v>
      </c>
      <c r="D759" s="25">
        <v>0</v>
      </c>
      <c r="E759" s="25">
        <v>0</v>
      </c>
      <c r="F759" s="25">
        <v>0</v>
      </c>
      <c r="G759" s="25">
        <v>0</v>
      </c>
      <c r="H759" s="25">
        <v>0</v>
      </c>
      <c r="I759" s="25">
        <v>0</v>
      </c>
      <c r="J759" s="25">
        <v>0</v>
      </c>
      <c r="K759" s="25">
        <v>0</v>
      </c>
      <c r="L759" s="25">
        <v>0</v>
      </c>
      <c r="M759" s="25">
        <v>0</v>
      </c>
      <c r="N759" s="25">
        <v>0</v>
      </c>
      <c r="O759" s="25">
        <v>0</v>
      </c>
      <c r="P759" s="25">
        <v>0</v>
      </c>
      <c r="Q759" s="25">
        <v>0</v>
      </c>
      <c r="R759" s="25">
        <v>0</v>
      </c>
      <c r="S759" s="25">
        <v>0</v>
      </c>
      <c r="T759" s="25">
        <v>0</v>
      </c>
      <c r="U759" s="25">
        <v>0</v>
      </c>
      <c r="V759" s="25">
        <v>0</v>
      </c>
      <c r="W759" s="25">
        <v>0</v>
      </c>
      <c r="X759" s="25">
        <v>0</v>
      </c>
      <c r="Y759" s="25">
        <v>0</v>
      </c>
      <c r="Z759" s="25">
        <v>0</v>
      </c>
      <c r="AA759" s="25">
        <v>0</v>
      </c>
      <c r="AB759" s="25">
        <v>0</v>
      </c>
      <c r="AC759" s="25">
        <v>0</v>
      </c>
      <c r="AD759" s="25">
        <v>0</v>
      </c>
      <c r="AE759" s="25">
        <v>0</v>
      </c>
      <c r="AF759" s="25">
        <v>0</v>
      </c>
    </row>
    <row r="760" spans="1:32" x14ac:dyDescent="0.25">
      <c r="A760" s="25" t="s">
        <v>829</v>
      </c>
      <c r="B760" s="25">
        <v>0</v>
      </c>
      <c r="C760" s="25">
        <v>0</v>
      </c>
      <c r="D760" s="25">
        <v>0</v>
      </c>
      <c r="E760" s="25">
        <v>0</v>
      </c>
      <c r="F760" s="25">
        <v>0</v>
      </c>
      <c r="G760" s="25">
        <v>0</v>
      </c>
      <c r="H760" s="25">
        <v>0</v>
      </c>
      <c r="I760" s="25">
        <v>0</v>
      </c>
      <c r="J760" s="25">
        <v>0</v>
      </c>
      <c r="K760" s="25">
        <v>0</v>
      </c>
      <c r="L760" s="25">
        <v>0</v>
      </c>
      <c r="M760" s="25">
        <v>0</v>
      </c>
      <c r="N760" s="25">
        <v>0</v>
      </c>
      <c r="O760" s="25">
        <v>0</v>
      </c>
      <c r="P760" s="25">
        <v>0</v>
      </c>
      <c r="Q760" s="25">
        <v>0</v>
      </c>
      <c r="R760" s="25">
        <v>0</v>
      </c>
      <c r="S760" s="25">
        <v>0</v>
      </c>
      <c r="T760" s="25">
        <v>0</v>
      </c>
      <c r="U760" s="25">
        <v>0</v>
      </c>
      <c r="V760" s="25">
        <v>0</v>
      </c>
      <c r="W760" s="25">
        <v>0</v>
      </c>
      <c r="X760" s="25">
        <v>0</v>
      </c>
      <c r="Y760" s="25">
        <v>0</v>
      </c>
      <c r="Z760" s="25">
        <v>0</v>
      </c>
      <c r="AA760" s="25">
        <v>0</v>
      </c>
      <c r="AB760" s="25">
        <v>0</v>
      </c>
      <c r="AC760" s="25">
        <v>0</v>
      </c>
      <c r="AD760" s="25">
        <v>0</v>
      </c>
      <c r="AE760" s="25">
        <v>0</v>
      </c>
      <c r="AF760" s="25">
        <v>0</v>
      </c>
    </row>
    <row r="761" spans="1:32" x14ac:dyDescent="0.25">
      <c r="A761" s="25" t="s">
        <v>830</v>
      </c>
      <c r="B761" s="25">
        <v>0</v>
      </c>
      <c r="C761" s="25">
        <v>0</v>
      </c>
      <c r="D761" s="25">
        <v>0</v>
      </c>
      <c r="E761" s="25">
        <v>0</v>
      </c>
      <c r="F761" s="25">
        <v>0</v>
      </c>
      <c r="G761" s="25">
        <v>0</v>
      </c>
      <c r="H761" s="25">
        <v>0</v>
      </c>
      <c r="I761" s="25">
        <v>0</v>
      </c>
      <c r="J761" s="25">
        <v>0</v>
      </c>
      <c r="K761" s="25">
        <v>0</v>
      </c>
      <c r="L761" s="25">
        <v>0</v>
      </c>
      <c r="M761" s="25">
        <v>0</v>
      </c>
      <c r="N761" s="25">
        <v>0</v>
      </c>
      <c r="O761" s="25">
        <v>0</v>
      </c>
      <c r="P761" s="25">
        <v>0</v>
      </c>
      <c r="Q761" s="25">
        <v>0</v>
      </c>
      <c r="R761" s="25">
        <v>0</v>
      </c>
      <c r="S761" s="25">
        <v>0</v>
      </c>
      <c r="T761" s="25">
        <v>0</v>
      </c>
      <c r="U761" s="25">
        <v>0</v>
      </c>
      <c r="V761" s="25">
        <v>0</v>
      </c>
      <c r="W761" s="25">
        <v>0</v>
      </c>
      <c r="X761" s="25">
        <v>0</v>
      </c>
      <c r="Y761" s="25">
        <v>0</v>
      </c>
      <c r="Z761" s="25">
        <v>0</v>
      </c>
      <c r="AA761" s="25">
        <v>0</v>
      </c>
      <c r="AB761" s="25">
        <v>0</v>
      </c>
      <c r="AC761" s="25">
        <v>0</v>
      </c>
      <c r="AD761" s="25">
        <v>0</v>
      </c>
      <c r="AE761" s="25">
        <v>0</v>
      </c>
      <c r="AF761" s="25">
        <v>0</v>
      </c>
    </row>
    <row r="762" spans="1:32" x14ac:dyDescent="0.25">
      <c r="A762" s="25" t="s">
        <v>831</v>
      </c>
      <c r="B762" s="25">
        <v>0</v>
      </c>
      <c r="C762" s="25">
        <v>0</v>
      </c>
      <c r="D762" s="25">
        <v>0</v>
      </c>
      <c r="E762" s="25">
        <v>0</v>
      </c>
      <c r="F762" s="25">
        <v>0</v>
      </c>
      <c r="G762" s="25">
        <v>0</v>
      </c>
      <c r="H762" s="25">
        <v>0</v>
      </c>
      <c r="I762" s="25">
        <v>0</v>
      </c>
      <c r="J762" s="25">
        <v>0</v>
      </c>
      <c r="K762" s="25">
        <v>0</v>
      </c>
      <c r="L762" s="25">
        <v>0</v>
      </c>
      <c r="M762" s="25">
        <v>0</v>
      </c>
      <c r="N762" s="25">
        <v>0</v>
      </c>
      <c r="O762" s="25">
        <v>0</v>
      </c>
      <c r="P762" s="25">
        <v>0</v>
      </c>
      <c r="Q762" s="25">
        <v>0</v>
      </c>
      <c r="R762" s="25">
        <v>0</v>
      </c>
      <c r="S762" s="25">
        <v>0</v>
      </c>
      <c r="T762" s="25">
        <v>0</v>
      </c>
      <c r="U762" s="25">
        <v>0</v>
      </c>
      <c r="V762" s="25">
        <v>0</v>
      </c>
      <c r="W762" s="25">
        <v>0</v>
      </c>
      <c r="X762" s="25">
        <v>0</v>
      </c>
      <c r="Y762" s="25">
        <v>0</v>
      </c>
      <c r="Z762" s="25">
        <v>0</v>
      </c>
      <c r="AA762" s="25">
        <v>0</v>
      </c>
      <c r="AB762" s="25">
        <v>0</v>
      </c>
      <c r="AC762" s="25">
        <v>0</v>
      </c>
      <c r="AD762" s="25">
        <v>0</v>
      </c>
      <c r="AE762" s="25">
        <v>0</v>
      </c>
      <c r="AF762" s="25">
        <v>0</v>
      </c>
    </row>
    <row r="763" spans="1:32" x14ac:dyDescent="0.25">
      <c r="A763" s="25" t="s">
        <v>832</v>
      </c>
      <c r="B763" s="25">
        <v>0</v>
      </c>
      <c r="C763" s="25">
        <v>0</v>
      </c>
      <c r="D763" s="25">
        <v>0</v>
      </c>
      <c r="E763" s="25">
        <v>0</v>
      </c>
      <c r="F763" s="25">
        <v>0</v>
      </c>
      <c r="G763" s="25">
        <v>0</v>
      </c>
      <c r="H763" s="25">
        <v>0</v>
      </c>
      <c r="I763" s="25">
        <v>0</v>
      </c>
      <c r="J763" s="25">
        <v>0</v>
      </c>
      <c r="K763" s="25">
        <v>0</v>
      </c>
      <c r="L763" s="25">
        <v>0</v>
      </c>
      <c r="M763" s="25">
        <v>0</v>
      </c>
      <c r="N763" s="25">
        <v>0</v>
      </c>
      <c r="O763" s="25">
        <v>0</v>
      </c>
      <c r="P763" s="25">
        <v>0</v>
      </c>
      <c r="Q763" s="25">
        <v>0</v>
      </c>
      <c r="R763" s="25">
        <v>0</v>
      </c>
      <c r="S763" s="25">
        <v>0</v>
      </c>
      <c r="T763" s="25">
        <v>0</v>
      </c>
      <c r="U763" s="25">
        <v>0</v>
      </c>
      <c r="V763" s="25">
        <v>0</v>
      </c>
      <c r="W763" s="25">
        <v>0</v>
      </c>
      <c r="X763" s="25">
        <v>0</v>
      </c>
      <c r="Y763" s="25">
        <v>0</v>
      </c>
      <c r="Z763" s="25">
        <v>0</v>
      </c>
      <c r="AA763" s="25">
        <v>0</v>
      </c>
      <c r="AB763" s="25">
        <v>0</v>
      </c>
      <c r="AC763" s="25">
        <v>0</v>
      </c>
      <c r="AD763" s="25">
        <v>0</v>
      </c>
      <c r="AE763" s="25">
        <v>0</v>
      </c>
      <c r="AF763" s="25">
        <v>0</v>
      </c>
    </row>
    <row r="764" spans="1:32" x14ac:dyDescent="0.25">
      <c r="A764" s="25" t="s">
        <v>833</v>
      </c>
      <c r="B764" s="25">
        <v>0</v>
      </c>
      <c r="C764" s="25">
        <v>0</v>
      </c>
      <c r="D764" s="25">
        <v>0</v>
      </c>
      <c r="E764" s="25">
        <v>0</v>
      </c>
      <c r="F764" s="25">
        <v>0</v>
      </c>
      <c r="G764" s="25">
        <v>0</v>
      </c>
      <c r="H764" s="25">
        <v>0</v>
      </c>
      <c r="I764" s="25">
        <v>0</v>
      </c>
      <c r="J764" s="25">
        <v>0</v>
      </c>
      <c r="K764" s="25">
        <v>0</v>
      </c>
      <c r="L764" s="25">
        <v>0</v>
      </c>
      <c r="M764" s="25">
        <v>0</v>
      </c>
      <c r="N764" s="25">
        <v>0</v>
      </c>
      <c r="O764" s="25">
        <v>0</v>
      </c>
      <c r="P764" s="25">
        <v>0</v>
      </c>
      <c r="Q764" s="25">
        <v>0</v>
      </c>
      <c r="R764" s="25">
        <v>0</v>
      </c>
      <c r="S764" s="25">
        <v>0</v>
      </c>
      <c r="T764" s="25">
        <v>0</v>
      </c>
      <c r="U764" s="25">
        <v>0</v>
      </c>
      <c r="V764" s="25">
        <v>0</v>
      </c>
      <c r="W764" s="25">
        <v>0</v>
      </c>
      <c r="X764" s="25">
        <v>0</v>
      </c>
      <c r="Y764" s="25">
        <v>0</v>
      </c>
      <c r="Z764" s="25">
        <v>0</v>
      </c>
      <c r="AA764" s="25">
        <v>0</v>
      </c>
      <c r="AB764" s="25">
        <v>0</v>
      </c>
      <c r="AC764" s="25">
        <v>0</v>
      </c>
      <c r="AD764" s="25">
        <v>0</v>
      </c>
      <c r="AE764" s="25">
        <v>0</v>
      </c>
      <c r="AF764" s="25">
        <v>0</v>
      </c>
    </row>
    <row r="765" spans="1:32" x14ac:dyDescent="0.25">
      <c r="A765" s="25" t="s">
        <v>834</v>
      </c>
      <c r="B765" s="25">
        <v>0</v>
      </c>
      <c r="C765" s="25">
        <v>0</v>
      </c>
      <c r="D765" s="25">
        <v>0</v>
      </c>
      <c r="E765" s="25">
        <v>0</v>
      </c>
      <c r="F765" s="25">
        <v>0</v>
      </c>
      <c r="G765" s="25">
        <v>0</v>
      </c>
      <c r="H765" s="25">
        <v>0</v>
      </c>
      <c r="I765" s="25">
        <v>0</v>
      </c>
      <c r="J765" s="25">
        <v>0</v>
      </c>
      <c r="K765" s="25">
        <v>0</v>
      </c>
      <c r="L765" s="25">
        <v>0</v>
      </c>
      <c r="M765" s="25">
        <v>0</v>
      </c>
      <c r="N765" s="25">
        <v>0</v>
      </c>
      <c r="O765" s="25">
        <v>0</v>
      </c>
      <c r="P765" s="25">
        <v>0</v>
      </c>
      <c r="Q765" s="25">
        <v>0</v>
      </c>
      <c r="R765" s="25">
        <v>0</v>
      </c>
      <c r="S765" s="25">
        <v>0</v>
      </c>
      <c r="T765" s="25">
        <v>0</v>
      </c>
      <c r="U765" s="25">
        <v>0</v>
      </c>
      <c r="V765" s="25">
        <v>0</v>
      </c>
      <c r="W765" s="25">
        <v>0</v>
      </c>
      <c r="X765" s="25">
        <v>0</v>
      </c>
      <c r="Y765" s="25">
        <v>0</v>
      </c>
      <c r="Z765" s="25">
        <v>0</v>
      </c>
      <c r="AA765" s="25">
        <v>0</v>
      </c>
      <c r="AB765" s="25">
        <v>0</v>
      </c>
      <c r="AC765" s="25">
        <v>0</v>
      </c>
      <c r="AD765" s="25">
        <v>0</v>
      </c>
      <c r="AE765" s="25">
        <v>0</v>
      </c>
      <c r="AF765" s="25">
        <v>0</v>
      </c>
    </row>
    <row r="766" spans="1:32" x14ac:dyDescent="0.25">
      <c r="A766" s="25" t="s">
        <v>835</v>
      </c>
      <c r="B766" s="25">
        <v>0</v>
      </c>
      <c r="C766" s="25">
        <v>0</v>
      </c>
      <c r="D766" s="25">
        <v>0</v>
      </c>
      <c r="E766" s="25">
        <v>0</v>
      </c>
      <c r="F766" s="25">
        <v>0</v>
      </c>
      <c r="G766" s="25">
        <v>0</v>
      </c>
      <c r="H766" s="25">
        <v>0</v>
      </c>
      <c r="I766" s="25">
        <v>0</v>
      </c>
      <c r="J766" s="25">
        <v>0</v>
      </c>
      <c r="K766" s="25">
        <v>0</v>
      </c>
      <c r="L766" s="25">
        <v>0</v>
      </c>
      <c r="M766" s="25">
        <v>0</v>
      </c>
      <c r="N766" s="25">
        <v>0</v>
      </c>
      <c r="O766" s="25">
        <v>0</v>
      </c>
      <c r="P766" s="25">
        <v>0</v>
      </c>
      <c r="Q766" s="25">
        <v>0</v>
      </c>
      <c r="R766" s="25">
        <v>0</v>
      </c>
      <c r="S766" s="25">
        <v>0</v>
      </c>
      <c r="T766" s="25">
        <v>0</v>
      </c>
      <c r="U766" s="25">
        <v>0</v>
      </c>
      <c r="V766" s="25">
        <v>0</v>
      </c>
      <c r="W766" s="25">
        <v>0</v>
      </c>
      <c r="X766" s="25">
        <v>0</v>
      </c>
      <c r="Y766" s="25">
        <v>0</v>
      </c>
      <c r="Z766" s="25">
        <v>0</v>
      </c>
      <c r="AA766" s="25">
        <v>0</v>
      </c>
      <c r="AB766" s="25">
        <v>0</v>
      </c>
      <c r="AC766" s="25">
        <v>0</v>
      </c>
      <c r="AD766" s="25">
        <v>0</v>
      </c>
      <c r="AE766" s="25">
        <v>0</v>
      </c>
      <c r="AF766" s="25">
        <v>0</v>
      </c>
    </row>
    <row r="767" spans="1:32" x14ac:dyDescent="0.25">
      <c r="A767" s="25" t="s">
        <v>836</v>
      </c>
      <c r="B767" s="25">
        <v>0</v>
      </c>
      <c r="C767" s="25">
        <v>0</v>
      </c>
      <c r="D767" s="25">
        <v>0</v>
      </c>
      <c r="E767" s="25">
        <v>0</v>
      </c>
      <c r="F767" s="25">
        <v>0</v>
      </c>
      <c r="G767" s="25">
        <v>0</v>
      </c>
      <c r="H767" s="25">
        <v>0</v>
      </c>
      <c r="I767" s="25">
        <v>0</v>
      </c>
      <c r="J767" s="25">
        <v>0</v>
      </c>
      <c r="K767" s="25">
        <v>0</v>
      </c>
      <c r="L767" s="25">
        <v>0</v>
      </c>
      <c r="M767" s="25">
        <v>0</v>
      </c>
      <c r="N767" s="25">
        <v>0</v>
      </c>
      <c r="O767" s="25">
        <v>0</v>
      </c>
      <c r="P767" s="25">
        <v>0</v>
      </c>
      <c r="Q767" s="25">
        <v>0</v>
      </c>
      <c r="R767" s="25">
        <v>0</v>
      </c>
      <c r="S767" s="25">
        <v>0</v>
      </c>
      <c r="T767" s="25">
        <v>0</v>
      </c>
      <c r="U767" s="25">
        <v>0</v>
      </c>
      <c r="V767" s="25">
        <v>0</v>
      </c>
      <c r="W767" s="25">
        <v>0</v>
      </c>
      <c r="X767" s="25">
        <v>0</v>
      </c>
      <c r="Y767" s="25">
        <v>0</v>
      </c>
      <c r="Z767" s="25">
        <v>0</v>
      </c>
      <c r="AA767" s="25">
        <v>0</v>
      </c>
      <c r="AB767" s="25">
        <v>0</v>
      </c>
      <c r="AC767" s="25">
        <v>0</v>
      </c>
      <c r="AD767" s="25">
        <v>0</v>
      </c>
      <c r="AE767" s="25">
        <v>0</v>
      </c>
      <c r="AF767" s="25">
        <v>0</v>
      </c>
    </row>
    <row r="768" spans="1:32" x14ac:dyDescent="0.25">
      <c r="A768" s="25" t="s">
        <v>837</v>
      </c>
      <c r="B768" s="25">
        <v>0</v>
      </c>
      <c r="C768" s="25">
        <v>0</v>
      </c>
      <c r="D768" s="25">
        <v>0</v>
      </c>
      <c r="E768" s="25">
        <v>0</v>
      </c>
      <c r="F768" s="25">
        <v>0</v>
      </c>
      <c r="G768" s="25">
        <v>0</v>
      </c>
      <c r="H768" s="25">
        <v>0</v>
      </c>
      <c r="I768" s="25">
        <v>0</v>
      </c>
      <c r="J768" s="25">
        <v>0</v>
      </c>
      <c r="K768" s="25">
        <v>0</v>
      </c>
      <c r="L768" s="25">
        <v>0</v>
      </c>
      <c r="M768" s="25">
        <v>0</v>
      </c>
      <c r="N768" s="25">
        <v>0</v>
      </c>
      <c r="O768" s="25">
        <v>0</v>
      </c>
      <c r="P768" s="25">
        <v>0</v>
      </c>
      <c r="Q768" s="25">
        <v>0</v>
      </c>
      <c r="R768" s="25">
        <v>0</v>
      </c>
      <c r="S768" s="25">
        <v>0</v>
      </c>
      <c r="T768" s="25">
        <v>0</v>
      </c>
      <c r="U768" s="25">
        <v>0</v>
      </c>
      <c r="V768" s="25">
        <v>0</v>
      </c>
      <c r="W768" s="25">
        <v>0</v>
      </c>
      <c r="X768" s="25">
        <v>0</v>
      </c>
      <c r="Y768" s="25">
        <v>0</v>
      </c>
      <c r="Z768" s="25">
        <v>0</v>
      </c>
      <c r="AA768" s="25">
        <v>0</v>
      </c>
      <c r="AB768" s="25">
        <v>0</v>
      </c>
      <c r="AC768" s="25">
        <v>0</v>
      </c>
      <c r="AD768" s="25">
        <v>0</v>
      </c>
      <c r="AE768" s="25">
        <v>0</v>
      </c>
      <c r="AF768" s="25">
        <v>0</v>
      </c>
    </row>
    <row r="769" spans="1:32" x14ac:dyDescent="0.25">
      <c r="A769" s="25" t="s">
        <v>838</v>
      </c>
      <c r="B769" s="25">
        <v>0</v>
      </c>
      <c r="C769" s="25">
        <v>0</v>
      </c>
      <c r="D769" s="25">
        <v>0</v>
      </c>
      <c r="E769" s="25">
        <v>0</v>
      </c>
      <c r="F769" s="25">
        <v>0</v>
      </c>
      <c r="G769" s="25">
        <v>0</v>
      </c>
      <c r="H769" s="25">
        <v>0</v>
      </c>
      <c r="I769" s="25">
        <v>0</v>
      </c>
      <c r="J769" s="25">
        <v>0</v>
      </c>
      <c r="K769" s="25">
        <v>0</v>
      </c>
      <c r="L769" s="25">
        <v>0</v>
      </c>
      <c r="M769" s="25">
        <v>0</v>
      </c>
      <c r="N769" s="25">
        <v>0</v>
      </c>
      <c r="O769" s="25">
        <v>0</v>
      </c>
      <c r="P769" s="25">
        <v>0</v>
      </c>
      <c r="Q769" s="25">
        <v>0</v>
      </c>
      <c r="R769" s="25">
        <v>0</v>
      </c>
      <c r="S769" s="25">
        <v>0</v>
      </c>
      <c r="T769" s="25">
        <v>0</v>
      </c>
      <c r="U769" s="25">
        <v>0</v>
      </c>
      <c r="V769" s="25">
        <v>0</v>
      </c>
      <c r="W769" s="25">
        <v>0</v>
      </c>
      <c r="X769" s="25">
        <v>0</v>
      </c>
      <c r="Y769" s="25">
        <v>0</v>
      </c>
      <c r="Z769" s="25">
        <v>0</v>
      </c>
      <c r="AA769" s="25">
        <v>0</v>
      </c>
      <c r="AB769" s="25">
        <v>0</v>
      </c>
      <c r="AC769" s="25">
        <v>0</v>
      </c>
      <c r="AD769" s="25">
        <v>0</v>
      </c>
      <c r="AE769" s="25">
        <v>0</v>
      </c>
      <c r="AF769" s="25">
        <v>0</v>
      </c>
    </row>
    <row r="770" spans="1:32" x14ac:dyDescent="0.25">
      <c r="A770" s="25" t="s">
        <v>839</v>
      </c>
      <c r="B770" s="25">
        <v>0</v>
      </c>
      <c r="C770" s="25">
        <v>0</v>
      </c>
      <c r="D770" s="25">
        <v>0</v>
      </c>
      <c r="E770" s="25">
        <v>0</v>
      </c>
      <c r="F770" s="25">
        <v>0</v>
      </c>
      <c r="G770" s="25">
        <v>0</v>
      </c>
      <c r="H770" s="25">
        <v>0</v>
      </c>
      <c r="I770" s="25">
        <v>0</v>
      </c>
      <c r="J770" s="25">
        <v>0</v>
      </c>
      <c r="K770" s="25">
        <v>0</v>
      </c>
      <c r="L770" s="25">
        <v>0</v>
      </c>
      <c r="M770" s="25">
        <v>0</v>
      </c>
      <c r="N770" s="25">
        <v>0</v>
      </c>
      <c r="O770" s="25">
        <v>0</v>
      </c>
      <c r="P770" s="25">
        <v>0</v>
      </c>
      <c r="Q770" s="25">
        <v>0</v>
      </c>
      <c r="R770" s="25">
        <v>0</v>
      </c>
      <c r="S770" s="25">
        <v>0</v>
      </c>
      <c r="T770" s="25">
        <v>0</v>
      </c>
      <c r="U770" s="25">
        <v>0</v>
      </c>
      <c r="V770" s="25">
        <v>0</v>
      </c>
      <c r="W770" s="25">
        <v>0</v>
      </c>
      <c r="X770" s="25">
        <v>0</v>
      </c>
      <c r="Y770" s="25">
        <v>0</v>
      </c>
      <c r="Z770" s="25">
        <v>0</v>
      </c>
      <c r="AA770" s="25">
        <v>0</v>
      </c>
      <c r="AB770" s="25">
        <v>0</v>
      </c>
      <c r="AC770" s="25">
        <v>0</v>
      </c>
      <c r="AD770" s="25">
        <v>0</v>
      </c>
      <c r="AE770" s="25">
        <v>0</v>
      </c>
      <c r="AF770" s="25">
        <v>0</v>
      </c>
    </row>
    <row r="771" spans="1:32" x14ac:dyDescent="0.25">
      <c r="A771" s="25" t="s">
        <v>840</v>
      </c>
      <c r="B771" s="25">
        <v>0</v>
      </c>
      <c r="C771" s="25">
        <v>0</v>
      </c>
      <c r="D771" s="25">
        <v>0</v>
      </c>
      <c r="E771" s="25">
        <v>0</v>
      </c>
      <c r="F771" s="25">
        <v>0</v>
      </c>
      <c r="G771" s="25">
        <v>0</v>
      </c>
      <c r="H771" s="25">
        <v>0</v>
      </c>
      <c r="I771" s="25">
        <v>0</v>
      </c>
      <c r="J771" s="25">
        <v>0</v>
      </c>
      <c r="K771" s="25">
        <v>0</v>
      </c>
      <c r="L771" s="25">
        <v>0</v>
      </c>
      <c r="M771" s="25">
        <v>0</v>
      </c>
      <c r="N771" s="25">
        <v>0</v>
      </c>
      <c r="O771" s="25">
        <v>0</v>
      </c>
      <c r="P771" s="25">
        <v>0</v>
      </c>
      <c r="Q771" s="25">
        <v>0</v>
      </c>
      <c r="R771" s="25">
        <v>0</v>
      </c>
      <c r="S771" s="25">
        <v>0</v>
      </c>
      <c r="T771" s="25">
        <v>0</v>
      </c>
      <c r="U771" s="25">
        <v>0</v>
      </c>
      <c r="V771" s="25">
        <v>0</v>
      </c>
      <c r="W771" s="25">
        <v>0</v>
      </c>
      <c r="X771" s="25">
        <v>0</v>
      </c>
      <c r="Y771" s="25">
        <v>0</v>
      </c>
      <c r="Z771" s="25">
        <v>0</v>
      </c>
      <c r="AA771" s="25">
        <v>0</v>
      </c>
      <c r="AB771" s="25">
        <v>0</v>
      </c>
      <c r="AC771" s="25">
        <v>0</v>
      </c>
      <c r="AD771" s="25">
        <v>0</v>
      </c>
      <c r="AE771" s="25">
        <v>0</v>
      </c>
      <c r="AF771" s="25">
        <v>0</v>
      </c>
    </row>
    <row r="772" spans="1:32" x14ac:dyDescent="0.25">
      <c r="A772" s="25" t="s">
        <v>841</v>
      </c>
      <c r="B772" s="25">
        <v>0</v>
      </c>
      <c r="C772" s="25">
        <v>0</v>
      </c>
      <c r="D772" s="25">
        <v>0</v>
      </c>
      <c r="E772" s="25">
        <v>0</v>
      </c>
      <c r="F772" s="25">
        <v>0</v>
      </c>
      <c r="G772" s="25">
        <v>0</v>
      </c>
      <c r="H772" s="25">
        <v>0</v>
      </c>
      <c r="I772" s="25">
        <v>0</v>
      </c>
      <c r="J772" s="25">
        <v>0</v>
      </c>
      <c r="K772" s="25">
        <v>0</v>
      </c>
      <c r="L772" s="25">
        <v>0</v>
      </c>
      <c r="M772" s="25">
        <v>0</v>
      </c>
      <c r="N772" s="25">
        <v>0</v>
      </c>
      <c r="O772" s="25">
        <v>0</v>
      </c>
      <c r="P772" s="25">
        <v>0</v>
      </c>
      <c r="Q772" s="25">
        <v>0</v>
      </c>
      <c r="R772" s="25">
        <v>0</v>
      </c>
      <c r="S772" s="25">
        <v>0</v>
      </c>
      <c r="T772" s="25">
        <v>0</v>
      </c>
      <c r="U772" s="25">
        <v>0</v>
      </c>
      <c r="V772" s="25">
        <v>0</v>
      </c>
      <c r="W772" s="25">
        <v>0</v>
      </c>
      <c r="X772" s="25">
        <v>0</v>
      </c>
      <c r="Y772" s="25">
        <v>0</v>
      </c>
      <c r="Z772" s="25">
        <v>0</v>
      </c>
      <c r="AA772" s="25">
        <v>0</v>
      </c>
      <c r="AB772" s="25">
        <v>0</v>
      </c>
      <c r="AC772" s="25">
        <v>0</v>
      </c>
      <c r="AD772" s="25">
        <v>0</v>
      </c>
      <c r="AE772" s="25">
        <v>0</v>
      </c>
      <c r="AF772" s="25">
        <v>0</v>
      </c>
    </row>
    <row r="773" spans="1:32" x14ac:dyDescent="0.25">
      <c r="A773" s="25" t="s">
        <v>842</v>
      </c>
      <c r="B773" s="25">
        <v>0</v>
      </c>
      <c r="C773" s="25">
        <v>0</v>
      </c>
      <c r="D773" s="25">
        <v>0</v>
      </c>
      <c r="E773" s="25">
        <v>0</v>
      </c>
      <c r="F773" s="25">
        <v>0</v>
      </c>
      <c r="G773" s="25">
        <v>0</v>
      </c>
      <c r="H773" s="25">
        <v>0</v>
      </c>
      <c r="I773" s="25">
        <v>0</v>
      </c>
      <c r="J773" s="25">
        <v>0</v>
      </c>
      <c r="K773" s="25">
        <v>0</v>
      </c>
      <c r="L773" s="25">
        <v>0</v>
      </c>
      <c r="M773" s="25">
        <v>0</v>
      </c>
      <c r="N773" s="25">
        <v>0</v>
      </c>
      <c r="O773" s="25">
        <v>0</v>
      </c>
      <c r="P773" s="25">
        <v>0</v>
      </c>
      <c r="Q773" s="25">
        <v>0</v>
      </c>
      <c r="R773" s="25">
        <v>0</v>
      </c>
      <c r="S773" s="25">
        <v>0</v>
      </c>
      <c r="T773" s="25">
        <v>0</v>
      </c>
      <c r="U773" s="25">
        <v>0</v>
      </c>
      <c r="V773" s="25">
        <v>0</v>
      </c>
      <c r="W773" s="25">
        <v>0</v>
      </c>
      <c r="X773" s="25">
        <v>0</v>
      </c>
      <c r="Y773" s="25">
        <v>0</v>
      </c>
      <c r="Z773" s="25">
        <v>0</v>
      </c>
      <c r="AA773" s="25">
        <v>0</v>
      </c>
      <c r="AB773" s="25">
        <v>0</v>
      </c>
      <c r="AC773" s="25">
        <v>0</v>
      </c>
      <c r="AD773" s="25">
        <v>0</v>
      </c>
      <c r="AE773" s="25">
        <v>0</v>
      </c>
      <c r="AF773" s="25">
        <v>0</v>
      </c>
    </row>
    <row r="774" spans="1:32" x14ac:dyDescent="0.25">
      <c r="A774" s="25" t="s">
        <v>843</v>
      </c>
      <c r="B774" s="25">
        <v>0</v>
      </c>
      <c r="C774" s="25">
        <v>0</v>
      </c>
      <c r="D774" s="25">
        <v>0</v>
      </c>
      <c r="E774" s="25">
        <v>0</v>
      </c>
      <c r="F774" s="25">
        <v>0</v>
      </c>
      <c r="G774" s="25">
        <v>0</v>
      </c>
      <c r="H774" s="25">
        <v>0</v>
      </c>
      <c r="I774" s="25">
        <v>0</v>
      </c>
      <c r="J774" s="25">
        <v>0</v>
      </c>
      <c r="K774" s="25">
        <v>0</v>
      </c>
      <c r="L774" s="25">
        <v>0</v>
      </c>
      <c r="M774" s="25">
        <v>0</v>
      </c>
      <c r="N774" s="25">
        <v>0</v>
      </c>
      <c r="O774" s="25">
        <v>0</v>
      </c>
      <c r="P774" s="25">
        <v>0</v>
      </c>
      <c r="Q774" s="25">
        <v>0</v>
      </c>
      <c r="R774" s="25">
        <v>0</v>
      </c>
      <c r="S774" s="25">
        <v>0</v>
      </c>
      <c r="T774" s="25">
        <v>0</v>
      </c>
      <c r="U774" s="25">
        <v>0</v>
      </c>
      <c r="V774" s="25">
        <v>0</v>
      </c>
      <c r="W774" s="25">
        <v>0</v>
      </c>
      <c r="X774" s="25">
        <v>0</v>
      </c>
      <c r="Y774" s="25">
        <v>0</v>
      </c>
      <c r="Z774" s="25">
        <v>0</v>
      </c>
      <c r="AA774" s="25">
        <v>0</v>
      </c>
      <c r="AB774" s="25">
        <v>0</v>
      </c>
      <c r="AC774" s="25">
        <v>0</v>
      </c>
      <c r="AD774" s="25">
        <v>0</v>
      </c>
      <c r="AE774" s="25">
        <v>0</v>
      </c>
      <c r="AF774" s="25">
        <v>0</v>
      </c>
    </row>
    <row r="775" spans="1:32" x14ac:dyDescent="0.25">
      <c r="A775" s="25" t="s">
        <v>844</v>
      </c>
      <c r="B775" s="25">
        <v>0</v>
      </c>
      <c r="C775" s="25">
        <v>0</v>
      </c>
      <c r="D775" s="25">
        <v>0</v>
      </c>
      <c r="E775" s="25">
        <v>0</v>
      </c>
      <c r="F775" s="25">
        <v>0</v>
      </c>
      <c r="G775" s="25">
        <v>0</v>
      </c>
      <c r="H775" s="25">
        <v>0</v>
      </c>
      <c r="I775" s="25">
        <v>0</v>
      </c>
      <c r="J775" s="25">
        <v>0</v>
      </c>
      <c r="K775" s="25">
        <v>0</v>
      </c>
      <c r="L775" s="25">
        <v>0</v>
      </c>
      <c r="M775" s="25">
        <v>0</v>
      </c>
      <c r="N775" s="25">
        <v>0</v>
      </c>
      <c r="O775" s="25">
        <v>0</v>
      </c>
      <c r="P775" s="25">
        <v>0</v>
      </c>
      <c r="Q775" s="25">
        <v>0</v>
      </c>
      <c r="R775" s="25">
        <v>0</v>
      </c>
      <c r="S775" s="25">
        <v>0</v>
      </c>
      <c r="T775" s="25">
        <v>0</v>
      </c>
      <c r="U775" s="25">
        <v>0</v>
      </c>
      <c r="V775" s="25">
        <v>0</v>
      </c>
      <c r="W775" s="25">
        <v>0</v>
      </c>
      <c r="X775" s="25">
        <v>0</v>
      </c>
      <c r="Y775" s="25">
        <v>0</v>
      </c>
      <c r="Z775" s="25">
        <v>0</v>
      </c>
      <c r="AA775" s="25">
        <v>0</v>
      </c>
      <c r="AB775" s="25">
        <v>0</v>
      </c>
      <c r="AC775" s="25">
        <v>0</v>
      </c>
      <c r="AD775" s="25">
        <v>0</v>
      </c>
      <c r="AE775" s="25">
        <v>0</v>
      </c>
      <c r="AF775" s="25">
        <v>0</v>
      </c>
    </row>
    <row r="776" spans="1:32" x14ac:dyDescent="0.25">
      <c r="A776" s="25" t="s">
        <v>845</v>
      </c>
      <c r="B776" s="25">
        <v>0</v>
      </c>
      <c r="C776" s="25">
        <v>0</v>
      </c>
      <c r="D776" s="25">
        <v>0</v>
      </c>
      <c r="E776" s="25">
        <v>0</v>
      </c>
      <c r="F776" s="25">
        <v>0</v>
      </c>
      <c r="G776" s="25">
        <v>0</v>
      </c>
      <c r="H776" s="25">
        <v>0</v>
      </c>
      <c r="I776" s="25">
        <v>0</v>
      </c>
      <c r="J776" s="25">
        <v>0</v>
      </c>
      <c r="K776" s="25">
        <v>0</v>
      </c>
      <c r="L776" s="25">
        <v>0</v>
      </c>
      <c r="M776" s="25">
        <v>0</v>
      </c>
      <c r="N776" s="25">
        <v>0</v>
      </c>
      <c r="O776" s="25">
        <v>0</v>
      </c>
      <c r="P776" s="25">
        <v>0</v>
      </c>
      <c r="Q776" s="25">
        <v>0</v>
      </c>
      <c r="R776" s="25">
        <v>0</v>
      </c>
      <c r="S776" s="25">
        <v>0</v>
      </c>
      <c r="T776" s="25">
        <v>0</v>
      </c>
      <c r="U776" s="25">
        <v>0</v>
      </c>
      <c r="V776" s="25">
        <v>0</v>
      </c>
      <c r="W776" s="25">
        <v>0</v>
      </c>
      <c r="X776" s="25">
        <v>0</v>
      </c>
      <c r="Y776" s="25">
        <v>0</v>
      </c>
      <c r="Z776" s="25">
        <v>0</v>
      </c>
      <c r="AA776" s="25">
        <v>0</v>
      </c>
      <c r="AB776" s="25">
        <v>0</v>
      </c>
      <c r="AC776" s="25">
        <v>0</v>
      </c>
      <c r="AD776" s="25">
        <v>0</v>
      </c>
      <c r="AE776" s="25">
        <v>0</v>
      </c>
      <c r="AF776" s="25">
        <v>0</v>
      </c>
    </row>
    <row r="777" spans="1:32" x14ac:dyDescent="0.25">
      <c r="A777" s="25" t="s">
        <v>846</v>
      </c>
      <c r="B777" s="25">
        <v>0</v>
      </c>
      <c r="C777" s="25">
        <v>0</v>
      </c>
      <c r="D777" s="25">
        <v>0</v>
      </c>
      <c r="E777" s="25">
        <v>0</v>
      </c>
      <c r="F777" s="25">
        <v>0</v>
      </c>
      <c r="G777" s="25">
        <v>0</v>
      </c>
      <c r="H777" s="25">
        <v>0</v>
      </c>
      <c r="I777" s="25">
        <v>0</v>
      </c>
      <c r="J777" s="25">
        <v>0</v>
      </c>
      <c r="K777" s="25">
        <v>0</v>
      </c>
      <c r="L777" s="25">
        <v>0</v>
      </c>
      <c r="M777" s="25">
        <v>0</v>
      </c>
      <c r="N777" s="25">
        <v>0</v>
      </c>
      <c r="O777" s="25">
        <v>0</v>
      </c>
      <c r="P777" s="25">
        <v>0</v>
      </c>
      <c r="Q777" s="25">
        <v>0</v>
      </c>
      <c r="R777" s="25">
        <v>0</v>
      </c>
      <c r="S777" s="25">
        <v>0</v>
      </c>
      <c r="T777" s="25">
        <v>0</v>
      </c>
      <c r="U777" s="25">
        <v>0</v>
      </c>
      <c r="V777" s="25">
        <v>0</v>
      </c>
      <c r="W777" s="25">
        <v>0</v>
      </c>
      <c r="X777" s="25">
        <v>0</v>
      </c>
      <c r="Y777" s="25">
        <v>0</v>
      </c>
      <c r="Z777" s="25">
        <v>0</v>
      </c>
      <c r="AA777" s="25">
        <v>0</v>
      </c>
      <c r="AB777" s="25">
        <v>0</v>
      </c>
      <c r="AC777" s="25">
        <v>0</v>
      </c>
      <c r="AD777" s="25">
        <v>0</v>
      </c>
      <c r="AE777" s="25">
        <v>0</v>
      </c>
      <c r="AF777" s="25">
        <v>0</v>
      </c>
    </row>
    <row r="778" spans="1:32" x14ac:dyDescent="0.25">
      <c r="A778" s="25" t="s">
        <v>847</v>
      </c>
      <c r="B778" s="25">
        <v>0</v>
      </c>
      <c r="C778" s="25">
        <v>0</v>
      </c>
      <c r="D778" s="25">
        <v>0</v>
      </c>
      <c r="E778" s="25">
        <v>0</v>
      </c>
      <c r="F778" s="25">
        <v>0</v>
      </c>
      <c r="G778" s="25">
        <v>0</v>
      </c>
      <c r="H778" s="25">
        <v>0</v>
      </c>
      <c r="I778" s="25">
        <v>0</v>
      </c>
      <c r="J778" s="25">
        <v>0</v>
      </c>
      <c r="K778" s="25">
        <v>0</v>
      </c>
      <c r="L778" s="25">
        <v>0</v>
      </c>
      <c r="M778" s="25">
        <v>0</v>
      </c>
      <c r="N778" s="25">
        <v>0</v>
      </c>
      <c r="O778" s="25">
        <v>0</v>
      </c>
      <c r="P778" s="25">
        <v>0</v>
      </c>
      <c r="Q778" s="25">
        <v>0</v>
      </c>
      <c r="R778" s="25">
        <v>0</v>
      </c>
      <c r="S778" s="25">
        <v>0</v>
      </c>
      <c r="T778" s="25">
        <v>0</v>
      </c>
      <c r="U778" s="25">
        <v>0</v>
      </c>
      <c r="V778" s="25">
        <v>0</v>
      </c>
      <c r="W778" s="25">
        <v>0</v>
      </c>
      <c r="X778" s="25">
        <v>0</v>
      </c>
      <c r="Y778" s="25">
        <v>0</v>
      </c>
      <c r="Z778" s="25">
        <v>0</v>
      </c>
      <c r="AA778" s="25">
        <v>0</v>
      </c>
      <c r="AB778" s="25">
        <v>0</v>
      </c>
      <c r="AC778" s="25">
        <v>0</v>
      </c>
      <c r="AD778" s="25">
        <v>0</v>
      </c>
      <c r="AE778" s="25">
        <v>0</v>
      </c>
      <c r="AF778" s="25">
        <v>0</v>
      </c>
    </row>
    <row r="779" spans="1:32" x14ac:dyDescent="0.25">
      <c r="A779" s="25" t="s">
        <v>848</v>
      </c>
      <c r="B779" s="25">
        <v>0</v>
      </c>
      <c r="C779" s="25">
        <v>0</v>
      </c>
      <c r="D779" s="25">
        <v>0</v>
      </c>
      <c r="E779" s="25">
        <v>0</v>
      </c>
      <c r="F779" s="25">
        <v>0</v>
      </c>
      <c r="G779" s="25">
        <v>0</v>
      </c>
      <c r="H779" s="25">
        <v>0</v>
      </c>
      <c r="I779" s="25">
        <v>0</v>
      </c>
      <c r="J779" s="25">
        <v>0</v>
      </c>
      <c r="K779" s="25">
        <v>0</v>
      </c>
      <c r="L779" s="25">
        <v>0</v>
      </c>
      <c r="M779" s="25">
        <v>0</v>
      </c>
      <c r="N779" s="25">
        <v>0</v>
      </c>
      <c r="O779" s="25">
        <v>0</v>
      </c>
      <c r="P779" s="25">
        <v>0</v>
      </c>
      <c r="Q779" s="25">
        <v>0</v>
      </c>
      <c r="R779" s="25">
        <v>0</v>
      </c>
      <c r="S779" s="25">
        <v>0</v>
      </c>
      <c r="T779" s="25">
        <v>0</v>
      </c>
      <c r="U779" s="25">
        <v>0</v>
      </c>
      <c r="V779" s="25">
        <v>0</v>
      </c>
      <c r="W779" s="25">
        <v>0</v>
      </c>
      <c r="X779" s="25">
        <v>0</v>
      </c>
      <c r="Y779" s="25">
        <v>0</v>
      </c>
      <c r="Z779" s="25">
        <v>0</v>
      </c>
      <c r="AA779" s="25">
        <v>0</v>
      </c>
      <c r="AB779" s="25">
        <v>0</v>
      </c>
      <c r="AC779" s="25">
        <v>0</v>
      </c>
      <c r="AD779" s="25">
        <v>0</v>
      </c>
      <c r="AE779" s="25">
        <v>0</v>
      </c>
      <c r="AF779" s="25">
        <v>0</v>
      </c>
    </row>
    <row r="780" spans="1:32" x14ac:dyDescent="0.25">
      <c r="A780" s="25" t="s">
        <v>849</v>
      </c>
      <c r="B780" s="25">
        <v>0</v>
      </c>
      <c r="C780" s="25">
        <v>0</v>
      </c>
      <c r="D780" s="25">
        <v>0</v>
      </c>
      <c r="E780" s="25">
        <v>0</v>
      </c>
      <c r="F780" s="25">
        <v>0</v>
      </c>
      <c r="G780" s="25">
        <v>0</v>
      </c>
      <c r="H780" s="25">
        <v>0</v>
      </c>
      <c r="I780" s="25">
        <v>0</v>
      </c>
      <c r="J780" s="25">
        <v>0</v>
      </c>
      <c r="K780" s="25">
        <v>0</v>
      </c>
      <c r="L780" s="25">
        <v>0</v>
      </c>
      <c r="M780" s="25">
        <v>0</v>
      </c>
      <c r="N780" s="25">
        <v>0</v>
      </c>
      <c r="O780" s="25">
        <v>0</v>
      </c>
      <c r="P780" s="25">
        <v>0</v>
      </c>
      <c r="Q780" s="25">
        <v>0</v>
      </c>
      <c r="R780" s="25">
        <v>0</v>
      </c>
      <c r="S780" s="25">
        <v>0</v>
      </c>
      <c r="T780" s="25">
        <v>0</v>
      </c>
      <c r="U780" s="25">
        <v>0</v>
      </c>
      <c r="V780" s="25">
        <v>0</v>
      </c>
      <c r="W780" s="25">
        <v>0</v>
      </c>
      <c r="X780" s="25">
        <v>0</v>
      </c>
      <c r="Y780" s="25">
        <v>0</v>
      </c>
      <c r="Z780" s="25">
        <v>0</v>
      </c>
      <c r="AA780" s="25">
        <v>0</v>
      </c>
      <c r="AB780" s="25">
        <v>0</v>
      </c>
      <c r="AC780" s="25">
        <v>0</v>
      </c>
      <c r="AD780" s="25">
        <v>0</v>
      </c>
      <c r="AE780" s="25">
        <v>0</v>
      </c>
      <c r="AF780" s="25">
        <v>0</v>
      </c>
    </row>
    <row r="781" spans="1:32" x14ac:dyDescent="0.25">
      <c r="A781" s="25" t="s">
        <v>850</v>
      </c>
      <c r="B781" s="25">
        <v>0</v>
      </c>
      <c r="C781" s="25">
        <v>0</v>
      </c>
      <c r="D781" s="25">
        <v>0</v>
      </c>
      <c r="E781" s="25">
        <v>0</v>
      </c>
      <c r="F781" s="25">
        <v>0</v>
      </c>
      <c r="G781" s="25">
        <v>0</v>
      </c>
      <c r="H781" s="25">
        <v>0</v>
      </c>
      <c r="I781" s="25">
        <v>0</v>
      </c>
      <c r="J781" s="25">
        <v>0</v>
      </c>
      <c r="K781" s="25">
        <v>0</v>
      </c>
      <c r="L781" s="25">
        <v>0</v>
      </c>
      <c r="M781" s="25">
        <v>0</v>
      </c>
      <c r="N781" s="25">
        <v>0</v>
      </c>
      <c r="O781" s="25">
        <v>0</v>
      </c>
      <c r="P781" s="25">
        <v>0</v>
      </c>
      <c r="Q781" s="25">
        <v>0</v>
      </c>
      <c r="R781" s="25">
        <v>0</v>
      </c>
      <c r="S781" s="25">
        <v>0</v>
      </c>
      <c r="T781" s="25">
        <v>0</v>
      </c>
      <c r="U781" s="25">
        <v>0</v>
      </c>
      <c r="V781" s="25">
        <v>0</v>
      </c>
      <c r="W781" s="25">
        <v>0</v>
      </c>
      <c r="X781" s="25">
        <v>0</v>
      </c>
      <c r="Y781" s="25">
        <v>0</v>
      </c>
      <c r="Z781" s="25">
        <v>0</v>
      </c>
      <c r="AA781" s="25">
        <v>0</v>
      </c>
      <c r="AB781" s="25">
        <v>0</v>
      </c>
      <c r="AC781" s="25">
        <v>0</v>
      </c>
      <c r="AD781" s="25">
        <v>0</v>
      </c>
      <c r="AE781" s="25">
        <v>0</v>
      </c>
      <c r="AF781" s="25">
        <v>0</v>
      </c>
    </row>
    <row r="782" spans="1:32" x14ac:dyDescent="0.25">
      <c r="A782" s="25" t="s">
        <v>851</v>
      </c>
      <c r="B782" s="25">
        <v>0</v>
      </c>
      <c r="C782" s="25">
        <v>0</v>
      </c>
      <c r="D782" s="25">
        <v>0</v>
      </c>
      <c r="E782" s="25">
        <v>0</v>
      </c>
      <c r="F782" s="25">
        <v>0</v>
      </c>
      <c r="G782" s="25">
        <v>0</v>
      </c>
      <c r="H782" s="25">
        <v>0</v>
      </c>
      <c r="I782" s="25">
        <v>0</v>
      </c>
      <c r="J782" s="25">
        <v>0</v>
      </c>
      <c r="K782" s="25">
        <v>0</v>
      </c>
      <c r="L782" s="25">
        <v>0</v>
      </c>
      <c r="M782" s="25">
        <v>0</v>
      </c>
      <c r="N782" s="25">
        <v>0</v>
      </c>
      <c r="O782" s="25">
        <v>0</v>
      </c>
      <c r="P782" s="25">
        <v>0</v>
      </c>
      <c r="Q782" s="25">
        <v>0</v>
      </c>
      <c r="R782" s="25">
        <v>0</v>
      </c>
      <c r="S782" s="25">
        <v>0</v>
      </c>
      <c r="T782" s="25">
        <v>0</v>
      </c>
      <c r="U782" s="25">
        <v>0</v>
      </c>
      <c r="V782" s="25">
        <v>0</v>
      </c>
      <c r="W782" s="25">
        <v>0</v>
      </c>
      <c r="X782" s="25">
        <v>0</v>
      </c>
      <c r="Y782" s="25">
        <v>0</v>
      </c>
      <c r="Z782" s="25">
        <v>0</v>
      </c>
      <c r="AA782" s="25">
        <v>0</v>
      </c>
      <c r="AB782" s="25">
        <v>0</v>
      </c>
      <c r="AC782" s="25">
        <v>0</v>
      </c>
      <c r="AD782" s="25">
        <v>0</v>
      </c>
      <c r="AE782" s="25">
        <v>0</v>
      </c>
      <c r="AF782" s="25">
        <v>0</v>
      </c>
    </row>
    <row r="783" spans="1:32" x14ac:dyDescent="0.25">
      <c r="A783" s="25" t="s">
        <v>852</v>
      </c>
      <c r="B783" s="25">
        <v>0</v>
      </c>
      <c r="C783" s="25">
        <v>0</v>
      </c>
      <c r="D783" s="25">
        <v>0</v>
      </c>
      <c r="E783" s="25">
        <v>0</v>
      </c>
      <c r="F783" s="25">
        <v>0</v>
      </c>
      <c r="G783" s="25">
        <v>0</v>
      </c>
      <c r="H783" s="25">
        <v>0</v>
      </c>
      <c r="I783" s="25">
        <v>0</v>
      </c>
      <c r="J783" s="25">
        <v>0</v>
      </c>
      <c r="K783" s="25">
        <v>0</v>
      </c>
      <c r="L783" s="25">
        <v>0</v>
      </c>
      <c r="M783" s="25">
        <v>0</v>
      </c>
      <c r="N783" s="25">
        <v>0</v>
      </c>
      <c r="O783" s="25">
        <v>0</v>
      </c>
      <c r="P783" s="25">
        <v>0</v>
      </c>
      <c r="Q783" s="25">
        <v>0</v>
      </c>
      <c r="R783" s="25">
        <v>0</v>
      </c>
      <c r="S783" s="25">
        <v>0</v>
      </c>
      <c r="T783" s="25">
        <v>0</v>
      </c>
      <c r="U783" s="25">
        <v>0</v>
      </c>
      <c r="V783" s="25">
        <v>0</v>
      </c>
      <c r="W783" s="25">
        <v>0</v>
      </c>
      <c r="X783" s="25">
        <v>0</v>
      </c>
      <c r="Y783" s="25">
        <v>0</v>
      </c>
      <c r="Z783" s="25">
        <v>0</v>
      </c>
      <c r="AA783" s="25">
        <v>0</v>
      </c>
      <c r="AB783" s="25">
        <v>0</v>
      </c>
      <c r="AC783" s="25">
        <v>0</v>
      </c>
      <c r="AD783" s="25">
        <v>0</v>
      </c>
      <c r="AE783" s="25">
        <v>0</v>
      </c>
      <c r="AF783" s="25">
        <v>0</v>
      </c>
    </row>
    <row r="784" spans="1:32" x14ac:dyDescent="0.25">
      <c r="A784" s="25" t="s">
        <v>853</v>
      </c>
      <c r="B784" s="25">
        <v>0</v>
      </c>
      <c r="C784" s="25">
        <v>0</v>
      </c>
      <c r="D784" s="25">
        <v>0</v>
      </c>
      <c r="E784" s="25">
        <v>0</v>
      </c>
      <c r="F784" s="25">
        <v>0</v>
      </c>
      <c r="G784" s="25">
        <v>0</v>
      </c>
      <c r="H784" s="25">
        <v>0</v>
      </c>
      <c r="I784" s="25">
        <v>0</v>
      </c>
      <c r="J784" s="25">
        <v>0</v>
      </c>
      <c r="K784" s="25">
        <v>0</v>
      </c>
      <c r="L784" s="25">
        <v>0</v>
      </c>
      <c r="M784" s="25">
        <v>0</v>
      </c>
      <c r="N784" s="25">
        <v>0</v>
      </c>
      <c r="O784" s="25">
        <v>0</v>
      </c>
      <c r="P784" s="25">
        <v>0</v>
      </c>
      <c r="Q784" s="25">
        <v>0</v>
      </c>
      <c r="R784" s="25">
        <v>0</v>
      </c>
      <c r="S784" s="25">
        <v>0</v>
      </c>
      <c r="T784" s="25">
        <v>0</v>
      </c>
      <c r="U784" s="25">
        <v>0</v>
      </c>
      <c r="V784" s="25">
        <v>0</v>
      </c>
      <c r="W784" s="25">
        <v>0</v>
      </c>
      <c r="X784" s="25">
        <v>0</v>
      </c>
      <c r="Y784" s="25">
        <v>0</v>
      </c>
      <c r="Z784" s="25">
        <v>0</v>
      </c>
      <c r="AA784" s="25">
        <v>0</v>
      </c>
      <c r="AB784" s="25">
        <v>0</v>
      </c>
      <c r="AC784" s="25">
        <v>0</v>
      </c>
      <c r="AD784" s="25">
        <v>0</v>
      </c>
      <c r="AE784" s="25">
        <v>0</v>
      </c>
      <c r="AF784" s="25">
        <v>0</v>
      </c>
    </row>
    <row r="785" spans="1:32" x14ac:dyDescent="0.25">
      <c r="A785" s="25" t="s">
        <v>854</v>
      </c>
      <c r="B785" s="25">
        <v>0</v>
      </c>
      <c r="C785" s="25">
        <v>0</v>
      </c>
      <c r="D785" s="25">
        <v>0</v>
      </c>
      <c r="E785" s="25">
        <v>0</v>
      </c>
      <c r="F785" s="25">
        <v>0</v>
      </c>
      <c r="G785" s="25">
        <v>0</v>
      </c>
      <c r="H785" s="25">
        <v>0</v>
      </c>
      <c r="I785" s="25">
        <v>0</v>
      </c>
      <c r="J785" s="25">
        <v>0</v>
      </c>
      <c r="K785" s="25">
        <v>0</v>
      </c>
      <c r="L785" s="25">
        <v>0</v>
      </c>
      <c r="M785" s="25">
        <v>0</v>
      </c>
      <c r="N785" s="25">
        <v>0</v>
      </c>
      <c r="O785" s="25">
        <v>0</v>
      </c>
      <c r="P785" s="25">
        <v>0</v>
      </c>
      <c r="Q785" s="25">
        <v>0</v>
      </c>
      <c r="R785" s="25">
        <v>0</v>
      </c>
      <c r="S785" s="25">
        <v>0</v>
      </c>
      <c r="T785" s="25">
        <v>0</v>
      </c>
      <c r="U785" s="25">
        <v>0</v>
      </c>
      <c r="V785" s="25">
        <v>0</v>
      </c>
      <c r="W785" s="25">
        <v>0</v>
      </c>
      <c r="X785" s="25">
        <v>0</v>
      </c>
      <c r="Y785" s="25">
        <v>0</v>
      </c>
      <c r="Z785" s="25">
        <v>0</v>
      </c>
      <c r="AA785" s="25">
        <v>0</v>
      </c>
      <c r="AB785" s="25">
        <v>0</v>
      </c>
      <c r="AC785" s="25">
        <v>0</v>
      </c>
      <c r="AD785" s="25">
        <v>0</v>
      </c>
      <c r="AE785" s="25">
        <v>0</v>
      </c>
      <c r="AF785" s="25">
        <v>0</v>
      </c>
    </row>
    <row r="786" spans="1:32" x14ac:dyDescent="0.25">
      <c r="A786" s="25" t="s">
        <v>855</v>
      </c>
      <c r="B786" s="25">
        <v>0</v>
      </c>
      <c r="C786" s="25">
        <v>0</v>
      </c>
      <c r="D786" s="25">
        <v>0</v>
      </c>
      <c r="E786" s="25">
        <v>0</v>
      </c>
      <c r="F786" s="25">
        <v>0</v>
      </c>
      <c r="G786" s="25">
        <v>0</v>
      </c>
      <c r="H786" s="25">
        <v>0</v>
      </c>
      <c r="I786" s="25">
        <v>0</v>
      </c>
      <c r="J786" s="25">
        <v>0</v>
      </c>
      <c r="K786" s="25">
        <v>0</v>
      </c>
      <c r="L786" s="25">
        <v>0</v>
      </c>
      <c r="M786" s="25">
        <v>0</v>
      </c>
      <c r="N786" s="25">
        <v>0</v>
      </c>
      <c r="O786" s="25">
        <v>0</v>
      </c>
      <c r="P786" s="25">
        <v>0</v>
      </c>
      <c r="Q786" s="25">
        <v>0</v>
      </c>
      <c r="R786" s="25">
        <v>0</v>
      </c>
      <c r="S786" s="25">
        <v>0</v>
      </c>
      <c r="T786" s="25">
        <v>0</v>
      </c>
      <c r="U786" s="25">
        <v>0</v>
      </c>
      <c r="V786" s="25">
        <v>0</v>
      </c>
      <c r="W786" s="25">
        <v>0</v>
      </c>
      <c r="X786" s="25">
        <v>0</v>
      </c>
      <c r="Y786" s="25">
        <v>0</v>
      </c>
      <c r="Z786" s="25">
        <v>0</v>
      </c>
      <c r="AA786" s="25">
        <v>0</v>
      </c>
      <c r="AB786" s="25">
        <v>0</v>
      </c>
      <c r="AC786" s="25">
        <v>0</v>
      </c>
      <c r="AD786" s="25">
        <v>0</v>
      </c>
      <c r="AE786" s="25">
        <v>0</v>
      </c>
      <c r="AF786" s="25">
        <v>0</v>
      </c>
    </row>
    <row r="787" spans="1:32" x14ac:dyDescent="0.25">
      <c r="A787" s="25" t="s">
        <v>856</v>
      </c>
      <c r="B787" s="25">
        <v>0</v>
      </c>
      <c r="C787" s="25">
        <v>0</v>
      </c>
      <c r="D787" s="25">
        <v>0</v>
      </c>
      <c r="E787" s="25">
        <v>0</v>
      </c>
      <c r="F787" s="25">
        <v>0</v>
      </c>
      <c r="G787" s="25">
        <v>0</v>
      </c>
      <c r="H787" s="25">
        <v>0</v>
      </c>
      <c r="I787" s="25">
        <v>0</v>
      </c>
      <c r="J787" s="25">
        <v>0</v>
      </c>
      <c r="K787" s="25">
        <v>0</v>
      </c>
      <c r="L787" s="25">
        <v>0</v>
      </c>
      <c r="M787" s="25">
        <v>0</v>
      </c>
      <c r="N787" s="25">
        <v>0</v>
      </c>
      <c r="O787" s="25">
        <v>0</v>
      </c>
      <c r="P787" s="25">
        <v>0</v>
      </c>
      <c r="Q787" s="25">
        <v>0</v>
      </c>
      <c r="R787" s="25">
        <v>0</v>
      </c>
      <c r="S787" s="25">
        <v>0</v>
      </c>
      <c r="T787" s="25">
        <v>0</v>
      </c>
      <c r="U787" s="25">
        <v>0</v>
      </c>
      <c r="V787" s="25">
        <v>0</v>
      </c>
      <c r="W787" s="25">
        <v>0</v>
      </c>
      <c r="X787" s="25">
        <v>0</v>
      </c>
      <c r="Y787" s="25">
        <v>0</v>
      </c>
      <c r="Z787" s="25">
        <v>0</v>
      </c>
      <c r="AA787" s="25">
        <v>0</v>
      </c>
      <c r="AB787" s="25">
        <v>0</v>
      </c>
      <c r="AC787" s="25">
        <v>0</v>
      </c>
      <c r="AD787" s="25">
        <v>0</v>
      </c>
      <c r="AE787" s="25">
        <v>0</v>
      </c>
      <c r="AF787" s="25">
        <v>0</v>
      </c>
    </row>
    <row r="788" spans="1:32" x14ac:dyDescent="0.25">
      <c r="A788" s="25" t="s">
        <v>857</v>
      </c>
      <c r="B788" s="25">
        <v>0</v>
      </c>
      <c r="C788" s="25">
        <v>0</v>
      </c>
      <c r="D788" s="25">
        <v>0</v>
      </c>
      <c r="E788" s="25">
        <v>0</v>
      </c>
      <c r="F788" s="25">
        <v>0</v>
      </c>
      <c r="G788" s="25">
        <v>0</v>
      </c>
      <c r="H788" s="25">
        <v>0</v>
      </c>
      <c r="I788" s="25">
        <v>0</v>
      </c>
      <c r="J788" s="25">
        <v>0</v>
      </c>
      <c r="K788" s="25">
        <v>0</v>
      </c>
      <c r="L788" s="25">
        <v>0</v>
      </c>
      <c r="M788" s="25">
        <v>0</v>
      </c>
      <c r="N788" s="25">
        <v>0</v>
      </c>
      <c r="O788" s="25">
        <v>0</v>
      </c>
      <c r="P788" s="25">
        <v>0</v>
      </c>
      <c r="Q788" s="25">
        <v>0</v>
      </c>
      <c r="R788" s="25">
        <v>0</v>
      </c>
      <c r="S788" s="25">
        <v>0</v>
      </c>
      <c r="T788" s="25">
        <v>0</v>
      </c>
      <c r="U788" s="25">
        <v>0</v>
      </c>
      <c r="V788" s="25">
        <v>0</v>
      </c>
      <c r="W788" s="25">
        <v>0</v>
      </c>
      <c r="X788" s="25">
        <v>0</v>
      </c>
      <c r="Y788" s="25">
        <v>0</v>
      </c>
      <c r="Z788" s="25">
        <v>0</v>
      </c>
      <c r="AA788" s="25">
        <v>0</v>
      </c>
      <c r="AB788" s="25">
        <v>0</v>
      </c>
      <c r="AC788" s="25">
        <v>0</v>
      </c>
      <c r="AD788" s="25">
        <v>0</v>
      </c>
      <c r="AE788" s="25">
        <v>0</v>
      </c>
      <c r="AF788" s="25">
        <v>0</v>
      </c>
    </row>
    <row r="789" spans="1:32" x14ac:dyDescent="0.25">
      <c r="A789" s="25" t="s">
        <v>858</v>
      </c>
      <c r="B789" s="25">
        <v>0</v>
      </c>
      <c r="C789" s="25">
        <v>0</v>
      </c>
      <c r="D789" s="25">
        <v>0</v>
      </c>
      <c r="E789" s="25">
        <v>0</v>
      </c>
      <c r="F789" s="25">
        <v>0</v>
      </c>
      <c r="G789" s="25">
        <v>0</v>
      </c>
      <c r="H789" s="25">
        <v>0</v>
      </c>
      <c r="I789" s="25">
        <v>0</v>
      </c>
      <c r="J789" s="25">
        <v>0</v>
      </c>
      <c r="K789" s="25">
        <v>0</v>
      </c>
      <c r="L789" s="25">
        <v>0</v>
      </c>
      <c r="M789" s="25">
        <v>0</v>
      </c>
      <c r="N789" s="25">
        <v>0</v>
      </c>
      <c r="O789" s="25">
        <v>0</v>
      </c>
      <c r="P789" s="25">
        <v>0</v>
      </c>
      <c r="Q789" s="25">
        <v>0</v>
      </c>
      <c r="R789" s="25">
        <v>0</v>
      </c>
      <c r="S789" s="25">
        <v>0</v>
      </c>
      <c r="T789" s="25">
        <v>0</v>
      </c>
      <c r="U789" s="25">
        <v>0</v>
      </c>
      <c r="V789" s="25">
        <v>0</v>
      </c>
      <c r="W789" s="25">
        <v>0</v>
      </c>
      <c r="X789" s="25">
        <v>0</v>
      </c>
      <c r="Y789" s="25">
        <v>0</v>
      </c>
      <c r="Z789" s="25">
        <v>0</v>
      </c>
      <c r="AA789" s="25">
        <v>0</v>
      </c>
      <c r="AB789" s="25">
        <v>0</v>
      </c>
      <c r="AC789" s="25">
        <v>0</v>
      </c>
      <c r="AD789" s="25">
        <v>0</v>
      </c>
      <c r="AE789" s="25">
        <v>0</v>
      </c>
      <c r="AF789" s="25">
        <v>0</v>
      </c>
    </row>
    <row r="790" spans="1:32" x14ac:dyDescent="0.25">
      <c r="A790" s="25" t="s">
        <v>859</v>
      </c>
      <c r="B790" s="25">
        <v>0</v>
      </c>
      <c r="C790" s="25">
        <v>0</v>
      </c>
      <c r="D790" s="25">
        <v>0</v>
      </c>
      <c r="E790" s="25">
        <v>0</v>
      </c>
      <c r="F790" s="25">
        <v>0</v>
      </c>
      <c r="G790" s="25">
        <v>0</v>
      </c>
      <c r="H790" s="25">
        <v>0</v>
      </c>
      <c r="I790" s="25">
        <v>0</v>
      </c>
      <c r="J790" s="25">
        <v>0</v>
      </c>
      <c r="K790" s="25">
        <v>0</v>
      </c>
      <c r="L790" s="25">
        <v>0</v>
      </c>
      <c r="M790" s="25">
        <v>0</v>
      </c>
      <c r="N790" s="25">
        <v>0</v>
      </c>
      <c r="O790" s="25">
        <v>0</v>
      </c>
      <c r="P790" s="25">
        <v>0</v>
      </c>
      <c r="Q790" s="25">
        <v>0</v>
      </c>
      <c r="R790" s="25">
        <v>0</v>
      </c>
      <c r="S790" s="25">
        <v>0</v>
      </c>
      <c r="T790" s="25">
        <v>0</v>
      </c>
      <c r="U790" s="25">
        <v>0</v>
      </c>
      <c r="V790" s="25">
        <v>0</v>
      </c>
      <c r="W790" s="25">
        <v>0</v>
      </c>
      <c r="X790" s="25">
        <v>0</v>
      </c>
      <c r="Y790" s="25">
        <v>0</v>
      </c>
      <c r="Z790" s="25">
        <v>0</v>
      </c>
      <c r="AA790" s="25">
        <v>0</v>
      </c>
      <c r="AB790" s="25">
        <v>0</v>
      </c>
      <c r="AC790" s="25">
        <v>0</v>
      </c>
      <c r="AD790" s="25">
        <v>0</v>
      </c>
      <c r="AE790" s="25">
        <v>0</v>
      </c>
      <c r="AF790" s="25">
        <v>0</v>
      </c>
    </row>
    <row r="791" spans="1:32" x14ac:dyDescent="0.25">
      <c r="A791" s="25" t="s">
        <v>860</v>
      </c>
      <c r="B791" s="25">
        <v>0</v>
      </c>
      <c r="C791" s="25">
        <v>0</v>
      </c>
      <c r="D791" s="25">
        <v>0</v>
      </c>
      <c r="E791" s="25">
        <v>0</v>
      </c>
      <c r="F791" s="25">
        <v>0</v>
      </c>
      <c r="G791" s="25">
        <v>0</v>
      </c>
      <c r="H791" s="25">
        <v>0</v>
      </c>
      <c r="I791" s="25">
        <v>0</v>
      </c>
      <c r="J791" s="25">
        <v>0</v>
      </c>
      <c r="K791" s="25">
        <v>0</v>
      </c>
      <c r="L791" s="25">
        <v>0</v>
      </c>
      <c r="M791" s="25">
        <v>0</v>
      </c>
      <c r="N791" s="25">
        <v>0</v>
      </c>
      <c r="O791" s="25">
        <v>0</v>
      </c>
      <c r="P791" s="25">
        <v>0</v>
      </c>
      <c r="Q791" s="25">
        <v>0</v>
      </c>
      <c r="R791" s="25">
        <v>0</v>
      </c>
      <c r="S791" s="25">
        <v>0</v>
      </c>
      <c r="T791" s="25">
        <v>0</v>
      </c>
      <c r="U791" s="25">
        <v>0</v>
      </c>
      <c r="V791" s="25">
        <v>0</v>
      </c>
      <c r="W791" s="25">
        <v>0</v>
      </c>
      <c r="X791" s="25">
        <v>0</v>
      </c>
      <c r="Y791" s="25">
        <v>0</v>
      </c>
      <c r="Z791" s="25">
        <v>0</v>
      </c>
      <c r="AA791" s="25">
        <v>0</v>
      </c>
      <c r="AB791" s="25">
        <v>0</v>
      </c>
      <c r="AC791" s="25">
        <v>0</v>
      </c>
      <c r="AD791" s="25">
        <v>0</v>
      </c>
      <c r="AE791" s="25">
        <v>0</v>
      </c>
      <c r="AF791" s="25">
        <v>0</v>
      </c>
    </row>
    <row r="792" spans="1:32" x14ac:dyDescent="0.25">
      <c r="A792" s="25" t="s">
        <v>861</v>
      </c>
      <c r="B792" s="25">
        <v>0</v>
      </c>
      <c r="C792" s="25">
        <v>0</v>
      </c>
      <c r="D792" s="25">
        <v>0</v>
      </c>
      <c r="E792" s="25">
        <v>0</v>
      </c>
      <c r="F792" s="25">
        <v>0</v>
      </c>
      <c r="G792" s="25">
        <v>0</v>
      </c>
      <c r="H792" s="25">
        <v>0</v>
      </c>
      <c r="I792" s="25">
        <v>0</v>
      </c>
      <c r="J792" s="25">
        <v>0</v>
      </c>
      <c r="K792" s="25">
        <v>0</v>
      </c>
      <c r="L792" s="25">
        <v>0</v>
      </c>
      <c r="M792" s="25">
        <v>0</v>
      </c>
      <c r="N792" s="25">
        <v>0</v>
      </c>
      <c r="O792" s="25">
        <v>0</v>
      </c>
      <c r="P792" s="25">
        <v>0</v>
      </c>
      <c r="Q792" s="25">
        <v>0</v>
      </c>
      <c r="R792" s="25">
        <v>0</v>
      </c>
      <c r="S792" s="25">
        <v>0</v>
      </c>
      <c r="T792" s="25">
        <v>0</v>
      </c>
      <c r="U792" s="25">
        <v>0</v>
      </c>
      <c r="V792" s="25">
        <v>0</v>
      </c>
      <c r="W792" s="25">
        <v>0</v>
      </c>
      <c r="X792" s="25">
        <v>0</v>
      </c>
      <c r="Y792" s="25">
        <v>0</v>
      </c>
      <c r="Z792" s="25">
        <v>0</v>
      </c>
      <c r="AA792" s="25">
        <v>0</v>
      </c>
      <c r="AB792" s="25">
        <v>0</v>
      </c>
      <c r="AC792" s="25">
        <v>0</v>
      </c>
      <c r="AD792" s="25">
        <v>0</v>
      </c>
      <c r="AE792" s="25">
        <v>0</v>
      </c>
      <c r="AF792" s="25">
        <v>0</v>
      </c>
    </row>
    <row r="793" spans="1:32" x14ac:dyDescent="0.25">
      <c r="A793" s="25" t="s">
        <v>862</v>
      </c>
      <c r="B793" s="25">
        <v>0</v>
      </c>
      <c r="C793" s="25">
        <v>0</v>
      </c>
      <c r="D793" s="25">
        <v>0</v>
      </c>
      <c r="E793" s="25">
        <v>0</v>
      </c>
      <c r="F793" s="25">
        <v>0</v>
      </c>
      <c r="G793" s="25">
        <v>0</v>
      </c>
      <c r="H793" s="25">
        <v>0</v>
      </c>
      <c r="I793" s="25">
        <v>0</v>
      </c>
      <c r="J793" s="25">
        <v>0</v>
      </c>
      <c r="K793" s="25">
        <v>0</v>
      </c>
      <c r="L793" s="25">
        <v>0</v>
      </c>
      <c r="M793" s="25">
        <v>0</v>
      </c>
      <c r="N793" s="25">
        <v>0</v>
      </c>
      <c r="O793" s="25">
        <v>0</v>
      </c>
      <c r="P793" s="25">
        <v>0</v>
      </c>
      <c r="Q793" s="25">
        <v>0</v>
      </c>
      <c r="R793" s="25">
        <v>0</v>
      </c>
      <c r="S793" s="25">
        <v>0</v>
      </c>
      <c r="T793" s="25">
        <v>0</v>
      </c>
      <c r="U793" s="25">
        <v>0</v>
      </c>
      <c r="V793" s="25">
        <v>0</v>
      </c>
      <c r="W793" s="25">
        <v>0</v>
      </c>
      <c r="X793" s="25">
        <v>0</v>
      </c>
      <c r="Y793" s="25">
        <v>0</v>
      </c>
      <c r="Z793" s="25">
        <v>0</v>
      </c>
      <c r="AA793" s="25">
        <v>0</v>
      </c>
      <c r="AB793" s="25">
        <v>0</v>
      </c>
      <c r="AC793" s="25">
        <v>0</v>
      </c>
      <c r="AD793" s="25">
        <v>0</v>
      </c>
      <c r="AE793" s="25">
        <v>0</v>
      </c>
      <c r="AF793" s="25">
        <v>0</v>
      </c>
    </row>
    <row r="794" spans="1:32" x14ac:dyDescent="0.25">
      <c r="A794" s="25" t="s">
        <v>863</v>
      </c>
      <c r="B794" s="25">
        <v>0</v>
      </c>
      <c r="C794" s="25">
        <v>0</v>
      </c>
      <c r="D794" s="25">
        <v>0</v>
      </c>
      <c r="E794" s="25">
        <v>0</v>
      </c>
      <c r="F794" s="25">
        <v>0</v>
      </c>
      <c r="G794" s="25">
        <v>0</v>
      </c>
      <c r="H794" s="25">
        <v>0</v>
      </c>
      <c r="I794" s="25">
        <v>0</v>
      </c>
      <c r="J794" s="25">
        <v>0</v>
      </c>
      <c r="K794" s="25">
        <v>0</v>
      </c>
      <c r="L794" s="25">
        <v>0</v>
      </c>
      <c r="M794" s="25">
        <v>0</v>
      </c>
      <c r="N794" s="25">
        <v>0</v>
      </c>
      <c r="O794" s="25">
        <v>0</v>
      </c>
      <c r="P794" s="25">
        <v>0</v>
      </c>
      <c r="Q794" s="25">
        <v>0</v>
      </c>
      <c r="R794" s="25">
        <v>0</v>
      </c>
      <c r="S794" s="25">
        <v>0</v>
      </c>
      <c r="T794" s="25">
        <v>0</v>
      </c>
      <c r="U794" s="25">
        <v>0</v>
      </c>
      <c r="V794" s="25">
        <v>0</v>
      </c>
      <c r="W794" s="25">
        <v>0</v>
      </c>
      <c r="X794" s="25">
        <v>0</v>
      </c>
      <c r="Y794" s="25">
        <v>0</v>
      </c>
      <c r="Z794" s="25">
        <v>0</v>
      </c>
      <c r="AA794" s="25">
        <v>0</v>
      </c>
      <c r="AB794" s="25">
        <v>0</v>
      </c>
      <c r="AC794" s="25">
        <v>0</v>
      </c>
      <c r="AD794" s="25">
        <v>0</v>
      </c>
      <c r="AE794" s="25">
        <v>0</v>
      </c>
      <c r="AF794" s="25">
        <v>0</v>
      </c>
    </row>
    <row r="795" spans="1:32" x14ac:dyDescent="0.25">
      <c r="A795" s="25" t="s">
        <v>864</v>
      </c>
      <c r="B795" s="25">
        <v>0</v>
      </c>
      <c r="C795" s="25">
        <v>0</v>
      </c>
      <c r="D795" s="25">
        <v>0</v>
      </c>
      <c r="E795" s="25">
        <v>0</v>
      </c>
      <c r="F795" s="25">
        <v>0</v>
      </c>
      <c r="G795" s="25">
        <v>0</v>
      </c>
      <c r="H795" s="25">
        <v>0</v>
      </c>
      <c r="I795" s="25">
        <v>0</v>
      </c>
      <c r="J795" s="25">
        <v>0</v>
      </c>
      <c r="K795" s="25">
        <v>0</v>
      </c>
      <c r="L795" s="25">
        <v>0</v>
      </c>
      <c r="M795" s="25">
        <v>0</v>
      </c>
      <c r="N795" s="25">
        <v>0</v>
      </c>
      <c r="O795" s="25">
        <v>0</v>
      </c>
      <c r="P795" s="25">
        <v>0</v>
      </c>
      <c r="Q795" s="25">
        <v>0</v>
      </c>
      <c r="R795" s="25">
        <v>0</v>
      </c>
      <c r="S795" s="25">
        <v>0</v>
      </c>
      <c r="T795" s="25">
        <v>0</v>
      </c>
      <c r="U795" s="25">
        <v>0</v>
      </c>
      <c r="V795" s="25">
        <v>0</v>
      </c>
      <c r="W795" s="25">
        <v>0</v>
      </c>
      <c r="X795" s="25">
        <v>0</v>
      </c>
      <c r="Y795" s="25">
        <v>0</v>
      </c>
      <c r="Z795" s="25">
        <v>0</v>
      </c>
      <c r="AA795" s="25">
        <v>0</v>
      </c>
      <c r="AB795" s="25">
        <v>0</v>
      </c>
      <c r="AC795" s="25">
        <v>0</v>
      </c>
      <c r="AD795" s="25">
        <v>0</v>
      </c>
      <c r="AE795" s="25">
        <v>0</v>
      </c>
      <c r="AF795" s="25">
        <v>0</v>
      </c>
    </row>
    <row r="796" spans="1:32" x14ac:dyDescent="0.25">
      <c r="A796" s="25" t="s">
        <v>865</v>
      </c>
      <c r="B796" s="25">
        <v>0</v>
      </c>
      <c r="C796" s="25">
        <v>0</v>
      </c>
      <c r="D796" s="25">
        <v>0</v>
      </c>
      <c r="E796" s="25">
        <v>0</v>
      </c>
      <c r="F796" s="25">
        <v>0</v>
      </c>
      <c r="G796" s="25">
        <v>0</v>
      </c>
      <c r="H796" s="25">
        <v>0</v>
      </c>
      <c r="I796" s="25">
        <v>0</v>
      </c>
      <c r="J796" s="25">
        <v>0</v>
      </c>
      <c r="K796" s="25">
        <v>0</v>
      </c>
      <c r="L796" s="25">
        <v>0</v>
      </c>
      <c r="M796" s="25">
        <v>0</v>
      </c>
      <c r="N796" s="25">
        <v>0</v>
      </c>
      <c r="O796" s="25">
        <v>0</v>
      </c>
      <c r="P796" s="25">
        <v>0</v>
      </c>
      <c r="Q796" s="25">
        <v>0</v>
      </c>
      <c r="R796" s="25">
        <v>0</v>
      </c>
      <c r="S796" s="25">
        <v>0</v>
      </c>
      <c r="T796" s="25">
        <v>0</v>
      </c>
      <c r="U796" s="25">
        <v>0</v>
      </c>
      <c r="V796" s="25">
        <v>0</v>
      </c>
      <c r="W796" s="25">
        <v>0</v>
      </c>
      <c r="X796" s="25">
        <v>0</v>
      </c>
      <c r="Y796" s="25">
        <v>0</v>
      </c>
      <c r="Z796" s="25">
        <v>0</v>
      </c>
      <c r="AA796" s="25">
        <v>0</v>
      </c>
      <c r="AB796" s="25">
        <v>0</v>
      </c>
      <c r="AC796" s="25">
        <v>0</v>
      </c>
      <c r="AD796" s="25">
        <v>0</v>
      </c>
      <c r="AE796" s="25">
        <v>0</v>
      </c>
      <c r="AF796" s="25">
        <v>0</v>
      </c>
    </row>
    <row r="797" spans="1:32" x14ac:dyDescent="0.25">
      <c r="A797" s="25" t="s">
        <v>866</v>
      </c>
      <c r="B797" s="25">
        <v>0</v>
      </c>
      <c r="C797" s="25">
        <v>0</v>
      </c>
      <c r="D797" s="25">
        <v>0</v>
      </c>
      <c r="E797" s="25">
        <v>0</v>
      </c>
      <c r="F797" s="25">
        <v>0</v>
      </c>
      <c r="G797" s="25">
        <v>0</v>
      </c>
      <c r="H797" s="25">
        <v>0</v>
      </c>
      <c r="I797" s="25">
        <v>0</v>
      </c>
      <c r="J797" s="25">
        <v>0</v>
      </c>
      <c r="K797" s="25">
        <v>0</v>
      </c>
      <c r="L797" s="25">
        <v>0</v>
      </c>
      <c r="M797" s="25">
        <v>0</v>
      </c>
      <c r="N797" s="25">
        <v>0</v>
      </c>
      <c r="O797" s="25">
        <v>0</v>
      </c>
      <c r="P797" s="25">
        <v>0</v>
      </c>
      <c r="Q797" s="25">
        <v>0</v>
      </c>
      <c r="R797" s="25">
        <v>0</v>
      </c>
      <c r="S797" s="25">
        <v>0</v>
      </c>
      <c r="T797" s="25">
        <v>0</v>
      </c>
      <c r="U797" s="25">
        <v>0</v>
      </c>
      <c r="V797" s="25">
        <v>0</v>
      </c>
      <c r="W797" s="25">
        <v>0</v>
      </c>
      <c r="X797" s="25">
        <v>0</v>
      </c>
      <c r="Y797" s="25">
        <v>0</v>
      </c>
      <c r="Z797" s="25">
        <v>0</v>
      </c>
      <c r="AA797" s="25">
        <v>0</v>
      </c>
      <c r="AB797" s="25">
        <v>0</v>
      </c>
      <c r="AC797" s="25">
        <v>0</v>
      </c>
      <c r="AD797" s="25">
        <v>0</v>
      </c>
      <c r="AE797" s="25">
        <v>0</v>
      </c>
      <c r="AF797" s="25">
        <v>0</v>
      </c>
    </row>
    <row r="798" spans="1:32" x14ac:dyDescent="0.25">
      <c r="A798" s="25" t="s">
        <v>867</v>
      </c>
      <c r="B798" s="25">
        <v>0</v>
      </c>
      <c r="C798" s="25">
        <v>0</v>
      </c>
      <c r="D798" s="25">
        <v>0</v>
      </c>
      <c r="E798" s="25">
        <v>0</v>
      </c>
      <c r="F798" s="25">
        <v>0</v>
      </c>
      <c r="G798" s="25">
        <v>0</v>
      </c>
      <c r="H798" s="25">
        <v>0</v>
      </c>
      <c r="I798" s="25">
        <v>0</v>
      </c>
      <c r="J798" s="25">
        <v>0</v>
      </c>
      <c r="K798" s="25">
        <v>0</v>
      </c>
      <c r="L798" s="25">
        <v>0</v>
      </c>
      <c r="M798" s="25">
        <v>0</v>
      </c>
      <c r="N798" s="25">
        <v>0</v>
      </c>
      <c r="O798" s="25">
        <v>0</v>
      </c>
      <c r="P798" s="25">
        <v>0</v>
      </c>
      <c r="Q798" s="25">
        <v>0</v>
      </c>
      <c r="R798" s="25">
        <v>0</v>
      </c>
      <c r="S798" s="25">
        <v>0</v>
      </c>
      <c r="T798" s="25">
        <v>0</v>
      </c>
      <c r="U798" s="25">
        <v>0</v>
      </c>
      <c r="V798" s="25">
        <v>0</v>
      </c>
      <c r="W798" s="25">
        <v>0</v>
      </c>
      <c r="X798" s="25">
        <v>0</v>
      </c>
      <c r="Y798" s="25">
        <v>0</v>
      </c>
      <c r="Z798" s="25">
        <v>0</v>
      </c>
      <c r="AA798" s="25">
        <v>0</v>
      </c>
      <c r="AB798" s="25">
        <v>0</v>
      </c>
      <c r="AC798" s="25">
        <v>0</v>
      </c>
      <c r="AD798" s="25">
        <v>0</v>
      </c>
      <c r="AE798" s="25">
        <v>0</v>
      </c>
      <c r="AF798" s="25">
        <v>0</v>
      </c>
    </row>
    <row r="799" spans="1:32" x14ac:dyDescent="0.25">
      <c r="A799" s="25" t="s">
        <v>868</v>
      </c>
      <c r="B799" s="25">
        <v>0</v>
      </c>
      <c r="C799" s="25">
        <v>0</v>
      </c>
      <c r="D799" s="25">
        <v>0</v>
      </c>
      <c r="E799" s="25">
        <v>0</v>
      </c>
      <c r="F799" s="25">
        <v>0</v>
      </c>
      <c r="G799" s="25">
        <v>0</v>
      </c>
      <c r="H799" s="25">
        <v>0</v>
      </c>
      <c r="I799" s="25">
        <v>0</v>
      </c>
      <c r="J799" s="25">
        <v>0</v>
      </c>
      <c r="K799" s="25">
        <v>0</v>
      </c>
      <c r="L799" s="25">
        <v>0</v>
      </c>
      <c r="M799" s="25">
        <v>0</v>
      </c>
      <c r="N799" s="25">
        <v>0</v>
      </c>
      <c r="O799" s="25">
        <v>0</v>
      </c>
      <c r="P799" s="25">
        <v>0</v>
      </c>
      <c r="Q799" s="25">
        <v>0</v>
      </c>
      <c r="R799" s="25">
        <v>0</v>
      </c>
      <c r="S799" s="25">
        <v>0</v>
      </c>
      <c r="T799" s="25">
        <v>0</v>
      </c>
      <c r="U799" s="25">
        <v>0</v>
      </c>
      <c r="V799" s="25">
        <v>0</v>
      </c>
      <c r="W799" s="25">
        <v>0</v>
      </c>
      <c r="X799" s="25">
        <v>0</v>
      </c>
      <c r="Y799" s="25">
        <v>0</v>
      </c>
      <c r="Z799" s="25">
        <v>0</v>
      </c>
      <c r="AA799" s="25">
        <v>0</v>
      </c>
      <c r="AB799" s="25">
        <v>0</v>
      </c>
      <c r="AC799" s="25">
        <v>0</v>
      </c>
      <c r="AD799" s="25">
        <v>0</v>
      </c>
      <c r="AE799" s="25">
        <v>0</v>
      </c>
      <c r="AF799" s="25">
        <v>0</v>
      </c>
    </row>
    <row r="800" spans="1:32" x14ac:dyDescent="0.25">
      <c r="A800" s="25" t="s">
        <v>869</v>
      </c>
      <c r="B800" s="25">
        <v>0</v>
      </c>
      <c r="C800" s="25">
        <v>0</v>
      </c>
      <c r="D800" s="25">
        <v>0</v>
      </c>
      <c r="E800" s="25">
        <v>0</v>
      </c>
      <c r="F800" s="25">
        <v>0</v>
      </c>
      <c r="G800" s="25">
        <v>0</v>
      </c>
      <c r="H800" s="25">
        <v>0</v>
      </c>
      <c r="I800" s="25">
        <v>0</v>
      </c>
      <c r="J800" s="25">
        <v>0</v>
      </c>
      <c r="K800" s="25">
        <v>0</v>
      </c>
      <c r="L800" s="25">
        <v>0</v>
      </c>
      <c r="M800" s="25">
        <v>0</v>
      </c>
      <c r="N800" s="25">
        <v>0</v>
      </c>
      <c r="O800" s="25">
        <v>0</v>
      </c>
      <c r="P800" s="25">
        <v>0</v>
      </c>
      <c r="Q800" s="25">
        <v>0</v>
      </c>
      <c r="R800" s="25">
        <v>0</v>
      </c>
      <c r="S800" s="25">
        <v>0</v>
      </c>
      <c r="T800" s="25">
        <v>0</v>
      </c>
      <c r="U800" s="25">
        <v>0</v>
      </c>
      <c r="V800" s="25">
        <v>0</v>
      </c>
      <c r="W800" s="25">
        <v>0</v>
      </c>
      <c r="X800" s="25">
        <v>0</v>
      </c>
      <c r="Y800" s="25">
        <v>0</v>
      </c>
      <c r="Z800" s="25">
        <v>0</v>
      </c>
      <c r="AA800" s="25">
        <v>0</v>
      </c>
      <c r="AB800" s="25">
        <v>0</v>
      </c>
      <c r="AC800" s="25">
        <v>0</v>
      </c>
      <c r="AD800" s="25">
        <v>0</v>
      </c>
      <c r="AE800" s="25">
        <v>0</v>
      </c>
      <c r="AF800" s="25">
        <v>0</v>
      </c>
    </row>
    <row r="801" spans="1:32" x14ac:dyDescent="0.25">
      <c r="A801" s="25" t="s">
        <v>870</v>
      </c>
      <c r="B801" s="25">
        <v>0</v>
      </c>
      <c r="C801" s="25">
        <v>0</v>
      </c>
      <c r="D801" s="25">
        <v>0</v>
      </c>
      <c r="E801" s="25">
        <v>0</v>
      </c>
      <c r="F801" s="25">
        <v>0</v>
      </c>
      <c r="G801" s="25">
        <v>0</v>
      </c>
      <c r="H801" s="25">
        <v>0</v>
      </c>
      <c r="I801" s="25">
        <v>0</v>
      </c>
      <c r="J801" s="25">
        <v>0</v>
      </c>
      <c r="K801" s="25">
        <v>0</v>
      </c>
      <c r="L801" s="25">
        <v>0</v>
      </c>
      <c r="M801" s="25">
        <v>0</v>
      </c>
      <c r="N801" s="25">
        <v>0</v>
      </c>
      <c r="O801" s="25">
        <v>0</v>
      </c>
      <c r="P801" s="25">
        <v>0</v>
      </c>
      <c r="Q801" s="25">
        <v>0</v>
      </c>
      <c r="R801" s="25">
        <v>0</v>
      </c>
      <c r="S801" s="25">
        <v>0</v>
      </c>
      <c r="T801" s="25">
        <v>0</v>
      </c>
      <c r="U801" s="25">
        <v>0</v>
      </c>
      <c r="V801" s="25">
        <v>0</v>
      </c>
      <c r="W801" s="25">
        <v>0</v>
      </c>
      <c r="X801" s="25">
        <v>0</v>
      </c>
      <c r="Y801" s="25">
        <v>0</v>
      </c>
      <c r="Z801" s="25">
        <v>0</v>
      </c>
      <c r="AA801" s="25">
        <v>0</v>
      </c>
      <c r="AB801" s="25">
        <v>0</v>
      </c>
      <c r="AC801" s="25">
        <v>0</v>
      </c>
      <c r="AD801" s="25">
        <v>0</v>
      </c>
      <c r="AE801" s="25">
        <v>0</v>
      </c>
      <c r="AF801" s="25">
        <v>0</v>
      </c>
    </row>
    <row r="802" spans="1:32" x14ac:dyDescent="0.25">
      <c r="A802" s="25" t="s">
        <v>871</v>
      </c>
      <c r="B802" s="25">
        <v>0</v>
      </c>
      <c r="C802" s="25">
        <v>0</v>
      </c>
      <c r="D802" s="25">
        <v>0</v>
      </c>
      <c r="E802" s="25">
        <v>0</v>
      </c>
      <c r="F802" s="25">
        <v>0</v>
      </c>
      <c r="G802" s="25">
        <v>0</v>
      </c>
      <c r="H802" s="25">
        <v>0</v>
      </c>
      <c r="I802" s="25">
        <v>0</v>
      </c>
      <c r="J802" s="25">
        <v>0</v>
      </c>
      <c r="K802" s="25">
        <v>0</v>
      </c>
      <c r="L802" s="25">
        <v>0</v>
      </c>
      <c r="M802" s="25">
        <v>0</v>
      </c>
      <c r="N802" s="25">
        <v>0</v>
      </c>
      <c r="O802" s="25">
        <v>0</v>
      </c>
      <c r="P802" s="25">
        <v>0</v>
      </c>
      <c r="Q802" s="25">
        <v>0</v>
      </c>
      <c r="R802" s="25">
        <v>0</v>
      </c>
      <c r="S802" s="25">
        <v>0</v>
      </c>
      <c r="T802" s="25">
        <v>0</v>
      </c>
      <c r="U802" s="25">
        <v>0</v>
      </c>
      <c r="V802" s="25">
        <v>0</v>
      </c>
      <c r="W802" s="25">
        <v>0</v>
      </c>
      <c r="X802" s="25">
        <v>0</v>
      </c>
      <c r="Y802" s="25">
        <v>0</v>
      </c>
      <c r="Z802" s="25">
        <v>0</v>
      </c>
      <c r="AA802" s="25">
        <v>0</v>
      </c>
      <c r="AB802" s="25">
        <v>0</v>
      </c>
      <c r="AC802" s="25">
        <v>0</v>
      </c>
      <c r="AD802" s="25">
        <v>0</v>
      </c>
      <c r="AE802" s="25">
        <v>0</v>
      </c>
      <c r="AF802" s="25">
        <v>0</v>
      </c>
    </row>
    <row r="803" spans="1:32" x14ac:dyDescent="0.25">
      <c r="A803" s="25" t="s">
        <v>872</v>
      </c>
      <c r="B803" s="25">
        <v>0</v>
      </c>
      <c r="C803" s="25">
        <v>0</v>
      </c>
      <c r="D803" s="25">
        <v>0</v>
      </c>
      <c r="E803" s="25">
        <v>0</v>
      </c>
      <c r="F803" s="25">
        <v>0</v>
      </c>
      <c r="G803" s="25">
        <v>0</v>
      </c>
      <c r="H803" s="25">
        <v>0</v>
      </c>
      <c r="I803" s="25">
        <v>0</v>
      </c>
      <c r="J803" s="25">
        <v>0</v>
      </c>
      <c r="K803" s="25">
        <v>0</v>
      </c>
      <c r="L803" s="25">
        <v>0</v>
      </c>
      <c r="M803" s="25">
        <v>0</v>
      </c>
      <c r="N803" s="25">
        <v>0</v>
      </c>
      <c r="O803" s="25">
        <v>0</v>
      </c>
      <c r="P803" s="25">
        <v>0</v>
      </c>
      <c r="Q803" s="25">
        <v>0</v>
      </c>
      <c r="R803" s="25">
        <v>0</v>
      </c>
      <c r="S803" s="25">
        <v>0</v>
      </c>
      <c r="T803" s="25">
        <v>0</v>
      </c>
      <c r="U803" s="25">
        <v>0</v>
      </c>
      <c r="V803" s="25">
        <v>0</v>
      </c>
      <c r="W803" s="25">
        <v>0</v>
      </c>
      <c r="X803" s="25">
        <v>0</v>
      </c>
      <c r="Y803" s="25">
        <v>0</v>
      </c>
      <c r="Z803" s="25">
        <v>0</v>
      </c>
      <c r="AA803" s="25">
        <v>0</v>
      </c>
      <c r="AB803" s="25">
        <v>0</v>
      </c>
      <c r="AC803" s="25">
        <v>0</v>
      </c>
      <c r="AD803" s="25">
        <v>0</v>
      </c>
      <c r="AE803" s="25">
        <v>0</v>
      </c>
      <c r="AF803" s="25">
        <v>0</v>
      </c>
    </row>
    <row r="804" spans="1:32" x14ac:dyDescent="0.25">
      <c r="A804" s="25" t="s">
        <v>873</v>
      </c>
      <c r="B804" s="25">
        <v>0</v>
      </c>
      <c r="C804" s="25">
        <v>0</v>
      </c>
      <c r="D804" s="25">
        <v>0</v>
      </c>
      <c r="E804" s="25">
        <v>0</v>
      </c>
      <c r="F804" s="25">
        <v>0</v>
      </c>
      <c r="G804" s="25">
        <v>0</v>
      </c>
      <c r="H804" s="25">
        <v>0</v>
      </c>
      <c r="I804" s="25">
        <v>0</v>
      </c>
      <c r="J804" s="25">
        <v>0</v>
      </c>
      <c r="K804" s="25">
        <v>0</v>
      </c>
      <c r="L804" s="25">
        <v>0</v>
      </c>
      <c r="M804" s="25">
        <v>0</v>
      </c>
      <c r="N804" s="25">
        <v>0</v>
      </c>
      <c r="O804" s="25">
        <v>0</v>
      </c>
      <c r="P804" s="25">
        <v>0</v>
      </c>
      <c r="Q804" s="25">
        <v>0</v>
      </c>
      <c r="R804" s="25">
        <v>0</v>
      </c>
      <c r="S804" s="25">
        <v>0</v>
      </c>
      <c r="T804" s="25">
        <v>0</v>
      </c>
      <c r="U804" s="25">
        <v>0</v>
      </c>
      <c r="V804" s="25">
        <v>0</v>
      </c>
      <c r="W804" s="25">
        <v>0</v>
      </c>
      <c r="X804" s="25">
        <v>0</v>
      </c>
      <c r="Y804" s="25">
        <v>0</v>
      </c>
      <c r="Z804" s="25">
        <v>0</v>
      </c>
      <c r="AA804" s="25">
        <v>0</v>
      </c>
      <c r="AB804" s="25">
        <v>0</v>
      </c>
      <c r="AC804" s="25">
        <v>0</v>
      </c>
      <c r="AD804" s="25">
        <v>0</v>
      </c>
      <c r="AE804" s="25">
        <v>0</v>
      </c>
      <c r="AF804" s="25">
        <v>0</v>
      </c>
    </row>
    <row r="805" spans="1:32" x14ac:dyDescent="0.25">
      <c r="A805" s="25" t="s">
        <v>874</v>
      </c>
      <c r="B805" s="25">
        <v>0</v>
      </c>
      <c r="C805" s="25">
        <v>0</v>
      </c>
      <c r="D805" s="25">
        <v>0</v>
      </c>
      <c r="E805" s="25">
        <v>0</v>
      </c>
      <c r="F805" s="25">
        <v>0</v>
      </c>
      <c r="G805" s="25">
        <v>0</v>
      </c>
      <c r="H805" s="25">
        <v>0</v>
      </c>
      <c r="I805" s="25">
        <v>0</v>
      </c>
      <c r="J805" s="25">
        <v>0</v>
      </c>
      <c r="K805" s="25">
        <v>0</v>
      </c>
      <c r="L805" s="25">
        <v>0</v>
      </c>
      <c r="M805" s="25">
        <v>0</v>
      </c>
      <c r="N805" s="25">
        <v>0</v>
      </c>
      <c r="O805" s="25">
        <v>0</v>
      </c>
      <c r="P805" s="25">
        <v>0</v>
      </c>
      <c r="Q805" s="25">
        <v>0</v>
      </c>
      <c r="R805" s="25">
        <v>0</v>
      </c>
      <c r="S805" s="25">
        <v>0</v>
      </c>
      <c r="T805" s="25">
        <v>0</v>
      </c>
      <c r="U805" s="25">
        <v>0</v>
      </c>
      <c r="V805" s="25">
        <v>0</v>
      </c>
      <c r="W805" s="25">
        <v>0</v>
      </c>
      <c r="X805" s="25">
        <v>0</v>
      </c>
      <c r="Y805" s="25">
        <v>0</v>
      </c>
      <c r="Z805" s="25">
        <v>0</v>
      </c>
      <c r="AA805" s="25">
        <v>0</v>
      </c>
      <c r="AB805" s="25">
        <v>0</v>
      </c>
      <c r="AC805" s="25">
        <v>0</v>
      </c>
      <c r="AD805" s="25">
        <v>0</v>
      </c>
      <c r="AE805" s="25">
        <v>0</v>
      </c>
      <c r="AF805" s="25">
        <v>0</v>
      </c>
    </row>
    <row r="806" spans="1:32" x14ac:dyDescent="0.25">
      <c r="A806" s="25" t="s">
        <v>875</v>
      </c>
      <c r="B806" s="25">
        <v>0</v>
      </c>
      <c r="C806" s="25">
        <v>0</v>
      </c>
      <c r="D806" s="25">
        <v>0</v>
      </c>
      <c r="E806" s="25">
        <v>0</v>
      </c>
      <c r="F806" s="25">
        <v>0</v>
      </c>
      <c r="G806" s="25">
        <v>0</v>
      </c>
      <c r="H806" s="25">
        <v>0</v>
      </c>
      <c r="I806" s="25">
        <v>0</v>
      </c>
      <c r="J806" s="25">
        <v>0</v>
      </c>
      <c r="K806" s="25">
        <v>0</v>
      </c>
      <c r="L806" s="25">
        <v>0</v>
      </c>
      <c r="M806" s="25">
        <v>0</v>
      </c>
      <c r="N806" s="25">
        <v>0</v>
      </c>
      <c r="O806" s="25">
        <v>0</v>
      </c>
      <c r="P806" s="25">
        <v>0</v>
      </c>
      <c r="Q806" s="25">
        <v>0</v>
      </c>
      <c r="R806" s="25">
        <v>0</v>
      </c>
      <c r="S806" s="25">
        <v>0</v>
      </c>
      <c r="T806" s="25">
        <v>0</v>
      </c>
      <c r="U806" s="25">
        <v>0</v>
      </c>
      <c r="V806" s="25">
        <v>0</v>
      </c>
      <c r="W806" s="25">
        <v>0</v>
      </c>
      <c r="X806" s="25">
        <v>0</v>
      </c>
      <c r="Y806" s="25">
        <v>0</v>
      </c>
      <c r="Z806" s="25">
        <v>0</v>
      </c>
      <c r="AA806" s="25">
        <v>0</v>
      </c>
      <c r="AB806" s="25">
        <v>0</v>
      </c>
      <c r="AC806" s="25">
        <v>0</v>
      </c>
      <c r="AD806" s="25">
        <v>0</v>
      </c>
      <c r="AE806" s="25">
        <v>0</v>
      </c>
      <c r="AF806" s="25">
        <v>0</v>
      </c>
    </row>
    <row r="807" spans="1:32" x14ac:dyDescent="0.25">
      <c r="A807" s="25" t="s">
        <v>876</v>
      </c>
      <c r="B807" s="25">
        <v>0</v>
      </c>
      <c r="C807" s="25">
        <v>0</v>
      </c>
      <c r="D807" s="25">
        <v>0</v>
      </c>
      <c r="E807" s="25">
        <v>0</v>
      </c>
      <c r="F807" s="25">
        <v>0</v>
      </c>
      <c r="G807" s="25">
        <v>0</v>
      </c>
      <c r="H807" s="25">
        <v>0</v>
      </c>
      <c r="I807" s="25">
        <v>0</v>
      </c>
      <c r="J807" s="25">
        <v>0</v>
      </c>
      <c r="K807" s="25">
        <v>0</v>
      </c>
      <c r="L807" s="25">
        <v>0</v>
      </c>
      <c r="M807" s="25">
        <v>0</v>
      </c>
      <c r="N807" s="25">
        <v>0</v>
      </c>
      <c r="O807" s="25">
        <v>0</v>
      </c>
      <c r="P807" s="25">
        <v>0</v>
      </c>
      <c r="Q807" s="25">
        <v>0</v>
      </c>
      <c r="R807" s="25">
        <v>0</v>
      </c>
      <c r="S807" s="25">
        <v>0</v>
      </c>
      <c r="T807" s="25">
        <v>0</v>
      </c>
      <c r="U807" s="25">
        <v>0</v>
      </c>
      <c r="V807" s="25">
        <v>0</v>
      </c>
      <c r="W807" s="25">
        <v>0</v>
      </c>
      <c r="X807" s="25">
        <v>0</v>
      </c>
      <c r="Y807" s="25">
        <v>0</v>
      </c>
      <c r="Z807" s="25">
        <v>0</v>
      </c>
      <c r="AA807" s="25">
        <v>0</v>
      </c>
      <c r="AB807" s="25">
        <v>0</v>
      </c>
      <c r="AC807" s="25">
        <v>0</v>
      </c>
      <c r="AD807" s="25">
        <v>0</v>
      </c>
      <c r="AE807" s="25">
        <v>0</v>
      </c>
      <c r="AF807" s="25">
        <v>0</v>
      </c>
    </row>
    <row r="808" spans="1:32" x14ac:dyDescent="0.25">
      <c r="A808" s="25" t="s">
        <v>877</v>
      </c>
      <c r="B808" s="25">
        <v>0</v>
      </c>
      <c r="C808" s="25">
        <v>0</v>
      </c>
      <c r="D808" s="25">
        <v>0</v>
      </c>
      <c r="E808" s="25">
        <v>0</v>
      </c>
      <c r="F808" s="25">
        <v>0</v>
      </c>
      <c r="G808" s="25">
        <v>0</v>
      </c>
      <c r="H808" s="25">
        <v>0</v>
      </c>
      <c r="I808" s="25">
        <v>0</v>
      </c>
      <c r="J808" s="25">
        <v>0</v>
      </c>
      <c r="K808" s="25">
        <v>0</v>
      </c>
      <c r="L808" s="25">
        <v>0</v>
      </c>
      <c r="M808" s="25">
        <v>0</v>
      </c>
      <c r="N808" s="25">
        <v>0</v>
      </c>
      <c r="O808" s="25">
        <v>0</v>
      </c>
      <c r="P808" s="25">
        <v>0</v>
      </c>
      <c r="Q808" s="25">
        <v>0</v>
      </c>
      <c r="R808" s="25">
        <v>0</v>
      </c>
      <c r="S808" s="25">
        <v>0</v>
      </c>
      <c r="T808" s="25">
        <v>0</v>
      </c>
      <c r="U808" s="25">
        <v>0</v>
      </c>
      <c r="V808" s="25">
        <v>0</v>
      </c>
      <c r="W808" s="25">
        <v>0</v>
      </c>
      <c r="X808" s="25">
        <v>0</v>
      </c>
      <c r="Y808" s="25">
        <v>0</v>
      </c>
      <c r="Z808" s="25">
        <v>0</v>
      </c>
      <c r="AA808" s="25">
        <v>0</v>
      </c>
      <c r="AB808" s="25">
        <v>0</v>
      </c>
      <c r="AC808" s="25">
        <v>0</v>
      </c>
      <c r="AD808" s="25">
        <v>0</v>
      </c>
      <c r="AE808" s="25">
        <v>0</v>
      </c>
      <c r="AF808" s="25">
        <v>0</v>
      </c>
    </row>
    <row r="809" spans="1:32" x14ac:dyDescent="0.25">
      <c r="A809" s="25" t="s">
        <v>878</v>
      </c>
      <c r="B809" s="25">
        <v>0</v>
      </c>
      <c r="C809" s="25">
        <v>0</v>
      </c>
      <c r="D809" s="25">
        <v>0</v>
      </c>
      <c r="E809" s="25">
        <v>0</v>
      </c>
      <c r="F809" s="25">
        <v>0</v>
      </c>
      <c r="G809" s="25">
        <v>0</v>
      </c>
      <c r="H809" s="25">
        <v>0</v>
      </c>
      <c r="I809" s="25">
        <v>0</v>
      </c>
      <c r="J809" s="25">
        <v>0</v>
      </c>
      <c r="K809" s="25">
        <v>0</v>
      </c>
      <c r="L809" s="25">
        <v>0</v>
      </c>
      <c r="M809" s="25">
        <v>0</v>
      </c>
      <c r="N809" s="25">
        <v>0</v>
      </c>
      <c r="O809" s="25">
        <v>0</v>
      </c>
      <c r="P809" s="25">
        <v>0</v>
      </c>
      <c r="Q809" s="25">
        <v>0</v>
      </c>
      <c r="R809" s="25">
        <v>0</v>
      </c>
      <c r="S809" s="25">
        <v>0</v>
      </c>
      <c r="T809" s="25">
        <v>0</v>
      </c>
      <c r="U809" s="25">
        <v>0</v>
      </c>
      <c r="V809" s="25">
        <v>0</v>
      </c>
      <c r="W809" s="25">
        <v>0</v>
      </c>
      <c r="X809" s="25">
        <v>0</v>
      </c>
      <c r="Y809" s="25">
        <v>0</v>
      </c>
      <c r="Z809" s="25">
        <v>0</v>
      </c>
      <c r="AA809" s="25">
        <v>0</v>
      </c>
      <c r="AB809" s="25">
        <v>0</v>
      </c>
      <c r="AC809" s="25">
        <v>0</v>
      </c>
      <c r="AD809" s="25">
        <v>0</v>
      </c>
      <c r="AE809" s="25">
        <v>0</v>
      </c>
      <c r="AF809" s="25">
        <v>0</v>
      </c>
    </row>
    <row r="810" spans="1:32" x14ac:dyDescent="0.25">
      <c r="A810" s="25" t="s">
        <v>879</v>
      </c>
      <c r="B810" s="25">
        <v>0</v>
      </c>
      <c r="C810" s="25">
        <v>0</v>
      </c>
      <c r="D810" s="25">
        <v>0</v>
      </c>
      <c r="E810" s="25">
        <v>0</v>
      </c>
      <c r="F810" s="25">
        <v>0</v>
      </c>
      <c r="G810" s="25">
        <v>0</v>
      </c>
      <c r="H810" s="25">
        <v>0</v>
      </c>
      <c r="I810" s="25">
        <v>0</v>
      </c>
      <c r="J810" s="25">
        <v>0</v>
      </c>
      <c r="K810" s="25">
        <v>0</v>
      </c>
      <c r="L810" s="25">
        <v>0</v>
      </c>
      <c r="M810" s="25">
        <v>0</v>
      </c>
      <c r="N810" s="25">
        <v>0</v>
      </c>
      <c r="O810" s="25">
        <v>0</v>
      </c>
      <c r="P810" s="25">
        <v>0</v>
      </c>
      <c r="Q810" s="25">
        <v>0</v>
      </c>
      <c r="R810" s="25">
        <v>0</v>
      </c>
      <c r="S810" s="25">
        <v>0</v>
      </c>
      <c r="T810" s="25">
        <v>0</v>
      </c>
      <c r="U810" s="25">
        <v>0</v>
      </c>
      <c r="V810" s="25">
        <v>0</v>
      </c>
      <c r="W810" s="25">
        <v>0</v>
      </c>
      <c r="X810" s="25">
        <v>0</v>
      </c>
      <c r="Y810" s="25">
        <v>0</v>
      </c>
      <c r="Z810" s="25">
        <v>0</v>
      </c>
      <c r="AA810" s="25">
        <v>0</v>
      </c>
      <c r="AB810" s="25">
        <v>0</v>
      </c>
      <c r="AC810" s="25">
        <v>0</v>
      </c>
      <c r="AD810" s="25">
        <v>0</v>
      </c>
      <c r="AE810" s="25">
        <v>0</v>
      </c>
      <c r="AF810" s="25">
        <v>0</v>
      </c>
    </row>
    <row r="811" spans="1:32" x14ac:dyDescent="0.25">
      <c r="A811" s="25" t="s">
        <v>880</v>
      </c>
      <c r="B811" s="25">
        <v>0</v>
      </c>
      <c r="C811" s="25">
        <v>0</v>
      </c>
      <c r="D811" s="25">
        <v>0</v>
      </c>
      <c r="E811" s="25">
        <v>0</v>
      </c>
      <c r="F811" s="25">
        <v>0</v>
      </c>
      <c r="G811" s="25">
        <v>0</v>
      </c>
      <c r="H811" s="25">
        <v>0</v>
      </c>
      <c r="I811" s="25">
        <v>0</v>
      </c>
      <c r="J811" s="25">
        <v>0</v>
      </c>
      <c r="K811" s="25">
        <v>0</v>
      </c>
      <c r="L811" s="25">
        <v>0</v>
      </c>
      <c r="M811" s="25">
        <v>0</v>
      </c>
      <c r="N811" s="25">
        <v>0</v>
      </c>
      <c r="O811" s="25">
        <v>0</v>
      </c>
      <c r="P811" s="25">
        <v>0</v>
      </c>
      <c r="Q811" s="25">
        <v>0</v>
      </c>
      <c r="R811" s="25">
        <v>0</v>
      </c>
      <c r="S811" s="25">
        <v>0</v>
      </c>
      <c r="T811" s="25">
        <v>0</v>
      </c>
      <c r="U811" s="25">
        <v>0</v>
      </c>
      <c r="V811" s="25">
        <v>0</v>
      </c>
      <c r="W811" s="25">
        <v>0</v>
      </c>
      <c r="X811" s="25">
        <v>0</v>
      </c>
      <c r="Y811" s="25">
        <v>0</v>
      </c>
      <c r="Z811" s="25">
        <v>0</v>
      </c>
      <c r="AA811" s="25">
        <v>0</v>
      </c>
      <c r="AB811" s="25">
        <v>0</v>
      </c>
      <c r="AC811" s="25">
        <v>0</v>
      </c>
      <c r="AD811" s="25">
        <v>0</v>
      </c>
      <c r="AE811" s="25">
        <v>0</v>
      </c>
      <c r="AF811" s="25">
        <v>0</v>
      </c>
    </row>
    <row r="812" spans="1:32" x14ac:dyDescent="0.25">
      <c r="A812" s="25" t="s">
        <v>881</v>
      </c>
      <c r="B812" s="25">
        <v>0</v>
      </c>
      <c r="C812" s="25">
        <v>0</v>
      </c>
      <c r="D812" s="25">
        <v>0</v>
      </c>
      <c r="E812" s="25">
        <v>0</v>
      </c>
      <c r="F812" s="25">
        <v>0</v>
      </c>
      <c r="G812" s="25">
        <v>0</v>
      </c>
      <c r="H812" s="25">
        <v>0</v>
      </c>
      <c r="I812" s="25">
        <v>0</v>
      </c>
      <c r="J812" s="25">
        <v>0</v>
      </c>
      <c r="K812" s="25">
        <v>0</v>
      </c>
      <c r="L812" s="25">
        <v>0</v>
      </c>
      <c r="M812" s="25">
        <v>0</v>
      </c>
      <c r="N812" s="25">
        <v>0</v>
      </c>
      <c r="O812" s="25">
        <v>0</v>
      </c>
      <c r="P812" s="25">
        <v>0</v>
      </c>
      <c r="Q812" s="25">
        <v>0</v>
      </c>
      <c r="R812" s="25">
        <v>0</v>
      </c>
      <c r="S812" s="25">
        <v>0</v>
      </c>
      <c r="T812" s="25">
        <v>0</v>
      </c>
      <c r="U812" s="25">
        <v>0</v>
      </c>
      <c r="V812" s="25">
        <v>0</v>
      </c>
      <c r="W812" s="25">
        <v>0</v>
      </c>
      <c r="X812" s="25">
        <v>0</v>
      </c>
      <c r="Y812" s="25">
        <v>0</v>
      </c>
      <c r="Z812" s="25">
        <v>0</v>
      </c>
      <c r="AA812" s="25">
        <v>0</v>
      </c>
      <c r="AB812" s="25">
        <v>0</v>
      </c>
      <c r="AC812" s="25">
        <v>0</v>
      </c>
      <c r="AD812" s="25">
        <v>0</v>
      </c>
      <c r="AE812" s="25">
        <v>0</v>
      </c>
      <c r="AF812" s="25">
        <v>0</v>
      </c>
    </row>
    <row r="813" spans="1:32" x14ac:dyDescent="0.25">
      <c r="A813" s="25" t="s">
        <v>882</v>
      </c>
      <c r="B813" s="25">
        <v>0</v>
      </c>
      <c r="C813" s="25">
        <v>0</v>
      </c>
      <c r="D813" s="25">
        <v>0</v>
      </c>
      <c r="E813" s="25">
        <v>0</v>
      </c>
      <c r="F813" s="25">
        <v>0</v>
      </c>
      <c r="G813" s="25">
        <v>0</v>
      </c>
      <c r="H813" s="25">
        <v>0</v>
      </c>
      <c r="I813" s="25">
        <v>0</v>
      </c>
      <c r="J813" s="25">
        <v>0</v>
      </c>
      <c r="K813" s="25">
        <v>0</v>
      </c>
      <c r="L813" s="25">
        <v>0</v>
      </c>
      <c r="M813" s="25">
        <v>0</v>
      </c>
      <c r="N813" s="25">
        <v>0</v>
      </c>
      <c r="O813" s="25">
        <v>0</v>
      </c>
      <c r="P813" s="25">
        <v>0</v>
      </c>
      <c r="Q813" s="25">
        <v>0</v>
      </c>
      <c r="R813" s="25">
        <v>0</v>
      </c>
      <c r="S813" s="25">
        <v>0</v>
      </c>
      <c r="T813" s="25">
        <v>0</v>
      </c>
      <c r="U813" s="25">
        <v>0</v>
      </c>
      <c r="V813" s="25">
        <v>0</v>
      </c>
      <c r="W813" s="25">
        <v>0</v>
      </c>
      <c r="X813" s="25">
        <v>0</v>
      </c>
      <c r="Y813" s="25">
        <v>0</v>
      </c>
      <c r="Z813" s="25">
        <v>0</v>
      </c>
      <c r="AA813" s="25">
        <v>0</v>
      </c>
      <c r="AB813" s="25">
        <v>0</v>
      </c>
      <c r="AC813" s="25">
        <v>0</v>
      </c>
      <c r="AD813" s="25">
        <v>0</v>
      </c>
      <c r="AE813" s="25">
        <v>0</v>
      </c>
      <c r="AF813" s="25">
        <v>0</v>
      </c>
    </row>
    <row r="814" spans="1:32" x14ac:dyDescent="0.25">
      <c r="A814" s="25" t="s">
        <v>883</v>
      </c>
      <c r="B814" s="25">
        <v>0</v>
      </c>
      <c r="C814" s="25">
        <v>0</v>
      </c>
      <c r="D814" s="25">
        <v>0</v>
      </c>
      <c r="E814" s="25">
        <v>0</v>
      </c>
      <c r="F814" s="25">
        <v>0</v>
      </c>
      <c r="G814" s="25">
        <v>0</v>
      </c>
      <c r="H814" s="25">
        <v>0</v>
      </c>
      <c r="I814" s="25">
        <v>0</v>
      </c>
      <c r="J814" s="25">
        <v>0</v>
      </c>
      <c r="K814" s="25">
        <v>0</v>
      </c>
      <c r="L814" s="25">
        <v>0</v>
      </c>
      <c r="M814" s="25">
        <v>0</v>
      </c>
      <c r="N814" s="25">
        <v>0</v>
      </c>
      <c r="O814" s="25">
        <v>0</v>
      </c>
      <c r="P814" s="25">
        <v>0</v>
      </c>
      <c r="Q814" s="25">
        <v>0</v>
      </c>
      <c r="R814" s="25">
        <v>0</v>
      </c>
      <c r="S814" s="25">
        <v>0</v>
      </c>
      <c r="T814" s="25">
        <v>0</v>
      </c>
      <c r="U814" s="25">
        <v>0</v>
      </c>
      <c r="V814" s="25">
        <v>0</v>
      </c>
      <c r="W814" s="25">
        <v>0</v>
      </c>
      <c r="X814" s="25">
        <v>0</v>
      </c>
      <c r="Y814" s="25">
        <v>0</v>
      </c>
      <c r="Z814" s="25">
        <v>0</v>
      </c>
      <c r="AA814" s="25">
        <v>0</v>
      </c>
      <c r="AB814" s="25">
        <v>0</v>
      </c>
      <c r="AC814" s="25">
        <v>0</v>
      </c>
      <c r="AD814" s="25">
        <v>0</v>
      </c>
      <c r="AE814" s="25">
        <v>0</v>
      </c>
      <c r="AF814" s="25">
        <v>0</v>
      </c>
    </row>
    <row r="815" spans="1:32" x14ac:dyDescent="0.25">
      <c r="A815" s="25" t="s">
        <v>884</v>
      </c>
      <c r="B815" s="25">
        <v>0</v>
      </c>
      <c r="C815" s="25">
        <v>0</v>
      </c>
      <c r="D815" s="25">
        <v>0</v>
      </c>
      <c r="E815" s="25">
        <v>0</v>
      </c>
      <c r="F815" s="25">
        <v>0</v>
      </c>
      <c r="G815" s="25">
        <v>0</v>
      </c>
      <c r="H815" s="25">
        <v>0</v>
      </c>
      <c r="I815" s="25">
        <v>0</v>
      </c>
      <c r="J815" s="25">
        <v>0</v>
      </c>
      <c r="K815" s="25">
        <v>0</v>
      </c>
      <c r="L815" s="25">
        <v>0</v>
      </c>
      <c r="M815" s="25">
        <v>0</v>
      </c>
      <c r="N815" s="25">
        <v>0</v>
      </c>
      <c r="O815" s="25">
        <v>0</v>
      </c>
      <c r="P815" s="25">
        <v>0</v>
      </c>
      <c r="Q815" s="25">
        <v>0</v>
      </c>
      <c r="R815" s="25">
        <v>0</v>
      </c>
      <c r="S815" s="25">
        <v>0</v>
      </c>
      <c r="T815" s="25">
        <v>0</v>
      </c>
      <c r="U815" s="25">
        <v>0</v>
      </c>
      <c r="V815" s="25">
        <v>0</v>
      </c>
      <c r="W815" s="25">
        <v>0</v>
      </c>
      <c r="X815" s="25">
        <v>0</v>
      </c>
      <c r="Y815" s="25">
        <v>0</v>
      </c>
      <c r="Z815" s="25">
        <v>0</v>
      </c>
      <c r="AA815" s="25">
        <v>0</v>
      </c>
      <c r="AB815" s="25">
        <v>0</v>
      </c>
      <c r="AC815" s="25">
        <v>0</v>
      </c>
      <c r="AD815" s="25">
        <v>0</v>
      </c>
      <c r="AE815" s="25">
        <v>0</v>
      </c>
      <c r="AF815" s="25">
        <v>0</v>
      </c>
    </row>
    <row r="816" spans="1:32" x14ac:dyDescent="0.25">
      <c r="A816" s="25" t="s">
        <v>885</v>
      </c>
      <c r="B816" s="25">
        <v>0</v>
      </c>
      <c r="C816" s="25">
        <v>0</v>
      </c>
      <c r="D816" s="25">
        <v>0</v>
      </c>
      <c r="E816" s="25">
        <v>0</v>
      </c>
      <c r="F816" s="25">
        <v>0</v>
      </c>
      <c r="G816" s="25">
        <v>0</v>
      </c>
      <c r="H816" s="25">
        <v>0</v>
      </c>
      <c r="I816" s="25">
        <v>0</v>
      </c>
      <c r="J816" s="25">
        <v>0</v>
      </c>
      <c r="K816" s="25">
        <v>0</v>
      </c>
      <c r="L816" s="25">
        <v>0</v>
      </c>
      <c r="M816" s="25">
        <v>0</v>
      </c>
      <c r="N816" s="25">
        <v>0</v>
      </c>
      <c r="O816" s="25">
        <v>0</v>
      </c>
      <c r="P816" s="25">
        <v>0</v>
      </c>
      <c r="Q816" s="25">
        <v>0</v>
      </c>
      <c r="R816" s="25">
        <v>0</v>
      </c>
      <c r="S816" s="25">
        <v>0</v>
      </c>
      <c r="T816" s="25">
        <v>0</v>
      </c>
      <c r="U816" s="25">
        <v>0</v>
      </c>
      <c r="V816" s="25">
        <v>0</v>
      </c>
      <c r="W816" s="25">
        <v>0</v>
      </c>
      <c r="X816" s="25">
        <v>0</v>
      </c>
      <c r="Y816" s="25">
        <v>0</v>
      </c>
      <c r="Z816" s="25">
        <v>0</v>
      </c>
      <c r="AA816" s="25">
        <v>0</v>
      </c>
      <c r="AB816" s="25">
        <v>0</v>
      </c>
      <c r="AC816" s="25">
        <v>0</v>
      </c>
      <c r="AD816" s="25">
        <v>0</v>
      </c>
      <c r="AE816" s="25">
        <v>0</v>
      </c>
      <c r="AF816" s="25">
        <v>0</v>
      </c>
    </row>
    <row r="817" spans="1:32" x14ac:dyDescent="0.25">
      <c r="A817" s="25" t="s">
        <v>886</v>
      </c>
      <c r="B817" s="25">
        <v>0</v>
      </c>
      <c r="C817" s="25">
        <v>0</v>
      </c>
      <c r="D817" s="25">
        <v>0</v>
      </c>
      <c r="E817" s="25">
        <v>0</v>
      </c>
      <c r="F817" s="25">
        <v>0</v>
      </c>
      <c r="G817" s="25">
        <v>0</v>
      </c>
      <c r="H817" s="25">
        <v>0</v>
      </c>
      <c r="I817" s="25">
        <v>0</v>
      </c>
      <c r="J817" s="25">
        <v>0</v>
      </c>
      <c r="K817" s="25">
        <v>0</v>
      </c>
      <c r="L817" s="25">
        <v>0</v>
      </c>
      <c r="M817" s="25">
        <v>0</v>
      </c>
      <c r="N817" s="25">
        <v>0</v>
      </c>
      <c r="O817" s="25">
        <v>0</v>
      </c>
      <c r="P817" s="25">
        <v>0</v>
      </c>
      <c r="Q817" s="25">
        <v>0</v>
      </c>
      <c r="R817" s="25">
        <v>0</v>
      </c>
      <c r="S817" s="25">
        <v>0</v>
      </c>
      <c r="T817" s="25">
        <v>0</v>
      </c>
      <c r="U817" s="25">
        <v>0</v>
      </c>
      <c r="V817" s="25">
        <v>0</v>
      </c>
      <c r="W817" s="25">
        <v>0</v>
      </c>
      <c r="X817" s="25">
        <v>0</v>
      </c>
      <c r="Y817" s="25">
        <v>0</v>
      </c>
      <c r="Z817" s="25">
        <v>0</v>
      </c>
      <c r="AA817" s="25">
        <v>0</v>
      </c>
      <c r="AB817" s="25">
        <v>0</v>
      </c>
      <c r="AC817" s="25">
        <v>0</v>
      </c>
      <c r="AD817" s="25">
        <v>0</v>
      </c>
      <c r="AE817" s="25">
        <v>0</v>
      </c>
      <c r="AF817" s="25">
        <v>0</v>
      </c>
    </row>
    <row r="818" spans="1:32" x14ac:dyDescent="0.25">
      <c r="A818" s="25" t="s">
        <v>887</v>
      </c>
      <c r="B818" s="25">
        <v>0</v>
      </c>
      <c r="C818" s="25">
        <v>0</v>
      </c>
      <c r="D818" s="25">
        <v>0</v>
      </c>
      <c r="E818" s="25">
        <v>0</v>
      </c>
      <c r="F818" s="25">
        <v>0</v>
      </c>
      <c r="G818" s="25">
        <v>0</v>
      </c>
      <c r="H818" s="25">
        <v>0</v>
      </c>
      <c r="I818" s="25">
        <v>0</v>
      </c>
      <c r="J818" s="25">
        <v>0</v>
      </c>
      <c r="K818" s="25">
        <v>0</v>
      </c>
      <c r="L818" s="25">
        <v>0</v>
      </c>
      <c r="M818" s="25">
        <v>0</v>
      </c>
      <c r="N818" s="25">
        <v>0</v>
      </c>
      <c r="O818" s="25">
        <v>0</v>
      </c>
      <c r="P818" s="25">
        <v>0</v>
      </c>
      <c r="Q818" s="25">
        <v>0</v>
      </c>
      <c r="R818" s="25">
        <v>0</v>
      </c>
      <c r="S818" s="25">
        <v>0</v>
      </c>
      <c r="T818" s="25">
        <v>0</v>
      </c>
      <c r="U818" s="25">
        <v>0</v>
      </c>
      <c r="V818" s="25">
        <v>0</v>
      </c>
      <c r="W818" s="25">
        <v>0</v>
      </c>
      <c r="X818" s="25">
        <v>0</v>
      </c>
      <c r="Y818" s="25">
        <v>0</v>
      </c>
      <c r="Z818" s="25">
        <v>0</v>
      </c>
      <c r="AA818" s="25">
        <v>0</v>
      </c>
      <c r="AB818" s="25">
        <v>0</v>
      </c>
      <c r="AC818" s="25">
        <v>0</v>
      </c>
      <c r="AD818" s="25">
        <v>0</v>
      </c>
      <c r="AE818" s="25">
        <v>0</v>
      </c>
      <c r="AF818" s="25">
        <v>0</v>
      </c>
    </row>
    <row r="819" spans="1:32" x14ac:dyDescent="0.25">
      <c r="A819" s="25" t="s">
        <v>888</v>
      </c>
      <c r="B819" s="25">
        <v>0</v>
      </c>
      <c r="C819" s="25">
        <v>0</v>
      </c>
      <c r="D819" s="25">
        <v>0</v>
      </c>
      <c r="E819" s="25">
        <v>0</v>
      </c>
      <c r="F819" s="25">
        <v>0</v>
      </c>
      <c r="G819" s="25">
        <v>0</v>
      </c>
      <c r="H819" s="25">
        <v>0</v>
      </c>
      <c r="I819" s="25">
        <v>0</v>
      </c>
      <c r="J819" s="25">
        <v>0</v>
      </c>
      <c r="K819" s="25">
        <v>0</v>
      </c>
      <c r="L819" s="25">
        <v>0</v>
      </c>
      <c r="M819" s="25">
        <v>0</v>
      </c>
      <c r="N819" s="25">
        <v>0</v>
      </c>
      <c r="O819" s="25">
        <v>0</v>
      </c>
      <c r="P819" s="25">
        <v>0</v>
      </c>
      <c r="Q819" s="25">
        <v>0</v>
      </c>
      <c r="R819" s="25">
        <v>0</v>
      </c>
      <c r="S819" s="25">
        <v>0</v>
      </c>
      <c r="T819" s="25">
        <v>0</v>
      </c>
      <c r="U819" s="25">
        <v>0</v>
      </c>
      <c r="V819" s="25">
        <v>0</v>
      </c>
      <c r="W819" s="25">
        <v>0</v>
      </c>
      <c r="X819" s="25">
        <v>0</v>
      </c>
      <c r="Y819" s="25">
        <v>0</v>
      </c>
      <c r="Z819" s="25">
        <v>0</v>
      </c>
      <c r="AA819" s="25">
        <v>0</v>
      </c>
      <c r="AB819" s="25">
        <v>0</v>
      </c>
      <c r="AC819" s="25">
        <v>0</v>
      </c>
      <c r="AD819" s="25">
        <v>0</v>
      </c>
      <c r="AE819" s="25">
        <v>0</v>
      </c>
      <c r="AF819" s="25">
        <v>0</v>
      </c>
    </row>
    <row r="820" spans="1:32" x14ac:dyDescent="0.25">
      <c r="A820" s="25" t="s">
        <v>889</v>
      </c>
      <c r="B820" s="25">
        <v>0</v>
      </c>
      <c r="C820" s="25">
        <v>0</v>
      </c>
      <c r="D820" s="25">
        <v>0</v>
      </c>
      <c r="E820" s="25">
        <v>0</v>
      </c>
      <c r="F820" s="25">
        <v>0</v>
      </c>
      <c r="G820" s="25">
        <v>0</v>
      </c>
      <c r="H820" s="25">
        <v>0</v>
      </c>
      <c r="I820" s="25">
        <v>0</v>
      </c>
      <c r="J820" s="25">
        <v>0</v>
      </c>
      <c r="K820" s="25">
        <v>0</v>
      </c>
      <c r="L820" s="25">
        <v>0</v>
      </c>
      <c r="M820" s="25">
        <v>0</v>
      </c>
      <c r="N820" s="25">
        <v>0</v>
      </c>
      <c r="O820" s="25">
        <v>0</v>
      </c>
      <c r="P820" s="25">
        <v>0</v>
      </c>
      <c r="Q820" s="25">
        <v>0</v>
      </c>
      <c r="R820" s="25">
        <v>0</v>
      </c>
      <c r="S820" s="25">
        <v>0</v>
      </c>
      <c r="T820" s="25">
        <v>0</v>
      </c>
      <c r="U820" s="25">
        <v>0</v>
      </c>
      <c r="V820" s="25">
        <v>0</v>
      </c>
      <c r="W820" s="25">
        <v>0</v>
      </c>
      <c r="X820" s="25">
        <v>0</v>
      </c>
      <c r="Y820" s="25">
        <v>0</v>
      </c>
      <c r="Z820" s="25">
        <v>0</v>
      </c>
      <c r="AA820" s="25">
        <v>0</v>
      </c>
      <c r="AB820" s="25">
        <v>0</v>
      </c>
      <c r="AC820" s="25">
        <v>0</v>
      </c>
      <c r="AD820" s="25">
        <v>0</v>
      </c>
      <c r="AE820" s="25">
        <v>0</v>
      </c>
      <c r="AF820" s="25">
        <v>0</v>
      </c>
    </row>
    <row r="821" spans="1:32" x14ac:dyDescent="0.25">
      <c r="A821" s="25" t="s">
        <v>890</v>
      </c>
      <c r="B821" s="25">
        <v>0</v>
      </c>
      <c r="C821" s="25">
        <v>0</v>
      </c>
      <c r="D821" s="25">
        <v>0</v>
      </c>
      <c r="E821" s="25">
        <v>0</v>
      </c>
      <c r="F821" s="25">
        <v>0</v>
      </c>
      <c r="G821" s="25">
        <v>0</v>
      </c>
      <c r="H821" s="25">
        <v>0</v>
      </c>
      <c r="I821" s="25">
        <v>0</v>
      </c>
      <c r="J821" s="25">
        <v>0</v>
      </c>
      <c r="K821" s="25">
        <v>0</v>
      </c>
      <c r="L821" s="25">
        <v>0</v>
      </c>
      <c r="M821" s="25">
        <v>0</v>
      </c>
      <c r="N821" s="25">
        <v>0</v>
      </c>
      <c r="O821" s="25">
        <v>0</v>
      </c>
      <c r="P821" s="25">
        <v>0</v>
      </c>
      <c r="Q821" s="25">
        <v>0</v>
      </c>
      <c r="R821" s="25">
        <v>0</v>
      </c>
      <c r="S821" s="25">
        <v>0</v>
      </c>
      <c r="T821" s="25">
        <v>0</v>
      </c>
      <c r="U821" s="25">
        <v>0</v>
      </c>
      <c r="V821" s="25">
        <v>0</v>
      </c>
      <c r="W821" s="25">
        <v>0</v>
      </c>
      <c r="X821" s="25">
        <v>0</v>
      </c>
      <c r="Y821" s="25">
        <v>0</v>
      </c>
      <c r="Z821" s="25">
        <v>0</v>
      </c>
      <c r="AA821" s="25">
        <v>0</v>
      </c>
      <c r="AB821" s="25">
        <v>0</v>
      </c>
      <c r="AC821" s="25">
        <v>0</v>
      </c>
      <c r="AD821" s="25">
        <v>0</v>
      </c>
      <c r="AE821" s="25">
        <v>0</v>
      </c>
      <c r="AF821" s="25">
        <v>0</v>
      </c>
    </row>
    <row r="822" spans="1:32" x14ac:dyDescent="0.25">
      <c r="A822" s="25" t="s">
        <v>891</v>
      </c>
      <c r="B822" s="25">
        <v>0</v>
      </c>
      <c r="C822" s="25">
        <v>0</v>
      </c>
      <c r="D822" s="25">
        <v>0</v>
      </c>
      <c r="E822" s="25">
        <v>0</v>
      </c>
      <c r="F822" s="25">
        <v>0</v>
      </c>
      <c r="G822" s="25">
        <v>0</v>
      </c>
      <c r="H822" s="25">
        <v>0</v>
      </c>
      <c r="I822" s="25">
        <v>0</v>
      </c>
      <c r="J822" s="25">
        <v>0</v>
      </c>
      <c r="K822" s="25">
        <v>0</v>
      </c>
      <c r="L822" s="25">
        <v>0</v>
      </c>
      <c r="M822" s="25">
        <v>0</v>
      </c>
      <c r="N822" s="25">
        <v>0</v>
      </c>
      <c r="O822" s="25">
        <v>0</v>
      </c>
      <c r="P822" s="25">
        <v>0</v>
      </c>
      <c r="Q822" s="25">
        <v>0</v>
      </c>
      <c r="R822" s="25">
        <v>0</v>
      </c>
      <c r="S822" s="25">
        <v>0</v>
      </c>
      <c r="T822" s="25">
        <v>0</v>
      </c>
      <c r="U822" s="25">
        <v>0</v>
      </c>
      <c r="V822" s="25">
        <v>0</v>
      </c>
      <c r="W822" s="25">
        <v>0</v>
      </c>
      <c r="X822" s="25">
        <v>0</v>
      </c>
      <c r="Y822" s="25">
        <v>0</v>
      </c>
      <c r="Z822" s="25">
        <v>0</v>
      </c>
      <c r="AA822" s="25">
        <v>0</v>
      </c>
      <c r="AB822" s="25">
        <v>0</v>
      </c>
      <c r="AC822" s="25">
        <v>0</v>
      </c>
      <c r="AD822" s="25">
        <v>0</v>
      </c>
      <c r="AE822" s="25">
        <v>0</v>
      </c>
      <c r="AF822" s="25">
        <v>0</v>
      </c>
    </row>
    <row r="823" spans="1:32" x14ac:dyDescent="0.25">
      <c r="A823" s="25" t="s">
        <v>892</v>
      </c>
      <c r="B823" s="12">
        <v>431912000000000</v>
      </c>
      <c r="C823" s="12">
        <v>467461000000000</v>
      </c>
      <c r="D823" s="12">
        <v>469960000000000</v>
      </c>
      <c r="E823" s="12">
        <v>472804000000000</v>
      </c>
      <c r="F823" s="12">
        <v>440899000000000</v>
      </c>
      <c r="G823" s="12">
        <v>447074000000000</v>
      </c>
      <c r="H823" s="12">
        <v>455461000000000</v>
      </c>
      <c r="I823" s="12">
        <v>454305000000000</v>
      </c>
      <c r="J823" s="12">
        <v>452856000000000</v>
      </c>
      <c r="K823" s="12">
        <v>451174000000000</v>
      </c>
      <c r="L823" s="12">
        <v>450671000000000</v>
      </c>
      <c r="M823" s="12">
        <v>450620000000000</v>
      </c>
      <c r="N823" s="12">
        <v>450595000000000</v>
      </c>
      <c r="O823" s="12">
        <v>451048000000000</v>
      </c>
      <c r="P823" s="12">
        <v>446322000000000</v>
      </c>
      <c r="Q823" s="12">
        <v>444482000000000</v>
      </c>
      <c r="R823" s="12">
        <v>439794000000000</v>
      </c>
      <c r="S823" s="12">
        <v>440148000000000</v>
      </c>
      <c r="T823" s="12">
        <v>439637000000000</v>
      </c>
      <c r="U823" s="12">
        <v>439124000000000</v>
      </c>
      <c r="V823" s="12">
        <v>437973000000000</v>
      </c>
      <c r="W823" s="12">
        <v>437426000000000</v>
      </c>
      <c r="X823" s="12">
        <v>437594000000000</v>
      </c>
      <c r="Y823" s="12">
        <v>436195000000000</v>
      </c>
      <c r="Z823" s="12">
        <v>434300000000000</v>
      </c>
      <c r="AA823" s="12">
        <v>433275000000000</v>
      </c>
      <c r="AB823" s="12">
        <v>433088000000000</v>
      </c>
      <c r="AC823" s="12">
        <v>432030000000000</v>
      </c>
      <c r="AD823" s="12">
        <v>431554000000000</v>
      </c>
      <c r="AE823" s="12">
        <v>431595000000000</v>
      </c>
      <c r="AF823" s="12">
        <v>433788000000000</v>
      </c>
    </row>
    <row r="824" spans="1:32" x14ac:dyDescent="0.25">
      <c r="A824" s="25" t="s">
        <v>893</v>
      </c>
      <c r="B824" s="25">
        <v>0</v>
      </c>
      <c r="C824" s="25">
        <v>0</v>
      </c>
      <c r="D824" s="25">
        <v>0</v>
      </c>
      <c r="E824" s="25">
        <v>0</v>
      </c>
      <c r="F824" s="25">
        <v>0</v>
      </c>
      <c r="G824" s="25">
        <v>0</v>
      </c>
      <c r="H824" s="25">
        <v>0</v>
      </c>
      <c r="I824" s="25">
        <v>0</v>
      </c>
      <c r="J824" s="25">
        <v>0</v>
      </c>
      <c r="K824" s="25">
        <v>0</v>
      </c>
      <c r="L824" s="25">
        <v>0</v>
      </c>
      <c r="M824" s="25">
        <v>0</v>
      </c>
      <c r="N824" s="25">
        <v>0</v>
      </c>
      <c r="O824" s="25">
        <v>0</v>
      </c>
      <c r="P824" s="25">
        <v>0</v>
      </c>
      <c r="Q824" s="25">
        <v>0</v>
      </c>
      <c r="R824" s="25">
        <v>0</v>
      </c>
      <c r="S824" s="25">
        <v>0</v>
      </c>
      <c r="T824" s="25">
        <v>0</v>
      </c>
      <c r="U824" s="25">
        <v>0</v>
      </c>
      <c r="V824" s="25">
        <v>0</v>
      </c>
      <c r="W824" s="25">
        <v>0</v>
      </c>
      <c r="X824" s="25">
        <v>0</v>
      </c>
      <c r="Y824" s="25">
        <v>0</v>
      </c>
      <c r="Z824" s="25">
        <v>0</v>
      </c>
      <c r="AA824" s="25">
        <v>0</v>
      </c>
      <c r="AB824" s="25">
        <v>0</v>
      </c>
      <c r="AC824" s="25">
        <v>0</v>
      </c>
      <c r="AD824" s="25">
        <v>0</v>
      </c>
      <c r="AE824" s="25">
        <v>0</v>
      </c>
      <c r="AF824" s="25">
        <v>0</v>
      </c>
    </row>
    <row r="825" spans="1:32" x14ac:dyDescent="0.25">
      <c r="A825" s="25" t="s">
        <v>894</v>
      </c>
      <c r="B825" s="25">
        <v>0</v>
      </c>
      <c r="C825" s="12">
        <v>0</v>
      </c>
      <c r="D825" s="12">
        <v>0</v>
      </c>
      <c r="E825" s="12">
        <v>0</v>
      </c>
      <c r="F825" s="12">
        <v>0</v>
      </c>
      <c r="G825" s="12">
        <v>0</v>
      </c>
      <c r="H825" s="12">
        <v>0</v>
      </c>
      <c r="I825" s="12">
        <v>0</v>
      </c>
      <c r="J825" s="25">
        <v>0</v>
      </c>
      <c r="K825" s="25">
        <v>0</v>
      </c>
      <c r="L825" s="25">
        <v>0</v>
      </c>
      <c r="M825" s="25">
        <v>0</v>
      </c>
      <c r="N825" s="25">
        <v>0</v>
      </c>
      <c r="O825" s="25">
        <v>0</v>
      </c>
      <c r="P825" s="25">
        <v>0</v>
      </c>
      <c r="Q825" s="25">
        <v>0</v>
      </c>
      <c r="R825" s="25">
        <v>0</v>
      </c>
      <c r="S825" s="25">
        <v>0</v>
      </c>
      <c r="T825" s="25">
        <v>0</v>
      </c>
      <c r="U825" s="25">
        <v>0</v>
      </c>
      <c r="V825" s="25">
        <v>0</v>
      </c>
      <c r="W825" s="25">
        <v>0</v>
      </c>
      <c r="X825" s="25">
        <v>0</v>
      </c>
      <c r="Y825" s="25">
        <v>0</v>
      </c>
      <c r="Z825" s="25">
        <v>0</v>
      </c>
      <c r="AA825" s="25">
        <v>0</v>
      </c>
      <c r="AB825" s="25">
        <v>0</v>
      </c>
      <c r="AC825" s="25">
        <v>0</v>
      </c>
      <c r="AD825" s="25">
        <v>0</v>
      </c>
      <c r="AE825" s="25">
        <v>0</v>
      </c>
      <c r="AF825" s="25">
        <v>0</v>
      </c>
    </row>
    <row r="826" spans="1:32" x14ac:dyDescent="0.25">
      <c r="A826" s="25" t="s">
        <v>895</v>
      </c>
      <c r="B826" s="25">
        <v>0</v>
      </c>
      <c r="C826" s="25">
        <v>0</v>
      </c>
      <c r="D826" s="25">
        <v>0</v>
      </c>
      <c r="E826" s="25">
        <v>0</v>
      </c>
      <c r="F826" s="25">
        <v>0</v>
      </c>
      <c r="G826" s="25">
        <v>0</v>
      </c>
      <c r="H826" s="25">
        <v>0</v>
      </c>
      <c r="I826" s="25">
        <v>0</v>
      </c>
      <c r="J826" s="25">
        <v>0</v>
      </c>
      <c r="K826" s="25">
        <v>0</v>
      </c>
      <c r="L826" s="25">
        <v>0</v>
      </c>
      <c r="M826" s="25">
        <v>0</v>
      </c>
      <c r="N826" s="25">
        <v>0</v>
      </c>
      <c r="O826" s="25">
        <v>0</v>
      </c>
      <c r="P826" s="25">
        <v>0</v>
      </c>
      <c r="Q826" s="25">
        <v>0</v>
      </c>
      <c r="R826" s="25">
        <v>0</v>
      </c>
      <c r="S826" s="25">
        <v>0</v>
      </c>
      <c r="T826" s="25">
        <v>0</v>
      </c>
      <c r="U826" s="25">
        <v>0</v>
      </c>
      <c r="V826" s="25">
        <v>0</v>
      </c>
      <c r="W826" s="25">
        <v>0</v>
      </c>
      <c r="X826" s="25">
        <v>0</v>
      </c>
      <c r="Y826" s="25">
        <v>0</v>
      </c>
      <c r="Z826" s="25">
        <v>0</v>
      </c>
      <c r="AA826" s="25">
        <v>0</v>
      </c>
      <c r="AB826" s="25">
        <v>0</v>
      </c>
      <c r="AC826" s="25">
        <v>0</v>
      </c>
      <c r="AD826" s="25">
        <v>0</v>
      </c>
      <c r="AE826" s="25">
        <v>0</v>
      </c>
      <c r="AF826" s="25">
        <v>0</v>
      </c>
    </row>
    <row r="827" spans="1:32" x14ac:dyDescent="0.25">
      <c r="A827" s="25" t="s">
        <v>896</v>
      </c>
      <c r="B827" s="25">
        <v>0</v>
      </c>
      <c r="C827" s="25">
        <v>0</v>
      </c>
      <c r="D827" s="25">
        <v>0</v>
      </c>
      <c r="E827" s="25">
        <v>0</v>
      </c>
      <c r="F827" s="25">
        <v>0</v>
      </c>
      <c r="G827" s="25">
        <v>0</v>
      </c>
      <c r="H827" s="25">
        <v>0</v>
      </c>
      <c r="I827" s="25">
        <v>0</v>
      </c>
      <c r="J827" s="25">
        <v>0</v>
      </c>
      <c r="K827" s="25">
        <v>0</v>
      </c>
      <c r="L827" s="25">
        <v>0</v>
      </c>
      <c r="M827" s="25">
        <v>0</v>
      </c>
      <c r="N827" s="25">
        <v>0</v>
      </c>
      <c r="O827" s="25">
        <v>0</v>
      </c>
      <c r="P827" s="25">
        <v>0</v>
      </c>
      <c r="Q827" s="25">
        <v>0</v>
      </c>
      <c r="R827" s="25">
        <v>0</v>
      </c>
      <c r="S827" s="25">
        <v>0</v>
      </c>
      <c r="T827" s="25">
        <v>0</v>
      </c>
      <c r="U827" s="25">
        <v>0</v>
      </c>
      <c r="V827" s="25">
        <v>0</v>
      </c>
      <c r="W827" s="25">
        <v>0</v>
      </c>
      <c r="X827" s="25">
        <v>0</v>
      </c>
      <c r="Y827" s="25">
        <v>0</v>
      </c>
      <c r="Z827" s="25">
        <v>0</v>
      </c>
      <c r="AA827" s="25">
        <v>0</v>
      </c>
      <c r="AB827" s="25">
        <v>0</v>
      </c>
      <c r="AC827" s="25">
        <v>0</v>
      </c>
      <c r="AD827" s="25">
        <v>0</v>
      </c>
      <c r="AE827" s="25">
        <v>0</v>
      </c>
      <c r="AF827" s="25">
        <v>0</v>
      </c>
    </row>
    <row r="828" spans="1:32" x14ac:dyDescent="0.25">
      <c r="A828" s="25" t="s">
        <v>897</v>
      </c>
      <c r="B828" s="25">
        <v>0</v>
      </c>
      <c r="C828" s="25">
        <v>0</v>
      </c>
      <c r="D828" s="25">
        <v>0</v>
      </c>
      <c r="E828" s="25">
        <v>0</v>
      </c>
      <c r="F828" s="25">
        <v>0</v>
      </c>
      <c r="G828" s="25">
        <v>0</v>
      </c>
      <c r="H828" s="25">
        <v>0</v>
      </c>
      <c r="I828" s="25">
        <v>0</v>
      </c>
      <c r="J828" s="25">
        <v>0</v>
      </c>
      <c r="K828" s="25">
        <v>0</v>
      </c>
      <c r="L828" s="25">
        <v>0</v>
      </c>
      <c r="M828" s="25">
        <v>0</v>
      </c>
      <c r="N828" s="25">
        <v>0</v>
      </c>
      <c r="O828" s="25">
        <v>0</v>
      </c>
      <c r="P828" s="25">
        <v>0</v>
      </c>
      <c r="Q828" s="25">
        <v>0</v>
      </c>
      <c r="R828" s="25">
        <v>0</v>
      </c>
      <c r="S828" s="25">
        <v>0</v>
      </c>
      <c r="T828" s="25">
        <v>0</v>
      </c>
      <c r="U828" s="25">
        <v>0</v>
      </c>
      <c r="V828" s="25">
        <v>0</v>
      </c>
      <c r="W828" s="25">
        <v>0</v>
      </c>
      <c r="X828" s="25">
        <v>0</v>
      </c>
      <c r="Y828" s="25">
        <v>0</v>
      </c>
      <c r="Z828" s="25">
        <v>0</v>
      </c>
      <c r="AA828" s="25">
        <v>0</v>
      </c>
      <c r="AB828" s="25">
        <v>0</v>
      </c>
      <c r="AC828" s="25">
        <v>0</v>
      </c>
      <c r="AD828" s="25">
        <v>0</v>
      </c>
      <c r="AE828" s="25">
        <v>0</v>
      </c>
      <c r="AF828" s="25">
        <v>0</v>
      </c>
    </row>
    <row r="829" spans="1:32" x14ac:dyDescent="0.25">
      <c r="A829" s="25" t="s">
        <v>898</v>
      </c>
      <c r="B829" s="25">
        <v>0</v>
      </c>
      <c r="C829" s="25">
        <v>0</v>
      </c>
      <c r="D829" s="25">
        <v>0</v>
      </c>
      <c r="E829" s="25">
        <v>0</v>
      </c>
      <c r="F829" s="25">
        <v>0</v>
      </c>
      <c r="G829" s="25">
        <v>0</v>
      </c>
      <c r="H829" s="25">
        <v>0</v>
      </c>
      <c r="I829" s="25">
        <v>0</v>
      </c>
      <c r="J829" s="25">
        <v>0</v>
      </c>
      <c r="K829" s="25">
        <v>0</v>
      </c>
      <c r="L829" s="25">
        <v>0</v>
      </c>
      <c r="M829" s="25">
        <v>0</v>
      </c>
      <c r="N829" s="25">
        <v>0</v>
      </c>
      <c r="O829" s="25">
        <v>0</v>
      </c>
      <c r="P829" s="25">
        <v>0</v>
      </c>
      <c r="Q829" s="25">
        <v>0</v>
      </c>
      <c r="R829" s="25">
        <v>0</v>
      </c>
      <c r="S829" s="25">
        <v>0</v>
      </c>
      <c r="T829" s="25">
        <v>0</v>
      </c>
      <c r="U829" s="25">
        <v>0</v>
      </c>
      <c r="V829" s="25">
        <v>0</v>
      </c>
      <c r="W829" s="25">
        <v>0</v>
      </c>
      <c r="X829" s="25">
        <v>0</v>
      </c>
      <c r="Y829" s="25">
        <v>0</v>
      </c>
      <c r="Z829" s="25">
        <v>0</v>
      </c>
      <c r="AA829" s="25">
        <v>0</v>
      </c>
      <c r="AB829" s="25">
        <v>0</v>
      </c>
      <c r="AC829" s="25">
        <v>0</v>
      </c>
      <c r="AD829" s="25">
        <v>0</v>
      </c>
      <c r="AE829" s="25">
        <v>0</v>
      </c>
      <c r="AF829" s="25">
        <v>0</v>
      </c>
    </row>
    <row r="830" spans="1:32" x14ac:dyDescent="0.25">
      <c r="A830" s="25" t="s">
        <v>899</v>
      </c>
      <c r="B830" s="25">
        <v>0</v>
      </c>
      <c r="C830" s="25">
        <v>0</v>
      </c>
      <c r="D830" s="25">
        <v>0</v>
      </c>
      <c r="E830" s="25">
        <v>0</v>
      </c>
      <c r="F830" s="25">
        <v>0</v>
      </c>
      <c r="G830" s="25">
        <v>0</v>
      </c>
      <c r="H830" s="25">
        <v>0</v>
      </c>
      <c r="I830" s="25">
        <v>0</v>
      </c>
      <c r="J830" s="25">
        <v>0</v>
      </c>
      <c r="K830" s="25">
        <v>0</v>
      </c>
      <c r="L830" s="25">
        <v>0</v>
      </c>
      <c r="M830" s="25">
        <v>0</v>
      </c>
      <c r="N830" s="25">
        <v>0</v>
      </c>
      <c r="O830" s="25">
        <v>0</v>
      </c>
      <c r="P830" s="25">
        <v>0</v>
      </c>
      <c r="Q830" s="25">
        <v>0</v>
      </c>
      <c r="R830" s="25">
        <v>0</v>
      </c>
      <c r="S830" s="25">
        <v>0</v>
      </c>
      <c r="T830" s="25">
        <v>0</v>
      </c>
      <c r="U830" s="25">
        <v>0</v>
      </c>
      <c r="V830" s="25">
        <v>0</v>
      </c>
      <c r="W830" s="25">
        <v>0</v>
      </c>
      <c r="X830" s="25">
        <v>0</v>
      </c>
      <c r="Y830" s="25">
        <v>0</v>
      </c>
      <c r="Z830" s="25">
        <v>0</v>
      </c>
      <c r="AA830" s="25">
        <v>0</v>
      </c>
      <c r="AB830" s="25">
        <v>0</v>
      </c>
      <c r="AC830" s="25">
        <v>0</v>
      </c>
      <c r="AD830" s="25">
        <v>0</v>
      </c>
      <c r="AE830" s="25">
        <v>0</v>
      </c>
      <c r="AF830" s="25">
        <v>0</v>
      </c>
    </row>
    <row r="831" spans="1:32" x14ac:dyDescent="0.25">
      <c r="A831" s="25" t="s">
        <v>900</v>
      </c>
      <c r="B831" s="25">
        <v>0</v>
      </c>
      <c r="C831" s="25">
        <v>0</v>
      </c>
      <c r="D831" s="25">
        <v>0</v>
      </c>
      <c r="E831" s="25">
        <v>0</v>
      </c>
      <c r="F831" s="25">
        <v>0</v>
      </c>
      <c r="G831" s="25">
        <v>0</v>
      </c>
      <c r="H831" s="25">
        <v>0</v>
      </c>
      <c r="I831" s="25">
        <v>0</v>
      </c>
      <c r="J831" s="25">
        <v>0</v>
      </c>
      <c r="K831" s="25">
        <v>0</v>
      </c>
      <c r="L831" s="25">
        <v>0</v>
      </c>
      <c r="M831" s="25">
        <v>0</v>
      </c>
      <c r="N831" s="25">
        <v>0</v>
      </c>
      <c r="O831" s="25">
        <v>0</v>
      </c>
      <c r="P831" s="25">
        <v>0</v>
      </c>
      <c r="Q831" s="25">
        <v>0</v>
      </c>
      <c r="R831" s="25">
        <v>0</v>
      </c>
      <c r="S831" s="25">
        <v>0</v>
      </c>
      <c r="T831" s="25">
        <v>0</v>
      </c>
      <c r="U831" s="25">
        <v>0</v>
      </c>
      <c r="V831" s="25">
        <v>0</v>
      </c>
      <c r="W831" s="25">
        <v>0</v>
      </c>
      <c r="X831" s="25">
        <v>0</v>
      </c>
      <c r="Y831" s="25">
        <v>0</v>
      </c>
      <c r="Z831" s="25">
        <v>0</v>
      </c>
      <c r="AA831" s="25">
        <v>0</v>
      </c>
      <c r="AB831" s="25">
        <v>0</v>
      </c>
      <c r="AC831" s="25">
        <v>0</v>
      </c>
      <c r="AD831" s="25">
        <v>0</v>
      </c>
      <c r="AE831" s="25">
        <v>0</v>
      </c>
      <c r="AF831" s="25">
        <v>0</v>
      </c>
    </row>
    <row r="832" spans="1:32" x14ac:dyDescent="0.25">
      <c r="A832" s="25" t="s">
        <v>901</v>
      </c>
      <c r="B832" s="25">
        <v>0</v>
      </c>
      <c r="C832" s="25">
        <v>0</v>
      </c>
      <c r="D832" s="25">
        <v>0</v>
      </c>
      <c r="E832" s="25">
        <v>0</v>
      </c>
      <c r="F832" s="25">
        <v>0</v>
      </c>
      <c r="G832" s="25">
        <v>0</v>
      </c>
      <c r="H832" s="25">
        <v>0</v>
      </c>
      <c r="I832" s="25">
        <v>0</v>
      </c>
      <c r="J832" s="25">
        <v>0</v>
      </c>
      <c r="K832" s="25">
        <v>0</v>
      </c>
      <c r="L832" s="25">
        <v>0</v>
      </c>
      <c r="M832" s="25">
        <v>0</v>
      </c>
      <c r="N832" s="25">
        <v>0</v>
      </c>
      <c r="O832" s="25">
        <v>0</v>
      </c>
      <c r="P832" s="25">
        <v>0</v>
      </c>
      <c r="Q832" s="25">
        <v>0</v>
      </c>
      <c r="R832" s="25">
        <v>0</v>
      </c>
      <c r="S832" s="25">
        <v>0</v>
      </c>
      <c r="T832" s="25">
        <v>0</v>
      </c>
      <c r="U832" s="25">
        <v>0</v>
      </c>
      <c r="V832" s="25">
        <v>0</v>
      </c>
      <c r="W832" s="25">
        <v>0</v>
      </c>
      <c r="X832" s="25">
        <v>0</v>
      </c>
      <c r="Y832" s="25">
        <v>0</v>
      </c>
      <c r="Z832" s="25">
        <v>0</v>
      </c>
      <c r="AA832" s="25">
        <v>0</v>
      </c>
      <c r="AB832" s="25">
        <v>0</v>
      </c>
      <c r="AC832" s="25">
        <v>0</v>
      </c>
      <c r="AD832" s="25">
        <v>0</v>
      </c>
      <c r="AE832" s="25">
        <v>0</v>
      </c>
      <c r="AF832" s="25">
        <v>0</v>
      </c>
    </row>
    <row r="833" spans="1:32" x14ac:dyDescent="0.25">
      <c r="A833" s="25" t="s">
        <v>902</v>
      </c>
      <c r="B833" s="25">
        <v>0</v>
      </c>
      <c r="C833" s="25">
        <v>0</v>
      </c>
      <c r="D833" s="25">
        <v>0</v>
      </c>
      <c r="E833" s="25">
        <v>0</v>
      </c>
      <c r="F833" s="25">
        <v>0</v>
      </c>
      <c r="G833" s="25">
        <v>0</v>
      </c>
      <c r="H833" s="25">
        <v>0</v>
      </c>
      <c r="I833" s="25">
        <v>0</v>
      </c>
      <c r="J833" s="25">
        <v>0</v>
      </c>
      <c r="K833" s="25">
        <v>0</v>
      </c>
      <c r="L833" s="25">
        <v>0</v>
      </c>
      <c r="M833" s="25">
        <v>0</v>
      </c>
      <c r="N833" s="25">
        <v>0</v>
      </c>
      <c r="O833" s="25">
        <v>0</v>
      </c>
      <c r="P833" s="25">
        <v>0</v>
      </c>
      <c r="Q833" s="25">
        <v>0</v>
      </c>
      <c r="R833" s="25">
        <v>0</v>
      </c>
      <c r="S833" s="25">
        <v>0</v>
      </c>
      <c r="T833" s="25">
        <v>0</v>
      </c>
      <c r="U833" s="25">
        <v>0</v>
      </c>
      <c r="V833" s="25">
        <v>0</v>
      </c>
      <c r="W833" s="25">
        <v>0</v>
      </c>
      <c r="X833" s="25">
        <v>0</v>
      </c>
      <c r="Y833" s="25">
        <v>0</v>
      </c>
      <c r="Z833" s="25">
        <v>0</v>
      </c>
      <c r="AA833" s="25">
        <v>0</v>
      </c>
      <c r="AB833" s="25">
        <v>0</v>
      </c>
      <c r="AC833" s="25">
        <v>0</v>
      </c>
      <c r="AD833" s="25">
        <v>0</v>
      </c>
      <c r="AE833" s="25">
        <v>0</v>
      </c>
      <c r="AF833" s="25">
        <v>0</v>
      </c>
    </row>
    <row r="834" spans="1:32" x14ac:dyDescent="0.25">
      <c r="A834" s="25" t="s">
        <v>903</v>
      </c>
      <c r="B834" s="25">
        <v>0</v>
      </c>
      <c r="C834" s="25">
        <v>0</v>
      </c>
      <c r="D834" s="25">
        <v>0</v>
      </c>
      <c r="E834" s="25">
        <v>0</v>
      </c>
      <c r="F834" s="25">
        <v>0</v>
      </c>
      <c r="G834" s="25">
        <v>0</v>
      </c>
      <c r="H834" s="25">
        <v>0</v>
      </c>
      <c r="I834" s="25">
        <v>0</v>
      </c>
      <c r="J834" s="25">
        <v>0</v>
      </c>
      <c r="K834" s="25">
        <v>0</v>
      </c>
      <c r="L834" s="25">
        <v>0</v>
      </c>
      <c r="M834" s="25">
        <v>0</v>
      </c>
      <c r="N834" s="25">
        <v>0</v>
      </c>
      <c r="O834" s="25">
        <v>0</v>
      </c>
      <c r="P834" s="25">
        <v>0</v>
      </c>
      <c r="Q834" s="25">
        <v>0</v>
      </c>
      <c r="R834" s="25">
        <v>0</v>
      </c>
      <c r="S834" s="25">
        <v>0</v>
      </c>
      <c r="T834" s="25">
        <v>0</v>
      </c>
      <c r="U834" s="25">
        <v>0</v>
      </c>
      <c r="V834" s="25">
        <v>0</v>
      </c>
      <c r="W834" s="25">
        <v>0</v>
      </c>
      <c r="X834" s="25">
        <v>0</v>
      </c>
      <c r="Y834" s="25">
        <v>0</v>
      </c>
      <c r="Z834" s="25">
        <v>0</v>
      </c>
      <c r="AA834" s="25">
        <v>0</v>
      </c>
      <c r="AB834" s="25">
        <v>0</v>
      </c>
      <c r="AC834" s="25">
        <v>0</v>
      </c>
      <c r="AD834" s="25">
        <v>0</v>
      </c>
      <c r="AE834" s="25">
        <v>0</v>
      </c>
      <c r="AF834" s="25">
        <v>0</v>
      </c>
    </row>
    <row r="835" spans="1:32" x14ac:dyDescent="0.25">
      <c r="A835" s="25" t="s">
        <v>904</v>
      </c>
      <c r="B835" s="25">
        <v>0</v>
      </c>
      <c r="C835" s="25">
        <v>0</v>
      </c>
      <c r="D835" s="25">
        <v>0</v>
      </c>
      <c r="E835" s="25">
        <v>0</v>
      </c>
      <c r="F835" s="25">
        <v>0</v>
      </c>
      <c r="G835" s="25">
        <v>0</v>
      </c>
      <c r="H835" s="25">
        <v>0</v>
      </c>
      <c r="I835" s="25">
        <v>0</v>
      </c>
      <c r="J835" s="25">
        <v>0</v>
      </c>
      <c r="K835" s="25">
        <v>0</v>
      </c>
      <c r="L835" s="25">
        <v>0</v>
      </c>
      <c r="M835" s="25">
        <v>0</v>
      </c>
      <c r="N835" s="25">
        <v>0</v>
      </c>
      <c r="O835" s="25">
        <v>0</v>
      </c>
      <c r="P835" s="25">
        <v>0</v>
      </c>
      <c r="Q835" s="25">
        <v>0</v>
      </c>
      <c r="R835" s="25">
        <v>0</v>
      </c>
      <c r="S835" s="25">
        <v>0</v>
      </c>
      <c r="T835" s="25">
        <v>0</v>
      </c>
      <c r="U835" s="25">
        <v>0</v>
      </c>
      <c r="V835" s="25">
        <v>0</v>
      </c>
      <c r="W835" s="25">
        <v>0</v>
      </c>
      <c r="X835" s="25">
        <v>0</v>
      </c>
      <c r="Y835" s="25">
        <v>0</v>
      </c>
      <c r="Z835" s="25">
        <v>0</v>
      </c>
      <c r="AA835" s="25">
        <v>0</v>
      </c>
      <c r="AB835" s="25">
        <v>0</v>
      </c>
      <c r="AC835" s="25">
        <v>0</v>
      </c>
      <c r="AD835" s="25">
        <v>0</v>
      </c>
      <c r="AE835" s="25">
        <v>0</v>
      </c>
      <c r="AF835" s="25">
        <v>0</v>
      </c>
    </row>
    <row r="836" spans="1:32" x14ac:dyDescent="0.25">
      <c r="A836" s="25" t="s">
        <v>905</v>
      </c>
      <c r="B836" s="25">
        <v>0</v>
      </c>
      <c r="C836" s="25">
        <v>0</v>
      </c>
      <c r="D836" s="25">
        <v>0</v>
      </c>
      <c r="E836" s="25">
        <v>0</v>
      </c>
      <c r="F836" s="25">
        <v>0</v>
      </c>
      <c r="G836" s="25">
        <v>0</v>
      </c>
      <c r="H836" s="25">
        <v>0</v>
      </c>
      <c r="I836" s="25">
        <v>0</v>
      </c>
      <c r="J836" s="25">
        <v>0</v>
      </c>
      <c r="K836" s="25">
        <v>0</v>
      </c>
      <c r="L836" s="25">
        <v>0</v>
      </c>
      <c r="M836" s="25">
        <v>0</v>
      </c>
      <c r="N836" s="25">
        <v>0</v>
      </c>
      <c r="O836" s="25">
        <v>0</v>
      </c>
      <c r="P836" s="25">
        <v>0</v>
      </c>
      <c r="Q836" s="25">
        <v>0</v>
      </c>
      <c r="R836" s="25">
        <v>0</v>
      </c>
      <c r="S836" s="25">
        <v>0</v>
      </c>
      <c r="T836" s="25">
        <v>0</v>
      </c>
      <c r="U836" s="25">
        <v>0</v>
      </c>
      <c r="V836" s="25">
        <v>0</v>
      </c>
      <c r="W836" s="25">
        <v>0</v>
      </c>
      <c r="X836" s="25">
        <v>0</v>
      </c>
      <c r="Y836" s="25">
        <v>0</v>
      </c>
      <c r="Z836" s="25">
        <v>0</v>
      </c>
      <c r="AA836" s="25">
        <v>0</v>
      </c>
      <c r="AB836" s="25">
        <v>0</v>
      </c>
      <c r="AC836" s="25">
        <v>0</v>
      </c>
      <c r="AD836" s="25">
        <v>0</v>
      </c>
      <c r="AE836" s="25">
        <v>0</v>
      </c>
      <c r="AF836" s="25">
        <v>0</v>
      </c>
    </row>
    <row r="837" spans="1:32" x14ac:dyDescent="0.25">
      <c r="A837" s="25" t="s">
        <v>906</v>
      </c>
      <c r="B837" s="25">
        <v>0</v>
      </c>
      <c r="C837" s="25">
        <v>0</v>
      </c>
      <c r="D837" s="25">
        <v>0</v>
      </c>
      <c r="E837" s="25">
        <v>0</v>
      </c>
      <c r="F837" s="25">
        <v>0</v>
      </c>
      <c r="G837" s="25">
        <v>0</v>
      </c>
      <c r="H837" s="25">
        <v>0</v>
      </c>
      <c r="I837" s="25">
        <v>0</v>
      </c>
      <c r="J837" s="25">
        <v>0</v>
      </c>
      <c r="K837" s="25">
        <v>0</v>
      </c>
      <c r="L837" s="25">
        <v>0</v>
      </c>
      <c r="M837" s="25">
        <v>0</v>
      </c>
      <c r="N837" s="25">
        <v>0</v>
      </c>
      <c r="O837" s="25">
        <v>0</v>
      </c>
      <c r="P837" s="25">
        <v>0</v>
      </c>
      <c r="Q837" s="25">
        <v>0</v>
      </c>
      <c r="R837" s="25">
        <v>0</v>
      </c>
      <c r="S837" s="25">
        <v>0</v>
      </c>
      <c r="T837" s="25">
        <v>0</v>
      </c>
      <c r="U837" s="25">
        <v>0</v>
      </c>
      <c r="V837" s="25">
        <v>0</v>
      </c>
      <c r="W837" s="25">
        <v>0</v>
      </c>
      <c r="X837" s="25">
        <v>0</v>
      </c>
      <c r="Y837" s="25">
        <v>0</v>
      </c>
      <c r="Z837" s="25">
        <v>0</v>
      </c>
      <c r="AA837" s="25">
        <v>0</v>
      </c>
      <c r="AB837" s="25">
        <v>0</v>
      </c>
      <c r="AC837" s="25">
        <v>0</v>
      </c>
      <c r="AD837" s="25">
        <v>0</v>
      </c>
      <c r="AE837" s="25">
        <v>0</v>
      </c>
      <c r="AF837" s="25">
        <v>0</v>
      </c>
    </row>
    <row r="838" spans="1:32" x14ac:dyDescent="0.25">
      <c r="A838" s="25" t="s">
        <v>907</v>
      </c>
      <c r="B838" s="25">
        <v>0</v>
      </c>
      <c r="C838" s="25">
        <v>0</v>
      </c>
      <c r="D838" s="25">
        <v>0</v>
      </c>
      <c r="E838" s="25">
        <v>0</v>
      </c>
      <c r="F838" s="25">
        <v>0</v>
      </c>
      <c r="G838" s="25">
        <v>0</v>
      </c>
      <c r="H838" s="25">
        <v>0</v>
      </c>
      <c r="I838" s="25">
        <v>0</v>
      </c>
      <c r="J838" s="25">
        <v>0</v>
      </c>
      <c r="K838" s="25">
        <v>0</v>
      </c>
      <c r="L838" s="25">
        <v>0</v>
      </c>
      <c r="M838" s="25">
        <v>0</v>
      </c>
      <c r="N838" s="25">
        <v>0</v>
      </c>
      <c r="O838" s="25">
        <v>0</v>
      </c>
      <c r="P838" s="25">
        <v>0</v>
      </c>
      <c r="Q838" s="25">
        <v>0</v>
      </c>
      <c r="R838" s="25">
        <v>0</v>
      </c>
      <c r="S838" s="25">
        <v>0</v>
      </c>
      <c r="T838" s="25">
        <v>0</v>
      </c>
      <c r="U838" s="25">
        <v>0</v>
      </c>
      <c r="V838" s="25">
        <v>0</v>
      </c>
      <c r="W838" s="25">
        <v>0</v>
      </c>
      <c r="X838" s="25">
        <v>0</v>
      </c>
      <c r="Y838" s="25">
        <v>0</v>
      </c>
      <c r="Z838" s="25">
        <v>0</v>
      </c>
      <c r="AA838" s="25">
        <v>0</v>
      </c>
      <c r="AB838" s="25">
        <v>0</v>
      </c>
      <c r="AC838" s="25">
        <v>0</v>
      </c>
      <c r="AD838" s="25">
        <v>0</v>
      </c>
      <c r="AE838" s="25">
        <v>0</v>
      </c>
      <c r="AF838" s="25">
        <v>0</v>
      </c>
    </row>
    <row r="839" spans="1:32" x14ac:dyDescent="0.25">
      <c r="A839" s="25" t="s">
        <v>908</v>
      </c>
      <c r="B839" s="25">
        <v>0</v>
      </c>
      <c r="C839" s="25">
        <v>0</v>
      </c>
      <c r="D839" s="25">
        <v>0</v>
      </c>
      <c r="E839" s="25">
        <v>0</v>
      </c>
      <c r="F839" s="25">
        <v>0</v>
      </c>
      <c r="G839" s="25">
        <v>0</v>
      </c>
      <c r="H839" s="25">
        <v>0</v>
      </c>
      <c r="I839" s="25">
        <v>0</v>
      </c>
      <c r="J839" s="25">
        <v>0</v>
      </c>
      <c r="K839" s="25">
        <v>0</v>
      </c>
      <c r="L839" s="25">
        <v>0</v>
      </c>
      <c r="M839" s="25">
        <v>0</v>
      </c>
      <c r="N839" s="25">
        <v>0</v>
      </c>
      <c r="O839" s="25">
        <v>0</v>
      </c>
      <c r="P839" s="25">
        <v>0</v>
      </c>
      <c r="Q839" s="25">
        <v>0</v>
      </c>
      <c r="R839" s="25">
        <v>0</v>
      </c>
      <c r="S839" s="25">
        <v>0</v>
      </c>
      <c r="T839" s="25">
        <v>0</v>
      </c>
      <c r="U839" s="25">
        <v>0</v>
      </c>
      <c r="V839" s="25">
        <v>0</v>
      </c>
      <c r="W839" s="25">
        <v>0</v>
      </c>
      <c r="X839" s="25">
        <v>0</v>
      </c>
      <c r="Y839" s="25">
        <v>0</v>
      </c>
      <c r="Z839" s="25">
        <v>0</v>
      </c>
      <c r="AA839" s="25">
        <v>0</v>
      </c>
      <c r="AB839" s="25">
        <v>0</v>
      </c>
      <c r="AC839" s="25">
        <v>0</v>
      </c>
      <c r="AD839" s="25">
        <v>0</v>
      </c>
      <c r="AE839" s="25">
        <v>0</v>
      </c>
      <c r="AF839" s="25">
        <v>0</v>
      </c>
    </row>
    <row r="840" spans="1:32" x14ac:dyDescent="0.25">
      <c r="A840" s="25" t="s">
        <v>909</v>
      </c>
      <c r="B840" s="25">
        <v>0</v>
      </c>
      <c r="C840" s="25">
        <v>0</v>
      </c>
      <c r="D840" s="25">
        <v>0</v>
      </c>
      <c r="E840" s="25">
        <v>0</v>
      </c>
      <c r="F840" s="25">
        <v>0</v>
      </c>
      <c r="G840" s="25">
        <v>0</v>
      </c>
      <c r="H840" s="25">
        <v>0</v>
      </c>
      <c r="I840" s="25">
        <v>0</v>
      </c>
      <c r="J840" s="25">
        <v>0</v>
      </c>
      <c r="K840" s="25">
        <v>0</v>
      </c>
      <c r="L840" s="25">
        <v>0</v>
      </c>
      <c r="M840" s="25">
        <v>0</v>
      </c>
      <c r="N840" s="25">
        <v>0</v>
      </c>
      <c r="O840" s="25">
        <v>0</v>
      </c>
      <c r="P840" s="25">
        <v>0</v>
      </c>
      <c r="Q840" s="25">
        <v>0</v>
      </c>
      <c r="R840" s="25">
        <v>0</v>
      </c>
      <c r="S840" s="25">
        <v>0</v>
      </c>
      <c r="T840" s="25">
        <v>0</v>
      </c>
      <c r="U840" s="25">
        <v>0</v>
      </c>
      <c r="V840" s="25">
        <v>0</v>
      </c>
      <c r="W840" s="25">
        <v>0</v>
      </c>
      <c r="X840" s="25">
        <v>0</v>
      </c>
      <c r="Y840" s="25">
        <v>0</v>
      </c>
      <c r="Z840" s="25">
        <v>0</v>
      </c>
      <c r="AA840" s="25">
        <v>0</v>
      </c>
      <c r="AB840" s="25">
        <v>0</v>
      </c>
      <c r="AC840" s="25">
        <v>0</v>
      </c>
      <c r="AD840" s="25">
        <v>0</v>
      </c>
      <c r="AE840" s="25">
        <v>0</v>
      </c>
      <c r="AF840" s="25">
        <v>0</v>
      </c>
    </row>
    <row r="841" spans="1:32" x14ac:dyDescent="0.25">
      <c r="A841" s="25" t="s">
        <v>910</v>
      </c>
      <c r="B841" s="25">
        <v>0</v>
      </c>
      <c r="C841" s="25">
        <v>0</v>
      </c>
      <c r="D841" s="25">
        <v>0</v>
      </c>
      <c r="E841" s="25">
        <v>0</v>
      </c>
      <c r="F841" s="25">
        <v>0</v>
      </c>
      <c r="G841" s="25">
        <v>0</v>
      </c>
      <c r="H841" s="25">
        <v>0</v>
      </c>
      <c r="I841" s="25">
        <v>0</v>
      </c>
      <c r="J841" s="25">
        <v>0</v>
      </c>
      <c r="K841" s="25">
        <v>0</v>
      </c>
      <c r="L841" s="25">
        <v>0</v>
      </c>
      <c r="M841" s="25">
        <v>0</v>
      </c>
      <c r="N841" s="25">
        <v>0</v>
      </c>
      <c r="O841" s="25">
        <v>0</v>
      </c>
      <c r="P841" s="25">
        <v>0</v>
      </c>
      <c r="Q841" s="25">
        <v>0</v>
      </c>
      <c r="R841" s="25">
        <v>0</v>
      </c>
      <c r="S841" s="25">
        <v>0</v>
      </c>
      <c r="T841" s="25">
        <v>0</v>
      </c>
      <c r="U841" s="25">
        <v>0</v>
      </c>
      <c r="V841" s="25">
        <v>0</v>
      </c>
      <c r="W841" s="25">
        <v>0</v>
      </c>
      <c r="X841" s="25">
        <v>0</v>
      </c>
      <c r="Y841" s="25">
        <v>0</v>
      </c>
      <c r="Z841" s="25">
        <v>0</v>
      </c>
      <c r="AA841" s="25">
        <v>0</v>
      </c>
      <c r="AB841" s="25">
        <v>0</v>
      </c>
      <c r="AC841" s="25">
        <v>0</v>
      </c>
      <c r="AD841" s="25">
        <v>0</v>
      </c>
      <c r="AE841" s="25">
        <v>0</v>
      </c>
      <c r="AF841" s="25">
        <v>0</v>
      </c>
    </row>
    <row r="842" spans="1:32" x14ac:dyDescent="0.25">
      <c r="A842" s="25" t="s">
        <v>911</v>
      </c>
      <c r="B842" s="25">
        <v>0</v>
      </c>
      <c r="C842" s="25">
        <v>0</v>
      </c>
      <c r="D842" s="25">
        <v>0</v>
      </c>
      <c r="E842" s="25">
        <v>0</v>
      </c>
      <c r="F842" s="25">
        <v>0</v>
      </c>
      <c r="G842" s="25">
        <v>0</v>
      </c>
      <c r="H842" s="25">
        <v>0</v>
      </c>
      <c r="I842" s="25">
        <v>0</v>
      </c>
      <c r="J842" s="25">
        <v>0</v>
      </c>
      <c r="K842" s="25">
        <v>0</v>
      </c>
      <c r="L842" s="25">
        <v>0</v>
      </c>
      <c r="M842" s="25">
        <v>0</v>
      </c>
      <c r="N842" s="25">
        <v>0</v>
      </c>
      <c r="O842" s="25">
        <v>0</v>
      </c>
      <c r="P842" s="25">
        <v>0</v>
      </c>
      <c r="Q842" s="25">
        <v>0</v>
      </c>
      <c r="R842" s="25">
        <v>0</v>
      </c>
      <c r="S842" s="25">
        <v>0</v>
      </c>
      <c r="T842" s="25">
        <v>0</v>
      </c>
      <c r="U842" s="25">
        <v>0</v>
      </c>
      <c r="V842" s="25">
        <v>0</v>
      </c>
      <c r="W842" s="25">
        <v>0</v>
      </c>
      <c r="X842" s="25">
        <v>0</v>
      </c>
      <c r="Y842" s="25">
        <v>0</v>
      </c>
      <c r="Z842" s="25">
        <v>0</v>
      </c>
      <c r="AA842" s="25">
        <v>0</v>
      </c>
      <c r="AB842" s="25">
        <v>0</v>
      </c>
      <c r="AC842" s="25">
        <v>0</v>
      </c>
      <c r="AD842" s="25">
        <v>0</v>
      </c>
      <c r="AE842" s="25">
        <v>0</v>
      </c>
      <c r="AF842" s="25">
        <v>0</v>
      </c>
    </row>
    <row r="843" spans="1:32" x14ac:dyDescent="0.25">
      <c r="A843" s="25" t="s">
        <v>912</v>
      </c>
      <c r="B843" s="25">
        <v>0</v>
      </c>
      <c r="C843" s="25">
        <v>0</v>
      </c>
      <c r="D843" s="25">
        <v>0</v>
      </c>
      <c r="E843" s="25">
        <v>0</v>
      </c>
      <c r="F843" s="25">
        <v>0</v>
      </c>
      <c r="G843" s="25">
        <v>0</v>
      </c>
      <c r="H843" s="25">
        <v>0</v>
      </c>
      <c r="I843" s="25">
        <v>0</v>
      </c>
      <c r="J843" s="25">
        <v>0</v>
      </c>
      <c r="K843" s="25">
        <v>0</v>
      </c>
      <c r="L843" s="25">
        <v>0</v>
      </c>
      <c r="M843" s="25">
        <v>0</v>
      </c>
      <c r="N843" s="25">
        <v>0</v>
      </c>
      <c r="O843" s="25">
        <v>0</v>
      </c>
      <c r="P843" s="25">
        <v>0</v>
      </c>
      <c r="Q843" s="25">
        <v>0</v>
      </c>
      <c r="R843" s="25">
        <v>0</v>
      </c>
      <c r="S843" s="25">
        <v>0</v>
      </c>
      <c r="T843" s="25">
        <v>0</v>
      </c>
      <c r="U843" s="25">
        <v>0</v>
      </c>
      <c r="V843" s="25">
        <v>0</v>
      </c>
      <c r="W843" s="25">
        <v>0</v>
      </c>
      <c r="X843" s="25">
        <v>0</v>
      </c>
      <c r="Y843" s="25">
        <v>0</v>
      </c>
      <c r="Z843" s="25">
        <v>0</v>
      </c>
      <c r="AA843" s="25">
        <v>0</v>
      </c>
      <c r="AB843" s="25">
        <v>0</v>
      </c>
      <c r="AC843" s="25">
        <v>0</v>
      </c>
      <c r="AD843" s="25">
        <v>0</v>
      </c>
      <c r="AE843" s="25">
        <v>0</v>
      </c>
      <c r="AF843" s="25">
        <v>0</v>
      </c>
    </row>
    <row r="844" spans="1:32" x14ac:dyDescent="0.25">
      <c r="A844" s="25" t="s">
        <v>913</v>
      </c>
      <c r="B844" s="25">
        <v>0</v>
      </c>
      <c r="C844" s="25">
        <v>0</v>
      </c>
      <c r="D844" s="25">
        <v>0</v>
      </c>
      <c r="E844" s="25">
        <v>0</v>
      </c>
      <c r="F844" s="25">
        <v>0</v>
      </c>
      <c r="G844" s="25">
        <v>0</v>
      </c>
      <c r="H844" s="25">
        <v>0</v>
      </c>
      <c r="I844" s="25">
        <v>0</v>
      </c>
      <c r="J844" s="25">
        <v>0</v>
      </c>
      <c r="K844" s="25">
        <v>0</v>
      </c>
      <c r="L844" s="25">
        <v>0</v>
      </c>
      <c r="M844" s="25">
        <v>0</v>
      </c>
      <c r="N844" s="25">
        <v>0</v>
      </c>
      <c r="O844" s="25">
        <v>0</v>
      </c>
      <c r="P844" s="25">
        <v>0</v>
      </c>
      <c r="Q844" s="25">
        <v>0</v>
      </c>
      <c r="R844" s="25">
        <v>0</v>
      </c>
      <c r="S844" s="25">
        <v>0</v>
      </c>
      <c r="T844" s="25">
        <v>0</v>
      </c>
      <c r="U844" s="25">
        <v>0</v>
      </c>
      <c r="V844" s="25">
        <v>0</v>
      </c>
      <c r="W844" s="25">
        <v>0</v>
      </c>
      <c r="X844" s="25">
        <v>0</v>
      </c>
      <c r="Y844" s="25">
        <v>0</v>
      </c>
      <c r="Z844" s="25">
        <v>0</v>
      </c>
      <c r="AA844" s="25">
        <v>0</v>
      </c>
      <c r="AB844" s="25">
        <v>0</v>
      </c>
      <c r="AC844" s="25">
        <v>0</v>
      </c>
      <c r="AD844" s="25">
        <v>0</v>
      </c>
      <c r="AE844" s="25">
        <v>0</v>
      </c>
      <c r="AF844" s="25">
        <v>0</v>
      </c>
    </row>
    <row r="845" spans="1:32" x14ac:dyDescent="0.25">
      <c r="A845" s="25" t="s">
        <v>914</v>
      </c>
      <c r="B845" s="25">
        <v>0</v>
      </c>
      <c r="C845" s="25">
        <v>0</v>
      </c>
      <c r="D845" s="25">
        <v>0</v>
      </c>
      <c r="E845" s="25">
        <v>0</v>
      </c>
      <c r="F845" s="25">
        <v>0</v>
      </c>
      <c r="G845" s="25">
        <v>0</v>
      </c>
      <c r="H845" s="25">
        <v>0</v>
      </c>
      <c r="I845" s="25">
        <v>0</v>
      </c>
      <c r="J845" s="25">
        <v>0</v>
      </c>
      <c r="K845" s="25">
        <v>0</v>
      </c>
      <c r="L845" s="25">
        <v>0</v>
      </c>
      <c r="M845" s="25">
        <v>0</v>
      </c>
      <c r="N845" s="25">
        <v>0</v>
      </c>
      <c r="O845" s="25">
        <v>0</v>
      </c>
      <c r="P845" s="25">
        <v>0</v>
      </c>
      <c r="Q845" s="25">
        <v>0</v>
      </c>
      <c r="R845" s="25">
        <v>0</v>
      </c>
      <c r="S845" s="25">
        <v>0</v>
      </c>
      <c r="T845" s="25">
        <v>0</v>
      </c>
      <c r="U845" s="25">
        <v>0</v>
      </c>
      <c r="V845" s="25">
        <v>0</v>
      </c>
      <c r="W845" s="25">
        <v>0</v>
      </c>
      <c r="X845" s="25">
        <v>0</v>
      </c>
      <c r="Y845" s="25">
        <v>0</v>
      </c>
      <c r="Z845" s="25">
        <v>0</v>
      </c>
      <c r="AA845" s="25">
        <v>0</v>
      </c>
      <c r="AB845" s="25">
        <v>0</v>
      </c>
      <c r="AC845" s="25">
        <v>0</v>
      </c>
      <c r="AD845" s="25">
        <v>0</v>
      </c>
      <c r="AE845" s="25">
        <v>0</v>
      </c>
      <c r="AF845" s="25">
        <v>0</v>
      </c>
    </row>
    <row r="846" spans="1:32" x14ac:dyDescent="0.25">
      <c r="A846" s="25" t="s">
        <v>915</v>
      </c>
      <c r="B846" s="25">
        <v>0</v>
      </c>
      <c r="C846" s="25">
        <v>0</v>
      </c>
      <c r="D846" s="25">
        <v>0</v>
      </c>
      <c r="E846" s="25">
        <v>0</v>
      </c>
      <c r="F846" s="25">
        <v>0</v>
      </c>
      <c r="G846" s="25">
        <v>0</v>
      </c>
      <c r="H846" s="25">
        <v>0</v>
      </c>
      <c r="I846" s="25">
        <v>0</v>
      </c>
      <c r="J846" s="25">
        <v>0</v>
      </c>
      <c r="K846" s="25">
        <v>0</v>
      </c>
      <c r="L846" s="25">
        <v>0</v>
      </c>
      <c r="M846" s="25">
        <v>0</v>
      </c>
      <c r="N846" s="25">
        <v>0</v>
      </c>
      <c r="O846" s="25">
        <v>0</v>
      </c>
      <c r="P846" s="25">
        <v>0</v>
      </c>
      <c r="Q846" s="25">
        <v>0</v>
      </c>
      <c r="R846" s="25">
        <v>0</v>
      </c>
      <c r="S846" s="25">
        <v>0</v>
      </c>
      <c r="T846" s="25">
        <v>0</v>
      </c>
      <c r="U846" s="25">
        <v>0</v>
      </c>
      <c r="V846" s="25">
        <v>0</v>
      </c>
      <c r="W846" s="25">
        <v>0</v>
      </c>
      <c r="X846" s="25">
        <v>0</v>
      </c>
      <c r="Y846" s="25">
        <v>0</v>
      </c>
      <c r="Z846" s="25">
        <v>0</v>
      </c>
      <c r="AA846" s="25">
        <v>0</v>
      </c>
      <c r="AB846" s="25">
        <v>0</v>
      </c>
      <c r="AC846" s="25">
        <v>0</v>
      </c>
      <c r="AD846" s="25">
        <v>0</v>
      </c>
      <c r="AE846" s="25">
        <v>0</v>
      </c>
      <c r="AF846" s="25">
        <v>0</v>
      </c>
    </row>
    <row r="847" spans="1:32" x14ac:dyDescent="0.25">
      <c r="A847" s="25" t="s">
        <v>916</v>
      </c>
      <c r="B847" s="25">
        <v>0</v>
      </c>
      <c r="C847" s="25">
        <v>0</v>
      </c>
      <c r="D847" s="25">
        <v>0</v>
      </c>
      <c r="E847" s="25">
        <v>0</v>
      </c>
      <c r="F847" s="25">
        <v>0</v>
      </c>
      <c r="G847" s="25">
        <v>0</v>
      </c>
      <c r="H847" s="25">
        <v>0</v>
      </c>
      <c r="I847" s="25">
        <v>0</v>
      </c>
      <c r="J847" s="25">
        <v>0</v>
      </c>
      <c r="K847" s="25">
        <v>0</v>
      </c>
      <c r="L847" s="25">
        <v>0</v>
      </c>
      <c r="M847" s="25">
        <v>0</v>
      </c>
      <c r="N847" s="25">
        <v>0</v>
      </c>
      <c r="O847" s="25">
        <v>0</v>
      </c>
      <c r="P847" s="25">
        <v>0</v>
      </c>
      <c r="Q847" s="25">
        <v>0</v>
      </c>
      <c r="R847" s="25">
        <v>0</v>
      </c>
      <c r="S847" s="25">
        <v>0</v>
      </c>
      <c r="T847" s="25">
        <v>0</v>
      </c>
      <c r="U847" s="25">
        <v>0</v>
      </c>
      <c r="V847" s="25">
        <v>0</v>
      </c>
      <c r="W847" s="25">
        <v>0</v>
      </c>
      <c r="X847" s="25">
        <v>0</v>
      </c>
      <c r="Y847" s="25">
        <v>0</v>
      </c>
      <c r="Z847" s="25">
        <v>0</v>
      </c>
      <c r="AA847" s="25">
        <v>0</v>
      </c>
      <c r="AB847" s="25">
        <v>0</v>
      </c>
      <c r="AC847" s="25">
        <v>0</v>
      </c>
      <c r="AD847" s="25">
        <v>0</v>
      </c>
      <c r="AE847" s="25">
        <v>0</v>
      </c>
      <c r="AF847" s="25">
        <v>0</v>
      </c>
    </row>
    <row r="848" spans="1:32" x14ac:dyDescent="0.25">
      <c r="A848" s="25" t="s">
        <v>917</v>
      </c>
      <c r="B848" s="25">
        <v>0</v>
      </c>
      <c r="C848" s="25">
        <v>0</v>
      </c>
      <c r="D848" s="25">
        <v>0</v>
      </c>
      <c r="E848" s="25">
        <v>0</v>
      </c>
      <c r="F848" s="25">
        <v>0</v>
      </c>
      <c r="G848" s="25">
        <v>0</v>
      </c>
      <c r="H848" s="25">
        <v>0</v>
      </c>
      <c r="I848" s="25">
        <v>0</v>
      </c>
      <c r="J848" s="25">
        <v>0</v>
      </c>
      <c r="K848" s="25">
        <v>0</v>
      </c>
      <c r="L848" s="25">
        <v>0</v>
      </c>
      <c r="M848" s="25">
        <v>0</v>
      </c>
      <c r="N848" s="25">
        <v>0</v>
      </c>
      <c r="O848" s="25">
        <v>0</v>
      </c>
      <c r="P848" s="25">
        <v>0</v>
      </c>
      <c r="Q848" s="25">
        <v>0</v>
      </c>
      <c r="R848" s="25">
        <v>0</v>
      </c>
      <c r="S848" s="25">
        <v>0</v>
      </c>
      <c r="T848" s="25">
        <v>0</v>
      </c>
      <c r="U848" s="25">
        <v>0</v>
      </c>
      <c r="V848" s="25">
        <v>0</v>
      </c>
      <c r="W848" s="25">
        <v>0</v>
      </c>
      <c r="X848" s="25">
        <v>0</v>
      </c>
      <c r="Y848" s="25">
        <v>0</v>
      </c>
      <c r="Z848" s="25">
        <v>0</v>
      </c>
      <c r="AA848" s="25">
        <v>0</v>
      </c>
      <c r="AB848" s="25">
        <v>0</v>
      </c>
      <c r="AC848" s="25">
        <v>0</v>
      </c>
      <c r="AD848" s="25">
        <v>0</v>
      </c>
      <c r="AE848" s="25">
        <v>0</v>
      </c>
      <c r="AF848" s="25">
        <v>0</v>
      </c>
    </row>
    <row r="849" spans="1:32" x14ac:dyDescent="0.25">
      <c r="A849" s="25" t="s">
        <v>918</v>
      </c>
      <c r="B849" s="25">
        <v>0</v>
      </c>
      <c r="C849" s="25">
        <v>0</v>
      </c>
      <c r="D849" s="25">
        <v>0</v>
      </c>
      <c r="E849" s="25">
        <v>0</v>
      </c>
      <c r="F849" s="25">
        <v>0</v>
      </c>
      <c r="G849" s="25">
        <v>0</v>
      </c>
      <c r="H849" s="25">
        <v>0</v>
      </c>
      <c r="I849" s="25">
        <v>0</v>
      </c>
      <c r="J849" s="25">
        <v>0</v>
      </c>
      <c r="K849" s="25">
        <v>0</v>
      </c>
      <c r="L849" s="25">
        <v>0</v>
      </c>
      <c r="M849" s="25">
        <v>0</v>
      </c>
      <c r="N849" s="25">
        <v>0</v>
      </c>
      <c r="O849" s="25">
        <v>0</v>
      </c>
      <c r="P849" s="25">
        <v>0</v>
      </c>
      <c r="Q849" s="25">
        <v>0</v>
      </c>
      <c r="R849" s="25">
        <v>0</v>
      </c>
      <c r="S849" s="25">
        <v>0</v>
      </c>
      <c r="T849" s="25">
        <v>0</v>
      </c>
      <c r="U849" s="25">
        <v>0</v>
      </c>
      <c r="V849" s="25">
        <v>0</v>
      </c>
      <c r="W849" s="25">
        <v>0</v>
      </c>
      <c r="X849" s="25">
        <v>0</v>
      </c>
      <c r="Y849" s="25">
        <v>0</v>
      </c>
      <c r="Z849" s="25">
        <v>0</v>
      </c>
      <c r="AA849" s="25">
        <v>0</v>
      </c>
      <c r="AB849" s="25">
        <v>0</v>
      </c>
      <c r="AC849" s="25">
        <v>0</v>
      </c>
      <c r="AD849" s="25">
        <v>0</v>
      </c>
      <c r="AE849" s="25">
        <v>0</v>
      </c>
      <c r="AF849" s="25">
        <v>0</v>
      </c>
    </row>
    <row r="850" spans="1:32" x14ac:dyDescent="0.25">
      <c r="A850" s="25" t="s">
        <v>919</v>
      </c>
      <c r="B850" s="25">
        <v>0</v>
      </c>
      <c r="C850" s="25">
        <v>0</v>
      </c>
      <c r="D850" s="25">
        <v>0</v>
      </c>
      <c r="E850" s="25">
        <v>0</v>
      </c>
      <c r="F850" s="25">
        <v>0</v>
      </c>
      <c r="G850" s="25">
        <v>0</v>
      </c>
      <c r="H850" s="25">
        <v>0</v>
      </c>
      <c r="I850" s="25">
        <v>0</v>
      </c>
      <c r="J850" s="25">
        <v>0</v>
      </c>
      <c r="K850" s="25">
        <v>0</v>
      </c>
      <c r="L850" s="25">
        <v>0</v>
      </c>
      <c r="M850" s="25">
        <v>0</v>
      </c>
      <c r="N850" s="25">
        <v>0</v>
      </c>
      <c r="O850" s="25">
        <v>0</v>
      </c>
      <c r="P850" s="25">
        <v>0</v>
      </c>
      <c r="Q850" s="25">
        <v>0</v>
      </c>
      <c r="R850" s="25">
        <v>0</v>
      </c>
      <c r="S850" s="25">
        <v>0</v>
      </c>
      <c r="T850" s="25">
        <v>0</v>
      </c>
      <c r="U850" s="25">
        <v>0</v>
      </c>
      <c r="V850" s="25">
        <v>0</v>
      </c>
      <c r="W850" s="25">
        <v>0</v>
      </c>
      <c r="X850" s="25">
        <v>0</v>
      </c>
      <c r="Y850" s="25">
        <v>0</v>
      </c>
      <c r="Z850" s="25">
        <v>0</v>
      </c>
      <c r="AA850" s="25">
        <v>0</v>
      </c>
      <c r="AB850" s="25">
        <v>0</v>
      </c>
      <c r="AC850" s="25">
        <v>0</v>
      </c>
      <c r="AD850" s="25">
        <v>0</v>
      </c>
      <c r="AE850" s="25">
        <v>0</v>
      </c>
      <c r="AF850" s="25">
        <v>0</v>
      </c>
    </row>
    <row r="851" spans="1:32" x14ac:dyDescent="0.25">
      <c r="A851" s="25" t="s">
        <v>920</v>
      </c>
      <c r="B851" s="25">
        <v>0</v>
      </c>
      <c r="C851" s="25">
        <v>0</v>
      </c>
      <c r="D851" s="25">
        <v>0</v>
      </c>
      <c r="E851" s="25">
        <v>0</v>
      </c>
      <c r="F851" s="25">
        <v>0</v>
      </c>
      <c r="G851" s="25">
        <v>0</v>
      </c>
      <c r="H851" s="25">
        <v>0</v>
      </c>
      <c r="I851" s="25">
        <v>0</v>
      </c>
      <c r="J851" s="25">
        <v>0</v>
      </c>
      <c r="K851" s="25">
        <v>0</v>
      </c>
      <c r="L851" s="25">
        <v>0</v>
      </c>
      <c r="M851" s="25">
        <v>0</v>
      </c>
      <c r="N851" s="25">
        <v>0</v>
      </c>
      <c r="O851" s="25">
        <v>0</v>
      </c>
      <c r="P851" s="25">
        <v>0</v>
      </c>
      <c r="Q851" s="25">
        <v>0</v>
      </c>
      <c r="R851" s="25">
        <v>0</v>
      </c>
      <c r="S851" s="25">
        <v>0</v>
      </c>
      <c r="T851" s="25">
        <v>0</v>
      </c>
      <c r="U851" s="25">
        <v>0</v>
      </c>
      <c r="V851" s="25">
        <v>0</v>
      </c>
      <c r="W851" s="25">
        <v>0</v>
      </c>
      <c r="X851" s="25">
        <v>0</v>
      </c>
      <c r="Y851" s="25">
        <v>0</v>
      </c>
      <c r="Z851" s="25">
        <v>0</v>
      </c>
      <c r="AA851" s="25">
        <v>0</v>
      </c>
      <c r="AB851" s="25">
        <v>0</v>
      </c>
      <c r="AC851" s="25">
        <v>0</v>
      </c>
      <c r="AD851" s="25">
        <v>0</v>
      </c>
      <c r="AE851" s="25">
        <v>0</v>
      </c>
      <c r="AF851" s="25">
        <v>0</v>
      </c>
    </row>
    <row r="852" spans="1:32" x14ac:dyDescent="0.25">
      <c r="A852" s="25" t="s">
        <v>921</v>
      </c>
      <c r="B852" s="25">
        <v>0</v>
      </c>
      <c r="C852" s="25">
        <v>0</v>
      </c>
      <c r="D852" s="25">
        <v>0</v>
      </c>
      <c r="E852" s="25">
        <v>0</v>
      </c>
      <c r="F852" s="25">
        <v>0</v>
      </c>
      <c r="G852" s="25">
        <v>0</v>
      </c>
      <c r="H852" s="25">
        <v>0</v>
      </c>
      <c r="I852" s="25">
        <v>0</v>
      </c>
      <c r="J852" s="25">
        <v>0</v>
      </c>
      <c r="K852" s="25">
        <v>0</v>
      </c>
      <c r="L852" s="25">
        <v>0</v>
      </c>
      <c r="M852" s="25">
        <v>0</v>
      </c>
      <c r="N852" s="25">
        <v>0</v>
      </c>
      <c r="O852" s="25">
        <v>0</v>
      </c>
      <c r="P852" s="25">
        <v>0</v>
      </c>
      <c r="Q852" s="25">
        <v>0</v>
      </c>
      <c r="R852" s="25">
        <v>0</v>
      </c>
      <c r="S852" s="25">
        <v>0</v>
      </c>
      <c r="T852" s="25">
        <v>0</v>
      </c>
      <c r="U852" s="25">
        <v>0</v>
      </c>
      <c r="V852" s="25">
        <v>0</v>
      </c>
      <c r="W852" s="25">
        <v>0</v>
      </c>
      <c r="X852" s="25">
        <v>0</v>
      </c>
      <c r="Y852" s="25">
        <v>0</v>
      </c>
      <c r="Z852" s="25">
        <v>0</v>
      </c>
      <c r="AA852" s="25">
        <v>0</v>
      </c>
      <c r="AB852" s="25">
        <v>0</v>
      </c>
      <c r="AC852" s="25">
        <v>0</v>
      </c>
      <c r="AD852" s="25">
        <v>0</v>
      </c>
      <c r="AE852" s="25">
        <v>0</v>
      </c>
      <c r="AF852" s="25">
        <v>0</v>
      </c>
    </row>
    <row r="853" spans="1:32" x14ac:dyDescent="0.25">
      <c r="A853" s="25" t="s">
        <v>922</v>
      </c>
      <c r="B853" s="25">
        <v>0</v>
      </c>
      <c r="C853" s="25">
        <v>0</v>
      </c>
      <c r="D853" s="25">
        <v>0</v>
      </c>
      <c r="E853" s="25">
        <v>0</v>
      </c>
      <c r="F853" s="25">
        <v>0</v>
      </c>
      <c r="G853" s="25">
        <v>0</v>
      </c>
      <c r="H853" s="25">
        <v>0</v>
      </c>
      <c r="I853" s="25">
        <v>0</v>
      </c>
      <c r="J853" s="25">
        <v>0</v>
      </c>
      <c r="K853" s="25">
        <v>0</v>
      </c>
      <c r="L853" s="25">
        <v>0</v>
      </c>
      <c r="M853" s="25">
        <v>0</v>
      </c>
      <c r="N853" s="25">
        <v>0</v>
      </c>
      <c r="O853" s="25">
        <v>0</v>
      </c>
      <c r="P853" s="25">
        <v>0</v>
      </c>
      <c r="Q853" s="25">
        <v>0</v>
      </c>
      <c r="R853" s="25">
        <v>0</v>
      </c>
      <c r="S853" s="25">
        <v>0</v>
      </c>
      <c r="T853" s="25">
        <v>0</v>
      </c>
      <c r="U853" s="25">
        <v>0</v>
      </c>
      <c r="V853" s="25">
        <v>0</v>
      </c>
      <c r="W853" s="25">
        <v>0</v>
      </c>
      <c r="X853" s="25">
        <v>0</v>
      </c>
      <c r="Y853" s="25">
        <v>0</v>
      </c>
      <c r="Z853" s="25">
        <v>0</v>
      </c>
      <c r="AA853" s="25">
        <v>0</v>
      </c>
      <c r="AB853" s="25">
        <v>0</v>
      </c>
      <c r="AC853" s="25">
        <v>0</v>
      </c>
      <c r="AD853" s="25">
        <v>0</v>
      </c>
      <c r="AE853" s="25">
        <v>0</v>
      </c>
      <c r="AF853" s="25">
        <v>0</v>
      </c>
    </row>
    <row r="854" spans="1:32" x14ac:dyDescent="0.25">
      <c r="A854" s="25" t="s">
        <v>923</v>
      </c>
      <c r="B854" s="25">
        <v>0</v>
      </c>
      <c r="C854" s="25">
        <v>0</v>
      </c>
      <c r="D854" s="25">
        <v>0</v>
      </c>
      <c r="E854" s="25">
        <v>0</v>
      </c>
      <c r="F854" s="25">
        <v>0</v>
      </c>
      <c r="G854" s="25">
        <v>0</v>
      </c>
      <c r="H854" s="25">
        <v>0</v>
      </c>
      <c r="I854" s="25">
        <v>0</v>
      </c>
      <c r="J854" s="25">
        <v>0</v>
      </c>
      <c r="K854" s="25">
        <v>0</v>
      </c>
      <c r="L854" s="25">
        <v>0</v>
      </c>
      <c r="M854" s="25">
        <v>0</v>
      </c>
      <c r="N854" s="25">
        <v>0</v>
      </c>
      <c r="O854" s="25">
        <v>0</v>
      </c>
      <c r="P854" s="25">
        <v>0</v>
      </c>
      <c r="Q854" s="25">
        <v>0</v>
      </c>
      <c r="R854" s="25">
        <v>0</v>
      </c>
      <c r="S854" s="25">
        <v>0</v>
      </c>
      <c r="T854" s="25">
        <v>0</v>
      </c>
      <c r="U854" s="25">
        <v>0</v>
      </c>
      <c r="V854" s="25">
        <v>0</v>
      </c>
      <c r="W854" s="25">
        <v>0</v>
      </c>
      <c r="X854" s="25">
        <v>0</v>
      </c>
      <c r="Y854" s="25">
        <v>0</v>
      </c>
      <c r="Z854" s="25">
        <v>0</v>
      </c>
      <c r="AA854" s="25">
        <v>0</v>
      </c>
      <c r="AB854" s="25">
        <v>0</v>
      </c>
      <c r="AC854" s="25">
        <v>0</v>
      </c>
      <c r="AD854" s="25">
        <v>0</v>
      </c>
      <c r="AE854" s="25">
        <v>0</v>
      </c>
      <c r="AF854" s="25">
        <v>0</v>
      </c>
    </row>
    <row r="855" spans="1:32" x14ac:dyDescent="0.25">
      <c r="A855" s="25" t="s">
        <v>924</v>
      </c>
      <c r="B855" s="25">
        <v>0</v>
      </c>
      <c r="C855" s="25">
        <v>0</v>
      </c>
      <c r="D855" s="25">
        <v>0</v>
      </c>
      <c r="E855" s="25">
        <v>0</v>
      </c>
      <c r="F855" s="25">
        <v>0</v>
      </c>
      <c r="G855" s="25">
        <v>0</v>
      </c>
      <c r="H855" s="25">
        <v>0</v>
      </c>
      <c r="I855" s="25">
        <v>0</v>
      </c>
      <c r="J855" s="25">
        <v>0</v>
      </c>
      <c r="K855" s="25">
        <v>0</v>
      </c>
      <c r="L855" s="25">
        <v>0</v>
      </c>
      <c r="M855" s="25">
        <v>0</v>
      </c>
      <c r="N855" s="25">
        <v>0</v>
      </c>
      <c r="O855" s="25">
        <v>0</v>
      </c>
      <c r="P855" s="25">
        <v>0</v>
      </c>
      <c r="Q855" s="25">
        <v>0</v>
      </c>
      <c r="R855" s="25">
        <v>0</v>
      </c>
      <c r="S855" s="25">
        <v>0</v>
      </c>
      <c r="T855" s="25">
        <v>0</v>
      </c>
      <c r="U855" s="25">
        <v>0</v>
      </c>
      <c r="V855" s="25">
        <v>0</v>
      </c>
      <c r="W855" s="25">
        <v>0</v>
      </c>
      <c r="X855" s="25">
        <v>0</v>
      </c>
      <c r="Y855" s="25">
        <v>0</v>
      </c>
      <c r="Z855" s="25">
        <v>0</v>
      </c>
      <c r="AA855" s="25">
        <v>0</v>
      </c>
      <c r="AB855" s="25">
        <v>0</v>
      </c>
      <c r="AC855" s="25">
        <v>0</v>
      </c>
      <c r="AD855" s="25">
        <v>0</v>
      </c>
      <c r="AE855" s="25">
        <v>0</v>
      </c>
      <c r="AF855" s="25">
        <v>0</v>
      </c>
    </row>
    <row r="856" spans="1:32" x14ac:dyDescent="0.25">
      <c r="A856" s="25" t="s">
        <v>925</v>
      </c>
      <c r="B856" s="25">
        <v>0</v>
      </c>
      <c r="C856" s="25">
        <v>0</v>
      </c>
      <c r="D856" s="25">
        <v>0</v>
      </c>
      <c r="E856" s="25">
        <v>0</v>
      </c>
      <c r="F856" s="25">
        <v>0</v>
      </c>
      <c r="G856" s="25">
        <v>0</v>
      </c>
      <c r="H856" s="25">
        <v>0</v>
      </c>
      <c r="I856" s="25">
        <v>0</v>
      </c>
      <c r="J856" s="25">
        <v>0</v>
      </c>
      <c r="K856" s="25">
        <v>0</v>
      </c>
      <c r="L856" s="25">
        <v>0</v>
      </c>
      <c r="M856" s="25">
        <v>0</v>
      </c>
      <c r="N856" s="25">
        <v>0</v>
      </c>
      <c r="O856" s="25">
        <v>0</v>
      </c>
      <c r="P856" s="25">
        <v>0</v>
      </c>
      <c r="Q856" s="25">
        <v>0</v>
      </c>
      <c r="R856" s="25">
        <v>0</v>
      </c>
      <c r="S856" s="25">
        <v>0</v>
      </c>
      <c r="T856" s="25">
        <v>0</v>
      </c>
      <c r="U856" s="25">
        <v>0</v>
      </c>
      <c r="V856" s="25">
        <v>0</v>
      </c>
      <c r="W856" s="25">
        <v>0</v>
      </c>
      <c r="X856" s="25">
        <v>0</v>
      </c>
      <c r="Y856" s="25">
        <v>0</v>
      </c>
      <c r="Z856" s="25">
        <v>0</v>
      </c>
      <c r="AA856" s="25">
        <v>0</v>
      </c>
      <c r="AB856" s="25">
        <v>0</v>
      </c>
      <c r="AC856" s="25">
        <v>0</v>
      </c>
      <c r="AD856" s="25">
        <v>0</v>
      </c>
      <c r="AE856" s="25">
        <v>0</v>
      </c>
      <c r="AF856" s="25">
        <v>0</v>
      </c>
    </row>
    <row r="857" spans="1:32" x14ac:dyDescent="0.25">
      <c r="A857" s="25" t="s">
        <v>926</v>
      </c>
      <c r="B857" s="25">
        <v>0</v>
      </c>
      <c r="C857" s="25">
        <v>0</v>
      </c>
      <c r="D857" s="25">
        <v>0</v>
      </c>
      <c r="E857" s="25">
        <v>0</v>
      </c>
      <c r="F857" s="25">
        <v>0</v>
      </c>
      <c r="G857" s="25">
        <v>0</v>
      </c>
      <c r="H857" s="25">
        <v>0</v>
      </c>
      <c r="I857" s="25">
        <v>0</v>
      </c>
      <c r="J857" s="25">
        <v>0</v>
      </c>
      <c r="K857" s="25">
        <v>0</v>
      </c>
      <c r="L857" s="25">
        <v>0</v>
      </c>
      <c r="M857" s="25">
        <v>0</v>
      </c>
      <c r="N857" s="25">
        <v>0</v>
      </c>
      <c r="O857" s="25">
        <v>0</v>
      </c>
      <c r="P857" s="25">
        <v>0</v>
      </c>
      <c r="Q857" s="25">
        <v>0</v>
      </c>
      <c r="R857" s="25">
        <v>0</v>
      </c>
      <c r="S857" s="25">
        <v>0</v>
      </c>
      <c r="T857" s="25">
        <v>0</v>
      </c>
      <c r="U857" s="25">
        <v>0</v>
      </c>
      <c r="V857" s="25">
        <v>0</v>
      </c>
      <c r="W857" s="25">
        <v>0</v>
      </c>
      <c r="X857" s="25">
        <v>0</v>
      </c>
      <c r="Y857" s="25">
        <v>0</v>
      </c>
      <c r="Z857" s="25">
        <v>0</v>
      </c>
      <c r="AA857" s="25">
        <v>0</v>
      </c>
      <c r="AB857" s="25">
        <v>0</v>
      </c>
      <c r="AC857" s="25">
        <v>0</v>
      </c>
      <c r="AD857" s="25">
        <v>0</v>
      </c>
      <c r="AE857" s="25">
        <v>0</v>
      </c>
      <c r="AF857" s="25">
        <v>0</v>
      </c>
    </row>
    <row r="858" spans="1:32" x14ac:dyDescent="0.25">
      <c r="A858" s="25" t="s">
        <v>927</v>
      </c>
      <c r="B858" s="25">
        <v>0</v>
      </c>
      <c r="C858" s="25">
        <v>0</v>
      </c>
      <c r="D858" s="25">
        <v>0</v>
      </c>
      <c r="E858" s="25">
        <v>0</v>
      </c>
      <c r="F858" s="25">
        <v>0</v>
      </c>
      <c r="G858" s="25">
        <v>0</v>
      </c>
      <c r="H858" s="25">
        <v>0</v>
      </c>
      <c r="I858" s="25">
        <v>0</v>
      </c>
      <c r="J858" s="25">
        <v>0</v>
      </c>
      <c r="K858" s="25">
        <v>0</v>
      </c>
      <c r="L858" s="25">
        <v>0</v>
      </c>
      <c r="M858" s="25">
        <v>0</v>
      </c>
      <c r="N858" s="25">
        <v>0</v>
      </c>
      <c r="O858" s="25">
        <v>0</v>
      </c>
      <c r="P858" s="25">
        <v>0</v>
      </c>
      <c r="Q858" s="25">
        <v>0</v>
      </c>
      <c r="R858" s="25">
        <v>0</v>
      </c>
      <c r="S858" s="25">
        <v>0</v>
      </c>
      <c r="T858" s="25">
        <v>0</v>
      </c>
      <c r="U858" s="25">
        <v>0</v>
      </c>
      <c r="V858" s="25">
        <v>0</v>
      </c>
      <c r="W858" s="25">
        <v>0</v>
      </c>
      <c r="X858" s="25">
        <v>0</v>
      </c>
      <c r="Y858" s="25">
        <v>0</v>
      </c>
      <c r="Z858" s="25">
        <v>0</v>
      </c>
      <c r="AA858" s="25">
        <v>0</v>
      </c>
      <c r="AB858" s="25">
        <v>0</v>
      </c>
      <c r="AC858" s="25">
        <v>0</v>
      </c>
      <c r="AD858" s="25">
        <v>0</v>
      </c>
      <c r="AE858" s="25">
        <v>0</v>
      </c>
      <c r="AF858" s="25">
        <v>0</v>
      </c>
    </row>
    <row r="859" spans="1:32" x14ac:dyDescent="0.25">
      <c r="A859" s="25" t="s">
        <v>928</v>
      </c>
      <c r="B859" s="25">
        <v>0</v>
      </c>
      <c r="C859" s="25">
        <v>0</v>
      </c>
      <c r="D859" s="25">
        <v>0</v>
      </c>
      <c r="E859" s="25">
        <v>0</v>
      </c>
      <c r="F859" s="25">
        <v>0</v>
      </c>
      <c r="G859" s="25">
        <v>0</v>
      </c>
      <c r="H859" s="25">
        <v>0</v>
      </c>
      <c r="I859" s="25">
        <v>0</v>
      </c>
      <c r="J859" s="25">
        <v>0</v>
      </c>
      <c r="K859" s="25">
        <v>0</v>
      </c>
      <c r="L859" s="25">
        <v>0</v>
      </c>
      <c r="M859" s="25">
        <v>0</v>
      </c>
      <c r="N859" s="25">
        <v>0</v>
      </c>
      <c r="O859" s="25">
        <v>0</v>
      </c>
      <c r="P859" s="25">
        <v>0</v>
      </c>
      <c r="Q859" s="25">
        <v>0</v>
      </c>
      <c r="R859" s="25">
        <v>0</v>
      </c>
      <c r="S859" s="25">
        <v>0</v>
      </c>
      <c r="T859" s="25">
        <v>0</v>
      </c>
      <c r="U859" s="25">
        <v>0</v>
      </c>
      <c r="V859" s="25">
        <v>0</v>
      </c>
      <c r="W859" s="25">
        <v>0</v>
      </c>
      <c r="X859" s="25">
        <v>0</v>
      </c>
      <c r="Y859" s="25">
        <v>0</v>
      </c>
      <c r="Z859" s="25">
        <v>0</v>
      </c>
      <c r="AA859" s="25">
        <v>0</v>
      </c>
      <c r="AB859" s="25">
        <v>0</v>
      </c>
      <c r="AC859" s="25">
        <v>0</v>
      </c>
      <c r="AD859" s="25">
        <v>0</v>
      </c>
      <c r="AE859" s="25">
        <v>0</v>
      </c>
      <c r="AF859" s="25">
        <v>0</v>
      </c>
    </row>
    <row r="860" spans="1:32" x14ac:dyDescent="0.25">
      <c r="A860" s="25" t="s">
        <v>929</v>
      </c>
      <c r="B860" s="25">
        <v>0</v>
      </c>
      <c r="C860" s="25">
        <v>0</v>
      </c>
      <c r="D860" s="25">
        <v>0</v>
      </c>
      <c r="E860" s="25">
        <v>0</v>
      </c>
      <c r="F860" s="25">
        <v>0</v>
      </c>
      <c r="G860" s="25">
        <v>0</v>
      </c>
      <c r="H860" s="25">
        <v>0</v>
      </c>
      <c r="I860" s="25">
        <v>0</v>
      </c>
      <c r="J860" s="25">
        <v>0</v>
      </c>
      <c r="K860" s="25">
        <v>0</v>
      </c>
      <c r="L860" s="25">
        <v>0</v>
      </c>
      <c r="M860" s="25">
        <v>0</v>
      </c>
      <c r="N860" s="25">
        <v>0</v>
      </c>
      <c r="O860" s="25">
        <v>0</v>
      </c>
      <c r="P860" s="25">
        <v>0</v>
      </c>
      <c r="Q860" s="25">
        <v>0</v>
      </c>
      <c r="R860" s="25">
        <v>0</v>
      </c>
      <c r="S860" s="25">
        <v>0</v>
      </c>
      <c r="T860" s="25">
        <v>0</v>
      </c>
      <c r="U860" s="25">
        <v>0</v>
      </c>
      <c r="V860" s="25">
        <v>0</v>
      </c>
      <c r="W860" s="25">
        <v>0</v>
      </c>
      <c r="X860" s="25">
        <v>0</v>
      </c>
      <c r="Y860" s="25">
        <v>0</v>
      </c>
      <c r="Z860" s="25">
        <v>0</v>
      </c>
      <c r="AA860" s="25">
        <v>0</v>
      </c>
      <c r="AB860" s="25">
        <v>0</v>
      </c>
      <c r="AC860" s="25">
        <v>0</v>
      </c>
      <c r="AD860" s="25">
        <v>0</v>
      </c>
      <c r="AE860" s="25">
        <v>0</v>
      </c>
      <c r="AF860" s="25">
        <v>0</v>
      </c>
    </row>
    <row r="861" spans="1:32" x14ac:dyDescent="0.25">
      <c r="A861" s="25" t="s">
        <v>930</v>
      </c>
      <c r="B861" s="25">
        <v>0</v>
      </c>
      <c r="C861" s="25">
        <v>0</v>
      </c>
      <c r="D861" s="25">
        <v>0</v>
      </c>
      <c r="E861" s="25">
        <v>0</v>
      </c>
      <c r="F861" s="25">
        <v>0</v>
      </c>
      <c r="G861" s="25">
        <v>0</v>
      </c>
      <c r="H861" s="25">
        <v>0</v>
      </c>
      <c r="I861" s="25">
        <v>0</v>
      </c>
      <c r="J861" s="25">
        <v>0</v>
      </c>
      <c r="K861" s="25">
        <v>0</v>
      </c>
      <c r="L861" s="25">
        <v>0</v>
      </c>
      <c r="M861" s="25">
        <v>0</v>
      </c>
      <c r="N861" s="25">
        <v>0</v>
      </c>
      <c r="O861" s="25">
        <v>0</v>
      </c>
      <c r="P861" s="25">
        <v>0</v>
      </c>
      <c r="Q861" s="25">
        <v>0</v>
      </c>
      <c r="R861" s="25">
        <v>0</v>
      </c>
      <c r="S861" s="25">
        <v>0</v>
      </c>
      <c r="T861" s="25">
        <v>0</v>
      </c>
      <c r="U861" s="25">
        <v>0</v>
      </c>
      <c r="V861" s="25">
        <v>0</v>
      </c>
      <c r="W861" s="25">
        <v>0</v>
      </c>
      <c r="X861" s="25">
        <v>0</v>
      </c>
      <c r="Y861" s="25">
        <v>0</v>
      </c>
      <c r="Z861" s="25">
        <v>0</v>
      </c>
      <c r="AA861" s="25">
        <v>0</v>
      </c>
      <c r="AB861" s="25">
        <v>0</v>
      </c>
      <c r="AC861" s="25">
        <v>0</v>
      </c>
      <c r="AD861" s="25">
        <v>0</v>
      </c>
      <c r="AE861" s="25">
        <v>0</v>
      </c>
      <c r="AF861" s="25">
        <v>0</v>
      </c>
    </row>
    <row r="862" spans="1:32" x14ac:dyDescent="0.25">
      <c r="A862" s="25" t="s">
        <v>931</v>
      </c>
      <c r="B862" s="25">
        <v>0</v>
      </c>
      <c r="C862" s="25">
        <v>0</v>
      </c>
      <c r="D862" s="25">
        <v>0</v>
      </c>
      <c r="E862" s="25">
        <v>0</v>
      </c>
      <c r="F862" s="25">
        <v>0</v>
      </c>
      <c r="G862" s="25">
        <v>0</v>
      </c>
      <c r="H862" s="25">
        <v>0</v>
      </c>
      <c r="I862" s="25">
        <v>0</v>
      </c>
      <c r="J862" s="25">
        <v>0</v>
      </c>
      <c r="K862" s="25">
        <v>0</v>
      </c>
      <c r="L862" s="25">
        <v>0</v>
      </c>
      <c r="M862" s="25">
        <v>0</v>
      </c>
      <c r="N862" s="25">
        <v>0</v>
      </c>
      <c r="O862" s="25">
        <v>0</v>
      </c>
      <c r="P862" s="25">
        <v>0</v>
      </c>
      <c r="Q862" s="25">
        <v>0</v>
      </c>
      <c r="R862" s="25">
        <v>0</v>
      </c>
      <c r="S862" s="25">
        <v>0</v>
      </c>
      <c r="T862" s="25">
        <v>0</v>
      </c>
      <c r="U862" s="25">
        <v>0</v>
      </c>
      <c r="V862" s="25">
        <v>0</v>
      </c>
      <c r="W862" s="25">
        <v>0</v>
      </c>
      <c r="X862" s="25">
        <v>0</v>
      </c>
      <c r="Y862" s="25">
        <v>0</v>
      </c>
      <c r="Z862" s="25">
        <v>0</v>
      </c>
      <c r="AA862" s="25">
        <v>0</v>
      </c>
      <c r="AB862" s="25">
        <v>0</v>
      </c>
      <c r="AC862" s="25">
        <v>0</v>
      </c>
      <c r="AD862" s="25">
        <v>0</v>
      </c>
      <c r="AE862" s="25">
        <v>0</v>
      </c>
      <c r="AF862" s="25">
        <v>0</v>
      </c>
    </row>
    <row r="863" spans="1:32" x14ac:dyDescent="0.25">
      <c r="A863" s="25" t="s">
        <v>932</v>
      </c>
      <c r="B863" s="25">
        <v>0</v>
      </c>
      <c r="C863" s="25">
        <v>0</v>
      </c>
      <c r="D863" s="25">
        <v>0</v>
      </c>
      <c r="E863" s="25">
        <v>0</v>
      </c>
      <c r="F863" s="25">
        <v>0</v>
      </c>
      <c r="G863" s="25">
        <v>0</v>
      </c>
      <c r="H863" s="25">
        <v>0</v>
      </c>
      <c r="I863" s="25">
        <v>0</v>
      </c>
      <c r="J863" s="25">
        <v>0</v>
      </c>
      <c r="K863" s="25">
        <v>0</v>
      </c>
      <c r="L863" s="25">
        <v>0</v>
      </c>
      <c r="M863" s="25">
        <v>0</v>
      </c>
      <c r="N863" s="25">
        <v>0</v>
      </c>
      <c r="O863" s="25">
        <v>0</v>
      </c>
      <c r="P863" s="25">
        <v>0</v>
      </c>
      <c r="Q863" s="25">
        <v>0</v>
      </c>
      <c r="R863" s="25">
        <v>0</v>
      </c>
      <c r="S863" s="25">
        <v>0</v>
      </c>
      <c r="T863" s="25">
        <v>0</v>
      </c>
      <c r="U863" s="25">
        <v>0</v>
      </c>
      <c r="V863" s="25">
        <v>0</v>
      </c>
      <c r="W863" s="25">
        <v>0</v>
      </c>
      <c r="X863" s="25">
        <v>0</v>
      </c>
      <c r="Y863" s="25">
        <v>0</v>
      </c>
      <c r="Z863" s="25">
        <v>0</v>
      </c>
      <c r="AA863" s="25">
        <v>0</v>
      </c>
      <c r="AB863" s="25">
        <v>0</v>
      </c>
      <c r="AC863" s="25">
        <v>0</v>
      </c>
      <c r="AD863" s="25">
        <v>0</v>
      </c>
      <c r="AE863" s="25">
        <v>0</v>
      </c>
      <c r="AF863" s="25">
        <v>0</v>
      </c>
    </row>
    <row r="864" spans="1:32" x14ac:dyDescent="0.25">
      <c r="A864" s="25" t="s">
        <v>933</v>
      </c>
      <c r="B864" s="25">
        <v>0</v>
      </c>
      <c r="C864" s="25">
        <v>0</v>
      </c>
      <c r="D864" s="25">
        <v>0</v>
      </c>
      <c r="E864" s="25">
        <v>0</v>
      </c>
      <c r="F864" s="25">
        <v>0</v>
      </c>
      <c r="G864" s="25">
        <v>0</v>
      </c>
      <c r="H864" s="25">
        <v>0</v>
      </c>
      <c r="I864" s="25">
        <v>0</v>
      </c>
      <c r="J864" s="25">
        <v>0</v>
      </c>
      <c r="K864" s="25">
        <v>0</v>
      </c>
      <c r="L864" s="25">
        <v>0</v>
      </c>
      <c r="M864" s="25">
        <v>0</v>
      </c>
      <c r="N864" s="25">
        <v>0</v>
      </c>
      <c r="O864" s="25">
        <v>0</v>
      </c>
      <c r="P864" s="25">
        <v>0</v>
      </c>
      <c r="Q864" s="25">
        <v>0</v>
      </c>
      <c r="R864" s="25">
        <v>0</v>
      </c>
      <c r="S864" s="25">
        <v>0</v>
      </c>
      <c r="T864" s="25">
        <v>0</v>
      </c>
      <c r="U864" s="25">
        <v>0</v>
      </c>
      <c r="V864" s="25">
        <v>0</v>
      </c>
      <c r="W864" s="25">
        <v>0</v>
      </c>
      <c r="X864" s="25">
        <v>0</v>
      </c>
      <c r="Y864" s="25">
        <v>0</v>
      </c>
      <c r="Z864" s="25">
        <v>0</v>
      </c>
      <c r="AA864" s="25">
        <v>0</v>
      </c>
      <c r="AB864" s="25">
        <v>0</v>
      </c>
      <c r="AC864" s="25">
        <v>0</v>
      </c>
      <c r="AD864" s="25">
        <v>0</v>
      </c>
      <c r="AE864" s="25">
        <v>0</v>
      </c>
      <c r="AF864" s="25">
        <v>0</v>
      </c>
    </row>
    <row r="865" spans="1:32" x14ac:dyDescent="0.25">
      <c r="A865" s="25" t="s">
        <v>934</v>
      </c>
      <c r="B865" s="25">
        <v>0</v>
      </c>
      <c r="C865" s="25">
        <v>0</v>
      </c>
      <c r="D865" s="25">
        <v>0</v>
      </c>
      <c r="E865" s="25">
        <v>0</v>
      </c>
      <c r="F865" s="25">
        <v>0</v>
      </c>
      <c r="G865" s="25">
        <v>0</v>
      </c>
      <c r="H865" s="25">
        <v>0</v>
      </c>
      <c r="I865" s="25">
        <v>0</v>
      </c>
      <c r="J865" s="25">
        <v>0</v>
      </c>
      <c r="K865" s="25">
        <v>0</v>
      </c>
      <c r="L865" s="25">
        <v>0</v>
      </c>
      <c r="M865" s="25">
        <v>0</v>
      </c>
      <c r="N865" s="25">
        <v>0</v>
      </c>
      <c r="O865" s="25">
        <v>0</v>
      </c>
      <c r="P865" s="25">
        <v>0</v>
      </c>
      <c r="Q865" s="25">
        <v>0</v>
      </c>
      <c r="R865" s="25">
        <v>0</v>
      </c>
      <c r="S865" s="25">
        <v>0</v>
      </c>
      <c r="T865" s="25">
        <v>0</v>
      </c>
      <c r="U865" s="25">
        <v>0</v>
      </c>
      <c r="V865" s="25">
        <v>0</v>
      </c>
      <c r="W865" s="25">
        <v>0</v>
      </c>
      <c r="X865" s="25">
        <v>0</v>
      </c>
      <c r="Y865" s="25">
        <v>0</v>
      </c>
      <c r="Z865" s="25">
        <v>0</v>
      </c>
      <c r="AA865" s="25">
        <v>0</v>
      </c>
      <c r="AB865" s="25">
        <v>0</v>
      </c>
      <c r="AC865" s="25">
        <v>0</v>
      </c>
      <c r="AD865" s="25">
        <v>0</v>
      </c>
      <c r="AE865" s="25">
        <v>0</v>
      </c>
      <c r="AF865" s="25">
        <v>0</v>
      </c>
    </row>
    <row r="866" spans="1:32" x14ac:dyDescent="0.25">
      <c r="A866" s="25" t="s">
        <v>935</v>
      </c>
      <c r="B866" s="25">
        <v>0</v>
      </c>
      <c r="C866" s="25">
        <v>0</v>
      </c>
      <c r="D866" s="25">
        <v>0</v>
      </c>
      <c r="E866" s="25">
        <v>0</v>
      </c>
      <c r="F866" s="25">
        <v>0</v>
      </c>
      <c r="G866" s="25">
        <v>0</v>
      </c>
      <c r="H866" s="25">
        <v>0</v>
      </c>
      <c r="I866" s="25">
        <v>0</v>
      </c>
      <c r="J866" s="25">
        <v>0</v>
      </c>
      <c r="K866" s="25">
        <v>0</v>
      </c>
      <c r="L866" s="25">
        <v>0</v>
      </c>
      <c r="M866" s="25">
        <v>0</v>
      </c>
      <c r="N866" s="25">
        <v>0</v>
      </c>
      <c r="O866" s="25">
        <v>0</v>
      </c>
      <c r="P866" s="25">
        <v>0</v>
      </c>
      <c r="Q866" s="25">
        <v>0</v>
      </c>
      <c r="R866" s="25">
        <v>0</v>
      </c>
      <c r="S866" s="25">
        <v>0</v>
      </c>
      <c r="T866" s="25">
        <v>0</v>
      </c>
      <c r="U866" s="25">
        <v>0</v>
      </c>
      <c r="V866" s="25">
        <v>0</v>
      </c>
      <c r="W866" s="25">
        <v>0</v>
      </c>
      <c r="X866" s="25">
        <v>0</v>
      </c>
      <c r="Y866" s="25">
        <v>0</v>
      </c>
      <c r="Z866" s="25">
        <v>0</v>
      </c>
      <c r="AA866" s="25">
        <v>0</v>
      </c>
      <c r="AB866" s="25">
        <v>0</v>
      </c>
      <c r="AC866" s="25">
        <v>0</v>
      </c>
      <c r="AD866" s="25">
        <v>0</v>
      </c>
      <c r="AE866" s="25">
        <v>0</v>
      </c>
      <c r="AF866" s="25">
        <v>0</v>
      </c>
    </row>
    <row r="867" spans="1:32" x14ac:dyDescent="0.25">
      <c r="A867" s="25" t="s">
        <v>936</v>
      </c>
      <c r="B867" s="25">
        <v>0</v>
      </c>
      <c r="C867" s="25">
        <v>0</v>
      </c>
      <c r="D867" s="25">
        <v>0</v>
      </c>
      <c r="E867" s="25">
        <v>0</v>
      </c>
      <c r="F867" s="25">
        <v>0</v>
      </c>
      <c r="G867" s="25">
        <v>0</v>
      </c>
      <c r="H867" s="25">
        <v>0</v>
      </c>
      <c r="I867" s="25">
        <v>0</v>
      </c>
      <c r="J867" s="25">
        <v>0</v>
      </c>
      <c r="K867" s="25">
        <v>0</v>
      </c>
      <c r="L867" s="25">
        <v>0</v>
      </c>
      <c r="M867" s="25">
        <v>0</v>
      </c>
      <c r="N867" s="25">
        <v>0</v>
      </c>
      <c r="O867" s="25">
        <v>0</v>
      </c>
      <c r="P867" s="25">
        <v>0</v>
      </c>
      <c r="Q867" s="25">
        <v>0</v>
      </c>
      <c r="R867" s="25">
        <v>0</v>
      </c>
      <c r="S867" s="25">
        <v>0</v>
      </c>
      <c r="T867" s="25">
        <v>0</v>
      </c>
      <c r="U867" s="25">
        <v>0</v>
      </c>
      <c r="V867" s="25">
        <v>0</v>
      </c>
      <c r="W867" s="25">
        <v>0</v>
      </c>
      <c r="X867" s="25">
        <v>0</v>
      </c>
      <c r="Y867" s="25">
        <v>0</v>
      </c>
      <c r="Z867" s="25">
        <v>0</v>
      </c>
      <c r="AA867" s="25">
        <v>0</v>
      </c>
      <c r="AB867" s="25">
        <v>0</v>
      </c>
      <c r="AC867" s="25">
        <v>0</v>
      </c>
      <c r="AD867" s="25">
        <v>0</v>
      </c>
      <c r="AE867" s="25">
        <v>0</v>
      </c>
      <c r="AF867" s="25">
        <v>0</v>
      </c>
    </row>
    <row r="868" spans="1:32" x14ac:dyDescent="0.25">
      <c r="A868" s="25" t="s">
        <v>937</v>
      </c>
      <c r="B868" s="25">
        <v>0</v>
      </c>
      <c r="C868" s="25">
        <v>0</v>
      </c>
      <c r="D868" s="25">
        <v>0</v>
      </c>
      <c r="E868" s="25">
        <v>0</v>
      </c>
      <c r="F868" s="25">
        <v>0</v>
      </c>
      <c r="G868" s="25">
        <v>0</v>
      </c>
      <c r="H868" s="25">
        <v>0</v>
      </c>
      <c r="I868" s="25">
        <v>0</v>
      </c>
      <c r="J868" s="25">
        <v>0</v>
      </c>
      <c r="K868" s="25">
        <v>0</v>
      </c>
      <c r="L868" s="25">
        <v>0</v>
      </c>
      <c r="M868" s="25">
        <v>0</v>
      </c>
      <c r="N868" s="25">
        <v>0</v>
      </c>
      <c r="O868" s="25">
        <v>0</v>
      </c>
      <c r="P868" s="25">
        <v>0</v>
      </c>
      <c r="Q868" s="25">
        <v>0</v>
      </c>
      <c r="R868" s="25">
        <v>0</v>
      </c>
      <c r="S868" s="25">
        <v>0</v>
      </c>
      <c r="T868" s="25">
        <v>0</v>
      </c>
      <c r="U868" s="25">
        <v>0</v>
      </c>
      <c r="V868" s="25">
        <v>0</v>
      </c>
      <c r="W868" s="25">
        <v>0</v>
      </c>
      <c r="X868" s="25">
        <v>0</v>
      </c>
      <c r="Y868" s="25">
        <v>0</v>
      </c>
      <c r="Z868" s="25">
        <v>0</v>
      </c>
      <c r="AA868" s="25">
        <v>0</v>
      </c>
      <c r="AB868" s="25">
        <v>0</v>
      </c>
      <c r="AC868" s="25">
        <v>0</v>
      </c>
      <c r="AD868" s="25">
        <v>0</v>
      </c>
      <c r="AE868" s="25">
        <v>0</v>
      </c>
      <c r="AF868" s="25">
        <v>0</v>
      </c>
    </row>
    <row r="869" spans="1:32" x14ac:dyDescent="0.25">
      <c r="A869" s="25" t="s">
        <v>938</v>
      </c>
      <c r="B869" s="25">
        <v>0</v>
      </c>
      <c r="C869" s="25">
        <v>0</v>
      </c>
      <c r="D869" s="25">
        <v>0</v>
      </c>
      <c r="E869" s="25">
        <v>0</v>
      </c>
      <c r="F869" s="25">
        <v>0</v>
      </c>
      <c r="G869" s="25">
        <v>0</v>
      </c>
      <c r="H869" s="25">
        <v>0</v>
      </c>
      <c r="I869" s="25">
        <v>0</v>
      </c>
      <c r="J869" s="25">
        <v>0</v>
      </c>
      <c r="K869" s="25">
        <v>0</v>
      </c>
      <c r="L869" s="25">
        <v>0</v>
      </c>
      <c r="M869" s="25">
        <v>0</v>
      </c>
      <c r="N869" s="25">
        <v>0</v>
      </c>
      <c r="O869" s="25">
        <v>0</v>
      </c>
      <c r="P869" s="25">
        <v>0</v>
      </c>
      <c r="Q869" s="25">
        <v>0</v>
      </c>
      <c r="R869" s="25">
        <v>0</v>
      </c>
      <c r="S869" s="25">
        <v>0</v>
      </c>
      <c r="T869" s="25">
        <v>0</v>
      </c>
      <c r="U869" s="25">
        <v>0</v>
      </c>
      <c r="V869" s="25">
        <v>0</v>
      </c>
      <c r="W869" s="25">
        <v>0</v>
      </c>
      <c r="X869" s="25">
        <v>0</v>
      </c>
      <c r="Y869" s="25">
        <v>0</v>
      </c>
      <c r="Z869" s="25">
        <v>0</v>
      </c>
      <c r="AA869" s="25">
        <v>0</v>
      </c>
      <c r="AB869" s="25">
        <v>0</v>
      </c>
      <c r="AC869" s="25">
        <v>0</v>
      </c>
      <c r="AD869" s="25">
        <v>0</v>
      </c>
      <c r="AE869" s="25">
        <v>0</v>
      </c>
      <c r="AF869" s="25">
        <v>0</v>
      </c>
    </row>
    <row r="870" spans="1:32" x14ac:dyDescent="0.25">
      <c r="A870" s="25" t="s">
        <v>939</v>
      </c>
      <c r="B870" s="25">
        <v>0</v>
      </c>
      <c r="C870" s="25">
        <v>0</v>
      </c>
      <c r="D870" s="25">
        <v>0</v>
      </c>
      <c r="E870" s="25">
        <v>0</v>
      </c>
      <c r="F870" s="25">
        <v>0</v>
      </c>
      <c r="G870" s="25">
        <v>0</v>
      </c>
      <c r="H870" s="25">
        <v>0</v>
      </c>
      <c r="I870" s="25">
        <v>0</v>
      </c>
      <c r="J870" s="25">
        <v>0</v>
      </c>
      <c r="K870" s="25">
        <v>0</v>
      </c>
      <c r="L870" s="25">
        <v>0</v>
      </c>
      <c r="M870" s="25">
        <v>0</v>
      </c>
      <c r="N870" s="25">
        <v>0</v>
      </c>
      <c r="O870" s="25">
        <v>0</v>
      </c>
      <c r="P870" s="25">
        <v>0</v>
      </c>
      <c r="Q870" s="25">
        <v>0</v>
      </c>
      <c r="R870" s="25">
        <v>0</v>
      </c>
      <c r="S870" s="25">
        <v>0</v>
      </c>
      <c r="T870" s="25">
        <v>0</v>
      </c>
      <c r="U870" s="25">
        <v>0</v>
      </c>
      <c r="V870" s="25">
        <v>0</v>
      </c>
      <c r="W870" s="25">
        <v>0</v>
      </c>
      <c r="X870" s="25">
        <v>0</v>
      </c>
      <c r="Y870" s="25">
        <v>0</v>
      </c>
      <c r="Z870" s="25">
        <v>0</v>
      </c>
      <c r="AA870" s="25">
        <v>0</v>
      </c>
      <c r="AB870" s="25">
        <v>0</v>
      </c>
      <c r="AC870" s="25">
        <v>0</v>
      </c>
      <c r="AD870" s="25">
        <v>0</v>
      </c>
      <c r="AE870" s="25">
        <v>0</v>
      </c>
      <c r="AF870" s="25">
        <v>0</v>
      </c>
    </row>
    <row r="871" spans="1:32" x14ac:dyDescent="0.25">
      <c r="A871" s="25" t="s">
        <v>940</v>
      </c>
      <c r="B871" s="25">
        <v>0</v>
      </c>
      <c r="C871" s="25">
        <v>0</v>
      </c>
      <c r="D871" s="25">
        <v>0</v>
      </c>
      <c r="E871" s="25">
        <v>0</v>
      </c>
      <c r="F871" s="25">
        <v>0</v>
      </c>
      <c r="G871" s="25">
        <v>0</v>
      </c>
      <c r="H871" s="25">
        <v>0</v>
      </c>
      <c r="I871" s="25">
        <v>0</v>
      </c>
      <c r="J871" s="25">
        <v>0</v>
      </c>
      <c r="K871" s="25">
        <v>0</v>
      </c>
      <c r="L871" s="25">
        <v>0</v>
      </c>
      <c r="M871" s="25">
        <v>0</v>
      </c>
      <c r="N871" s="25">
        <v>0</v>
      </c>
      <c r="O871" s="25">
        <v>0</v>
      </c>
      <c r="P871" s="25">
        <v>0</v>
      </c>
      <c r="Q871" s="25">
        <v>0</v>
      </c>
      <c r="R871" s="25">
        <v>0</v>
      </c>
      <c r="S871" s="25">
        <v>0</v>
      </c>
      <c r="T871" s="25">
        <v>0</v>
      </c>
      <c r="U871" s="25">
        <v>0</v>
      </c>
      <c r="V871" s="25">
        <v>0</v>
      </c>
      <c r="W871" s="25">
        <v>0</v>
      </c>
      <c r="X871" s="25">
        <v>0</v>
      </c>
      <c r="Y871" s="25">
        <v>0</v>
      </c>
      <c r="Z871" s="25">
        <v>0</v>
      </c>
      <c r="AA871" s="25">
        <v>0</v>
      </c>
      <c r="AB871" s="25">
        <v>0</v>
      </c>
      <c r="AC871" s="25">
        <v>0</v>
      </c>
      <c r="AD871" s="25">
        <v>0</v>
      </c>
      <c r="AE871" s="25">
        <v>0</v>
      </c>
      <c r="AF871" s="25">
        <v>0</v>
      </c>
    </row>
    <row r="872" spans="1:32" x14ac:dyDescent="0.25">
      <c r="A872" s="25" t="s">
        <v>941</v>
      </c>
      <c r="B872" s="25">
        <v>0</v>
      </c>
      <c r="C872" s="25">
        <v>0</v>
      </c>
      <c r="D872" s="25">
        <v>0</v>
      </c>
      <c r="E872" s="25">
        <v>0</v>
      </c>
      <c r="F872" s="25">
        <v>0</v>
      </c>
      <c r="G872" s="25">
        <v>0</v>
      </c>
      <c r="H872" s="25">
        <v>0</v>
      </c>
      <c r="I872" s="25">
        <v>0</v>
      </c>
      <c r="J872" s="25">
        <v>0</v>
      </c>
      <c r="K872" s="25">
        <v>0</v>
      </c>
      <c r="L872" s="25">
        <v>0</v>
      </c>
      <c r="M872" s="25">
        <v>0</v>
      </c>
      <c r="N872" s="25">
        <v>0</v>
      </c>
      <c r="O872" s="25">
        <v>0</v>
      </c>
      <c r="P872" s="25">
        <v>0</v>
      </c>
      <c r="Q872" s="25">
        <v>0</v>
      </c>
      <c r="R872" s="25">
        <v>0</v>
      </c>
      <c r="S872" s="25">
        <v>0</v>
      </c>
      <c r="T872" s="25">
        <v>0</v>
      </c>
      <c r="U872" s="25">
        <v>0</v>
      </c>
      <c r="V872" s="25">
        <v>0</v>
      </c>
      <c r="W872" s="25">
        <v>0</v>
      </c>
      <c r="X872" s="25">
        <v>0</v>
      </c>
      <c r="Y872" s="25">
        <v>0</v>
      </c>
      <c r="Z872" s="25">
        <v>0</v>
      </c>
      <c r="AA872" s="25">
        <v>0</v>
      </c>
      <c r="AB872" s="25">
        <v>0</v>
      </c>
      <c r="AC872" s="25">
        <v>0</v>
      </c>
      <c r="AD872" s="25">
        <v>0</v>
      </c>
      <c r="AE872" s="25">
        <v>0</v>
      </c>
      <c r="AF872" s="25">
        <v>0</v>
      </c>
    </row>
    <row r="873" spans="1:32" x14ac:dyDescent="0.25">
      <c r="A873" s="25" t="s">
        <v>942</v>
      </c>
      <c r="B873" s="25">
        <v>0</v>
      </c>
      <c r="C873" s="25">
        <v>0</v>
      </c>
      <c r="D873" s="25">
        <v>0</v>
      </c>
      <c r="E873" s="25">
        <v>0</v>
      </c>
      <c r="F873" s="25">
        <v>0</v>
      </c>
      <c r="G873" s="25">
        <v>0</v>
      </c>
      <c r="H873" s="25">
        <v>0</v>
      </c>
      <c r="I873" s="25">
        <v>0</v>
      </c>
      <c r="J873" s="25">
        <v>0</v>
      </c>
      <c r="K873" s="25">
        <v>0</v>
      </c>
      <c r="L873" s="25">
        <v>0</v>
      </c>
      <c r="M873" s="25">
        <v>0</v>
      </c>
      <c r="N873" s="25">
        <v>0</v>
      </c>
      <c r="O873" s="25">
        <v>0</v>
      </c>
      <c r="P873" s="25">
        <v>0</v>
      </c>
      <c r="Q873" s="25">
        <v>0</v>
      </c>
      <c r="R873" s="25">
        <v>0</v>
      </c>
      <c r="S873" s="25">
        <v>0</v>
      </c>
      <c r="T873" s="25">
        <v>0</v>
      </c>
      <c r="U873" s="25">
        <v>0</v>
      </c>
      <c r="V873" s="25">
        <v>0</v>
      </c>
      <c r="W873" s="25">
        <v>0</v>
      </c>
      <c r="X873" s="25">
        <v>0</v>
      </c>
      <c r="Y873" s="25">
        <v>0</v>
      </c>
      <c r="Z873" s="25">
        <v>0</v>
      </c>
      <c r="AA873" s="25">
        <v>0</v>
      </c>
      <c r="AB873" s="25">
        <v>0</v>
      </c>
      <c r="AC873" s="25">
        <v>0</v>
      </c>
      <c r="AD873" s="25">
        <v>0</v>
      </c>
      <c r="AE873" s="25">
        <v>0</v>
      </c>
      <c r="AF873" s="25">
        <v>0</v>
      </c>
    </row>
    <row r="874" spans="1:32" x14ac:dyDescent="0.25">
      <c r="A874" s="25" t="s">
        <v>943</v>
      </c>
      <c r="B874" s="25">
        <v>0</v>
      </c>
      <c r="C874" s="25">
        <v>0</v>
      </c>
      <c r="D874" s="25">
        <v>0</v>
      </c>
      <c r="E874" s="25">
        <v>0</v>
      </c>
      <c r="F874" s="25">
        <v>0</v>
      </c>
      <c r="G874" s="25">
        <v>0</v>
      </c>
      <c r="H874" s="25">
        <v>0</v>
      </c>
      <c r="I874" s="25">
        <v>0</v>
      </c>
      <c r="J874" s="25">
        <v>0</v>
      </c>
      <c r="K874" s="25">
        <v>0</v>
      </c>
      <c r="L874" s="25">
        <v>0</v>
      </c>
      <c r="M874" s="25">
        <v>0</v>
      </c>
      <c r="N874" s="25">
        <v>0</v>
      </c>
      <c r="O874" s="25">
        <v>0</v>
      </c>
      <c r="P874" s="25">
        <v>0</v>
      </c>
      <c r="Q874" s="25">
        <v>0</v>
      </c>
      <c r="R874" s="25">
        <v>0</v>
      </c>
      <c r="S874" s="25">
        <v>0</v>
      </c>
      <c r="T874" s="25">
        <v>0</v>
      </c>
      <c r="U874" s="25">
        <v>0</v>
      </c>
      <c r="V874" s="25">
        <v>0</v>
      </c>
      <c r="W874" s="25">
        <v>0</v>
      </c>
      <c r="X874" s="25">
        <v>0</v>
      </c>
      <c r="Y874" s="25">
        <v>0</v>
      </c>
      <c r="Z874" s="25">
        <v>0</v>
      </c>
      <c r="AA874" s="25">
        <v>0</v>
      </c>
      <c r="AB874" s="25">
        <v>0</v>
      </c>
      <c r="AC874" s="25">
        <v>0</v>
      </c>
      <c r="AD874" s="25">
        <v>0</v>
      </c>
      <c r="AE874" s="25">
        <v>0</v>
      </c>
      <c r="AF874" s="25">
        <v>0</v>
      </c>
    </row>
    <row r="875" spans="1:32" x14ac:dyDescent="0.25">
      <c r="A875" s="25" t="s">
        <v>944</v>
      </c>
      <c r="B875" s="25">
        <v>0</v>
      </c>
      <c r="C875" s="25">
        <v>0</v>
      </c>
      <c r="D875" s="25">
        <v>0</v>
      </c>
      <c r="E875" s="25">
        <v>0</v>
      </c>
      <c r="F875" s="25">
        <v>0</v>
      </c>
      <c r="G875" s="25">
        <v>0</v>
      </c>
      <c r="H875" s="25">
        <v>0</v>
      </c>
      <c r="I875" s="25">
        <v>0</v>
      </c>
      <c r="J875" s="25">
        <v>0</v>
      </c>
      <c r="K875" s="25">
        <v>0</v>
      </c>
      <c r="L875" s="25">
        <v>0</v>
      </c>
      <c r="M875" s="25">
        <v>0</v>
      </c>
      <c r="N875" s="25">
        <v>0</v>
      </c>
      <c r="O875" s="25">
        <v>0</v>
      </c>
      <c r="P875" s="25">
        <v>0</v>
      </c>
      <c r="Q875" s="25">
        <v>0</v>
      </c>
      <c r="R875" s="25">
        <v>0</v>
      </c>
      <c r="S875" s="25">
        <v>0</v>
      </c>
      <c r="T875" s="25">
        <v>0</v>
      </c>
      <c r="U875" s="25">
        <v>0</v>
      </c>
      <c r="V875" s="25">
        <v>0</v>
      </c>
      <c r="W875" s="25">
        <v>0</v>
      </c>
      <c r="X875" s="25">
        <v>0</v>
      </c>
      <c r="Y875" s="25">
        <v>0</v>
      </c>
      <c r="Z875" s="25">
        <v>0</v>
      </c>
      <c r="AA875" s="25">
        <v>0</v>
      </c>
      <c r="AB875" s="25">
        <v>0</v>
      </c>
      <c r="AC875" s="25">
        <v>0</v>
      </c>
      <c r="AD875" s="25">
        <v>0</v>
      </c>
      <c r="AE875" s="25">
        <v>0</v>
      </c>
      <c r="AF875" s="25">
        <v>0</v>
      </c>
    </row>
    <row r="876" spans="1:32" x14ac:dyDescent="0.25">
      <c r="A876" s="25" t="s">
        <v>945</v>
      </c>
      <c r="B876" s="25">
        <v>0</v>
      </c>
      <c r="C876" s="25">
        <v>0</v>
      </c>
      <c r="D876" s="25">
        <v>0</v>
      </c>
      <c r="E876" s="25">
        <v>0</v>
      </c>
      <c r="F876" s="25">
        <v>0</v>
      </c>
      <c r="G876" s="25">
        <v>0</v>
      </c>
      <c r="H876" s="25">
        <v>0</v>
      </c>
      <c r="I876" s="25">
        <v>0</v>
      </c>
      <c r="J876" s="25">
        <v>0</v>
      </c>
      <c r="K876" s="25">
        <v>0</v>
      </c>
      <c r="L876" s="25">
        <v>0</v>
      </c>
      <c r="M876" s="25">
        <v>0</v>
      </c>
      <c r="N876" s="25">
        <v>0</v>
      </c>
      <c r="O876" s="25">
        <v>0</v>
      </c>
      <c r="P876" s="25">
        <v>0</v>
      </c>
      <c r="Q876" s="25">
        <v>0</v>
      </c>
      <c r="R876" s="25">
        <v>0</v>
      </c>
      <c r="S876" s="25">
        <v>0</v>
      </c>
      <c r="T876" s="25">
        <v>0</v>
      </c>
      <c r="U876" s="25">
        <v>0</v>
      </c>
      <c r="V876" s="25">
        <v>0</v>
      </c>
      <c r="W876" s="25">
        <v>0</v>
      </c>
      <c r="X876" s="25">
        <v>0</v>
      </c>
      <c r="Y876" s="25">
        <v>0</v>
      </c>
      <c r="Z876" s="25">
        <v>0</v>
      </c>
      <c r="AA876" s="25">
        <v>0</v>
      </c>
      <c r="AB876" s="25">
        <v>0</v>
      </c>
      <c r="AC876" s="25">
        <v>0</v>
      </c>
      <c r="AD876" s="25">
        <v>0</v>
      </c>
      <c r="AE876" s="25">
        <v>0</v>
      </c>
      <c r="AF876" s="25">
        <v>0</v>
      </c>
    </row>
    <row r="877" spans="1:32" x14ac:dyDescent="0.25">
      <c r="A877" s="25" t="s">
        <v>946</v>
      </c>
      <c r="B877" s="25">
        <v>0</v>
      </c>
      <c r="C877" s="25">
        <v>0</v>
      </c>
      <c r="D877" s="25">
        <v>0</v>
      </c>
      <c r="E877" s="25">
        <v>0</v>
      </c>
      <c r="F877" s="25">
        <v>0</v>
      </c>
      <c r="G877" s="25">
        <v>0</v>
      </c>
      <c r="H877" s="25">
        <v>0</v>
      </c>
      <c r="I877" s="25">
        <v>0</v>
      </c>
      <c r="J877" s="25">
        <v>0</v>
      </c>
      <c r="K877" s="25">
        <v>0</v>
      </c>
      <c r="L877" s="25">
        <v>0</v>
      </c>
      <c r="M877" s="25">
        <v>0</v>
      </c>
      <c r="N877" s="25">
        <v>0</v>
      </c>
      <c r="O877" s="25">
        <v>0</v>
      </c>
      <c r="P877" s="25">
        <v>0</v>
      </c>
      <c r="Q877" s="25">
        <v>0</v>
      </c>
      <c r="R877" s="25">
        <v>0</v>
      </c>
      <c r="S877" s="25">
        <v>0</v>
      </c>
      <c r="T877" s="25">
        <v>0</v>
      </c>
      <c r="U877" s="25">
        <v>0</v>
      </c>
      <c r="V877" s="25">
        <v>0</v>
      </c>
      <c r="W877" s="25">
        <v>0</v>
      </c>
      <c r="X877" s="25">
        <v>0</v>
      </c>
      <c r="Y877" s="25">
        <v>0</v>
      </c>
      <c r="Z877" s="25">
        <v>0</v>
      </c>
      <c r="AA877" s="25">
        <v>0</v>
      </c>
      <c r="AB877" s="25">
        <v>0</v>
      </c>
      <c r="AC877" s="25">
        <v>0</v>
      </c>
      <c r="AD877" s="25">
        <v>0</v>
      </c>
      <c r="AE877" s="25">
        <v>0</v>
      </c>
      <c r="AF877" s="25">
        <v>0</v>
      </c>
    </row>
    <row r="878" spans="1:32" x14ac:dyDescent="0.25">
      <c r="A878" s="25" t="s">
        <v>947</v>
      </c>
      <c r="B878" s="25">
        <v>0</v>
      </c>
      <c r="C878" s="25">
        <v>0</v>
      </c>
      <c r="D878" s="25">
        <v>0</v>
      </c>
      <c r="E878" s="25">
        <v>0</v>
      </c>
      <c r="F878" s="25">
        <v>0</v>
      </c>
      <c r="G878" s="25">
        <v>0</v>
      </c>
      <c r="H878" s="25">
        <v>0</v>
      </c>
      <c r="I878" s="25">
        <v>0</v>
      </c>
      <c r="J878" s="25">
        <v>0</v>
      </c>
      <c r="K878" s="25">
        <v>0</v>
      </c>
      <c r="L878" s="25">
        <v>0</v>
      </c>
      <c r="M878" s="25">
        <v>0</v>
      </c>
      <c r="N878" s="25">
        <v>0</v>
      </c>
      <c r="O878" s="25">
        <v>0</v>
      </c>
      <c r="P878" s="25">
        <v>0</v>
      </c>
      <c r="Q878" s="25">
        <v>0</v>
      </c>
      <c r="R878" s="25">
        <v>0</v>
      </c>
      <c r="S878" s="25">
        <v>0</v>
      </c>
      <c r="T878" s="25">
        <v>0</v>
      </c>
      <c r="U878" s="25">
        <v>0</v>
      </c>
      <c r="V878" s="25">
        <v>0</v>
      </c>
      <c r="W878" s="25">
        <v>0</v>
      </c>
      <c r="X878" s="25">
        <v>0</v>
      </c>
      <c r="Y878" s="25">
        <v>0</v>
      </c>
      <c r="Z878" s="25">
        <v>0</v>
      </c>
      <c r="AA878" s="25">
        <v>0</v>
      </c>
      <c r="AB878" s="25">
        <v>0</v>
      </c>
      <c r="AC878" s="25">
        <v>0</v>
      </c>
      <c r="AD878" s="25">
        <v>0</v>
      </c>
      <c r="AE878" s="25">
        <v>0</v>
      </c>
      <c r="AF878" s="25">
        <v>0</v>
      </c>
    </row>
    <row r="879" spans="1:32" x14ac:dyDescent="0.25">
      <c r="A879" s="25" t="s">
        <v>948</v>
      </c>
      <c r="B879" s="25">
        <v>0</v>
      </c>
      <c r="C879" s="25">
        <v>0</v>
      </c>
      <c r="D879" s="25">
        <v>0</v>
      </c>
      <c r="E879" s="25">
        <v>0</v>
      </c>
      <c r="F879" s="25">
        <v>0</v>
      </c>
      <c r="G879" s="25">
        <v>0</v>
      </c>
      <c r="H879" s="25">
        <v>0</v>
      </c>
      <c r="I879" s="25">
        <v>0</v>
      </c>
      <c r="J879" s="25">
        <v>0</v>
      </c>
      <c r="K879" s="25">
        <v>0</v>
      </c>
      <c r="L879" s="25">
        <v>0</v>
      </c>
      <c r="M879" s="25">
        <v>0</v>
      </c>
      <c r="N879" s="25">
        <v>0</v>
      </c>
      <c r="O879" s="25">
        <v>0</v>
      </c>
      <c r="P879" s="25">
        <v>0</v>
      </c>
      <c r="Q879" s="25">
        <v>0</v>
      </c>
      <c r="R879" s="25">
        <v>0</v>
      </c>
      <c r="S879" s="25">
        <v>0</v>
      </c>
      <c r="T879" s="25">
        <v>0</v>
      </c>
      <c r="U879" s="25">
        <v>0</v>
      </c>
      <c r="V879" s="25">
        <v>0</v>
      </c>
      <c r="W879" s="25">
        <v>0</v>
      </c>
      <c r="X879" s="25">
        <v>0</v>
      </c>
      <c r="Y879" s="25">
        <v>0</v>
      </c>
      <c r="Z879" s="25">
        <v>0</v>
      </c>
      <c r="AA879" s="25">
        <v>0</v>
      </c>
      <c r="AB879" s="25">
        <v>0</v>
      </c>
      <c r="AC879" s="25">
        <v>0</v>
      </c>
      <c r="AD879" s="25">
        <v>0</v>
      </c>
      <c r="AE879" s="25">
        <v>0</v>
      </c>
      <c r="AF879" s="25">
        <v>0</v>
      </c>
    </row>
    <row r="880" spans="1:32" x14ac:dyDescent="0.25">
      <c r="A880" s="25" t="s">
        <v>949</v>
      </c>
      <c r="B880" s="25">
        <v>0</v>
      </c>
      <c r="C880" s="25">
        <v>0</v>
      </c>
      <c r="D880" s="25">
        <v>0</v>
      </c>
      <c r="E880" s="25">
        <v>0</v>
      </c>
      <c r="F880" s="25">
        <v>0</v>
      </c>
      <c r="G880" s="25">
        <v>0</v>
      </c>
      <c r="H880" s="25">
        <v>0</v>
      </c>
      <c r="I880" s="25">
        <v>0</v>
      </c>
      <c r="J880" s="25">
        <v>0</v>
      </c>
      <c r="K880" s="25">
        <v>0</v>
      </c>
      <c r="L880" s="25">
        <v>0</v>
      </c>
      <c r="M880" s="25">
        <v>0</v>
      </c>
      <c r="N880" s="25">
        <v>0</v>
      </c>
      <c r="O880" s="25">
        <v>0</v>
      </c>
      <c r="P880" s="25">
        <v>0</v>
      </c>
      <c r="Q880" s="25">
        <v>0</v>
      </c>
      <c r="R880" s="25">
        <v>0</v>
      </c>
      <c r="S880" s="25">
        <v>0</v>
      </c>
      <c r="T880" s="25">
        <v>0</v>
      </c>
      <c r="U880" s="25">
        <v>0</v>
      </c>
      <c r="V880" s="25">
        <v>0</v>
      </c>
      <c r="W880" s="25">
        <v>0</v>
      </c>
      <c r="X880" s="25">
        <v>0</v>
      </c>
      <c r="Y880" s="25">
        <v>0</v>
      </c>
      <c r="Z880" s="25">
        <v>0</v>
      </c>
      <c r="AA880" s="25">
        <v>0</v>
      </c>
      <c r="AB880" s="25">
        <v>0</v>
      </c>
      <c r="AC880" s="25">
        <v>0</v>
      </c>
      <c r="AD880" s="25">
        <v>0</v>
      </c>
      <c r="AE880" s="25">
        <v>0</v>
      </c>
      <c r="AF880" s="25">
        <v>0</v>
      </c>
    </row>
    <row r="881" spans="1:32" x14ac:dyDescent="0.25">
      <c r="A881" s="25" t="s">
        <v>950</v>
      </c>
      <c r="B881" s="25">
        <v>0</v>
      </c>
      <c r="C881" s="25">
        <v>0</v>
      </c>
      <c r="D881" s="25">
        <v>0</v>
      </c>
      <c r="E881" s="25">
        <v>0</v>
      </c>
      <c r="F881" s="25">
        <v>0</v>
      </c>
      <c r="G881" s="25">
        <v>0</v>
      </c>
      <c r="H881" s="25">
        <v>0</v>
      </c>
      <c r="I881" s="25">
        <v>0</v>
      </c>
      <c r="J881" s="25">
        <v>0</v>
      </c>
      <c r="K881" s="25">
        <v>0</v>
      </c>
      <c r="L881" s="25">
        <v>0</v>
      </c>
      <c r="M881" s="25">
        <v>0</v>
      </c>
      <c r="N881" s="25">
        <v>0</v>
      </c>
      <c r="O881" s="25">
        <v>0</v>
      </c>
      <c r="P881" s="25">
        <v>0</v>
      </c>
      <c r="Q881" s="25">
        <v>0</v>
      </c>
      <c r="R881" s="25">
        <v>0</v>
      </c>
      <c r="S881" s="25">
        <v>0</v>
      </c>
      <c r="T881" s="25">
        <v>0</v>
      </c>
      <c r="U881" s="25">
        <v>0</v>
      </c>
      <c r="V881" s="25">
        <v>0</v>
      </c>
      <c r="W881" s="25">
        <v>0</v>
      </c>
      <c r="X881" s="25">
        <v>0</v>
      </c>
      <c r="Y881" s="25">
        <v>0</v>
      </c>
      <c r="Z881" s="25">
        <v>0</v>
      </c>
      <c r="AA881" s="25">
        <v>0</v>
      </c>
      <c r="AB881" s="25">
        <v>0</v>
      </c>
      <c r="AC881" s="25">
        <v>0</v>
      </c>
      <c r="AD881" s="25">
        <v>0</v>
      </c>
      <c r="AE881" s="25">
        <v>0</v>
      </c>
      <c r="AF881" s="25">
        <v>0</v>
      </c>
    </row>
    <row r="882" spans="1:32" x14ac:dyDescent="0.25">
      <c r="A882" s="25" t="s">
        <v>951</v>
      </c>
      <c r="B882" s="12">
        <v>148127000000000</v>
      </c>
      <c r="C882" s="12">
        <v>150329000000000</v>
      </c>
      <c r="D882" s="12">
        <v>148867000000000</v>
      </c>
      <c r="E882" s="12">
        <v>144749000000000</v>
      </c>
      <c r="F882" s="12">
        <v>140862000000000</v>
      </c>
      <c r="G882" s="12">
        <v>136545000000000</v>
      </c>
      <c r="H882" s="12">
        <v>131941000000000</v>
      </c>
      <c r="I882" s="12">
        <v>126731000000000</v>
      </c>
      <c r="J882" s="12">
        <v>121567000000000</v>
      </c>
      <c r="K882" s="12">
        <v>116596000000000</v>
      </c>
      <c r="L882" s="12">
        <v>111785000000000</v>
      </c>
      <c r="M882" s="12">
        <v>106851000000000</v>
      </c>
      <c r="N882" s="12">
        <v>101982000000000</v>
      </c>
      <c r="O882" s="12">
        <v>97169700000000</v>
      </c>
      <c r="P882" s="12">
        <v>92317700000000</v>
      </c>
      <c r="Q882" s="12">
        <v>87398500000000</v>
      </c>
      <c r="R882" s="12">
        <v>82453100000000</v>
      </c>
      <c r="S882" s="12">
        <v>77599400000000</v>
      </c>
      <c r="T882" s="12">
        <v>72669400000000</v>
      </c>
      <c r="U882" s="12">
        <v>67688300000000</v>
      </c>
      <c r="V882" s="12">
        <v>62715800000000</v>
      </c>
      <c r="W882" s="12">
        <v>57603800000000</v>
      </c>
      <c r="X882" s="12">
        <v>52494300000000</v>
      </c>
      <c r="Y882" s="12">
        <v>47365200000000</v>
      </c>
      <c r="Z882" s="12">
        <v>42190800000000</v>
      </c>
      <c r="AA882" s="12">
        <v>37016200000000</v>
      </c>
      <c r="AB882" s="12">
        <v>31797300000000</v>
      </c>
      <c r="AC882" s="12">
        <v>26481600000000</v>
      </c>
      <c r="AD882" s="12">
        <v>21119200000000</v>
      </c>
      <c r="AE882" s="12">
        <v>15731200000000</v>
      </c>
      <c r="AF882" s="12">
        <v>10292400000000</v>
      </c>
    </row>
    <row r="883" spans="1:32" x14ac:dyDescent="0.25">
      <c r="A883" s="25" t="s">
        <v>952</v>
      </c>
      <c r="B883" s="25">
        <v>0</v>
      </c>
      <c r="C883" s="25">
        <v>0</v>
      </c>
      <c r="D883" s="25">
        <v>0</v>
      </c>
      <c r="E883" s="25">
        <v>0</v>
      </c>
      <c r="F883" s="25">
        <v>0</v>
      </c>
      <c r="G883" s="25">
        <v>0</v>
      </c>
      <c r="H883" s="25">
        <v>0</v>
      </c>
      <c r="I883" s="25">
        <v>0</v>
      </c>
      <c r="J883" s="25">
        <v>0</v>
      </c>
      <c r="K883" s="25">
        <v>0</v>
      </c>
      <c r="L883" s="25">
        <v>0</v>
      </c>
      <c r="M883" s="25">
        <v>0</v>
      </c>
      <c r="N883" s="25">
        <v>0</v>
      </c>
      <c r="O883" s="25">
        <v>0</v>
      </c>
      <c r="P883" s="25">
        <v>0</v>
      </c>
      <c r="Q883" s="25">
        <v>0</v>
      </c>
      <c r="R883" s="25">
        <v>0</v>
      </c>
      <c r="S883" s="25">
        <v>0</v>
      </c>
      <c r="T883" s="25">
        <v>0</v>
      </c>
      <c r="U883" s="25">
        <v>0</v>
      </c>
      <c r="V883" s="25">
        <v>0</v>
      </c>
      <c r="W883" s="25">
        <v>0</v>
      </c>
      <c r="X883" s="25">
        <v>0</v>
      </c>
      <c r="Y883" s="25">
        <v>0</v>
      </c>
      <c r="Z883" s="25">
        <v>0</v>
      </c>
      <c r="AA883" s="25">
        <v>0</v>
      </c>
      <c r="AB883" s="25">
        <v>0</v>
      </c>
      <c r="AC883" s="25">
        <v>0</v>
      </c>
      <c r="AD883" s="25">
        <v>0</v>
      </c>
      <c r="AE883" s="25">
        <v>0</v>
      </c>
      <c r="AF883" s="25">
        <v>0</v>
      </c>
    </row>
    <row r="884" spans="1:32" x14ac:dyDescent="0.25">
      <c r="A884" s="25" t="s">
        <v>953</v>
      </c>
      <c r="B884" s="25">
        <v>0</v>
      </c>
      <c r="C884" s="12">
        <v>0</v>
      </c>
      <c r="D884" s="12">
        <v>0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25">
        <v>0</v>
      </c>
      <c r="K884" s="25">
        <v>0</v>
      </c>
      <c r="L884" s="25">
        <v>0</v>
      </c>
      <c r="M884" s="25">
        <v>0</v>
      </c>
      <c r="N884" s="25">
        <v>0</v>
      </c>
      <c r="O884" s="25">
        <v>0</v>
      </c>
      <c r="P884" s="25">
        <v>0</v>
      </c>
      <c r="Q884" s="25">
        <v>0</v>
      </c>
      <c r="R884" s="25">
        <v>0</v>
      </c>
      <c r="S884" s="25">
        <v>0</v>
      </c>
      <c r="T884" s="25">
        <v>0</v>
      </c>
      <c r="U884" s="25">
        <v>0</v>
      </c>
      <c r="V884" s="25">
        <v>0</v>
      </c>
      <c r="W884" s="25">
        <v>0</v>
      </c>
      <c r="X884" s="25">
        <v>0</v>
      </c>
      <c r="Y884" s="25">
        <v>0</v>
      </c>
      <c r="Z884" s="25">
        <v>0</v>
      </c>
      <c r="AA884" s="25">
        <v>0</v>
      </c>
      <c r="AB884" s="25">
        <v>0</v>
      </c>
      <c r="AC884" s="25">
        <v>0</v>
      </c>
      <c r="AD884" s="25">
        <v>0</v>
      </c>
      <c r="AE884" s="25">
        <v>0</v>
      </c>
      <c r="AF884" s="25">
        <v>0</v>
      </c>
    </row>
    <row r="885" spans="1:32" x14ac:dyDescent="0.25">
      <c r="A885" s="25" t="s">
        <v>954</v>
      </c>
      <c r="B885" s="25">
        <v>0</v>
      </c>
      <c r="C885" s="25">
        <v>0</v>
      </c>
      <c r="D885" s="25">
        <v>0</v>
      </c>
      <c r="E885" s="25">
        <v>0</v>
      </c>
      <c r="F885" s="25">
        <v>0</v>
      </c>
      <c r="G885" s="25">
        <v>0</v>
      </c>
      <c r="H885" s="25">
        <v>0</v>
      </c>
      <c r="I885" s="25">
        <v>0</v>
      </c>
      <c r="J885" s="25">
        <v>0</v>
      </c>
      <c r="K885" s="25">
        <v>0</v>
      </c>
      <c r="L885" s="25">
        <v>0</v>
      </c>
      <c r="M885" s="25">
        <v>0</v>
      </c>
      <c r="N885" s="25">
        <v>0</v>
      </c>
      <c r="O885" s="25">
        <v>0</v>
      </c>
      <c r="P885" s="25">
        <v>0</v>
      </c>
      <c r="Q885" s="25">
        <v>0</v>
      </c>
      <c r="R885" s="25">
        <v>0</v>
      </c>
      <c r="S885" s="25">
        <v>0</v>
      </c>
      <c r="T885" s="25">
        <v>0</v>
      </c>
      <c r="U885" s="25">
        <v>0</v>
      </c>
      <c r="V885" s="25">
        <v>0</v>
      </c>
      <c r="W885" s="25">
        <v>0</v>
      </c>
      <c r="X885" s="25">
        <v>0</v>
      </c>
      <c r="Y885" s="25">
        <v>0</v>
      </c>
      <c r="Z885" s="25">
        <v>0</v>
      </c>
      <c r="AA885" s="25">
        <v>0</v>
      </c>
      <c r="AB885" s="25">
        <v>0</v>
      </c>
      <c r="AC885" s="25">
        <v>0</v>
      </c>
      <c r="AD885" s="25">
        <v>0</v>
      </c>
      <c r="AE885" s="25">
        <v>0</v>
      </c>
      <c r="AF885" s="25">
        <v>0</v>
      </c>
    </row>
    <row r="886" spans="1:32" x14ac:dyDescent="0.25">
      <c r="A886" s="25" t="s">
        <v>955</v>
      </c>
      <c r="B886" s="25">
        <v>0</v>
      </c>
      <c r="C886" s="25">
        <v>0</v>
      </c>
      <c r="D886" s="25">
        <v>0</v>
      </c>
      <c r="E886" s="25">
        <v>0</v>
      </c>
      <c r="F886" s="25">
        <v>0</v>
      </c>
      <c r="G886" s="25">
        <v>0</v>
      </c>
      <c r="H886" s="25">
        <v>0</v>
      </c>
      <c r="I886" s="25">
        <v>0</v>
      </c>
      <c r="J886" s="25">
        <v>0</v>
      </c>
      <c r="K886" s="25">
        <v>0</v>
      </c>
      <c r="L886" s="25">
        <v>0</v>
      </c>
      <c r="M886" s="25">
        <v>0</v>
      </c>
      <c r="N886" s="25">
        <v>0</v>
      </c>
      <c r="O886" s="25">
        <v>0</v>
      </c>
      <c r="P886" s="25">
        <v>0</v>
      </c>
      <c r="Q886" s="25">
        <v>0</v>
      </c>
      <c r="R886" s="25">
        <v>0</v>
      </c>
      <c r="S886" s="25">
        <v>0</v>
      </c>
      <c r="T886" s="25">
        <v>0</v>
      </c>
      <c r="U886" s="25">
        <v>0</v>
      </c>
      <c r="V886" s="25">
        <v>0</v>
      </c>
      <c r="W886" s="25">
        <v>0</v>
      </c>
      <c r="X886" s="25">
        <v>0</v>
      </c>
      <c r="Y886" s="25">
        <v>0</v>
      </c>
      <c r="Z886" s="25">
        <v>0</v>
      </c>
      <c r="AA886" s="25">
        <v>0</v>
      </c>
      <c r="AB886" s="25">
        <v>0</v>
      </c>
      <c r="AC886" s="25">
        <v>0</v>
      </c>
      <c r="AD886" s="25">
        <v>0</v>
      </c>
      <c r="AE886" s="25">
        <v>0</v>
      </c>
      <c r="AF886" s="25">
        <v>0</v>
      </c>
    </row>
    <row r="887" spans="1:32" x14ac:dyDescent="0.25">
      <c r="A887" s="25" t="s">
        <v>956</v>
      </c>
      <c r="B887" s="25">
        <v>0</v>
      </c>
      <c r="C887" s="25">
        <v>0</v>
      </c>
      <c r="D887" s="25">
        <v>0</v>
      </c>
      <c r="E887" s="25">
        <v>0</v>
      </c>
      <c r="F887" s="25">
        <v>0</v>
      </c>
      <c r="G887" s="25">
        <v>0</v>
      </c>
      <c r="H887" s="25">
        <v>0</v>
      </c>
      <c r="I887" s="25">
        <v>0</v>
      </c>
      <c r="J887" s="25">
        <v>0</v>
      </c>
      <c r="K887" s="25">
        <v>0</v>
      </c>
      <c r="L887" s="25">
        <v>0</v>
      </c>
      <c r="M887" s="25">
        <v>0</v>
      </c>
      <c r="N887" s="25">
        <v>0</v>
      </c>
      <c r="O887" s="25">
        <v>0</v>
      </c>
      <c r="P887" s="25">
        <v>0</v>
      </c>
      <c r="Q887" s="25">
        <v>0</v>
      </c>
      <c r="R887" s="25">
        <v>0</v>
      </c>
      <c r="S887" s="25">
        <v>0</v>
      </c>
      <c r="T887" s="25">
        <v>0</v>
      </c>
      <c r="U887" s="25">
        <v>0</v>
      </c>
      <c r="V887" s="25">
        <v>0</v>
      </c>
      <c r="W887" s="25">
        <v>0</v>
      </c>
      <c r="X887" s="25">
        <v>0</v>
      </c>
      <c r="Y887" s="25">
        <v>0</v>
      </c>
      <c r="Z887" s="25">
        <v>0</v>
      </c>
      <c r="AA887" s="25">
        <v>0</v>
      </c>
      <c r="AB887" s="25">
        <v>0</v>
      </c>
      <c r="AC887" s="25">
        <v>0</v>
      </c>
      <c r="AD887" s="25">
        <v>0</v>
      </c>
      <c r="AE887" s="25">
        <v>0</v>
      </c>
      <c r="AF887" s="25">
        <v>0</v>
      </c>
    </row>
    <row r="888" spans="1:32" x14ac:dyDescent="0.25">
      <c r="A888" s="25" t="s">
        <v>957</v>
      </c>
      <c r="B888" s="25">
        <v>0</v>
      </c>
      <c r="C888" s="25">
        <v>0</v>
      </c>
      <c r="D888" s="25">
        <v>0</v>
      </c>
      <c r="E888" s="25">
        <v>0</v>
      </c>
      <c r="F888" s="25">
        <v>0</v>
      </c>
      <c r="G888" s="25">
        <v>0</v>
      </c>
      <c r="H888" s="25">
        <v>0</v>
      </c>
      <c r="I888" s="25">
        <v>0</v>
      </c>
      <c r="J888" s="25">
        <v>0</v>
      </c>
      <c r="K888" s="25">
        <v>0</v>
      </c>
      <c r="L888" s="25">
        <v>0</v>
      </c>
      <c r="M888" s="25">
        <v>0</v>
      </c>
      <c r="N888" s="25">
        <v>0</v>
      </c>
      <c r="O888" s="25">
        <v>0</v>
      </c>
      <c r="P888" s="25">
        <v>0</v>
      </c>
      <c r="Q888" s="25">
        <v>0</v>
      </c>
      <c r="R888" s="25">
        <v>0</v>
      </c>
      <c r="S888" s="25">
        <v>0</v>
      </c>
      <c r="T888" s="25">
        <v>0</v>
      </c>
      <c r="U888" s="25">
        <v>0</v>
      </c>
      <c r="V888" s="25">
        <v>0</v>
      </c>
      <c r="W888" s="25">
        <v>0</v>
      </c>
      <c r="X888" s="25">
        <v>0</v>
      </c>
      <c r="Y888" s="25">
        <v>0</v>
      </c>
      <c r="Z888" s="25">
        <v>0</v>
      </c>
      <c r="AA888" s="25">
        <v>0</v>
      </c>
      <c r="AB888" s="25">
        <v>0</v>
      </c>
      <c r="AC888" s="25">
        <v>0</v>
      </c>
      <c r="AD888" s="25">
        <v>0</v>
      </c>
      <c r="AE888" s="25">
        <v>0</v>
      </c>
      <c r="AF888" s="25">
        <v>0</v>
      </c>
    </row>
    <row r="889" spans="1:32" x14ac:dyDescent="0.25">
      <c r="A889" s="25" t="s">
        <v>958</v>
      </c>
      <c r="B889" s="25">
        <v>0</v>
      </c>
      <c r="C889" s="25">
        <v>0</v>
      </c>
      <c r="D889" s="25">
        <v>0</v>
      </c>
      <c r="E889" s="25">
        <v>0</v>
      </c>
      <c r="F889" s="25">
        <v>0</v>
      </c>
      <c r="G889" s="25">
        <v>0</v>
      </c>
      <c r="H889" s="25">
        <v>0</v>
      </c>
      <c r="I889" s="25">
        <v>0</v>
      </c>
      <c r="J889" s="25">
        <v>0</v>
      </c>
      <c r="K889" s="25">
        <v>0</v>
      </c>
      <c r="L889" s="25">
        <v>0</v>
      </c>
      <c r="M889" s="25">
        <v>0</v>
      </c>
      <c r="N889" s="25">
        <v>0</v>
      </c>
      <c r="O889" s="25">
        <v>0</v>
      </c>
      <c r="P889" s="25">
        <v>0</v>
      </c>
      <c r="Q889" s="25">
        <v>0</v>
      </c>
      <c r="R889" s="25">
        <v>0</v>
      </c>
      <c r="S889" s="25">
        <v>0</v>
      </c>
      <c r="T889" s="25">
        <v>0</v>
      </c>
      <c r="U889" s="25">
        <v>0</v>
      </c>
      <c r="V889" s="25">
        <v>0</v>
      </c>
      <c r="W889" s="25">
        <v>0</v>
      </c>
      <c r="X889" s="25">
        <v>0</v>
      </c>
      <c r="Y889" s="25">
        <v>0</v>
      </c>
      <c r="Z889" s="25">
        <v>0</v>
      </c>
      <c r="AA889" s="25">
        <v>0</v>
      </c>
      <c r="AB889" s="25">
        <v>0</v>
      </c>
      <c r="AC889" s="25">
        <v>0</v>
      </c>
      <c r="AD889" s="25">
        <v>0</v>
      </c>
      <c r="AE889" s="25">
        <v>0</v>
      </c>
      <c r="AF889" s="25">
        <v>0</v>
      </c>
    </row>
    <row r="890" spans="1:32" x14ac:dyDescent="0.25">
      <c r="A890" s="25" t="s">
        <v>959</v>
      </c>
      <c r="B890" s="25">
        <v>0</v>
      </c>
      <c r="C890" s="25">
        <v>0</v>
      </c>
      <c r="D890" s="25">
        <v>0</v>
      </c>
      <c r="E890" s="25">
        <v>0</v>
      </c>
      <c r="F890" s="25">
        <v>0</v>
      </c>
      <c r="G890" s="25">
        <v>0</v>
      </c>
      <c r="H890" s="25">
        <v>0</v>
      </c>
      <c r="I890" s="25">
        <v>0</v>
      </c>
      <c r="J890" s="25">
        <v>0</v>
      </c>
      <c r="K890" s="25">
        <v>0</v>
      </c>
      <c r="L890" s="25">
        <v>0</v>
      </c>
      <c r="M890" s="25">
        <v>0</v>
      </c>
      <c r="N890" s="25">
        <v>0</v>
      </c>
      <c r="O890" s="25">
        <v>0</v>
      </c>
      <c r="P890" s="25">
        <v>0</v>
      </c>
      <c r="Q890" s="25">
        <v>0</v>
      </c>
      <c r="R890" s="25">
        <v>0</v>
      </c>
      <c r="S890" s="25">
        <v>0</v>
      </c>
      <c r="T890" s="25">
        <v>0</v>
      </c>
      <c r="U890" s="25">
        <v>0</v>
      </c>
      <c r="V890" s="25">
        <v>0</v>
      </c>
      <c r="W890" s="25">
        <v>0</v>
      </c>
      <c r="X890" s="25">
        <v>0</v>
      </c>
      <c r="Y890" s="25">
        <v>0</v>
      </c>
      <c r="Z890" s="25">
        <v>0</v>
      </c>
      <c r="AA890" s="25">
        <v>0</v>
      </c>
      <c r="AB890" s="25">
        <v>0</v>
      </c>
      <c r="AC890" s="25">
        <v>0</v>
      </c>
      <c r="AD890" s="25">
        <v>0</v>
      </c>
      <c r="AE890" s="25">
        <v>0</v>
      </c>
      <c r="AF890" s="25">
        <v>0</v>
      </c>
    </row>
    <row r="891" spans="1:32" x14ac:dyDescent="0.25">
      <c r="A891" s="25" t="s">
        <v>960</v>
      </c>
      <c r="B891" s="25">
        <v>0</v>
      </c>
      <c r="C891" s="25">
        <v>0</v>
      </c>
      <c r="D891" s="25">
        <v>0</v>
      </c>
      <c r="E891" s="25">
        <v>0</v>
      </c>
      <c r="F891" s="25">
        <v>0</v>
      </c>
      <c r="G891" s="25">
        <v>0</v>
      </c>
      <c r="H891" s="25">
        <v>0</v>
      </c>
      <c r="I891" s="25">
        <v>0</v>
      </c>
      <c r="J891" s="25">
        <v>0</v>
      </c>
      <c r="K891" s="25">
        <v>0</v>
      </c>
      <c r="L891" s="25">
        <v>0</v>
      </c>
      <c r="M891" s="25">
        <v>0</v>
      </c>
      <c r="N891" s="25">
        <v>0</v>
      </c>
      <c r="O891" s="25">
        <v>0</v>
      </c>
      <c r="P891" s="25">
        <v>0</v>
      </c>
      <c r="Q891" s="25">
        <v>0</v>
      </c>
      <c r="R891" s="25">
        <v>0</v>
      </c>
      <c r="S891" s="25">
        <v>0</v>
      </c>
      <c r="T891" s="25">
        <v>0</v>
      </c>
      <c r="U891" s="25">
        <v>0</v>
      </c>
      <c r="V891" s="25">
        <v>0</v>
      </c>
      <c r="W891" s="25">
        <v>0</v>
      </c>
      <c r="X891" s="25">
        <v>0</v>
      </c>
      <c r="Y891" s="25">
        <v>0</v>
      </c>
      <c r="Z891" s="25">
        <v>0</v>
      </c>
      <c r="AA891" s="25">
        <v>0</v>
      </c>
      <c r="AB891" s="25">
        <v>0</v>
      </c>
      <c r="AC891" s="25">
        <v>0</v>
      </c>
      <c r="AD891" s="25">
        <v>0</v>
      </c>
      <c r="AE891" s="25">
        <v>0</v>
      </c>
      <c r="AF891" s="25">
        <v>0</v>
      </c>
    </row>
    <row r="892" spans="1:32" x14ac:dyDescent="0.25">
      <c r="A892" s="25" t="s">
        <v>961</v>
      </c>
      <c r="B892" s="25">
        <v>0</v>
      </c>
      <c r="C892" s="25">
        <v>0</v>
      </c>
      <c r="D892" s="25">
        <v>0</v>
      </c>
      <c r="E892" s="25">
        <v>0</v>
      </c>
      <c r="F892" s="25">
        <v>0</v>
      </c>
      <c r="G892" s="25">
        <v>0</v>
      </c>
      <c r="H892" s="25">
        <v>0</v>
      </c>
      <c r="I892" s="25">
        <v>0</v>
      </c>
      <c r="J892" s="25">
        <v>0</v>
      </c>
      <c r="K892" s="25">
        <v>0</v>
      </c>
      <c r="L892" s="25">
        <v>0</v>
      </c>
      <c r="M892" s="25">
        <v>0</v>
      </c>
      <c r="N892" s="25">
        <v>0</v>
      </c>
      <c r="O892" s="25">
        <v>0</v>
      </c>
      <c r="P892" s="25">
        <v>0</v>
      </c>
      <c r="Q892" s="25">
        <v>0</v>
      </c>
      <c r="R892" s="25">
        <v>0</v>
      </c>
      <c r="S892" s="25">
        <v>0</v>
      </c>
      <c r="T892" s="25">
        <v>0</v>
      </c>
      <c r="U892" s="25">
        <v>0</v>
      </c>
      <c r="V892" s="25">
        <v>0</v>
      </c>
      <c r="W892" s="25">
        <v>0</v>
      </c>
      <c r="X892" s="25">
        <v>0</v>
      </c>
      <c r="Y892" s="25">
        <v>0</v>
      </c>
      <c r="Z892" s="25">
        <v>0</v>
      </c>
      <c r="AA892" s="25">
        <v>0</v>
      </c>
      <c r="AB892" s="25">
        <v>0</v>
      </c>
      <c r="AC892" s="25">
        <v>0</v>
      </c>
      <c r="AD892" s="25">
        <v>0</v>
      </c>
      <c r="AE892" s="25">
        <v>0</v>
      </c>
      <c r="AF892" s="25">
        <v>0</v>
      </c>
    </row>
    <row r="893" spans="1:32" x14ac:dyDescent="0.25">
      <c r="A893" s="25" t="s">
        <v>962</v>
      </c>
      <c r="B893" s="12">
        <v>47555900000000</v>
      </c>
      <c r="C893" s="12">
        <v>53559700000000</v>
      </c>
      <c r="D893" s="12">
        <v>58732200000000</v>
      </c>
      <c r="E893" s="12">
        <v>63031900000000</v>
      </c>
      <c r="F893" s="12">
        <v>67535400000000</v>
      </c>
      <c r="G893" s="12">
        <v>71921100000000</v>
      </c>
      <c r="H893" s="12">
        <v>76208400000000</v>
      </c>
      <c r="I893" s="12">
        <v>80132100000000</v>
      </c>
      <c r="J893" s="12">
        <v>84042100000000</v>
      </c>
      <c r="K893" s="12">
        <v>88065700000000</v>
      </c>
      <c r="L893" s="12">
        <v>92221600000000</v>
      </c>
      <c r="M893" s="12">
        <v>96289200000000</v>
      </c>
      <c r="N893" s="12">
        <v>100432000000000</v>
      </c>
      <c r="O893" s="12">
        <v>104669000000000</v>
      </c>
      <c r="P893" s="12">
        <v>108910000000000</v>
      </c>
      <c r="Q893" s="12">
        <v>113116000000000</v>
      </c>
      <c r="R893" s="12">
        <v>117330000000000</v>
      </c>
      <c r="S893" s="12">
        <v>121749000000000</v>
      </c>
      <c r="T893" s="12">
        <v>126138000000000</v>
      </c>
      <c r="U893" s="12">
        <v>130528000000000</v>
      </c>
      <c r="V893" s="12">
        <v>135045000000000</v>
      </c>
      <c r="W893" s="12">
        <v>139363000000000</v>
      </c>
      <c r="X893" s="12">
        <v>143786000000000</v>
      </c>
      <c r="Y893" s="12">
        <v>148290000000000</v>
      </c>
      <c r="Z893" s="12">
        <v>152813000000000</v>
      </c>
      <c r="AA893" s="12">
        <v>157553000000000</v>
      </c>
      <c r="AB893" s="12">
        <v>162402000000000</v>
      </c>
      <c r="AC893" s="12">
        <v>167073000000000</v>
      </c>
      <c r="AD893" s="12">
        <v>171782000000000</v>
      </c>
      <c r="AE893" s="12">
        <v>176776000000000</v>
      </c>
      <c r="AF893" s="12">
        <v>181942000000000</v>
      </c>
    </row>
    <row r="894" spans="1:32" x14ac:dyDescent="0.25">
      <c r="A894" s="25" t="s">
        <v>963</v>
      </c>
      <c r="B894" s="25">
        <v>0</v>
      </c>
      <c r="C894" s="25">
        <v>0</v>
      </c>
      <c r="D894" s="25">
        <v>0</v>
      </c>
      <c r="E894" s="25">
        <v>0</v>
      </c>
      <c r="F894" s="25">
        <v>0</v>
      </c>
      <c r="G894" s="25">
        <v>0</v>
      </c>
      <c r="H894" s="25">
        <v>0</v>
      </c>
      <c r="I894" s="25">
        <v>0</v>
      </c>
      <c r="J894" s="25">
        <v>0</v>
      </c>
      <c r="K894" s="25">
        <v>0</v>
      </c>
      <c r="L894" s="25">
        <v>0</v>
      </c>
      <c r="M894" s="25">
        <v>0</v>
      </c>
      <c r="N894" s="25">
        <v>0</v>
      </c>
      <c r="O894" s="25">
        <v>0</v>
      </c>
      <c r="P894" s="25">
        <v>0</v>
      </c>
      <c r="Q894" s="25">
        <v>0</v>
      </c>
      <c r="R894" s="25">
        <v>0</v>
      </c>
      <c r="S894" s="25">
        <v>0</v>
      </c>
      <c r="T894" s="25">
        <v>0</v>
      </c>
      <c r="U894" s="25">
        <v>0</v>
      </c>
      <c r="V894" s="25">
        <v>0</v>
      </c>
      <c r="W894" s="25">
        <v>0</v>
      </c>
      <c r="X894" s="25">
        <v>0</v>
      </c>
      <c r="Y894" s="25">
        <v>0</v>
      </c>
      <c r="Z894" s="25">
        <v>0</v>
      </c>
      <c r="AA894" s="25">
        <v>0</v>
      </c>
      <c r="AB894" s="25">
        <v>0</v>
      </c>
      <c r="AC894" s="25">
        <v>0</v>
      </c>
      <c r="AD894" s="25">
        <v>0</v>
      </c>
      <c r="AE894" s="25">
        <v>0</v>
      </c>
      <c r="AF894" s="25">
        <v>0</v>
      </c>
    </row>
    <row r="895" spans="1:32" x14ac:dyDescent="0.25">
      <c r="A895" s="25" t="s">
        <v>964</v>
      </c>
      <c r="B895" s="25">
        <v>0</v>
      </c>
      <c r="C895" s="12">
        <v>0</v>
      </c>
      <c r="D895" s="12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25">
        <v>0</v>
      </c>
      <c r="K895" s="25">
        <v>0</v>
      </c>
      <c r="L895" s="25">
        <v>0</v>
      </c>
      <c r="M895" s="25">
        <v>0</v>
      </c>
      <c r="N895" s="25">
        <v>0</v>
      </c>
      <c r="O895" s="25">
        <v>0</v>
      </c>
      <c r="P895" s="25">
        <v>0</v>
      </c>
      <c r="Q895" s="25">
        <v>0</v>
      </c>
      <c r="R895" s="25">
        <v>0</v>
      </c>
      <c r="S895" s="25">
        <v>0</v>
      </c>
      <c r="T895" s="25">
        <v>0</v>
      </c>
      <c r="U895" s="25">
        <v>0</v>
      </c>
      <c r="V895" s="25">
        <v>0</v>
      </c>
      <c r="W895" s="25">
        <v>0</v>
      </c>
      <c r="X895" s="25">
        <v>0</v>
      </c>
      <c r="Y895" s="25">
        <v>0</v>
      </c>
      <c r="Z895" s="25">
        <v>0</v>
      </c>
      <c r="AA895" s="25">
        <v>0</v>
      </c>
      <c r="AB895" s="25">
        <v>0</v>
      </c>
      <c r="AC895" s="25">
        <v>0</v>
      </c>
      <c r="AD895" s="25">
        <v>0</v>
      </c>
      <c r="AE895" s="25">
        <v>0</v>
      </c>
      <c r="AF895" s="25">
        <v>0</v>
      </c>
    </row>
    <row r="896" spans="1:32" x14ac:dyDescent="0.25">
      <c r="A896" s="25" t="s">
        <v>965</v>
      </c>
      <c r="B896" s="25">
        <v>0</v>
      </c>
      <c r="C896" s="25">
        <v>0</v>
      </c>
      <c r="D896" s="25">
        <v>0</v>
      </c>
      <c r="E896" s="25">
        <v>0</v>
      </c>
      <c r="F896" s="25">
        <v>0</v>
      </c>
      <c r="G896" s="25">
        <v>0</v>
      </c>
      <c r="H896" s="25">
        <v>0</v>
      </c>
      <c r="I896" s="25">
        <v>0</v>
      </c>
      <c r="J896" s="25">
        <v>0</v>
      </c>
      <c r="K896" s="25">
        <v>0</v>
      </c>
      <c r="L896" s="25">
        <v>0</v>
      </c>
      <c r="M896" s="25">
        <v>0</v>
      </c>
      <c r="N896" s="25">
        <v>0</v>
      </c>
      <c r="O896" s="25">
        <v>0</v>
      </c>
      <c r="P896" s="25">
        <v>0</v>
      </c>
      <c r="Q896" s="25">
        <v>0</v>
      </c>
      <c r="R896" s="25">
        <v>0</v>
      </c>
      <c r="S896" s="25">
        <v>0</v>
      </c>
      <c r="T896" s="25">
        <v>0</v>
      </c>
      <c r="U896" s="25">
        <v>0</v>
      </c>
      <c r="V896" s="25">
        <v>0</v>
      </c>
      <c r="W896" s="25">
        <v>0</v>
      </c>
      <c r="X896" s="25">
        <v>0</v>
      </c>
      <c r="Y896" s="25">
        <v>0</v>
      </c>
      <c r="Z896" s="25">
        <v>0</v>
      </c>
      <c r="AA896" s="25">
        <v>0</v>
      </c>
      <c r="AB896" s="25">
        <v>0</v>
      </c>
      <c r="AC896" s="25">
        <v>0</v>
      </c>
      <c r="AD896" s="25">
        <v>0</v>
      </c>
      <c r="AE896" s="25">
        <v>0</v>
      </c>
      <c r="AF896" s="25">
        <v>0</v>
      </c>
    </row>
    <row r="897" spans="1:32" x14ac:dyDescent="0.25">
      <c r="A897" s="25" t="s">
        <v>966</v>
      </c>
      <c r="B897" s="25">
        <v>0</v>
      </c>
      <c r="C897" s="25">
        <v>0</v>
      </c>
      <c r="D897" s="25">
        <v>0</v>
      </c>
      <c r="E897" s="25">
        <v>0</v>
      </c>
      <c r="F897" s="25">
        <v>0</v>
      </c>
      <c r="G897" s="25">
        <v>0</v>
      </c>
      <c r="H897" s="25">
        <v>0</v>
      </c>
      <c r="I897" s="25">
        <v>0</v>
      </c>
      <c r="J897" s="25">
        <v>0</v>
      </c>
      <c r="K897" s="25">
        <v>0</v>
      </c>
      <c r="L897" s="25">
        <v>0</v>
      </c>
      <c r="M897" s="25">
        <v>0</v>
      </c>
      <c r="N897" s="25">
        <v>0</v>
      </c>
      <c r="O897" s="25">
        <v>0</v>
      </c>
      <c r="P897" s="25">
        <v>0</v>
      </c>
      <c r="Q897" s="25">
        <v>0</v>
      </c>
      <c r="R897" s="25">
        <v>0</v>
      </c>
      <c r="S897" s="25">
        <v>0</v>
      </c>
      <c r="T897" s="25">
        <v>0</v>
      </c>
      <c r="U897" s="25">
        <v>0</v>
      </c>
      <c r="V897" s="25">
        <v>0</v>
      </c>
      <c r="W897" s="25">
        <v>0</v>
      </c>
      <c r="X897" s="25">
        <v>0</v>
      </c>
      <c r="Y897" s="25">
        <v>0</v>
      </c>
      <c r="Z897" s="25">
        <v>0</v>
      </c>
      <c r="AA897" s="25">
        <v>0</v>
      </c>
      <c r="AB897" s="25">
        <v>0</v>
      </c>
      <c r="AC897" s="25">
        <v>0</v>
      </c>
      <c r="AD897" s="25">
        <v>0</v>
      </c>
      <c r="AE897" s="25">
        <v>0</v>
      </c>
      <c r="AF897" s="25">
        <v>0</v>
      </c>
    </row>
    <row r="898" spans="1:32" x14ac:dyDescent="0.25">
      <c r="A898" s="25" t="s">
        <v>967</v>
      </c>
      <c r="B898" s="25">
        <v>0</v>
      </c>
      <c r="C898" s="25">
        <v>0</v>
      </c>
      <c r="D898" s="25">
        <v>0</v>
      </c>
      <c r="E898" s="25">
        <v>0</v>
      </c>
      <c r="F898" s="25">
        <v>0</v>
      </c>
      <c r="G898" s="25">
        <v>0</v>
      </c>
      <c r="H898" s="25">
        <v>0</v>
      </c>
      <c r="I898" s="25">
        <v>0</v>
      </c>
      <c r="J898" s="25">
        <v>0</v>
      </c>
      <c r="K898" s="25">
        <v>0</v>
      </c>
      <c r="L898" s="25">
        <v>0</v>
      </c>
      <c r="M898" s="25">
        <v>0</v>
      </c>
      <c r="N898" s="25">
        <v>0</v>
      </c>
      <c r="O898" s="25">
        <v>0</v>
      </c>
      <c r="P898" s="25">
        <v>0</v>
      </c>
      <c r="Q898" s="25">
        <v>0</v>
      </c>
      <c r="R898" s="25">
        <v>0</v>
      </c>
      <c r="S898" s="25">
        <v>0</v>
      </c>
      <c r="T898" s="25">
        <v>0</v>
      </c>
      <c r="U898" s="25">
        <v>0</v>
      </c>
      <c r="V898" s="25">
        <v>0</v>
      </c>
      <c r="W898" s="25">
        <v>0</v>
      </c>
      <c r="X898" s="25">
        <v>0</v>
      </c>
      <c r="Y898" s="25">
        <v>0</v>
      </c>
      <c r="Z898" s="25">
        <v>0</v>
      </c>
      <c r="AA898" s="25">
        <v>0</v>
      </c>
      <c r="AB898" s="25">
        <v>0</v>
      </c>
      <c r="AC898" s="25">
        <v>0</v>
      </c>
      <c r="AD898" s="25">
        <v>0</v>
      </c>
      <c r="AE898" s="25">
        <v>0</v>
      </c>
      <c r="AF898" s="25">
        <v>0</v>
      </c>
    </row>
    <row r="899" spans="1:32" x14ac:dyDescent="0.25">
      <c r="A899" s="25" t="s">
        <v>968</v>
      </c>
      <c r="B899" s="25">
        <v>0</v>
      </c>
      <c r="C899" s="25">
        <v>0</v>
      </c>
      <c r="D899" s="25">
        <v>0</v>
      </c>
      <c r="E899" s="25">
        <v>0</v>
      </c>
      <c r="F899" s="25">
        <v>0</v>
      </c>
      <c r="G899" s="25">
        <v>0</v>
      </c>
      <c r="H899" s="25">
        <v>0</v>
      </c>
      <c r="I899" s="25">
        <v>0</v>
      </c>
      <c r="J899" s="25">
        <v>0</v>
      </c>
      <c r="K899" s="25">
        <v>0</v>
      </c>
      <c r="L899" s="25">
        <v>0</v>
      </c>
      <c r="M899" s="25">
        <v>0</v>
      </c>
      <c r="N899" s="25">
        <v>0</v>
      </c>
      <c r="O899" s="25">
        <v>0</v>
      </c>
      <c r="P899" s="25">
        <v>0</v>
      </c>
      <c r="Q899" s="25">
        <v>0</v>
      </c>
      <c r="R899" s="25">
        <v>0</v>
      </c>
      <c r="S899" s="25">
        <v>0</v>
      </c>
      <c r="T899" s="25">
        <v>0</v>
      </c>
      <c r="U899" s="25">
        <v>0</v>
      </c>
      <c r="V899" s="25">
        <v>0</v>
      </c>
      <c r="W899" s="25">
        <v>0</v>
      </c>
      <c r="X899" s="25">
        <v>0</v>
      </c>
      <c r="Y899" s="25">
        <v>0</v>
      </c>
      <c r="Z899" s="25">
        <v>0</v>
      </c>
      <c r="AA899" s="25">
        <v>0</v>
      </c>
      <c r="AB899" s="25">
        <v>0</v>
      </c>
      <c r="AC899" s="25">
        <v>0</v>
      </c>
      <c r="AD899" s="25">
        <v>0</v>
      </c>
      <c r="AE899" s="25">
        <v>0</v>
      </c>
      <c r="AF899" s="25">
        <v>0</v>
      </c>
    </row>
    <row r="900" spans="1:32" x14ac:dyDescent="0.25">
      <c r="A900" s="25" t="s">
        <v>969</v>
      </c>
      <c r="B900" s="25">
        <v>0</v>
      </c>
      <c r="C900" s="25">
        <v>0</v>
      </c>
      <c r="D900" s="25">
        <v>0</v>
      </c>
      <c r="E900" s="25">
        <v>0</v>
      </c>
      <c r="F900" s="25">
        <v>0</v>
      </c>
      <c r="G900" s="25">
        <v>0</v>
      </c>
      <c r="H900" s="25">
        <v>0</v>
      </c>
      <c r="I900" s="25">
        <v>0</v>
      </c>
      <c r="J900" s="25">
        <v>0</v>
      </c>
      <c r="K900" s="25">
        <v>0</v>
      </c>
      <c r="L900" s="25">
        <v>0</v>
      </c>
      <c r="M900" s="25">
        <v>0</v>
      </c>
      <c r="N900" s="25">
        <v>0</v>
      </c>
      <c r="O900" s="25">
        <v>0</v>
      </c>
      <c r="P900" s="25">
        <v>0</v>
      </c>
      <c r="Q900" s="25">
        <v>0</v>
      </c>
      <c r="R900" s="25">
        <v>0</v>
      </c>
      <c r="S900" s="25">
        <v>0</v>
      </c>
      <c r="T900" s="25">
        <v>0</v>
      </c>
      <c r="U900" s="25">
        <v>0</v>
      </c>
      <c r="V900" s="25">
        <v>0</v>
      </c>
      <c r="W900" s="25">
        <v>0</v>
      </c>
      <c r="X900" s="25">
        <v>0</v>
      </c>
      <c r="Y900" s="25">
        <v>0</v>
      </c>
      <c r="Z900" s="25">
        <v>0</v>
      </c>
      <c r="AA900" s="25">
        <v>0</v>
      </c>
      <c r="AB900" s="25">
        <v>0</v>
      </c>
      <c r="AC900" s="25">
        <v>0</v>
      </c>
      <c r="AD900" s="25">
        <v>0</v>
      </c>
      <c r="AE900" s="25">
        <v>0</v>
      </c>
      <c r="AF900" s="25">
        <v>0</v>
      </c>
    </row>
    <row r="901" spans="1:32" x14ac:dyDescent="0.25">
      <c r="A901" s="25" t="s">
        <v>970</v>
      </c>
      <c r="B901" s="25">
        <v>0</v>
      </c>
      <c r="C901" s="25">
        <v>0</v>
      </c>
      <c r="D901" s="25">
        <v>0</v>
      </c>
      <c r="E901" s="25">
        <v>0</v>
      </c>
      <c r="F901" s="25">
        <v>0</v>
      </c>
      <c r="G901" s="25">
        <v>0</v>
      </c>
      <c r="H901" s="25">
        <v>0</v>
      </c>
      <c r="I901" s="25">
        <v>0</v>
      </c>
      <c r="J901" s="25">
        <v>0</v>
      </c>
      <c r="K901" s="25">
        <v>0</v>
      </c>
      <c r="L901" s="25">
        <v>0</v>
      </c>
      <c r="M901" s="25">
        <v>0</v>
      </c>
      <c r="N901" s="25">
        <v>0</v>
      </c>
      <c r="O901" s="25">
        <v>0</v>
      </c>
      <c r="P901" s="25">
        <v>0</v>
      </c>
      <c r="Q901" s="25">
        <v>0</v>
      </c>
      <c r="R901" s="25">
        <v>0</v>
      </c>
      <c r="S901" s="25">
        <v>0</v>
      </c>
      <c r="T901" s="25">
        <v>0</v>
      </c>
      <c r="U901" s="25">
        <v>0</v>
      </c>
      <c r="V901" s="25">
        <v>0</v>
      </c>
      <c r="W901" s="25">
        <v>0</v>
      </c>
      <c r="X901" s="25">
        <v>0</v>
      </c>
      <c r="Y901" s="25">
        <v>0</v>
      </c>
      <c r="Z901" s="25">
        <v>0</v>
      </c>
      <c r="AA901" s="25">
        <v>0</v>
      </c>
      <c r="AB901" s="25">
        <v>0</v>
      </c>
      <c r="AC901" s="25">
        <v>0</v>
      </c>
      <c r="AD901" s="25">
        <v>0</v>
      </c>
      <c r="AE901" s="25">
        <v>0</v>
      </c>
      <c r="AF901" s="25">
        <v>0</v>
      </c>
    </row>
    <row r="902" spans="1:32" x14ac:dyDescent="0.25">
      <c r="A902" s="25" t="s">
        <v>971</v>
      </c>
      <c r="B902" s="25">
        <v>0</v>
      </c>
      <c r="C902" s="25">
        <v>0</v>
      </c>
      <c r="D902" s="25">
        <v>0</v>
      </c>
      <c r="E902" s="25">
        <v>0</v>
      </c>
      <c r="F902" s="25">
        <v>0</v>
      </c>
      <c r="G902" s="25">
        <v>0</v>
      </c>
      <c r="H902" s="25">
        <v>0</v>
      </c>
      <c r="I902" s="25">
        <v>0</v>
      </c>
      <c r="J902" s="25">
        <v>0</v>
      </c>
      <c r="K902" s="25">
        <v>0</v>
      </c>
      <c r="L902" s="25">
        <v>0</v>
      </c>
      <c r="M902" s="25">
        <v>0</v>
      </c>
      <c r="N902" s="25">
        <v>0</v>
      </c>
      <c r="O902" s="25">
        <v>0</v>
      </c>
      <c r="P902" s="25">
        <v>0</v>
      </c>
      <c r="Q902" s="25">
        <v>0</v>
      </c>
      <c r="R902" s="25">
        <v>0</v>
      </c>
      <c r="S902" s="25">
        <v>0</v>
      </c>
      <c r="T902" s="25">
        <v>0</v>
      </c>
      <c r="U902" s="25">
        <v>0</v>
      </c>
      <c r="V902" s="25">
        <v>0</v>
      </c>
      <c r="W902" s="25">
        <v>0</v>
      </c>
      <c r="X902" s="25">
        <v>0</v>
      </c>
      <c r="Y902" s="25">
        <v>0</v>
      </c>
      <c r="Z902" s="25">
        <v>0</v>
      </c>
      <c r="AA902" s="25">
        <v>0</v>
      </c>
      <c r="AB902" s="25">
        <v>0</v>
      </c>
      <c r="AC902" s="25">
        <v>0</v>
      </c>
      <c r="AD902" s="25">
        <v>0</v>
      </c>
      <c r="AE902" s="25">
        <v>0</v>
      </c>
      <c r="AF902" s="25">
        <v>0</v>
      </c>
    </row>
    <row r="903" spans="1:32" x14ac:dyDescent="0.25">
      <c r="A903" s="25" t="s">
        <v>972</v>
      </c>
      <c r="B903" s="25">
        <v>0</v>
      </c>
      <c r="C903" s="25">
        <v>0</v>
      </c>
      <c r="D903" s="25">
        <v>0</v>
      </c>
      <c r="E903" s="25">
        <v>0</v>
      </c>
      <c r="F903" s="25">
        <v>0</v>
      </c>
      <c r="G903" s="25">
        <v>0</v>
      </c>
      <c r="H903" s="25">
        <v>0</v>
      </c>
      <c r="I903" s="25">
        <v>0</v>
      </c>
      <c r="J903" s="25">
        <v>0</v>
      </c>
      <c r="K903" s="25">
        <v>0</v>
      </c>
      <c r="L903" s="25">
        <v>0</v>
      </c>
      <c r="M903" s="25">
        <v>0</v>
      </c>
      <c r="N903" s="25">
        <v>0</v>
      </c>
      <c r="O903" s="25">
        <v>0</v>
      </c>
      <c r="P903" s="25">
        <v>0</v>
      </c>
      <c r="Q903" s="25">
        <v>0</v>
      </c>
      <c r="R903" s="25">
        <v>0</v>
      </c>
      <c r="S903" s="25">
        <v>0</v>
      </c>
      <c r="T903" s="25">
        <v>0</v>
      </c>
      <c r="U903" s="25">
        <v>0</v>
      </c>
      <c r="V903" s="25">
        <v>0</v>
      </c>
      <c r="W903" s="25">
        <v>0</v>
      </c>
      <c r="X903" s="25">
        <v>0</v>
      </c>
      <c r="Y903" s="25">
        <v>0</v>
      </c>
      <c r="Z903" s="25">
        <v>0</v>
      </c>
      <c r="AA903" s="25">
        <v>0</v>
      </c>
      <c r="AB903" s="25">
        <v>0</v>
      </c>
      <c r="AC903" s="25">
        <v>0</v>
      </c>
      <c r="AD903" s="25">
        <v>0</v>
      </c>
      <c r="AE903" s="25">
        <v>0</v>
      </c>
      <c r="AF903" s="25">
        <v>0</v>
      </c>
    </row>
    <row r="904" spans="1:32" x14ac:dyDescent="0.25">
      <c r="A904" s="25" t="s">
        <v>973</v>
      </c>
      <c r="B904" s="25">
        <v>0</v>
      </c>
      <c r="C904" s="25">
        <v>0</v>
      </c>
      <c r="D904" s="25">
        <v>0</v>
      </c>
      <c r="E904" s="25">
        <v>0</v>
      </c>
      <c r="F904" s="25">
        <v>0</v>
      </c>
      <c r="G904" s="25">
        <v>0</v>
      </c>
      <c r="H904" s="25">
        <v>0</v>
      </c>
      <c r="I904" s="25">
        <v>0</v>
      </c>
      <c r="J904" s="25">
        <v>0</v>
      </c>
      <c r="K904" s="25">
        <v>0</v>
      </c>
      <c r="L904" s="25">
        <v>0</v>
      </c>
      <c r="M904" s="25">
        <v>0</v>
      </c>
      <c r="N904" s="25">
        <v>0</v>
      </c>
      <c r="O904" s="25">
        <v>0</v>
      </c>
      <c r="P904" s="25">
        <v>0</v>
      </c>
      <c r="Q904" s="25">
        <v>0</v>
      </c>
      <c r="R904" s="25">
        <v>0</v>
      </c>
      <c r="S904" s="25">
        <v>0</v>
      </c>
      <c r="T904" s="25">
        <v>0</v>
      </c>
      <c r="U904" s="25">
        <v>0</v>
      </c>
      <c r="V904" s="25">
        <v>0</v>
      </c>
      <c r="W904" s="25">
        <v>0</v>
      </c>
      <c r="X904" s="25">
        <v>0</v>
      </c>
      <c r="Y904" s="25">
        <v>0</v>
      </c>
      <c r="Z904" s="25">
        <v>0</v>
      </c>
      <c r="AA904" s="25">
        <v>0</v>
      </c>
      <c r="AB904" s="25">
        <v>0</v>
      </c>
      <c r="AC904" s="25">
        <v>0</v>
      </c>
      <c r="AD904" s="25">
        <v>0</v>
      </c>
      <c r="AE904" s="25">
        <v>0</v>
      </c>
      <c r="AF904" s="25">
        <v>0</v>
      </c>
    </row>
    <row r="905" spans="1:32" x14ac:dyDescent="0.25">
      <c r="A905" s="25" t="s">
        <v>974</v>
      </c>
      <c r="B905" s="25">
        <v>0</v>
      </c>
      <c r="C905" s="25">
        <v>0</v>
      </c>
      <c r="D905" s="25">
        <v>0</v>
      </c>
      <c r="E905" s="25">
        <v>0</v>
      </c>
      <c r="F905" s="25">
        <v>0</v>
      </c>
      <c r="G905" s="25">
        <v>0</v>
      </c>
      <c r="H905" s="25">
        <v>0</v>
      </c>
      <c r="I905" s="25">
        <v>0</v>
      </c>
      <c r="J905" s="25">
        <v>0</v>
      </c>
      <c r="K905" s="25">
        <v>0</v>
      </c>
      <c r="L905" s="25">
        <v>0</v>
      </c>
      <c r="M905" s="25">
        <v>0</v>
      </c>
      <c r="N905" s="25">
        <v>0</v>
      </c>
      <c r="O905" s="25">
        <v>0</v>
      </c>
      <c r="P905" s="25">
        <v>0</v>
      </c>
      <c r="Q905" s="25">
        <v>0</v>
      </c>
      <c r="R905" s="25">
        <v>0</v>
      </c>
      <c r="S905" s="25">
        <v>0</v>
      </c>
      <c r="T905" s="25">
        <v>0</v>
      </c>
      <c r="U905" s="25">
        <v>0</v>
      </c>
      <c r="V905" s="25">
        <v>0</v>
      </c>
      <c r="W905" s="25">
        <v>0</v>
      </c>
      <c r="X905" s="25">
        <v>0</v>
      </c>
      <c r="Y905" s="25">
        <v>0</v>
      </c>
      <c r="Z905" s="25">
        <v>0</v>
      </c>
      <c r="AA905" s="25">
        <v>0</v>
      </c>
      <c r="AB905" s="25">
        <v>0</v>
      </c>
      <c r="AC905" s="25">
        <v>0</v>
      </c>
      <c r="AD905" s="25">
        <v>0</v>
      </c>
      <c r="AE905" s="25">
        <v>0</v>
      </c>
      <c r="AF905" s="25">
        <v>0</v>
      </c>
    </row>
    <row r="906" spans="1:32" x14ac:dyDescent="0.25">
      <c r="A906" s="25" t="s">
        <v>975</v>
      </c>
      <c r="B906" s="25">
        <v>0</v>
      </c>
      <c r="C906" s="25">
        <v>0</v>
      </c>
      <c r="D906" s="25">
        <v>0</v>
      </c>
      <c r="E906" s="25">
        <v>0</v>
      </c>
      <c r="F906" s="25">
        <v>0</v>
      </c>
      <c r="G906" s="25">
        <v>0</v>
      </c>
      <c r="H906" s="25">
        <v>0</v>
      </c>
      <c r="I906" s="25">
        <v>0</v>
      </c>
      <c r="J906" s="25">
        <v>0</v>
      </c>
      <c r="K906" s="25">
        <v>0</v>
      </c>
      <c r="L906" s="25">
        <v>0</v>
      </c>
      <c r="M906" s="25">
        <v>0</v>
      </c>
      <c r="N906" s="25">
        <v>0</v>
      </c>
      <c r="O906" s="25">
        <v>0</v>
      </c>
      <c r="P906" s="25">
        <v>0</v>
      </c>
      <c r="Q906" s="25">
        <v>0</v>
      </c>
      <c r="R906" s="25">
        <v>0</v>
      </c>
      <c r="S906" s="25">
        <v>0</v>
      </c>
      <c r="T906" s="25">
        <v>0</v>
      </c>
      <c r="U906" s="25">
        <v>0</v>
      </c>
      <c r="V906" s="25">
        <v>0</v>
      </c>
      <c r="W906" s="25">
        <v>0</v>
      </c>
      <c r="X906" s="25">
        <v>0</v>
      </c>
      <c r="Y906" s="25">
        <v>0</v>
      </c>
      <c r="Z906" s="25">
        <v>0</v>
      </c>
      <c r="AA906" s="25">
        <v>0</v>
      </c>
      <c r="AB906" s="25">
        <v>0</v>
      </c>
      <c r="AC906" s="25">
        <v>0</v>
      </c>
      <c r="AD906" s="25">
        <v>0</v>
      </c>
      <c r="AE906" s="25">
        <v>0</v>
      </c>
      <c r="AF906" s="25">
        <v>0</v>
      </c>
    </row>
    <row r="907" spans="1:32" x14ac:dyDescent="0.25">
      <c r="A907" s="25" t="s">
        <v>976</v>
      </c>
      <c r="B907" s="25">
        <v>0</v>
      </c>
      <c r="C907" s="25">
        <v>0</v>
      </c>
      <c r="D907" s="25">
        <v>0</v>
      </c>
      <c r="E907" s="25">
        <v>0</v>
      </c>
      <c r="F907" s="25">
        <v>0</v>
      </c>
      <c r="G907" s="25">
        <v>0</v>
      </c>
      <c r="H907" s="25">
        <v>0</v>
      </c>
      <c r="I907" s="25">
        <v>0</v>
      </c>
      <c r="J907" s="25">
        <v>0</v>
      </c>
      <c r="K907" s="25">
        <v>0</v>
      </c>
      <c r="L907" s="25">
        <v>0</v>
      </c>
      <c r="M907" s="25">
        <v>0</v>
      </c>
      <c r="N907" s="25">
        <v>0</v>
      </c>
      <c r="O907" s="25">
        <v>0</v>
      </c>
      <c r="P907" s="25">
        <v>0</v>
      </c>
      <c r="Q907" s="25">
        <v>0</v>
      </c>
      <c r="R907" s="25">
        <v>0</v>
      </c>
      <c r="S907" s="25">
        <v>0</v>
      </c>
      <c r="T907" s="25">
        <v>0</v>
      </c>
      <c r="U907" s="25">
        <v>0</v>
      </c>
      <c r="V907" s="25">
        <v>0</v>
      </c>
      <c r="W907" s="25">
        <v>0</v>
      </c>
      <c r="X907" s="25">
        <v>0</v>
      </c>
      <c r="Y907" s="25">
        <v>0</v>
      </c>
      <c r="Z907" s="25">
        <v>0</v>
      </c>
      <c r="AA907" s="25">
        <v>0</v>
      </c>
      <c r="AB907" s="25">
        <v>0</v>
      </c>
      <c r="AC907" s="25">
        <v>0</v>
      </c>
      <c r="AD907" s="25">
        <v>0</v>
      </c>
      <c r="AE907" s="25">
        <v>0</v>
      </c>
      <c r="AF907" s="25">
        <v>0</v>
      </c>
    </row>
    <row r="908" spans="1:32" x14ac:dyDescent="0.25">
      <c r="A908" s="25" t="s">
        <v>977</v>
      </c>
      <c r="B908" s="25">
        <v>0</v>
      </c>
      <c r="C908" s="25">
        <v>0</v>
      </c>
      <c r="D908" s="25">
        <v>0</v>
      </c>
      <c r="E908" s="25">
        <v>0</v>
      </c>
      <c r="F908" s="25">
        <v>0</v>
      </c>
      <c r="G908" s="25">
        <v>0</v>
      </c>
      <c r="H908" s="25">
        <v>0</v>
      </c>
      <c r="I908" s="25">
        <v>0</v>
      </c>
      <c r="J908" s="25">
        <v>0</v>
      </c>
      <c r="K908" s="25">
        <v>0</v>
      </c>
      <c r="L908" s="25">
        <v>0</v>
      </c>
      <c r="M908" s="25">
        <v>0</v>
      </c>
      <c r="N908" s="25">
        <v>0</v>
      </c>
      <c r="O908" s="25">
        <v>0</v>
      </c>
      <c r="P908" s="25">
        <v>0</v>
      </c>
      <c r="Q908" s="25">
        <v>0</v>
      </c>
      <c r="R908" s="25">
        <v>0</v>
      </c>
      <c r="S908" s="25">
        <v>0</v>
      </c>
      <c r="T908" s="25">
        <v>0</v>
      </c>
      <c r="U908" s="25">
        <v>0</v>
      </c>
      <c r="V908" s="25">
        <v>0</v>
      </c>
      <c r="W908" s="25">
        <v>0</v>
      </c>
      <c r="X908" s="25">
        <v>0</v>
      </c>
      <c r="Y908" s="25">
        <v>0</v>
      </c>
      <c r="Z908" s="25">
        <v>0</v>
      </c>
      <c r="AA908" s="25">
        <v>0</v>
      </c>
      <c r="AB908" s="25">
        <v>0</v>
      </c>
      <c r="AC908" s="25">
        <v>0</v>
      </c>
      <c r="AD908" s="25">
        <v>0</v>
      </c>
      <c r="AE908" s="25">
        <v>0</v>
      </c>
      <c r="AF908" s="25">
        <v>0</v>
      </c>
    </row>
    <row r="909" spans="1:32" x14ac:dyDescent="0.25">
      <c r="A909" s="25" t="s">
        <v>978</v>
      </c>
      <c r="B909" s="25">
        <v>0</v>
      </c>
      <c r="C909" s="25">
        <v>0</v>
      </c>
      <c r="D909" s="25">
        <v>0</v>
      </c>
      <c r="E909" s="25">
        <v>0</v>
      </c>
      <c r="F909" s="25">
        <v>0</v>
      </c>
      <c r="G909" s="25">
        <v>0</v>
      </c>
      <c r="H909" s="25">
        <v>0</v>
      </c>
      <c r="I909" s="25">
        <v>0</v>
      </c>
      <c r="J909" s="25">
        <v>0</v>
      </c>
      <c r="K909" s="25">
        <v>0</v>
      </c>
      <c r="L909" s="25">
        <v>0</v>
      </c>
      <c r="M909" s="25">
        <v>0</v>
      </c>
      <c r="N909" s="25">
        <v>0</v>
      </c>
      <c r="O909" s="25">
        <v>0</v>
      </c>
      <c r="P909" s="25">
        <v>0</v>
      </c>
      <c r="Q909" s="25">
        <v>0</v>
      </c>
      <c r="R909" s="25">
        <v>0</v>
      </c>
      <c r="S909" s="25">
        <v>0</v>
      </c>
      <c r="T909" s="25">
        <v>0</v>
      </c>
      <c r="U909" s="25">
        <v>0</v>
      </c>
      <c r="V909" s="25">
        <v>0</v>
      </c>
      <c r="W909" s="25">
        <v>0</v>
      </c>
      <c r="X909" s="25">
        <v>0</v>
      </c>
      <c r="Y909" s="25">
        <v>0</v>
      </c>
      <c r="Z909" s="25">
        <v>0</v>
      </c>
      <c r="AA909" s="25">
        <v>0</v>
      </c>
      <c r="AB909" s="25">
        <v>0</v>
      </c>
      <c r="AC909" s="25">
        <v>0</v>
      </c>
      <c r="AD909" s="25">
        <v>0</v>
      </c>
      <c r="AE909" s="25">
        <v>0</v>
      </c>
      <c r="AF909" s="25">
        <v>0</v>
      </c>
    </row>
    <row r="910" spans="1:32" x14ac:dyDescent="0.25">
      <c r="A910" s="25" t="s">
        <v>979</v>
      </c>
      <c r="B910" s="25">
        <v>0</v>
      </c>
      <c r="C910" s="25">
        <v>0</v>
      </c>
      <c r="D910" s="25">
        <v>0</v>
      </c>
      <c r="E910" s="25">
        <v>0</v>
      </c>
      <c r="F910" s="25">
        <v>0</v>
      </c>
      <c r="G910" s="25">
        <v>0</v>
      </c>
      <c r="H910" s="25">
        <v>0</v>
      </c>
      <c r="I910" s="25">
        <v>0</v>
      </c>
      <c r="J910" s="25">
        <v>0</v>
      </c>
      <c r="K910" s="25">
        <v>0</v>
      </c>
      <c r="L910" s="25">
        <v>0</v>
      </c>
      <c r="M910" s="25">
        <v>0</v>
      </c>
      <c r="N910" s="25">
        <v>0</v>
      </c>
      <c r="O910" s="25">
        <v>0</v>
      </c>
      <c r="P910" s="25">
        <v>0</v>
      </c>
      <c r="Q910" s="25">
        <v>0</v>
      </c>
      <c r="R910" s="25">
        <v>0</v>
      </c>
      <c r="S910" s="25">
        <v>0</v>
      </c>
      <c r="T910" s="25">
        <v>0</v>
      </c>
      <c r="U910" s="25">
        <v>0</v>
      </c>
      <c r="V910" s="25">
        <v>0</v>
      </c>
      <c r="W910" s="25">
        <v>0</v>
      </c>
      <c r="X910" s="25">
        <v>0</v>
      </c>
      <c r="Y910" s="25">
        <v>0</v>
      </c>
      <c r="Z910" s="25">
        <v>0</v>
      </c>
      <c r="AA910" s="25">
        <v>0</v>
      </c>
      <c r="AB910" s="25">
        <v>0</v>
      </c>
      <c r="AC910" s="25">
        <v>0</v>
      </c>
      <c r="AD910" s="25">
        <v>0</v>
      </c>
      <c r="AE910" s="25">
        <v>0</v>
      </c>
      <c r="AF910" s="25">
        <v>0</v>
      </c>
    </row>
    <row r="911" spans="1:32" x14ac:dyDescent="0.25">
      <c r="A911" s="25" t="s">
        <v>980</v>
      </c>
      <c r="B911" s="25">
        <v>0</v>
      </c>
      <c r="C911" s="25">
        <v>0</v>
      </c>
      <c r="D911" s="25">
        <v>0</v>
      </c>
      <c r="E911" s="25">
        <v>0</v>
      </c>
      <c r="F911" s="25">
        <v>0</v>
      </c>
      <c r="G911" s="25">
        <v>0</v>
      </c>
      <c r="H911" s="25">
        <v>0</v>
      </c>
      <c r="I911" s="25">
        <v>0</v>
      </c>
      <c r="J911" s="25">
        <v>0</v>
      </c>
      <c r="K911" s="25">
        <v>0</v>
      </c>
      <c r="L911" s="25">
        <v>0</v>
      </c>
      <c r="M911" s="25">
        <v>0</v>
      </c>
      <c r="N911" s="25">
        <v>0</v>
      </c>
      <c r="O911" s="25">
        <v>0</v>
      </c>
      <c r="P911" s="25">
        <v>0</v>
      </c>
      <c r="Q911" s="25">
        <v>0</v>
      </c>
      <c r="R911" s="25">
        <v>0</v>
      </c>
      <c r="S911" s="25">
        <v>0</v>
      </c>
      <c r="T911" s="25">
        <v>0</v>
      </c>
      <c r="U911" s="25">
        <v>0</v>
      </c>
      <c r="V911" s="25">
        <v>0</v>
      </c>
      <c r="W911" s="25">
        <v>0</v>
      </c>
      <c r="X911" s="25">
        <v>0</v>
      </c>
      <c r="Y911" s="25">
        <v>0</v>
      </c>
      <c r="Z911" s="25">
        <v>0</v>
      </c>
      <c r="AA911" s="25">
        <v>0</v>
      </c>
      <c r="AB911" s="25">
        <v>0</v>
      </c>
      <c r="AC911" s="25">
        <v>0</v>
      </c>
      <c r="AD911" s="25">
        <v>0</v>
      </c>
      <c r="AE911" s="25">
        <v>0</v>
      </c>
      <c r="AF911" s="25">
        <v>0</v>
      </c>
    </row>
    <row r="912" spans="1:32" x14ac:dyDescent="0.25">
      <c r="A912" s="25" t="s">
        <v>981</v>
      </c>
      <c r="B912" s="25">
        <v>0</v>
      </c>
      <c r="C912" s="25">
        <v>0</v>
      </c>
      <c r="D912" s="25">
        <v>0</v>
      </c>
      <c r="E912" s="25">
        <v>0</v>
      </c>
      <c r="F912" s="25">
        <v>0</v>
      </c>
      <c r="G912" s="25">
        <v>0</v>
      </c>
      <c r="H912" s="25">
        <v>0</v>
      </c>
      <c r="I912" s="25">
        <v>0</v>
      </c>
      <c r="J912" s="25">
        <v>0</v>
      </c>
      <c r="K912" s="25">
        <v>0</v>
      </c>
      <c r="L912" s="25">
        <v>0</v>
      </c>
      <c r="M912" s="25">
        <v>0</v>
      </c>
      <c r="N912" s="25">
        <v>0</v>
      </c>
      <c r="O912" s="25">
        <v>0</v>
      </c>
      <c r="P912" s="25">
        <v>0</v>
      </c>
      <c r="Q912" s="25">
        <v>0</v>
      </c>
      <c r="R912" s="25">
        <v>0</v>
      </c>
      <c r="S912" s="25">
        <v>0</v>
      </c>
      <c r="T912" s="25">
        <v>0</v>
      </c>
      <c r="U912" s="25">
        <v>0</v>
      </c>
      <c r="V912" s="25">
        <v>0</v>
      </c>
      <c r="W912" s="25">
        <v>0</v>
      </c>
      <c r="X912" s="25">
        <v>0</v>
      </c>
      <c r="Y912" s="25">
        <v>0</v>
      </c>
      <c r="Z912" s="25">
        <v>0</v>
      </c>
      <c r="AA912" s="25">
        <v>0</v>
      </c>
      <c r="AB912" s="25">
        <v>0</v>
      </c>
      <c r="AC912" s="25">
        <v>0</v>
      </c>
      <c r="AD912" s="25">
        <v>0</v>
      </c>
      <c r="AE912" s="25">
        <v>0</v>
      </c>
      <c r="AF912" s="25">
        <v>0</v>
      </c>
    </row>
    <row r="913" spans="1:32" x14ac:dyDescent="0.25">
      <c r="A913" s="25" t="s">
        <v>982</v>
      </c>
      <c r="B913" s="25">
        <v>0</v>
      </c>
      <c r="C913" s="25">
        <v>0</v>
      </c>
      <c r="D913" s="25">
        <v>0</v>
      </c>
      <c r="E913" s="25">
        <v>0</v>
      </c>
      <c r="F913" s="25">
        <v>0</v>
      </c>
      <c r="G913" s="25">
        <v>0</v>
      </c>
      <c r="H913" s="25">
        <v>0</v>
      </c>
      <c r="I913" s="25">
        <v>0</v>
      </c>
      <c r="J913" s="25">
        <v>0</v>
      </c>
      <c r="K913" s="25">
        <v>0</v>
      </c>
      <c r="L913" s="25">
        <v>0</v>
      </c>
      <c r="M913" s="25">
        <v>0</v>
      </c>
      <c r="N913" s="25">
        <v>0</v>
      </c>
      <c r="O913" s="25">
        <v>0</v>
      </c>
      <c r="P913" s="25">
        <v>0</v>
      </c>
      <c r="Q913" s="25">
        <v>0</v>
      </c>
      <c r="R913" s="25">
        <v>0</v>
      </c>
      <c r="S913" s="25">
        <v>0</v>
      </c>
      <c r="T913" s="25">
        <v>0</v>
      </c>
      <c r="U913" s="25">
        <v>0</v>
      </c>
      <c r="V913" s="25">
        <v>0</v>
      </c>
      <c r="W913" s="25">
        <v>0</v>
      </c>
      <c r="X913" s="25">
        <v>0</v>
      </c>
      <c r="Y913" s="25">
        <v>0</v>
      </c>
      <c r="Z913" s="25">
        <v>0</v>
      </c>
      <c r="AA913" s="25">
        <v>0</v>
      </c>
      <c r="AB913" s="25">
        <v>0</v>
      </c>
      <c r="AC913" s="25">
        <v>0</v>
      </c>
      <c r="AD913" s="25">
        <v>0</v>
      </c>
      <c r="AE913" s="25">
        <v>0</v>
      </c>
      <c r="AF913" s="25">
        <v>0</v>
      </c>
    </row>
    <row r="914" spans="1:32" x14ac:dyDescent="0.25">
      <c r="A914" s="25" t="s">
        <v>983</v>
      </c>
      <c r="B914" s="25">
        <v>0</v>
      </c>
      <c r="C914" s="25">
        <v>0</v>
      </c>
      <c r="D914" s="25">
        <v>0</v>
      </c>
      <c r="E914" s="25">
        <v>0</v>
      </c>
      <c r="F914" s="25">
        <v>0</v>
      </c>
      <c r="G914" s="25">
        <v>0</v>
      </c>
      <c r="H914" s="25">
        <v>0</v>
      </c>
      <c r="I914" s="25">
        <v>0</v>
      </c>
      <c r="J914" s="25">
        <v>0</v>
      </c>
      <c r="K914" s="25">
        <v>0</v>
      </c>
      <c r="L914" s="25">
        <v>0</v>
      </c>
      <c r="M914" s="25">
        <v>0</v>
      </c>
      <c r="N914" s="25">
        <v>0</v>
      </c>
      <c r="O914" s="25">
        <v>0</v>
      </c>
      <c r="P914" s="25">
        <v>0</v>
      </c>
      <c r="Q914" s="25">
        <v>0</v>
      </c>
      <c r="R914" s="25">
        <v>0</v>
      </c>
      <c r="S914" s="25">
        <v>0</v>
      </c>
      <c r="T914" s="25">
        <v>0</v>
      </c>
      <c r="U914" s="25">
        <v>0</v>
      </c>
      <c r="V914" s="25">
        <v>0</v>
      </c>
      <c r="W914" s="25">
        <v>0</v>
      </c>
      <c r="X914" s="25">
        <v>0</v>
      </c>
      <c r="Y914" s="25">
        <v>0</v>
      </c>
      <c r="Z914" s="25">
        <v>0</v>
      </c>
      <c r="AA914" s="25">
        <v>0</v>
      </c>
      <c r="AB914" s="25">
        <v>0</v>
      </c>
      <c r="AC914" s="25">
        <v>0</v>
      </c>
      <c r="AD914" s="25">
        <v>0</v>
      </c>
      <c r="AE914" s="25">
        <v>0</v>
      </c>
      <c r="AF914" s="25">
        <v>0</v>
      </c>
    </row>
    <row r="915" spans="1:32" x14ac:dyDescent="0.25">
      <c r="A915" s="25" t="s">
        <v>984</v>
      </c>
      <c r="B915" s="25">
        <v>0</v>
      </c>
      <c r="C915" s="25">
        <v>0</v>
      </c>
      <c r="D915" s="25">
        <v>0</v>
      </c>
      <c r="E915" s="25">
        <v>0</v>
      </c>
      <c r="F915" s="25">
        <v>0</v>
      </c>
      <c r="G915" s="25">
        <v>0</v>
      </c>
      <c r="H915" s="25">
        <v>0</v>
      </c>
      <c r="I915" s="25">
        <v>0</v>
      </c>
      <c r="J915" s="25">
        <v>0</v>
      </c>
      <c r="K915" s="25">
        <v>0</v>
      </c>
      <c r="L915" s="25">
        <v>0</v>
      </c>
      <c r="M915" s="25">
        <v>0</v>
      </c>
      <c r="N915" s="25">
        <v>0</v>
      </c>
      <c r="O915" s="25">
        <v>0</v>
      </c>
      <c r="P915" s="25">
        <v>0</v>
      </c>
      <c r="Q915" s="25">
        <v>0</v>
      </c>
      <c r="R915" s="25">
        <v>0</v>
      </c>
      <c r="S915" s="25">
        <v>0</v>
      </c>
      <c r="T915" s="25">
        <v>0</v>
      </c>
      <c r="U915" s="25">
        <v>0</v>
      </c>
      <c r="V915" s="25">
        <v>0</v>
      </c>
      <c r="W915" s="25">
        <v>0</v>
      </c>
      <c r="X915" s="25">
        <v>0</v>
      </c>
      <c r="Y915" s="25">
        <v>0</v>
      </c>
      <c r="Z915" s="25">
        <v>0</v>
      </c>
      <c r="AA915" s="25">
        <v>0</v>
      </c>
      <c r="AB915" s="25">
        <v>0</v>
      </c>
      <c r="AC915" s="25">
        <v>0</v>
      </c>
      <c r="AD915" s="25">
        <v>0</v>
      </c>
      <c r="AE915" s="25">
        <v>0</v>
      </c>
      <c r="AF915" s="25">
        <v>0</v>
      </c>
    </row>
    <row r="916" spans="1:32" x14ac:dyDescent="0.25">
      <c r="A916" s="25" t="s">
        <v>985</v>
      </c>
      <c r="B916" s="25">
        <v>0</v>
      </c>
      <c r="C916" s="25">
        <v>0</v>
      </c>
      <c r="D916" s="25">
        <v>0</v>
      </c>
      <c r="E916" s="25">
        <v>0</v>
      </c>
      <c r="F916" s="25">
        <v>0</v>
      </c>
      <c r="G916" s="25">
        <v>0</v>
      </c>
      <c r="H916" s="25">
        <v>0</v>
      </c>
      <c r="I916" s="25">
        <v>0</v>
      </c>
      <c r="J916" s="25">
        <v>0</v>
      </c>
      <c r="K916" s="25">
        <v>0</v>
      </c>
      <c r="L916" s="25">
        <v>0</v>
      </c>
      <c r="M916" s="25">
        <v>0</v>
      </c>
      <c r="N916" s="25">
        <v>0</v>
      </c>
      <c r="O916" s="25">
        <v>0</v>
      </c>
      <c r="P916" s="25">
        <v>0</v>
      </c>
      <c r="Q916" s="25">
        <v>0</v>
      </c>
      <c r="R916" s="25">
        <v>0</v>
      </c>
      <c r="S916" s="25">
        <v>0</v>
      </c>
      <c r="T916" s="25">
        <v>0</v>
      </c>
      <c r="U916" s="25">
        <v>0</v>
      </c>
      <c r="V916" s="25">
        <v>0</v>
      </c>
      <c r="W916" s="25">
        <v>0</v>
      </c>
      <c r="X916" s="25">
        <v>0</v>
      </c>
      <c r="Y916" s="25">
        <v>0</v>
      </c>
      <c r="Z916" s="25">
        <v>0</v>
      </c>
      <c r="AA916" s="25">
        <v>0</v>
      </c>
      <c r="AB916" s="25">
        <v>0</v>
      </c>
      <c r="AC916" s="25">
        <v>0</v>
      </c>
      <c r="AD916" s="25">
        <v>0</v>
      </c>
      <c r="AE916" s="25">
        <v>0</v>
      </c>
      <c r="AF916" s="25">
        <v>0</v>
      </c>
    </row>
    <row r="917" spans="1:32" x14ac:dyDescent="0.25">
      <c r="A917" s="25" t="s">
        <v>986</v>
      </c>
      <c r="B917" s="25">
        <v>0</v>
      </c>
      <c r="C917" s="25">
        <v>0</v>
      </c>
      <c r="D917" s="25">
        <v>0</v>
      </c>
      <c r="E917" s="25">
        <v>0</v>
      </c>
      <c r="F917" s="25">
        <v>0</v>
      </c>
      <c r="G917" s="25">
        <v>0</v>
      </c>
      <c r="H917" s="25">
        <v>0</v>
      </c>
      <c r="I917" s="25">
        <v>0</v>
      </c>
      <c r="J917" s="25">
        <v>0</v>
      </c>
      <c r="K917" s="25">
        <v>0</v>
      </c>
      <c r="L917" s="25">
        <v>0</v>
      </c>
      <c r="M917" s="25">
        <v>0</v>
      </c>
      <c r="N917" s="25">
        <v>0</v>
      </c>
      <c r="O917" s="25">
        <v>0</v>
      </c>
      <c r="P917" s="25">
        <v>0</v>
      </c>
      <c r="Q917" s="25">
        <v>0</v>
      </c>
      <c r="R917" s="25">
        <v>0</v>
      </c>
      <c r="S917" s="25">
        <v>0</v>
      </c>
      <c r="T917" s="25">
        <v>0</v>
      </c>
      <c r="U917" s="25">
        <v>0</v>
      </c>
      <c r="V917" s="25">
        <v>0</v>
      </c>
      <c r="W917" s="25">
        <v>0</v>
      </c>
      <c r="X917" s="25">
        <v>0</v>
      </c>
      <c r="Y917" s="25">
        <v>0</v>
      </c>
      <c r="Z917" s="25">
        <v>0</v>
      </c>
      <c r="AA917" s="25">
        <v>0</v>
      </c>
      <c r="AB917" s="25">
        <v>0</v>
      </c>
      <c r="AC917" s="25">
        <v>0</v>
      </c>
      <c r="AD917" s="25">
        <v>0</v>
      </c>
      <c r="AE917" s="25">
        <v>0</v>
      </c>
      <c r="AF917" s="25">
        <v>0</v>
      </c>
    </row>
    <row r="918" spans="1:32" x14ac:dyDescent="0.25">
      <c r="A918" s="25" t="s">
        <v>987</v>
      </c>
      <c r="B918" s="25">
        <v>0</v>
      </c>
      <c r="C918" s="25">
        <v>0</v>
      </c>
      <c r="D918" s="25">
        <v>0</v>
      </c>
      <c r="E918" s="25">
        <v>0</v>
      </c>
      <c r="F918" s="25">
        <v>0</v>
      </c>
      <c r="G918" s="25">
        <v>0</v>
      </c>
      <c r="H918" s="25">
        <v>0</v>
      </c>
      <c r="I918" s="25">
        <v>0</v>
      </c>
      <c r="J918" s="25">
        <v>0</v>
      </c>
      <c r="K918" s="25">
        <v>0</v>
      </c>
      <c r="L918" s="25">
        <v>0</v>
      </c>
      <c r="M918" s="25">
        <v>0</v>
      </c>
      <c r="N918" s="25">
        <v>0</v>
      </c>
      <c r="O918" s="25">
        <v>0</v>
      </c>
      <c r="P918" s="25">
        <v>0</v>
      </c>
      <c r="Q918" s="25">
        <v>0</v>
      </c>
      <c r="R918" s="25">
        <v>0</v>
      </c>
      <c r="S918" s="25">
        <v>0</v>
      </c>
      <c r="T918" s="25">
        <v>0</v>
      </c>
      <c r="U918" s="25">
        <v>0</v>
      </c>
      <c r="V918" s="25">
        <v>0</v>
      </c>
      <c r="W918" s="25">
        <v>0</v>
      </c>
      <c r="X918" s="25">
        <v>0</v>
      </c>
      <c r="Y918" s="25">
        <v>0</v>
      </c>
      <c r="Z918" s="25">
        <v>0</v>
      </c>
      <c r="AA918" s="25">
        <v>0</v>
      </c>
      <c r="AB918" s="25">
        <v>0</v>
      </c>
      <c r="AC918" s="25">
        <v>0</v>
      </c>
      <c r="AD918" s="25">
        <v>0</v>
      </c>
      <c r="AE918" s="25">
        <v>0</v>
      </c>
      <c r="AF918" s="25">
        <v>0</v>
      </c>
    </row>
    <row r="919" spans="1:32" x14ac:dyDescent="0.25">
      <c r="A919" s="25" t="s">
        <v>988</v>
      </c>
      <c r="B919" s="25">
        <v>0</v>
      </c>
      <c r="C919" s="25">
        <v>0</v>
      </c>
      <c r="D919" s="25">
        <v>0</v>
      </c>
      <c r="E919" s="25">
        <v>0</v>
      </c>
      <c r="F919" s="25">
        <v>0</v>
      </c>
      <c r="G919" s="25">
        <v>0</v>
      </c>
      <c r="H919" s="25">
        <v>0</v>
      </c>
      <c r="I919" s="25">
        <v>0</v>
      </c>
      <c r="J919" s="25">
        <v>0</v>
      </c>
      <c r="K919" s="25">
        <v>0</v>
      </c>
      <c r="L919" s="25">
        <v>0</v>
      </c>
      <c r="M919" s="25">
        <v>0</v>
      </c>
      <c r="N919" s="25">
        <v>0</v>
      </c>
      <c r="O919" s="25">
        <v>0</v>
      </c>
      <c r="P919" s="25">
        <v>0</v>
      </c>
      <c r="Q919" s="25">
        <v>0</v>
      </c>
      <c r="R919" s="25">
        <v>0</v>
      </c>
      <c r="S919" s="25">
        <v>0</v>
      </c>
      <c r="T919" s="25">
        <v>0</v>
      </c>
      <c r="U919" s="25">
        <v>0</v>
      </c>
      <c r="V919" s="25">
        <v>0</v>
      </c>
      <c r="W919" s="25">
        <v>0</v>
      </c>
      <c r="X919" s="25">
        <v>0</v>
      </c>
      <c r="Y919" s="25">
        <v>0</v>
      </c>
      <c r="Z919" s="25">
        <v>0</v>
      </c>
      <c r="AA919" s="25">
        <v>0</v>
      </c>
      <c r="AB919" s="25">
        <v>0</v>
      </c>
      <c r="AC919" s="25">
        <v>0</v>
      </c>
      <c r="AD919" s="25">
        <v>0</v>
      </c>
      <c r="AE919" s="25">
        <v>0</v>
      </c>
      <c r="AF919" s="25">
        <v>0</v>
      </c>
    </row>
    <row r="920" spans="1:32" x14ac:dyDescent="0.25">
      <c r="A920" s="25" t="s">
        <v>989</v>
      </c>
      <c r="B920" s="25">
        <v>0</v>
      </c>
      <c r="C920" s="25">
        <v>0</v>
      </c>
      <c r="D920" s="25">
        <v>0</v>
      </c>
      <c r="E920" s="25">
        <v>0</v>
      </c>
      <c r="F920" s="25">
        <v>0</v>
      </c>
      <c r="G920" s="25">
        <v>0</v>
      </c>
      <c r="H920" s="25">
        <v>0</v>
      </c>
      <c r="I920" s="25">
        <v>0</v>
      </c>
      <c r="J920" s="25">
        <v>0</v>
      </c>
      <c r="K920" s="25">
        <v>0</v>
      </c>
      <c r="L920" s="25">
        <v>0</v>
      </c>
      <c r="M920" s="25">
        <v>0</v>
      </c>
      <c r="N920" s="25">
        <v>0</v>
      </c>
      <c r="O920" s="25">
        <v>0</v>
      </c>
      <c r="P920" s="25">
        <v>0</v>
      </c>
      <c r="Q920" s="25">
        <v>0</v>
      </c>
      <c r="R920" s="25">
        <v>0</v>
      </c>
      <c r="S920" s="25">
        <v>0</v>
      </c>
      <c r="T920" s="25">
        <v>0</v>
      </c>
      <c r="U920" s="25">
        <v>0</v>
      </c>
      <c r="V920" s="25">
        <v>0</v>
      </c>
      <c r="W920" s="25">
        <v>0</v>
      </c>
      <c r="X920" s="25">
        <v>0</v>
      </c>
      <c r="Y920" s="25">
        <v>0</v>
      </c>
      <c r="Z920" s="25">
        <v>0</v>
      </c>
      <c r="AA920" s="25">
        <v>0</v>
      </c>
      <c r="AB920" s="25">
        <v>0</v>
      </c>
      <c r="AC920" s="25">
        <v>0</v>
      </c>
      <c r="AD920" s="25">
        <v>0</v>
      </c>
      <c r="AE920" s="25">
        <v>0</v>
      </c>
      <c r="AF920" s="25">
        <v>0</v>
      </c>
    </row>
    <row r="921" spans="1:32" x14ac:dyDescent="0.25">
      <c r="A921" s="25" t="s">
        <v>990</v>
      </c>
      <c r="B921" s="25">
        <v>0</v>
      </c>
      <c r="C921" s="25">
        <v>0</v>
      </c>
      <c r="D921" s="25">
        <v>0</v>
      </c>
      <c r="E921" s="25">
        <v>0</v>
      </c>
      <c r="F921" s="25">
        <v>0</v>
      </c>
      <c r="G921" s="25">
        <v>0</v>
      </c>
      <c r="H921" s="25">
        <v>0</v>
      </c>
      <c r="I921" s="25">
        <v>0</v>
      </c>
      <c r="J921" s="25">
        <v>0</v>
      </c>
      <c r="K921" s="25">
        <v>0</v>
      </c>
      <c r="L921" s="25">
        <v>0</v>
      </c>
      <c r="M921" s="25">
        <v>0</v>
      </c>
      <c r="N921" s="25">
        <v>0</v>
      </c>
      <c r="O921" s="25">
        <v>0</v>
      </c>
      <c r="P921" s="25">
        <v>0</v>
      </c>
      <c r="Q921" s="25">
        <v>0</v>
      </c>
      <c r="R921" s="25">
        <v>0</v>
      </c>
      <c r="S921" s="25">
        <v>0</v>
      </c>
      <c r="T921" s="25">
        <v>0</v>
      </c>
      <c r="U921" s="25">
        <v>0</v>
      </c>
      <c r="V921" s="25">
        <v>0</v>
      </c>
      <c r="W921" s="25">
        <v>0</v>
      </c>
      <c r="X921" s="25">
        <v>0</v>
      </c>
      <c r="Y921" s="25">
        <v>0</v>
      </c>
      <c r="Z921" s="25">
        <v>0</v>
      </c>
      <c r="AA921" s="25">
        <v>0</v>
      </c>
      <c r="AB921" s="25">
        <v>0</v>
      </c>
      <c r="AC921" s="25">
        <v>0</v>
      </c>
      <c r="AD921" s="25">
        <v>0</v>
      </c>
      <c r="AE921" s="25">
        <v>0</v>
      </c>
      <c r="AF921" s="25">
        <v>0</v>
      </c>
    </row>
    <row r="922" spans="1:32" x14ac:dyDescent="0.25">
      <c r="A922" s="25" t="s">
        <v>991</v>
      </c>
      <c r="B922" s="25">
        <v>0</v>
      </c>
      <c r="C922" s="25">
        <v>0</v>
      </c>
      <c r="D922" s="25">
        <v>0</v>
      </c>
      <c r="E922" s="25">
        <v>0</v>
      </c>
      <c r="F922" s="25">
        <v>0</v>
      </c>
      <c r="G922" s="25">
        <v>0</v>
      </c>
      <c r="H922" s="25">
        <v>0</v>
      </c>
      <c r="I922" s="25">
        <v>0</v>
      </c>
      <c r="J922" s="25">
        <v>0</v>
      </c>
      <c r="K922" s="25">
        <v>0</v>
      </c>
      <c r="L922" s="25">
        <v>0</v>
      </c>
      <c r="M922" s="25">
        <v>0</v>
      </c>
      <c r="N922" s="25">
        <v>0</v>
      </c>
      <c r="O922" s="25">
        <v>0</v>
      </c>
      <c r="P922" s="25">
        <v>0</v>
      </c>
      <c r="Q922" s="25">
        <v>0</v>
      </c>
      <c r="R922" s="25">
        <v>0</v>
      </c>
      <c r="S922" s="25">
        <v>0</v>
      </c>
      <c r="T922" s="25">
        <v>0</v>
      </c>
      <c r="U922" s="25">
        <v>0</v>
      </c>
      <c r="V922" s="25">
        <v>0</v>
      </c>
      <c r="W922" s="25">
        <v>0</v>
      </c>
      <c r="X922" s="25">
        <v>0</v>
      </c>
      <c r="Y922" s="25">
        <v>0</v>
      </c>
      <c r="Z922" s="25">
        <v>0</v>
      </c>
      <c r="AA922" s="25">
        <v>0</v>
      </c>
      <c r="AB922" s="25">
        <v>0</v>
      </c>
      <c r="AC922" s="25">
        <v>0</v>
      </c>
      <c r="AD922" s="25">
        <v>0</v>
      </c>
      <c r="AE922" s="25">
        <v>0</v>
      </c>
      <c r="AF922" s="25">
        <v>0</v>
      </c>
    </row>
    <row r="923" spans="1:32" x14ac:dyDescent="0.25">
      <c r="A923" s="25" t="s">
        <v>992</v>
      </c>
      <c r="B923" s="25">
        <v>0</v>
      </c>
      <c r="C923" s="25">
        <v>0</v>
      </c>
      <c r="D923" s="25">
        <v>0</v>
      </c>
      <c r="E923" s="25">
        <v>0</v>
      </c>
      <c r="F923" s="25">
        <v>0</v>
      </c>
      <c r="G923" s="25">
        <v>0</v>
      </c>
      <c r="H923" s="25">
        <v>0</v>
      </c>
      <c r="I923" s="25">
        <v>0</v>
      </c>
      <c r="J923" s="25">
        <v>0</v>
      </c>
      <c r="K923" s="25">
        <v>0</v>
      </c>
      <c r="L923" s="25">
        <v>0</v>
      </c>
      <c r="M923" s="25">
        <v>0</v>
      </c>
      <c r="N923" s="25">
        <v>0</v>
      </c>
      <c r="O923" s="25">
        <v>0</v>
      </c>
      <c r="P923" s="25">
        <v>0</v>
      </c>
      <c r="Q923" s="25">
        <v>0</v>
      </c>
      <c r="R923" s="25">
        <v>0</v>
      </c>
      <c r="S923" s="25">
        <v>0</v>
      </c>
      <c r="T923" s="25">
        <v>0</v>
      </c>
      <c r="U923" s="25">
        <v>0</v>
      </c>
      <c r="V923" s="25">
        <v>0</v>
      </c>
      <c r="W923" s="25">
        <v>0</v>
      </c>
      <c r="X923" s="25">
        <v>0</v>
      </c>
      <c r="Y923" s="25">
        <v>0</v>
      </c>
      <c r="Z923" s="25">
        <v>0</v>
      </c>
      <c r="AA923" s="25">
        <v>0</v>
      </c>
      <c r="AB923" s="25">
        <v>0</v>
      </c>
      <c r="AC923" s="25">
        <v>0</v>
      </c>
      <c r="AD923" s="25">
        <v>0</v>
      </c>
      <c r="AE923" s="25">
        <v>0</v>
      </c>
      <c r="AF923" s="25">
        <v>0</v>
      </c>
    </row>
    <row r="924" spans="1:32" x14ac:dyDescent="0.25">
      <c r="A924" s="25" t="s">
        <v>993</v>
      </c>
      <c r="B924" s="25">
        <v>0</v>
      </c>
      <c r="C924" s="25">
        <v>0</v>
      </c>
      <c r="D924" s="25">
        <v>0</v>
      </c>
      <c r="E924" s="25">
        <v>0</v>
      </c>
      <c r="F924" s="25">
        <v>0</v>
      </c>
      <c r="G924" s="25">
        <v>0</v>
      </c>
      <c r="H924" s="25">
        <v>0</v>
      </c>
      <c r="I924" s="25">
        <v>0</v>
      </c>
      <c r="J924" s="25">
        <v>0</v>
      </c>
      <c r="K924" s="25">
        <v>0</v>
      </c>
      <c r="L924" s="25">
        <v>0</v>
      </c>
      <c r="M924" s="25">
        <v>0</v>
      </c>
      <c r="N924" s="25">
        <v>0</v>
      </c>
      <c r="O924" s="25">
        <v>0</v>
      </c>
      <c r="P924" s="25">
        <v>0</v>
      </c>
      <c r="Q924" s="25">
        <v>0</v>
      </c>
      <c r="R924" s="25">
        <v>0</v>
      </c>
      <c r="S924" s="25">
        <v>0</v>
      </c>
      <c r="T924" s="25">
        <v>0</v>
      </c>
      <c r="U924" s="25">
        <v>0</v>
      </c>
      <c r="V924" s="25">
        <v>0</v>
      </c>
      <c r="W924" s="25">
        <v>0</v>
      </c>
      <c r="X924" s="25">
        <v>0</v>
      </c>
      <c r="Y924" s="25">
        <v>0</v>
      </c>
      <c r="Z924" s="25">
        <v>0</v>
      </c>
      <c r="AA924" s="25">
        <v>0</v>
      </c>
      <c r="AB924" s="25">
        <v>0</v>
      </c>
      <c r="AC924" s="25">
        <v>0</v>
      </c>
      <c r="AD924" s="25">
        <v>0</v>
      </c>
      <c r="AE924" s="25">
        <v>0</v>
      </c>
      <c r="AF924" s="25">
        <v>0</v>
      </c>
    </row>
    <row r="925" spans="1:32" x14ac:dyDescent="0.25">
      <c r="A925" s="25" t="s">
        <v>994</v>
      </c>
      <c r="B925" s="25">
        <v>0</v>
      </c>
      <c r="C925" s="25">
        <v>0</v>
      </c>
      <c r="D925" s="25">
        <v>0</v>
      </c>
      <c r="E925" s="25">
        <v>0</v>
      </c>
      <c r="F925" s="25">
        <v>0</v>
      </c>
      <c r="G925" s="25">
        <v>0</v>
      </c>
      <c r="H925" s="25">
        <v>0</v>
      </c>
      <c r="I925" s="25">
        <v>0</v>
      </c>
      <c r="J925" s="25">
        <v>0</v>
      </c>
      <c r="K925" s="25">
        <v>0</v>
      </c>
      <c r="L925" s="25">
        <v>0</v>
      </c>
      <c r="M925" s="25">
        <v>0</v>
      </c>
      <c r="N925" s="25">
        <v>0</v>
      </c>
      <c r="O925" s="25">
        <v>0</v>
      </c>
      <c r="P925" s="25">
        <v>0</v>
      </c>
      <c r="Q925" s="25">
        <v>0</v>
      </c>
      <c r="R925" s="25">
        <v>0</v>
      </c>
      <c r="S925" s="25">
        <v>0</v>
      </c>
      <c r="T925" s="25">
        <v>0</v>
      </c>
      <c r="U925" s="25">
        <v>0</v>
      </c>
      <c r="V925" s="25">
        <v>0</v>
      </c>
      <c r="W925" s="25">
        <v>0</v>
      </c>
      <c r="X925" s="25">
        <v>0</v>
      </c>
      <c r="Y925" s="25">
        <v>0</v>
      </c>
      <c r="Z925" s="25">
        <v>0</v>
      </c>
      <c r="AA925" s="25">
        <v>0</v>
      </c>
      <c r="AB925" s="25">
        <v>0</v>
      </c>
      <c r="AC925" s="25">
        <v>0</v>
      </c>
      <c r="AD925" s="25">
        <v>0</v>
      </c>
      <c r="AE925" s="25">
        <v>0</v>
      </c>
      <c r="AF925" s="25">
        <v>0</v>
      </c>
    </row>
    <row r="926" spans="1:32" x14ac:dyDescent="0.25">
      <c r="A926" s="25" t="s">
        <v>995</v>
      </c>
      <c r="B926" s="25">
        <v>0</v>
      </c>
      <c r="C926" s="25">
        <v>0</v>
      </c>
      <c r="D926" s="25">
        <v>0</v>
      </c>
      <c r="E926" s="25">
        <v>0</v>
      </c>
      <c r="F926" s="25">
        <v>0</v>
      </c>
      <c r="G926" s="25">
        <v>0</v>
      </c>
      <c r="H926" s="25">
        <v>0</v>
      </c>
      <c r="I926" s="25">
        <v>0</v>
      </c>
      <c r="J926" s="25">
        <v>0</v>
      </c>
      <c r="K926" s="25">
        <v>0</v>
      </c>
      <c r="L926" s="25">
        <v>0</v>
      </c>
      <c r="M926" s="25">
        <v>0</v>
      </c>
      <c r="N926" s="25">
        <v>0</v>
      </c>
      <c r="O926" s="25">
        <v>0</v>
      </c>
      <c r="P926" s="25">
        <v>0</v>
      </c>
      <c r="Q926" s="25">
        <v>0</v>
      </c>
      <c r="R926" s="25">
        <v>0</v>
      </c>
      <c r="S926" s="25">
        <v>0</v>
      </c>
      <c r="T926" s="25">
        <v>0</v>
      </c>
      <c r="U926" s="25">
        <v>0</v>
      </c>
      <c r="V926" s="25">
        <v>0</v>
      </c>
      <c r="W926" s="25">
        <v>0</v>
      </c>
      <c r="X926" s="25">
        <v>0</v>
      </c>
      <c r="Y926" s="25">
        <v>0</v>
      </c>
      <c r="Z926" s="25">
        <v>0</v>
      </c>
      <c r="AA926" s="25">
        <v>0</v>
      </c>
      <c r="AB926" s="25">
        <v>0</v>
      </c>
      <c r="AC926" s="25">
        <v>0</v>
      </c>
      <c r="AD926" s="25">
        <v>0</v>
      </c>
      <c r="AE926" s="25">
        <v>0</v>
      </c>
      <c r="AF926" s="25">
        <v>0</v>
      </c>
    </row>
    <row r="927" spans="1:32" x14ac:dyDescent="0.25">
      <c r="A927" s="25" t="s">
        <v>996</v>
      </c>
      <c r="B927" s="25">
        <v>0</v>
      </c>
      <c r="C927" s="25">
        <v>0</v>
      </c>
      <c r="D927" s="25">
        <v>0</v>
      </c>
      <c r="E927" s="25">
        <v>0</v>
      </c>
      <c r="F927" s="25">
        <v>0</v>
      </c>
      <c r="G927" s="25">
        <v>0</v>
      </c>
      <c r="H927" s="25">
        <v>0</v>
      </c>
      <c r="I927" s="25">
        <v>0</v>
      </c>
      <c r="J927" s="25">
        <v>0</v>
      </c>
      <c r="K927" s="25">
        <v>0</v>
      </c>
      <c r="L927" s="25">
        <v>0</v>
      </c>
      <c r="M927" s="25">
        <v>0</v>
      </c>
      <c r="N927" s="25">
        <v>0</v>
      </c>
      <c r="O927" s="25">
        <v>0</v>
      </c>
      <c r="P927" s="25">
        <v>0</v>
      </c>
      <c r="Q927" s="25">
        <v>0</v>
      </c>
      <c r="R927" s="25">
        <v>0</v>
      </c>
      <c r="S927" s="25">
        <v>0</v>
      </c>
      <c r="T927" s="25">
        <v>0</v>
      </c>
      <c r="U927" s="25">
        <v>0</v>
      </c>
      <c r="V927" s="25">
        <v>0</v>
      </c>
      <c r="W927" s="25">
        <v>0</v>
      </c>
      <c r="X927" s="25">
        <v>0</v>
      </c>
      <c r="Y927" s="25">
        <v>0</v>
      </c>
      <c r="Z927" s="25">
        <v>0</v>
      </c>
      <c r="AA927" s="25">
        <v>0</v>
      </c>
      <c r="AB927" s="25">
        <v>0</v>
      </c>
      <c r="AC927" s="25">
        <v>0</v>
      </c>
      <c r="AD927" s="25">
        <v>0</v>
      </c>
      <c r="AE927" s="25">
        <v>0</v>
      </c>
      <c r="AF927" s="25">
        <v>0</v>
      </c>
    </row>
    <row r="928" spans="1:32" x14ac:dyDescent="0.25">
      <c r="A928" s="25" t="s">
        <v>997</v>
      </c>
      <c r="B928" s="25">
        <v>0</v>
      </c>
      <c r="C928" s="25">
        <v>0</v>
      </c>
      <c r="D928" s="25">
        <v>0</v>
      </c>
      <c r="E928" s="25">
        <v>0</v>
      </c>
      <c r="F928" s="25">
        <v>0</v>
      </c>
      <c r="G928" s="25">
        <v>0</v>
      </c>
      <c r="H928" s="25">
        <v>0</v>
      </c>
      <c r="I928" s="25">
        <v>0</v>
      </c>
      <c r="J928" s="25">
        <v>0</v>
      </c>
      <c r="K928" s="25">
        <v>0</v>
      </c>
      <c r="L928" s="25">
        <v>0</v>
      </c>
      <c r="M928" s="25">
        <v>0</v>
      </c>
      <c r="N928" s="25">
        <v>0</v>
      </c>
      <c r="O928" s="25">
        <v>0</v>
      </c>
      <c r="P928" s="25">
        <v>0</v>
      </c>
      <c r="Q928" s="25">
        <v>0</v>
      </c>
      <c r="R928" s="25">
        <v>0</v>
      </c>
      <c r="S928" s="25">
        <v>0</v>
      </c>
      <c r="T928" s="25">
        <v>0</v>
      </c>
      <c r="U928" s="25">
        <v>0</v>
      </c>
      <c r="V928" s="25">
        <v>0</v>
      </c>
      <c r="W928" s="25">
        <v>0</v>
      </c>
      <c r="X928" s="25">
        <v>0</v>
      </c>
      <c r="Y928" s="25">
        <v>0</v>
      </c>
      <c r="Z928" s="25">
        <v>0</v>
      </c>
      <c r="AA928" s="25">
        <v>0</v>
      </c>
      <c r="AB928" s="25">
        <v>0</v>
      </c>
      <c r="AC928" s="25">
        <v>0</v>
      </c>
      <c r="AD928" s="25">
        <v>0</v>
      </c>
      <c r="AE928" s="25">
        <v>0</v>
      </c>
      <c r="AF928" s="25">
        <v>0</v>
      </c>
    </row>
    <row r="929" spans="1:32" x14ac:dyDescent="0.25">
      <c r="A929" s="25" t="s">
        <v>998</v>
      </c>
      <c r="B929" s="25">
        <v>0</v>
      </c>
      <c r="C929" s="25">
        <v>0</v>
      </c>
      <c r="D929" s="25">
        <v>0</v>
      </c>
      <c r="E929" s="25">
        <v>0</v>
      </c>
      <c r="F929" s="25">
        <v>0</v>
      </c>
      <c r="G929" s="25">
        <v>0</v>
      </c>
      <c r="H929" s="25">
        <v>0</v>
      </c>
      <c r="I929" s="25">
        <v>0</v>
      </c>
      <c r="J929" s="25">
        <v>0</v>
      </c>
      <c r="K929" s="25">
        <v>0</v>
      </c>
      <c r="L929" s="25">
        <v>0</v>
      </c>
      <c r="M929" s="25">
        <v>0</v>
      </c>
      <c r="N929" s="25">
        <v>0</v>
      </c>
      <c r="O929" s="25">
        <v>0</v>
      </c>
      <c r="P929" s="25">
        <v>0</v>
      </c>
      <c r="Q929" s="25">
        <v>0</v>
      </c>
      <c r="R929" s="25">
        <v>0</v>
      </c>
      <c r="S929" s="25">
        <v>0</v>
      </c>
      <c r="T929" s="25">
        <v>0</v>
      </c>
      <c r="U929" s="25">
        <v>0</v>
      </c>
      <c r="V929" s="25">
        <v>0</v>
      </c>
      <c r="W929" s="25">
        <v>0</v>
      </c>
      <c r="X929" s="25">
        <v>0</v>
      </c>
      <c r="Y929" s="25">
        <v>0</v>
      </c>
      <c r="Z929" s="25">
        <v>0</v>
      </c>
      <c r="AA929" s="25">
        <v>0</v>
      </c>
      <c r="AB929" s="25">
        <v>0</v>
      </c>
      <c r="AC929" s="25">
        <v>0</v>
      </c>
      <c r="AD929" s="25">
        <v>0</v>
      </c>
      <c r="AE929" s="25">
        <v>0</v>
      </c>
      <c r="AF929" s="25">
        <v>0</v>
      </c>
    </row>
    <row r="930" spans="1:32" x14ac:dyDescent="0.25">
      <c r="A930" s="25" t="s">
        <v>999</v>
      </c>
      <c r="B930" s="25">
        <v>0</v>
      </c>
      <c r="C930" s="25">
        <v>0</v>
      </c>
      <c r="D930" s="25">
        <v>0</v>
      </c>
      <c r="E930" s="25">
        <v>0</v>
      </c>
      <c r="F930" s="25">
        <v>0</v>
      </c>
      <c r="G930" s="25">
        <v>0</v>
      </c>
      <c r="H930" s="25">
        <v>0</v>
      </c>
      <c r="I930" s="25">
        <v>0</v>
      </c>
      <c r="J930" s="25">
        <v>0</v>
      </c>
      <c r="K930" s="25">
        <v>0</v>
      </c>
      <c r="L930" s="25">
        <v>0</v>
      </c>
      <c r="M930" s="25">
        <v>0</v>
      </c>
      <c r="N930" s="25">
        <v>0</v>
      </c>
      <c r="O930" s="25">
        <v>0</v>
      </c>
      <c r="P930" s="25">
        <v>0</v>
      </c>
      <c r="Q930" s="25">
        <v>0</v>
      </c>
      <c r="R930" s="25">
        <v>0</v>
      </c>
      <c r="S930" s="25">
        <v>0</v>
      </c>
      <c r="T930" s="25">
        <v>0</v>
      </c>
      <c r="U930" s="25">
        <v>0</v>
      </c>
      <c r="V930" s="25">
        <v>0</v>
      </c>
      <c r="W930" s="25">
        <v>0</v>
      </c>
      <c r="X930" s="25">
        <v>0</v>
      </c>
      <c r="Y930" s="25">
        <v>0</v>
      </c>
      <c r="Z930" s="25">
        <v>0</v>
      </c>
      <c r="AA930" s="25">
        <v>0</v>
      </c>
      <c r="AB930" s="25">
        <v>0</v>
      </c>
      <c r="AC930" s="25">
        <v>0</v>
      </c>
      <c r="AD930" s="25">
        <v>0</v>
      </c>
      <c r="AE930" s="25">
        <v>0</v>
      </c>
      <c r="AF930" s="25">
        <v>0</v>
      </c>
    </row>
    <row r="931" spans="1:32" x14ac:dyDescent="0.25">
      <c r="A931" s="25" t="s">
        <v>1000</v>
      </c>
      <c r="B931" s="25">
        <v>0</v>
      </c>
      <c r="C931" s="25">
        <v>0</v>
      </c>
      <c r="D931" s="25">
        <v>0</v>
      </c>
      <c r="E931" s="25">
        <v>0</v>
      </c>
      <c r="F931" s="25">
        <v>0</v>
      </c>
      <c r="G931" s="25">
        <v>0</v>
      </c>
      <c r="H931" s="25">
        <v>0</v>
      </c>
      <c r="I931" s="25">
        <v>0</v>
      </c>
      <c r="J931" s="25">
        <v>0</v>
      </c>
      <c r="K931" s="25">
        <v>0</v>
      </c>
      <c r="L931" s="25">
        <v>0</v>
      </c>
      <c r="M931" s="25">
        <v>0</v>
      </c>
      <c r="N931" s="25">
        <v>0</v>
      </c>
      <c r="O931" s="25">
        <v>0</v>
      </c>
      <c r="P931" s="25">
        <v>0</v>
      </c>
      <c r="Q931" s="25">
        <v>0</v>
      </c>
      <c r="R931" s="25">
        <v>0</v>
      </c>
      <c r="S931" s="25">
        <v>0</v>
      </c>
      <c r="T931" s="25">
        <v>0</v>
      </c>
      <c r="U931" s="25">
        <v>0</v>
      </c>
      <c r="V931" s="25">
        <v>0</v>
      </c>
      <c r="W931" s="25">
        <v>0</v>
      </c>
      <c r="X931" s="25">
        <v>0</v>
      </c>
      <c r="Y931" s="25">
        <v>0</v>
      </c>
      <c r="Z931" s="25">
        <v>0</v>
      </c>
      <c r="AA931" s="25">
        <v>0</v>
      </c>
      <c r="AB931" s="25">
        <v>0</v>
      </c>
      <c r="AC931" s="25">
        <v>0</v>
      </c>
      <c r="AD931" s="25">
        <v>0</v>
      </c>
      <c r="AE931" s="25">
        <v>0</v>
      </c>
      <c r="AF931" s="25">
        <v>0</v>
      </c>
    </row>
    <row r="932" spans="1:32" x14ac:dyDescent="0.25">
      <c r="A932" s="25" t="s">
        <v>1001</v>
      </c>
      <c r="B932" s="25">
        <v>0</v>
      </c>
      <c r="C932" s="25">
        <v>0</v>
      </c>
      <c r="D932" s="25">
        <v>0</v>
      </c>
      <c r="E932" s="25">
        <v>0</v>
      </c>
      <c r="F932" s="25">
        <v>0</v>
      </c>
      <c r="G932" s="25">
        <v>0</v>
      </c>
      <c r="H932" s="25">
        <v>0</v>
      </c>
      <c r="I932" s="25">
        <v>0</v>
      </c>
      <c r="J932" s="25">
        <v>0</v>
      </c>
      <c r="K932" s="25">
        <v>0</v>
      </c>
      <c r="L932" s="25">
        <v>0</v>
      </c>
      <c r="M932" s="25">
        <v>0</v>
      </c>
      <c r="N932" s="25">
        <v>0</v>
      </c>
      <c r="O932" s="25">
        <v>0</v>
      </c>
      <c r="P932" s="25">
        <v>0</v>
      </c>
      <c r="Q932" s="25">
        <v>0</v>
      </c>
      <c r="R932" s="25">
        <v>0</v>
      </c>
      <c r="S932" s="25">
        <v>0</v>
      </c>
      <c r="T932" s="25">
        <v>0</v>
      </c>
      <c r="U932" s="25">
        <v>0</v>
      </c>
      <c r="V932" s="25">
        <v>0</v>
      </c>
      <c r="W932" s="25">
        <v>0</v>
      </c>
      <c r="X932" s="25">
        <v>0</v>
      </c>
      <c r="Y932" s="25">
        <v>0</v>
      </c>
      <c r="Z932" s="25">
        <v>0</v>
      </c>
      <c r="AA932" s="25">
        <v>0</v>
      </c>
      <c r="AB932" s="25">
        <v>0</v>
      </c>
      <c r="AC932" s="25">
        <v>0</v>
      </c>
      <c r="AD932" s="25">
        <v>0</v>
      </c>
      <c r="AE932" s="25">
        <v>0</v>
      </c>
      <c r="AF932" s="25">
        <v>0</v>
      </c>
    </row>
    <row r="933" spans="1:32" x14ac:dyDescent="0.25">
      <c r="A933" s="25" t="s">
        <v>1002</v>
      </c>
      <c r="B933" s="25">
        <v>0</v>
      </c>
      <c r="C933" s="25">
        <v>0</v>
      </c>
      <c r="D933" s="25">
        <v>0</v>
      </c>
      <c r="E933" s="25">
        <v>0</v>
      </c>
      <c r="F933" s="25">
        <v>0</v>
      </c>
      <c r="G933" s="25">
        <v>0</v>
      </c>
      <c r="H933" s="25">
        <v>0</v>
      </c>
      <c r="I933" s="25">
        <v>0</v>
      </c>
      <c r="J933" s="25">
        <v>0</v>
      </c>
      <c r="K933" s="25">
        <v>0</v>
      </c>
      <c r="L933" s="25">
        <v>0</v>
      </c>
      <c r="M933" s="25">
        <v>0</v>
      </c>
      <c r="N933" s="25">
        <v>0</v>
      </c>
      <c r="O933" s="25">
        <v>0</v>
      </c>
      <c r="P933" s="25">
        <v>0</v>
      </c>
      <c r="Q933" s="25">
        <v>0</v>
      </c>
      <c r="R933" s="25">
        <v>0</v>
      </c>
      <c r="S933" s="25">
        <v>0</v>
      </c>
      <c r="T933" s="25">
        <v>0</v>
      </c>
      <c r="U933" s="25">
        <v>0</v>
      </c>
      <c r="V933" s="25">
        <v>0</v>
      </c>
      <c r="W933" s="25">
        <v>0</v>
      </c>
      <c r="X933" s="25">
        <v>0</v>
      </c>
      <c r="Y933" s="25">
        <v>0</v>
      </c>
      <c r="Z933" s="25">
        <v>0</v>
      </c>
      <c r="AA933" s="25">
        <v>0</v>
      </c>
      <c r="AB933" s="25">
        <v>0</v>
      </c>
      <c r="AC933" s="25">
        <v>0</v>
      </c>
      <c r="AD933" s="25">
        <v>0</v>
      </c>
      <c r="AE933" s="25">
        <v>0</v>
      </c>
      <c r="AF933" s="25">
        <v>0</v>
      </c>
    </row>
    <row r="934" spans="1:32" x14ac:dyDescent="0.25">
      <c r="A934" s="25" t="s">
        <v>1003</v>
      </c>
      <c r="B934" s="25">
        <v>0</v>
      </c>
      <c r="C934" s="25">
        <v>0</v>
      </c>
      <c r="D934" s="25">
        <v>0</v>
      </c>
      <c r="E934" s="25">
        <v>0</v>
      </c>
      <c r="F934" s="25">
        <v>0</v>
      </c>
      <c r="G934" s="25">
        <v>0</v>
      </c>
      <c r="H934" s="25">
        <v>0</v>
      </c>
      <c r="I934" s="25">
        <v>0</v>
      </c>
      <c r="J934" s="25">
        <v>0</v>
      </c>
      <c r="K934" s="25">
        <v>0</v>
      </c>
      <c r="L934" s="25">
        <v>0</v>
      </c>
      <c r="M934" s="25">
        <v>0</v>
      </c>
      <c r="N934" s="25">
        <v>0</v>
      </c>
      <c r="O934" s="25">
        <v>0</v>
      </c>
      <c r="P934" s="25">
        <v>0</v>
      </c>
      <c r="Q934" s="25">
        <v>0</v>
      </c>
      <c r="R934" s="25">
        <v>0</v>
      </c>
      <c r="S934" s="25">
        <v>0</v>
      </c>
      <c r="T934" s="25">
        <v>0</v>
      </c>
      <c r="U934" s="25">
        <v>0</v>
      </c>
      <c r="V934" s="25">
        <v>0</v>
      </c>
      <c r="W934" s="25">
        <v>0</v>
      </c>
      <c r="X934" s="25">
        <v>0</v>
      </c>
      <c r="Y934" s="25">
        <v>0</v>
      </c>
      <c r="Z934" s="25">
        <v>0</v>
      </c>
      <c r="AA934" s="25">
        <v>0</v>
      </c>
      <c r="AB934" s="25">
        <v>0</v>
      </c>
      <c r="AC934" s="25">
        <v>0</v>
      </c>
      <c r="AD934" s="25">
        <v>0</v>
      </c>
      <c r="AE934" s="25">
        <v>0</v>
      </c>
      <c r="AF934" s="25">
        <v>0</v>
      </c>
    </row>
    <row r="935" spans="1:32" x14ac:dyDescent="0.25">
      <c r="A935" s="25" t="s">
        <v>1004</v>
      </c>
      <c r="B935" s="25">
        <v>0</v>
      </c>
      <c r="C935" s="25">
        <v>0</v>
      </c>
      <c r="D935" s="25">
        <v>0</v>
      </c>
      <c r="E935" s="25">
        <v>0</v>
      </c>
      <c r="F935" s="25">
        <v>0</v>
      </c>
      <c r="G935" s="25">
        <v>0</v>
      </c>
      <c r="H935" s="25">
        <v>0</v>
      </c>
      <c r="I935" s="25">
        <v>0</v>
      </c>
      <c r="J935" s="25">
        <v>0</v>
      </c>
      <c r="K935" s="25">
        <v>0</v>
      </c>
      <c r="L935" s="25">
        <v>0</v>
      </c>
      <c r="M935" s="25">
        <v>0</v>
      </c>
      <c r="N935" s="25">
        <v>0</v>
      </c>
      <c r="O935" s="25">
        <v>0</v>
      </c>
      <c r="P935" s="25">
        <v>0</v>
      </c>
      <c r="Q935" s="25">
        <v>0</v>
      </c>
      <c r="R935" s="25">
        <v>0</v>
      </c>
      <c r="S935" s="25">
        <v>0</v>
      </c>
      <c r="T935" s="25">
        <v>0</v>
      </c>
      <c r="U935" s="25">
        <v>0</v>
      </c>
      <c r="V935" s="25">
        <v>0</v>
      </c>
      <c r="W935" s="25">
        <v>0</v>
      </c>
      <c r="X935" s="25">
        <v>0</v>
      </c>
      <c r="Y935" s="25">
        <v>0</v>
      </c>
      <c r="Z935" s="25">
        <v>0</v>
      </c>
      <c r="AA935" s="25">
        <v>0</v>
      </c>
      <c r="AB935" s="25">
        <v>0</v>
      </c>
      <c r="AC935" s="25">
        <v>0</v>
      </c>
      <c r="AD935" s="25">
        <v>0</v>
      </c>
      <c r="AE935" s="25">
        <v>0</v>
      </c>
      <c r="AF935" s="25">
        <v>0</v>
      </c>
    </row>
    <row r="936" spans="1:32" x14ac:dyDescent="0.25">
      <c r="A936" s="25" t="s">
        <v>1005</v>
      </c>
      <c r="B936" s="25">
        <v>0</v>
      </c>
      <c r="C936" s="25">
        <v>0</v>
      </c>
      <c r="D936" s="25">
        <v>0</v>
      </c>
      <c r="E936" s="25">
        <v>0</v>
      </c>
      <c r="F936" s="25">
        <v>0</v>
      </c>
      <c r="G936" s="25">
        <v>0</v>
      </c>
      <c r="H936" s="25">
        <v>0</v>
      </c>
      <c r="I936" s="25">
        <v>0</v>
      </c>
      <c r="J936" s="25">
        <v>0</v>
      </c>
      <c r="K936" s="25">
        <v>0</v>
      </c>
      <c r="L936" s="25">
        <v>0</v>
      </c>
      <c r="M936" s="25">
        <v>0</v>
      </c>
      <c r="N936" s="25">
        <v>0</v>
      </c>
      <c r="O936" s="25">
        <v>0</v>
      </c>
      <c r="P936" s="25">
        <v>0</v>
      </c>
      <c r="Q936" s="25">
        <v>0</v>
      </c>
      <c r="R936" s="25">
        <v>0</v>
      </c>
      <c r="S936" s="25">
        <v>0</v>
      </c>
      <c r="T936" s="25">
        <v>0</v>
      </c>
      <c r="U936" s="25">
        <v>0</v>
      </c>
      <c r="V936" s="25">
        <v>0</v>
      </c>
      <c r="W936" s="25">
        <v>0</v>
      </c>
      <c r="X936" s="25">
        <v>0</v>
      </c>
      <c r="Y936" s="25">
        <v>0</v>
      </c>
      <c r="Z936" s="25">
        <v>0</v>
      </c>
      <c r="AA936" s="25">
        <v>0</v>
      </c>
      <c r="AB936" s="25">
        <v>0</v>
      </c>
      <c r="AC936" s="25">
        <v>0</v>
      </c>
      <c r="AD936" s="25">
        <v>0</v>
      </c>
      <c r="AE936" s="25">
        <v>0</v>
      </c>
      <c r="AF936" s="25">
        <v>0</v>
      </c>
    </row>
    <row r="937" spans="1:32" x14ac:dyDescent="0.25">
      <c r="A937" s="25" t="s">
        <v>1006</v>
      </c>
      <c r="B937" s="25">
        <v>0</v>
      </c>
      <c r="C937" s="25">
        <v>0</v>
      </c>
      <c r="D937" s="25">
        <v>0</v>
      </c>
      <c r="E937" s="25">
        <v>0</v>
      </c>
      <c r="F937" s="25">
        <v>0</v>
      </c>
      <c r="G937" s="25">
        <v>0</v>
      </c>
      <c r="H937" s="25">
        <v>0</v>
      </c>
      <c r="I937" s="25">
        <v>0</v>
      </c>
      <c r="J937" s="25">
        <v>0</v>
      </c>
      <c r="K937" s="25">
        <v>0</v>
      </c>
      <c r="L937" s="25">
        <v>0</v>
      </c>
      <c r="M937" s="25">
        <v>0</v>
      </c>
      <c r="N937" s="25">
        <v>0</v>
      </c>
      <c r="O937" s="25">
        <v>0</v>
      </c>
      <c r="P937" s="25">
        <v>0</v>
      </c>
      <c r="Q937" s="25">
        <v>0</v>
      </c>
      <c r="R937" s="25">
        <v>0</v>
      </c>
      <c r="S937" s="25">
        <v>0</v>
      </c>
      <c r="T937" s="25">
        <v>0</v>
      </c>
      <c r="U937" s="25">
        <v>0</v>
      </c>
      <c r="V937" s="25">
        <v>0</v>
      </c>
      <c r="W937" s="25">
        <v>0</v>
      </c>
      <c r="X937" s="25">
        <v>0</v>
      </c>
      <c r="Y937" s="25">
        <v>0</v>
      </c>
      <c r="Z937" s="25">
        <v>0</v>
      </c>
      <c r="AA937" s="25">
        <v>0</v>
      </c>
      <c r="AB937" s="25">
        <v>0</v>
      </c>
      <c r="AC937" s="25">
        <v>0</v>
      </c>
      <c r="AD937" s="25">
        <v>0</v>
      </c>
      <c r="AE937" s="25">
        <v>0</v>
      </c>
      <c r="AF937" s="25">
        <v>0</v>
      </c>
    </row>
    <row r="938" spans="1:32" x14ac:dyDescent="0.25">
      <c r="A938" s="25" t="s">
        <v>1007</v>
      </c>
      <c r="B938" s="25">
        <v>0</v>
      </c>
      <c r="C938" s="25">
        <v>0</v>
      </c>
      <c r="D938" s="25">
        <v>0</v>
      </c>
      <c r="E938" s="25">
        <v>0</v>
      </c>
      <c r="F938" s="25">
        <v>0</v>
      </c>
      <c r="G938" s="25">
        <v>0</v>
      </c>
      <c r="H938" s="25">
        <v>0</v>
      </c>
      <c r="I938" s="25">
        <v>0</v>
      </c>
      <c r="J938" s="25">
        <v>0</v>
      </c>
      <c r="K938" s="25">
        <v>0</v>
      </c>
      <c r="L938" s="25">
        <v>0</v>
      </c>
      <c r="M938" s="25">
        <v>0</v>
      </c>
      <c r="N938" s="25">
        <v>0</v>
      </c>
      <c r="O938" s="25">
        <v>0</v>
      </c>
      <c r="P938" s="25">
        <v>0</v>
      </c>
      <c r="Q938" s="25">
        <v>0</v>
      </c>
      <c r="R938" s="25">
        <v>0</v>
      </c>
      <c r="S938" s="25">
        <v>0</v>
      </c>
      <c r="T938" s="25">
        <v>0</v>
      </c>
      <c r="U938" s="25">
        <v>0</v>
      </c>
      <c r="V938" s="25">
        <v>0</v>
      </c>
      <c r="W938" s="25">
        <v>0</v>
      </c>
      <c r="X938" s="25">
        <v>0</v>
      </c>
      <c r="Y938" s="25">
        <v>0</v>
      </c>
      <c r="Z938" s="25">
        <v>0</v>
      </c>
      <c r="AA938" s="25">
        <v>0</v>
      </c>
      <c r="AB938" s="25">
        <v>0</v>
      </c>
      <c r="AC938" s="25">
        <v>0</v>
      </c>
      <c r="AD938" s="25">
        <v>0</v>
      </c>
      <c r="AE938" s="25">
        <v>0</v>
      </c>
      <c r="AF938" s="25">
        <v>0</v>
      </c>
    </row>
    <row r="939" spans="1:32" x14ac:dyDescent="0.25">
      <c r="A939" s="25" t="s">
        <v>1008</v>
      </c>
      <c r="B939" s="25">
        <v>0</v>
      </c>
      <c r="C939" s="25">
        <v>0</v>
      </c>
      <c r="D939" s="25">
        <v>0</v>
      </c>
      <c r="E939" s="25">
        <v>0</v>
      </c>
      <c r="F939" s="25">
        <v>0</v>
      </c>
      <c r="G939" s="25">
        <v>0</v>
      </c>
      <c r="H939" s="25">
        <v>0</v>
      </c>
      <c r="I939" s="25">
        <v>0</v>
      </c>
      <c r="J939" s="25">
        <v>0</v>
      </c>
      <c r="K939" s="25">
        <v>0</v>
      </c>
      <c r="L939" s="25">
        <v>0</v>
      </c>
      <c r="M939" s="25">
        <v>0</v>
      </c>
      <c r="N939" s="25">
        <v>0</v>
      </c>
      <c r="O939" s="25">
        <v>0</v>
      </c>
      <c r="P939" s="25">
        <v>0</v>
      </c>
      <c r="Q939" s="25">
        <v>0</v>
      </c>
      <c r="R939" s="25">
        <v>0</v>
      </c>
      <c r="S939" s="25">
        <v>0</v>
      </c>
      <c r="T939" s="25">
        <v>0</v>
      </c>
      <c r="U939" s="25">
        <v>0</v>
      </c>
      <c r="V939" s="25">
        <v>0</v>
      </c>
      <c r="W939" s="25">
        <v>0</v>
      </c>
      <c r="X939" s="25">
        <v>0</v>
      </c>
      <c r="Y939" s="25">
        <v>0</v>
      </c>
      <c r="Z939" s="25">
        <v>0</v>
      </c>
      <c r="AA939" s="25">
        <v>0</v>
      </c>
      <c r="AB939" s="25">
        <v>0</v>
      </c>
      <c r="AC939" s="25">
        <v>0</v>
      </c>
      <c r="AD939" s="25">
        <v>0</v>
      </c>
      <c r="AE939" s="25">
        <v>0</v>
      </c>
      <c r="AF939" s="25">
        <v>0</v>
      </c>
    </row>
    <row r="940" spans="1:32" x14ac:dyDescent="0.25">
      <c r="A940" s="25" t="s">
        <v>1009</v>
      </c>
      <c r="B940" s="25">
        <v>0</v>
      </c>
      <c r="C940" s="25">
        <v>0</v>
      </c>
      <c r="D940" s="25">
        <v>0</v>
      </c>
      <c r="E940" s="25">
        <v>0</v>
      </c>
      <c r="F940" s="25">
        <v>0</v>
      </c>
      <c r="G940" s="25">
        <v>0</v>
      </c>
      <c r="H940" s="25">
        <v>0</v>
      </c>
      <c r="I940" s="25">
        <v>0</v>
      </c>
      <c r="J940" s="25">
        <v>0</v>
      </c>
      <c r="K940" s="25">
        <v>0</v>
      </c>
      <c r="L940" s="25">
        <v>0</v>
      </c>
      <c r="M940" s="25">
        <v>0</v>
      </c>
      <c r="N940" s="25">
        <v>0</v>
      </c>
      <c r="O940" s="25">
        <v>0</v>
      </c>
      <c r="P940" s="25">
        <v>0</v>
      </c>
      <c r="Q940" s="25">
        <v>0</v>
      </c>
      <c r="R940" s="25">
        <v>0</v>
      </c>
      <c r="S940" s="25">
        <v>0</v>
      </c>
      <c r="T940" s="25">
        <v>0</v>
      </c>
      <c r="U940" s="25">
        <v>0</v>
      </c>
      <c r="V940" s="25">
        <v>0</v>
      </c>
      <c r="W940" s="25">
        <v>0</v>
      </c>
      <c r="X940" s="25">
        <v>0</v>
      </c>
      <c r="Y940" s="25">
        <v>0</v>
      </c>
      <c r="Z940" s="25">
        <v>0</v>
      </c>
      <c r="AA940" s="25">
        <v>0</v>
      </c>
      <c r="AB940" s="25">
        <v>0</v>
      </c>
      <c r="AC940" s="25">
        <v>0</v>
      </c>
      <c r="AD940" s="25">
        <v>0</v>
      </c>
      <c r="AE940" s="25">
        <v>0</v>
      </c>
      <c r="AF940" s="25">
        <v>0</v>
      </c>
    </row>
    <row r="941" spans="1:32" x14ac:dyDescent="0.25">
      <c r="A941" s="25" t="s">
        <v>1010</v>
      </c>
      <c r="B941" s="25">
        <v>0</v>
      </c>
      <c r="C941" s="25">
        <v>0</v>
      </c>
      <c r="D941" s="25">
        <v>0</v>
      </c>
      <c r="E941" s="25">
        <v>0</v>
      </c>
      <c r="F941" s="25">
        <v>0</v>
      </c>
      <c r="G941" s="25">
        <v>0</v>
      </c>
      <c r="H941" s="25">
        <v>0</v>
      </c>
      <c r="I941" s="25">
        <v>0</v>
      </c>
      <c r="J941" s="25">
        <v>0</v>
      </c>
      <c r="K941" s="25">
        <v>0</v>
      </c>
      <c r="L941" s="25">
        <v>0</v>
      </c>
      <c r="M941" s="25">
        <v>0</v>
      </c>
      <c r="N941" s="25">
        <v>0</v>
      </c>
      <c r="O941" s="25">
        <v>0</v>
      </c>
      <c r="P941" s="25">
        <v>0</v>
      </c>
      <c r="Q941" s="25">
        <v>0</v>
      </c>
      <c r="R941" s="25">
        <v>0</v>
      </c>
      <c r="S941" s="25">
        <v>0</v>
      </c>
      <c r="T941" s="25">
        <v>0</v>
      </c>
      <c r="U941" s="25">
        <v>0</v>
      </c>
      <c r="V941" s="25">
        <v>0</v>
      </c>
      <c r="W941" s="25">
        <v>0</v>
      </c>
      <c r="X941" s="25">
        <v>0</v>
      </c>
      <c r="Y941" s="25">
        <v>0</v>
      </c>
      <c r="Z941" s="25">
        <v>0</v>
      </c>
      <c r="AA941" s="25">
        <v>0</v>
      </c>
      <c r="AB941" s="25">
        <v>0</v>
      </c>
      <c r="AC941" s="25">
        <v>0</v>
      </c>
      <c r="AD941" s="25">
        <v>0</v>
      </c>
      <c r="AE941" s="25">
        <v>0</v>
      </c>
      <c r="AF941" s="25">
        <v>0</v>
      </c>
    </row>
    <row r="942" spans="1:32" x14ac:dyDescent="0.25">
      <c r="A942" s="25" t="s">
        <v>1011</v>
      </c>
      <c r="B942" s="25">
        <v>0</v>
      </c>
      <c r="C942" s="25">
        <v>0</v>
      </c>
      <c r="D942" s="25">
        <v>0</v>
      </c>
      <c r="E942" s="25">
        <v>0</v>
      </c>
      <c r="F942" s="25">
        <v>0</v>
      </c>
      <c r="G942" s="25">
        <v>0</v>
      </c>
      <c r="H942" s="25">
        <v>0</v>
      </c>
      <c r="I942" s="25">
        <v>0</v>
      </c>
      <c r="J942" s="25">
        <v>0</v>
      </c>
      <c r="K942" s="25">
        <v>0</v>
      </c>
      <c r="L942" s="25">
        <v>0</v>
      </c>
      <c r="M942" s="25">
        <v>0</v>
      </c>
      <c r="N942" s="25">
        <v>0</v>
      </c>
      <c r="O942" s="25">
        <v>0</v>
      </c>
      <c r="P942" s="25">
        <v>0</v>
      </c>
      <c r="Q942" s="25">
        <v>0</v>
      </c>
      <c r="R942" s="25">
        <v>0</v>
      </c>
      <c r="S942" s="25">
        <v>0</v>
      </c>
      <c r="T942" s="25">
        <v>0</v>
      </c>
      <c r="U942" s="25">
        <v>0</v>
      </c>
      <c r="V942" s="25">
        <v>0</v>
      </c>
      <c r="W942" s="25">
        <v>0</v>
      </c>
      <c r="X942" s="25">
        <v>0</v>
      </c>
      <c r="Y942" s="25">
        <v>0</v>
      </c>
      <c r="Z942" s="25">
        <v>0</v>
      </c>
      <c r="AA942" s="25">
        <v>0</v>
      </c>
      <c r="AB942" s="25">
        <v>0</v>
      </c>
      <c r="AC942" s="25">
        <v>0</v>
      </c>
      <c r="AD942" s="25">
        <v>0</v>
      </c>
      <c r="AE942" s="25">
        <v>0</v>
      </c>
      <c r="AF942" s="25">
        <v>0</v>
      </c>
    </row>
    <row r="943" spans="1:32" x14ac:dyDescent="0.25">
      <c r="A943" s="25" t="s">
        <v>1012</v>
      </c>
      <c r="B943" s="25">
        <v>0</v>
      </c>
      <c r="C943" s="25">
        <v>0</v>
      </c>
      <c r="D943" s="25">
        <v>0</v>
      </c>
      <c r="E943" s="25">
        <v>0</v>
      </c>
      <c r="F943" s="25">
        <v>0</v>
      </c>
      <c r="G943" s="25">
        <v>0</v>
      </c>
      <c r="H943" s="25">
        <v>0</v>
      </c>
      <c r="I943" s="25">
        <v>0</v>
      </c>
      <c r="J943" s="25">
        <v>0</v>
      </c>
      <c r="K943" s="25">
        <v>0</v>
      </c>
      <c r="L943" s="25">
        <v>0</v>
      </c>
      <c r="M943" s="25">
        <v>0</v>
      </c>
      <c r="N943" s="25">
        <v>0</v>
      </c>
      <c r="O943" s="25">
        <v>0</v>
      </c>
      <c r="P943" s="25">
        <v>0</v>
      </c>
      <c r="Q943" s="25">
        <v>0</v>
      </c>
      <c r="R943" s="25">
        <v>0</v>
      </c>
      <c r="S943" s="25">
        <v>0</v>
      </c>
      <c r="T943" s="25">
        <v>0</v>
      </c>
      <c r="U943" s="25">
        <v>0</v>
      </c>
      <c r="V943" s="25">
        <v>0</v>
      </c>
      <c r="W943" s="25">
        <v>0</v>
      </c>
      <c r="X943" s="25">
        <v>0</v>
      </c>
      <c r="Y943" s="25">
        <v>0</v>
      </c>
      <c r="Z943" s="25">
        <v>0</v>
      </c>
      <c r="AA943" s="25">
        <v>0</v>
      </c>
      <c r="AB943" s="25">
        <v>0</v>
      </c>
      <c r="AC943" s="25">
        <v>0</v>
      </c>
      <c r="AD943" s="25">
        <v>0</v>
      </c>
      <c r="AE943" s="25">
        <v>0</v>
      </c>
      <c r="AF943" s="25">
        <v>0</v>
      </c>
    </row>
    <row r="944" spans="1:32" x14ac:dyDescent="0.25">
      <c r="A944" s="25" t="s">
        <v>1013</v>
      </c>
      <c r="B944" s="25">
        <v>0</v>
      </c>
      <c r="C944" s="25">
        <v>0</v>
      </c>
      <c r="D944" s="25">
        <v>0</v>
      </c>
      <c r="E944" s="25">
        <v>0</v>
      </c>
      <c r="F944" s="25">
        <v>0</v>
      </c>
      <c r="G944" s="25">
        <v>0</v>
      </c>
      <c r="H944" s="25">
        <v>0</v>
      </c>
      <c r="I944" s="25">
        <v>0</v>
      </c>
      <c r="J944" s="25">
        <v>0</v>
      </c>
      <c r="K944" s="25">
        <v>0</v>
      </c>
      <c r="L944" s="25">
        <v>0</v>
      </c>
      <c r="M944" s="25">
        <v>0</v>
      </c>
      <c r="N944" s="25">
        <v>0</v>
      </c>
      <c r="O944" s="25">
        <v>0</v>
      </c>
      <c r="P944" s="25">
        <v>0</v>
      </c>
      <c r="Q944" s="25">
        <v>0</v>
      </c>
      <c r="R944" s="25">
        <v>0</v>
      </c>
      <c r="S944" s="25">
        <v>0</v>
      </c>
      <c r="T944" s="25">
        <v>0</v>
      </c>
      <c r="U944" s="25">
        <v>0</v>
      </c>
      <c r="V944" s="25">
        <v>0</v>
      </c>
      <c r="W944" s="25">
        <v>0</v>
      </c>
      <c r="X944" s="25">
        <v>0</v>
      </c>
      <c r="Y944" s="25">
        <v>0</v>
      </c>
      <c r="Z944" s="25">
        <v>0</v>
      </c>
      <c r="AA944" s="25">
        <v>0</v>
      </c>
      <c r="AB944" s="25">
        <v>0</v>
      </c>
      <c r="AC944" s="25">
        <v>0</v>
      </c>
      <c r="AD944" s="25">
        <v>0</v>
      </c>
      <c r="AE944" s="25">
        <v>0</v>
      </c>
      <c r="AF944" s="25">
        <v>0</v>
      </c>
    </row>
    <row r="945" spans="1:32" x14ac:dyDescent="0.25">
      <c r="A945" s="25" t="s">
        <v>1014</v>
      </c>
      <c r="B945" s="25">
        <v>0</v>
      </c>
      <c r="C945" s="25">
        <v>0</v>
      </c>
      <c r="D945" s="25">
        <v>0</v>
      </c>
      <c r="E945" s="25">
        <v>0</v>
      </c>
      <c r="F945" s="25">
        <v>0</v>
      </c>
      <c r="G945" s="25">
        <v>0</v>
      </c>
      <c r="H945" s="25">
        <v>0</v>
      </c>
      <c r="I945" s="25">
        <v>0</v>
      </c>
      <c r="J945" s="25">
        <v>0</v>
      </c>
      <c r="K945" s="25">
        <v>0</v>
      </c>
      <c r="L945" s="25">
        <v>0</v>
      </c>
      <c r="M945" s="25">
        <v>0</v>
      </c>
      <c r="N945" s="25">
        <v>0</v>
      </c>
      <c r="O945" s="25">
        <v>0</v>
      </c>
      <c r="P945" s="25">
        <v>0</v>
      </c>
      <c r="Q945" s="25">
        <v>0</v>
      </c>
      <c r="R945" s="25">
        <v>0</v>
      </c>
      <c r="S945" s="25">
        <v>0</v>
      </c>
      <c r="T945" s="25">
        <v>0</v>
      </c>
      <c r="U945" s="25">
        <v>0</v>
      </c>
      <c r="V945" s="25">
        <v>0</v>
      </c>
      <c r="W945" s="25">
        <v>0</v>
      </c>
      <c r="X945" s="25">
        <v>0</v>
      </c>
      <c r="Y945" s="25">
        <v>0</v>
      </c>
      <c r="Z945" s="25">
        <v>0</v>
      </c>
      <c r="AA945" s="25">
        <v>0</v>
      </c>
      <c r="AB945" s="25">
        <v>0</v>
      </c>
      <c r="AC945" s="25">
        <v>0</v>
      </c>
      <c r="AD945" s="25">
        <v>0</v>
      </c>
      <c r="AE945" s="25">
        <v>0</v>
      </c>
      <c r="AF945" s="25">
        <v>0</v>
      </c>
    </row>
    <row r="946" spans="1:32" x14ac:dyDescent="0.25">
      <c r="A946" s="25" t="s">
        <v>1015</v>
      </c>
      <c r="B946" s="25">
        <v>0</v>
      </c>
      <c r="C946" s="25">
        <v>0</v>
      </c>
      <c r="D946" s="25">
        <v>0</v>
      </c>
      <c r="E946" s="25">
        <v>0</v>
      </c>
      <c r="F946" s="25">
        <v>0</v>
      </c>
      <c r="G946" s="25">
        <v>0</v>
      </c>
      <c r="H946" s="25">
        <v>0</v>
      </c>
      <c r="I946" s="25">
        <v>0</v>
      </c>
      <c r="J946" s="25">
        <v>0</v>
      </c>
      <c r="K946" s="25">
        <v>0</v>
      </c>
      <c r="L946" s="25">
        <v>0</v>
      </c>
      <c r="M946" s="25">
        <v>0</v>
      </c>
      <c r="N946" s="25">
        <v>0</v>
      </c>
      <c r="O946" s="25">
        <v>0</v>
      </c>
      <c r="P946" s="25">
        <v>0</v>
      </c>
      <c r="Q946" s="25">
        <v>0</v>
      </c>
      <c r="R946" s="25">
        <v>0</v>
      </c>
      <c r="S946" s="25">
        <v>0</v>
      </c>
      <c r="T946" s="25">
        <v>0</v>
      </c>
      <c r="U946" s="25">
        <v>0</v>
      </c>
      <c r="V946" s="25">
        <v>0</v>
      </c>
      <c r="W946" s="25">
        <v>0</v>
      </c>
      <c r="X946" s="25">
        <v>0</v>
      </c>
      <c r="Y946" s="25">
        <v>0</v>
      </c>
      <c r="Z946" s="25">
        <v>0</v>
      </c>
      <c r="AA946" s="25">
        <v>0</v>
      </c>
      <c r="AB946" s="25">
        <v>0</v>
      </c>
      <c r="AC946" s="25">
        <v>0</v>
      </c>
      <c r="AD946" s="25">
        <v>0</v>
      </c>
      <c r="AE946" s="25">
        <v>0</v>
      </c>
      <c r="AF946" s="25">
        <v>0</v>
      </c>
    </row>
    <row r="947" spans="1:32" x14ac:dyDescent="0.25">
      <c r="A947" s="25" t="s">
        <v>1016</v>
      </c>
      <c r="B947" s="25">
        <v>0</v>
      </c>
      <c r="C947" s="25">
        <v>0</v>
      </c>
      <c r="D947" s="25">
        <v>0</v>
      </c>
      <c r="E947" s="25">
        <v>0</v>
      </c>
      <c r="F947" s="25">
        <v>0</v>
      </c>
      <c r="G947" s="25">
        <v>0</v>
      </c>
      <c r="H947" s="25">
        <v>0</v>
      </c>
      <c r="I947" s="25">
        <v>0</v>
      </c>
      <c r="J947" s="25">
        <v>0</v>
      </c>
      <c r="K947" s="25">
        <v>0</v>
      </c>
      <c r="L947" s="25">
        <v>0</v>
      </c>
      <c r="M947" s="25">
        <v>0</v>
      </c>
      <c r="N947" s="25">
        <v>0</v>
      </c>
      <c r="O947" s="25">
        <v>0</v>
      </c>
      <c r="P947" s="25">
        <v>0</v>
      </c>
      <c r="Q947" s="25">
        <v>0</v>
      </c>
      <c r="R947" s="25">
        <v>0</v>
      </c>
      <c r="S947" s="25">
        <v>0</v>
      </c>
      <c r="T947" s="25">
        <v>0</v>
      </c>
      <c r="U947" s="25">
        <v>0</v>
      </c>
      <c r="V947" s="25">
        <v>0</v>
      </c>
      <c r="W947" s="25">
        <v>0</v>
      </c>
      <c r="X947" s="25">
        <v>0</v>
      </c>
      <c r="Y947" s="25">
        <v>0</v>
      </c>
      <c r="Z947" s="25">
        <v>0</v>
      </c>
      <c r="AA947" s="25">
        <v>0</v>
      </c>
      <c r="AB947" s="25">
        <v>0</v>
      </c>
      <c r="AC947" s="25">
        <v>0</v>
      </c>
      <c r="AD947" s="25">
        <v>0</v>
      </c>
      <c r="AE947" s="25">
        <v>0</v>
      </c>
      <c r="AF947" s="25">
        <v>0</v>
      </c>
    </row>
    <row r="948" spans="1:32" x14ac:dyDescent="0.25">
      <c r="A948" s="25" t="s">
        <v>1017</v>
      </c>
      <c r="B948" s="25">
        <v>0</v>
      </c>
      <c r="C948" s="25">
        <v>0</v>
      </c>
      <c r="D948" s="25">
        <v>0</v>
      </c>
      <c r="E948" s="25">
        <v>0</v>
      </c>
      <c r="F948" s="25">
        <v>0</v>
      </c>
      <c r="G948" s="25">
        <v>0</v>
      </c>
      <c r="H948" s="25">
        <v>0</v>
      </c>
      <c r="I948" s="25">
        <v>0</v>
      </c>
      <c r="J948" s="25">
        <v>0</v>
      </c>
      <c r="K948" s="25">
        <v>0</v>
      </c>
      <c r="L948" s="25">
        <v>0</v>
      </c>
      <c r="M948" s="25">
        <v>0</v>
      </c>
      <c r="N948" s="25">
        <v>0</v>
      </c>
      <c r="O948" s="25">
        <v>0</v>
      </c>
      <c r="P948" s="25">
        <v>0</v>
      </c>
      <c r="Q948" s="25">
        <v>0</v>
      </c>
      <c r="R948" s="25">
        <v>0</v>
      </c>
      <c r="S948" s="25">
        <v>0</v>
      </c>
      <c r="T948" s="25">
        <v>0</v>
      </c>
      <c r="U948" s="25">
        <v>0</v>
      </c>
      <c r="V948" s="25">
        <v>0</v>
      </c>
      <c r="W948" s="25">
        <v>0</v>
      </c>
      <c r="X948" s="25">
        <v>0</v>
      </c>
      <c r="Y948" s="25">
        <v>0</v>
      </c>
      <c r="Z948" s="25">
        <v>0</v>
      </c>
      <c r="AA948" s="25">
        <v>0</v>
      </c>
      <c r="AB948" s="25">
        <v>0</v>
      </c>
      <c r="AC948" s="25">
        <v>0</v>
      </c>
      <c r="AD948" s="25">
        <v>0</v>
      </c>
      <c r="AE948" s="25">
        <v>0</v>
      </c>
      <c r="AF948" s="25">
        <v>0</v>
      </c>
    </row>
    <row r="949" spans="1:32" x14ac:dyDescent="0.25">
      <c r="A949" s="25" t="s">
        <v>1018</v>
      </c>
      <c r="B949" s="25">
        <v>0</v>
      </c>
      <c r="C949" s="25">
        <v>0</v>
      </c>
      <c r="D949" s="25">
        <v>0</v>
      </c>
      <c r="E949" s="25">
        <v>0</v>
      </c>
      <c r="F949" s="25">
        <v>0</v>
      </c>
      <c r="G949" s="25">
        <v>0</v>
      </c>
      <c r="H949" s="25">
        <v>0</v>
      </c>
      <c r="I949" s="25">
        <v>0</v>
      </c>
      <c r="J949" s="25">
        <v>0</v>
      </c>
      <c r="K949" s="25">
        <v>0</v>
      </c>
      <c r="L949" s="25">
        <v>0</v>
      </c>
      <c r="M949" s="25">
        <v>0</v>
      </c>
      <c r="N949" s="25">
        <v>0</v>
      </c>
      <c r="O949" s="25">
        <v>0</v>
      </c>
      <c r="P949" s="25">
        <v>0</v>
      </c>
      <c r="Q949" s="25">
        <v>0</v>
      </c>
      <c r="R949" s="25">
        <v>0</v>
      </c>
      <c r="S949" s="25">
        <v>0</v>
      </c>
      <c r="T949" s="25">
        <v>0</v>
      </c>
      <c r="U949" s="25">
        <v>0</v>
      </c>
      <c r="V949" s="25">
        <v>0</v>
      </c>
      <c r="W949" s="25">
        <v>0</v>
      </c>
      <c r="X949" s="25">
        <v>0</v>
      </c>
      <c r="Y949" s="25">
        <v>0</v>
      </c>
      <c r="Z949" s="25">
        <v>0</v>
      </c>
      <c r="AA949" s="25">
        <v>0</v>
      </c>
      <c r="AB949" s="25">
        <v>0</v>
      </c>
      <c r="AC949" s="25">
        <v>0</v>
      </c>
      <c r="AD949" s="25">
        <v>0</v>
      </c>
      <c r="AE949" s="25">
        <v>0</v>
      </c>
      <c r="AF949" s="25">
        <v>0</v>
      </c>
    </row>
    <row r="950" spans="1:32" x14ac:dyDescent="0.25">
      <c r="A950" s="25" t="s">
        <v>1019</v>
      </c>
      <c r="B950" s="25">
        <v>0</v>
      </c>
      <c r="C950" s="25">
        <v>0</v>
      </c>
      <c r="D950" s="25">
        <v>0</v>
      </c>
      <c r="E950" s="25">
        <v>0</v>
      </c>
      <c r="F950" s="25">
        <v>0</v>
      </c>
      <c r="G950" s="25">
        <v>0</v>
      </c>
      <c r="H950" s="25">
        <v>0</v>
      </c>
      <c r="I950" s="25">
        <v>0</v>
      </c>
      <c r="J950" s="25">
        <v>0</v>
      </c>
      <c r="K950" s="25">
        <v>0</v>
      </c>
      <c r="L950" s="25">
        <v>0</v>
      </c>
      <c r="M950" s="25">
        <v>0</v>
      </c>
      <c r="N950" s="25">
        <v>0</v>
      </c>
      <c r="O950" s="25">
        <v>0</v>
      </c>
      <c r="P950" s="25">
        <v>0</v>
      </c>
      <c r="Q950" s="25">
        <v>0</v>
      </c>
      <c r="R950" s="25">
        <v>0</v>
      </c>
      <c r="S950" s="25">
        <v>0</v>
      </c>
      <c r="T950" s="25">
        <v>0</v>
      </c>
      <c r="U950" s="25">
        <v>0</v>
      </c>
      <c r="V950" s="25">
        <v>0</v>
      </c>
      <c r="W950" s="25">
        <v>0</v>
      </c>
      <c r="X950" s="25">
        <v>0</v>
      </c>
      <c r="Y950" s="25">
        <v>0</v>
      </c>
      <c r="Z950" s="25">
        <v>0</v>
      </c>
      <c r="AA950" s="25">
        <v>0</v>
      </c>
      <c r="AB950" s="25">
        <v>0</v>
      </c>
      <c r="AC950" s="25">
        <v>0</v>
      </c>
      <c r="AD950" s="25">
        <v>0</v>
      </c>
      <c r="AE950" s="25">
        <v>0</v>
      </c>
      <c r="AF950" s="25">
        <v>0</v>
      </c>
    </row>
    <row r="951" spans="1:32" x14ac:dyDescent="0.25">
      <c r="A951" s="25" t="s">
        <v>1020</v>
      </c>
      <c r="B951" s="25">
        <v>0</v>
      </c>
      <c r="C951" s="25">
        <v>0</v>
      </c>
      <c r="D951" s="25">
        <v>0</v>
      </c>
      <c r="E951" s="25">
        <v>0</v>
      </c>
      <c r="F951" s="25">
        <v>0</v>
      </c>
      <c r="G951" s="25">
        <v>0</v>
      </c>
      <c r="H951" s="25">
        <v>0</v>
      </c>
      <c r="I951" s="25">
        <v>0</v>
      </c>
      <c r="J951" s="25">
        <v>0</v>
      </c>
      <c r="K951" s="25">
        <v>0</v>
      </c>
      <c r="L951" s="25">
        <v>0</v>
      </c>
      <c r="M951" s="25">
        <v>0</v>
      </c>
      <c r="N951" s="25">
        <v>0</v>
      </c>
      <c r="O951" s="25">
        <v>0</v>
      </c>
      <c r="P951" s="25">
        <v>0</v>
      </c>
      <c r="Q951" s="25">
        <v>0</v>
      </c>
      <c r="R951" s="25">
        <v>0</v>
      </c>
      <c r="S951" s="25">
        <v>0</v>
      </c>
      <c r="T951" s="25">
        <v>0</v>
      </c>
      <c r="U951" s="25">
        <v>0</v>
      </c>
      <c r="V951" s="25">
        <v>0</v>
      </c>
      <c r="W951" s="25">
        <v>0</v>
      </c>
      <c r="X951" s="25">
        <v>0</v>
      </c>
      <c r="Y951" s="25">
        <v>0</v>
      </c>
      <c r="Z951" s="25">
        <v>0</v>
      </c>
      <c r="AA951" s="25">
        <v>0</v>
      </c>
      <c r="AB951" s="25">
        <v>0</v>
      </c>
      <c r="AC951" s="25">
        <v>0</v>
      </c>
      <c r="AD951" s="25">
        <v>0</v>
      </c>
      <c r="AE951" s="25">
        <v>0</v>
      </c>
      <c r="AF951" s="25">
        <v>0</v>
      </c>
    </row>
    <row r="952" spans="1:32" x14ac:dyDescent="0.25">
      <c r="A952" s="25" t="s">
        <v>1021</v>
      </c>
      <c r="B952" s="25">
        <v>0</v>
      </c>
      <c r="C952" s="25">
        <v>0</v>
      </c>
      <c r="D952" s="25">
        <v>0</v>
      </c>
      <c r="E952" s="25">
        <v>0</v>
      </c>
      <c r="F952" s="25">
        <v>0</v>
      </c>
      <c r="G952" s="25">
        <v>0</v>
      </c>
      <c r="H952" s="25">
        <v>0</v>
      </c>
      <c r="I952" s="25">
        <v>0</v>
      </c>
      <c r="J952" s="25">
        <v>0</v>
      </c>
      <c r="K952" s="25">
        <v>0</v>
      </c>
      <c r="L952" s="25">
        <v>0</v>
      </c>
      <c r="M952" s="25">
        <v>0</v>
      </c>
      <c r="N952" s="25">
        <v>0</v>
      </c>
      <c r="O952" s="25">
        <v>0</v>
      </c>
      <c r="P952" s="25">
        <v>0</v>
      </c>
      <c r="Q952" s="25">
        <v>0</v>
      </c>
      <c r="R952" s="25">
        <v>0</v>
      </c>
      <c r="S952" s="25">
        <v>0</v>
      </c>
      <c r="T952" s="25">
        <v>0</v>
      </c>
      <c r="U952" s="25">
        <v>0</v>
      </c>
      <c r="V952" s="25">
        <v>0</v>
      </c>
      <c r="W952" s="25">
        <v>0</v>
      </c>
      <c r="X952" s="25">
        <v>0</v>
      </c>
      <c r="Y952" s="25">
        <v>0</v>
      </c>
      <c r="Z952" s="25">
        <v>0</v>
      </c>
      <c r="AA952" s="25">
        <v>0</v>
      </c>
      <c r="AB952" s="25">
        <v>0</v>
      </c>
      <c r="AC952" s="25">
        <v>0</v>
      </c>
      <c r="AD952" s="25">
        <v>0</v>
      </c>
      <c r="AE952" s="25">
        <v>0</v>
      </c>
      <c r="AF952" s="25">
        <v>0</v>
      </c>
    </row>
    <row r="953" spans="1:32" x14ac:dyDescent="0.25">
      <c r="A953" s="25" t="s">
        <v>1022</v>
      </c>
      <c r="B953" s="25">
        <v>0</v>
      </c>
      <c r="C953" s="25">
        <v>0</v>
      </c>
      <c r="D953" s="25">
        <v>0</v>
      </c>
      <c r="E953" s="25">
        <v>0</v>
      </c>
      <c r="F953" s="25">
        <v>0</v>
      </c>
      <c r="G953" s="25">
        <v>0</v>
      </c>
      <c r="H953" s="25">
        <v>0</v>
      </c>
      <c r="I953" s="25">
        <v>0</v>
      </c>
      <c r="J953" s="25">
        <v>0</v>
      </c>
      <c r="K953" s="25">
        <v>0</v>
      </c>
      <c r="L953" s="25">
        <v>0</v>
      </c>
      <c r="M953" s="25">
        <v>0</v>
      </c>
      <c r="N953" s="25">
        <v>0</v>
      </c>
      <c r="O953" s="25">
        <v>0</v>
      </c>
      <c r="P953" s="25">
        <v>0</v>
      </c>
      <c r="Q953" s="25">
        <v>0</v>
      </c>
      <c r="R953" s="25">
        <v>0</v>
      </c>
      <c r="S953" s="25">
        <v>0</v>
      </c>
      <c r="T953" s="25">
        <v>0</v>
      </c>
      <c r="U953" s="25">
        <v>0</v>
      </c>
      <c r="V953" s="25">
        <v>0</v>
      </c>
      <c r="W953" s="25">
        <v>0</v>
      </c>
      <c r="X953" s="25">
        <v>0</v>
      </c>
      <c r="Y953" s="25">
        <v>0</v>
      </c>
      <c r="Z953" s="25">
        <v>0</v>
      </c>
      <c r="AA953" s="25">
        <v>0</v>
      </c>
      <c r="AB953" s="25">
        <v>0</v>
      </c>
      <c r="AC953" s="25">
        <v>0</v>
      </c>
      <c r="AD953" s="25">
        <v>0</v>
      </c>
      <c r="AE953" s="25">
        <v>0</v>
      </c>
      <c r="AF953" s="25">
        <v>0</v>
      </c>
    </row>
    <row r="954" spans="1:32" x14ac:dyDescent="0.25">
      <c r="A954" s="25" t="s">
        <v>1023</v>
      </c>
      <c r="B954" s="25">
        <v>0</v>
      </c>
      <c r="C954" s="25">
        <v>0</v>
      </c>
      <c r="D954" s="25">
        <v>0</v>
      </c>
      <c r="E954" s="25">
        <v>0</v>
      </c>
      <c r="F954" s="25">
        <v>0</v>
      </c>
      <c r="G954" s="25">
        <v>0</v>
      </c>
      <c r="H954" s="25">
        <v>0</v>
      </c>
      <c r="I954" s="25">
        <v>0</v>
      </c>
      <c r="J954" s="25">
        <v>0</v>
      </c>
      <c r="K954" s="25">
        <v>0</v>
      </c>
      <c r="L954" s="25">
        <v>0</v>
      </c>
      <c r="M954" s="25">
        <v>0</v>
      </c>
      <c r="N954" s="25">
        <v>0</v>
      </c>
      <c r="O954" s="25">
        <v>0</v>
      </c>
      <c r="P954" s="25">
        <v>0</v>
      </c>
      <c r="Q954" s="25">
        <v>0</v>
      </c>
      <c r="R954" s="25">
        <v>0</v>
      </c>
      <c r="S954" s="25">
        <v>0</v>
      </c>
      <c r="T954" s="25">
        <v>0</v>
      </c>
      <c r="U954" s="25">
        <v>0</v>
      </c>
      <c r="V954" s="25">
        <v>0</v>
      </c>
      <c r="W954" s="25">
        <v>0</v>
      </c>
      <c r="X954" s="25">
        <v>0</v>
      </c>
      <c r="Y954" s="25">
        <v>0</v>
      </c>
      <c r="Z954" s="25">
        <v>0</v>
      </c>
      <c r="AA954" s="25">
        <v>0</v>
      </c>
      <c r="AB954" s="25">
        <v>0</v>
      </c>
      <c r="AC954" s="25">
        <v>0</v>
      </c>
      <c r="AD954" s="25">
        <v>0</v>
      </c>
      <c r="AE954" s="25">
        <v>0</v>
      </c>
      <c r="AF954" s="25">
        <v>0</v>
      </c>
    </row>
    <row r="955" spans="1:32" x14ac:dyDescent="0.25">
      <c r="A955" s="25" t="s">
        <v>1024</v>
      </c>
      <c r="B955" s="25">
        <v>0</v>
      </c>
      <c r="C955" s="25">
        <v>0</v>
      </c>
      <c r="D955" s="25">
        <v>0</v>
      </c>
      <c r="E955" s="25">
        <v>0</v>
      </c>
      <c r="F955" s="25">
        <v>0</v>
      </c>
      <c r="G955" s="25">
        <v>0</v>
      </c>
      <c r="H955" s="25">
        <v>0</v>
      </c>
      <c r="I955" s="25">
        <v>0</v>
      </c>
      <c r="J955" s="25">
        <v>0</v>
      </c>
      <c r="K955" s="25">
        <v>0</v>
      </c>
      <c r="L955" s="25">
        <v>0</v>
      </c>
      <c r="M955" s="25">
        <v>0</v>
      </c>
      <c r="N955" s="25">
        <v>0</v>
      </c>
      <c r="O955" s="25">
        <v>0</v>
      </c>
      <c r="P955" s="25">
        <v>0</v>
      </c>
      <c r="Q955" s="25">
        <v>0</v>
      </c>
      <c r="R955" s="25">
        <v>0</v>
      </c>
      <c r="S955" s="25">
        <v>0</v>
      </c>
      <c r="T955" s="25">
        <v>0</v>
      </c>
      <c r="U955" s="25">
        <v>0</v>
      </c>
      <c r="V955" s="25">
        <v>0</v>
      </c>
      <c r="W955" s="25">
        <v>0</v>
      </c>
      <c r="X955" s="25">
        <v>0</v>
      </c>
      <c r="Y955" s="25">
        <v>0</v>
      </c>
      <c r="Z955" s="25">
        <v>0</v>
      </c>
      <c r="AA955" s="25">
        <v>0</v>
      </c>
      <c r="AB955" s="25">
        <v>0</v>
      </c>
      <c r="AC955" s="25">
        <v>0</v>
      </c>
      <c r="AD955" s="25">
        <v>0</v>
      </c>
      <c r="AE955" s="25">
        <v>0</v>
      </c>
      <c r="AF955" s="25">
        <v>0</v>
      </c>
    </row>
    <row r="956" spans="1:32" x14ac:dyDescent="0.25">
      <c r="A956" s="25" t="s">
        <v>1025</v>
      </c>
      <c r="B956" s="25">
        <v>0</v>
      </c>
      <c r="C956" s="25">
        <v>0</v>
      </c>
      <c r="D956" s="25">
        <v>0</v>
      </c>
      <c r="E956" s="25">
        <v>0</v>
      </c>
      <c r="F956" s="25">
        <v>0</v>
      </c>
      <c r="G956" s="25">
        <v>0</v>
      </c>
      <c r="H956" s="25">
        <v>0</v>
      </c>
      <c r="I956" s="25">
        <v>0</v>
      </c>
      <c r="J956" s="25">
        <v>0</v>
      </c>
      <c r="K956" s="25">
        <v>0</v>
      </c>
      <c r="L956" s="25">
        <v>0</v>
      </c>
      <c r="M956" s="25">
        <v>0</v>
      </c>
      <c r="N956" s="25">
        <v>0</v>
      </c>
      <c r="O956" s="25">
        <v>0</v>
      </c>
      <c r="P956" s="25">
        <v>0</v>
      </c>
      <c r="Q956" s="25">
        <v>0</v>
      </c>
      <c r="R956" s="25">
        <v>0</v>
      </c>
      <c r="S956" s="25">
        <v>0</v>
      </c>
      <c r="T956" s="25">
        <v>0</v>
      </c>
      <c r="U956" s="25">
        <v>0</v>
      </c>
      <c r="V956" s="25">
        <v>0</v>
      </c>
      <c r="W956" s="25">
        <v>0</v>
      </c>
      <c r="X956" s="25">
        <v>0</v>
      </c>
      <c r="Y956" s="25">
        <v>0</v>
      </c>
      <c r="Z956" s="25">
        <v>0</v>
      </c>
      <c r="AA956" s="25">
        <v>0</v>
      </c>
      <c r="AB956" s="25">
        <v>0</v>
      </c>
      <c r="AC956" s="25">
        <v>0</v>
      </c>
      <c r="AD956" s="25">
        <v>0</v>
      </c>
      <c r="AE956" s="25">
        <v>0</v>
      </c>
      <c r="AF956" s="25">
        <v>0</v>
      </c>
    </row>
    <row r="957" spans="1:32" x14ac:dyDescent="0.25">
      <c r="A957" s="25" t="s">
        <v>1026</v>
      </c>
      <c r="B957" s="25">
        <v>0</v>
      </c>
      <c r="C957" s="25">
        <v>0</v>
      </c>
      <c r="D957" s="25">
        <v>0</v>
      </c>
      <c r="E957" s="25">
        <v>0</v>
      </c>
      <c r="F957" s="25">
        <v>0</v>
      </c>
      <c r="G957" s="25">
        <v>0</v>
      </c>
      <c r="H957" s="25">
        <v>0</v>
      </c>
      <c r="I957" s="25">
        <v>0</v>
      </c>
      <c r="J957" s="25">
        <v>0</v>
      </c>
      <c r="K957" s="25">
        <v>0</v>
      </c>
      <c r="L957" s="25">
        <v>0</v>
      </c>
      <c r="M957" s="25">
        <v>0</v>
      </c>
      <c r="N957" s="25">
        <v>0</v>
      </c>
      <c r="O957" s="25">
        <v>0</v>
      </c>
      <c r="P957" s="25">
        <v>0</v>
      </c>
      <c r="Q957" s="25">
        <v>0</v>
      </c>
      <c r="R957" s="25">
        <v>0</v>
      </c>
      <c r="S957" s="25">
        <v>0</v>
      </c>
      <c r="T957" s="25">
        <v>0</v>
      </c>
      <c r="U957" s="25">
        <v>0</v>
      </c>
      <c r="V957" s="25">
        <v>0</v>
      </c>
      <c r="W957" s="25">
        <v>0</v>
      </c>
      <c r="X957" s="25">
        <v>0</v>
      </c>
      <c r="Y957" s="25">
        <v>0</v>
      </c>
      <c r="Z957" s="25">
        <v>0</v>
      </c>
      <c r="AA957" s="25">
        <v>0</v>
      </c>
      <c r="AB957" s="25">
        <v>0</v>
      </c>
      <c r="AC957" s="25">
        <v>0</v>
      </c>
      <c r="AD957" s="25">
        <v>0</v>
      </c>
      <c r="AE957" s="25">
        <v>0</v>
      </c>
      <c r="AF957" s="25">
        <v>0</v>
      </c>
    </row>
    <row r="958" spans="1:32" x14ac:dyDescent="0.25">
      <c r="A958" s="25" t="s">
        <v>1027</v>
      </c>
      <c r="B958" s="25">
        <v>0</v>
      </c>
      <c r="C958" s="25">
        <v>0</v>
      </c>
      <c r="D958" s="25">
        <v>0</v>
      </c>
      <c r="E958" s="25">
        <v>0</v>
      </c>
      <c r="F958" s="25">
        <v>0</v>
      </c>
      <c r="G958" s="25">
        <v>0</v>
      </c>
      <c r="H958" s="25">
        <v>0</v>
      </c>
      <c r="I958" s="25">
        <v>0</v>
      </c>
      <c r="J958" s="25">
        <v>0</v>
      </c>
      <c r="K958" s="25">
        <v>0</v>
      </c>
      <c r="L958" s="25">
        <v>0</v>
      </c>
      <c r="M958" s="25">
        <v>0</v>
      </c>
      <c r="N958" s="25">
        <v>0</v>
      </c>
      <c r="O958" s="25">
        <v>0</v>
      </c>
      <c r="P958" s="25">
        <v>0</v>
      </c>
      <c r="Q958" s="25">
        <v>0</v>
      </c>
      <c r="R958" s="25">
        <v>0</v>
      </c>
      <c r="S958" s="25">
        <v>0</v>
      </c>
      <c r="T958" s="25">
        <v>0</v>
      </c>
      <c r="U958" s="25">
        <v>0</v>
      </c>
      <c r="V958" s="25">
        <v>0</v>
      </c>
      <c r="W958" s="25">
        <v>0</v>
      </c>
      <c r="X958" s="25">
        <v>0</v>
      </c>
      <c r="Y958" s="25">
        <v>0</v>
      </c>
      <c r="Z958" s="25">
        <v>0</v>
      </c>
      <c r="AA958" s="25">
        <v>0</v>
      </c>
      <c r="AB958" s="25">
        <v>0</v>
      </c>
      <c r="AC958" s="25">
        <v>0</v>
      </c>
      <c r="AD958" s="25">
        <v>0</v>
      </c>
      <c r="AE958" s="25">
        <v>0</v>
      </c>
      <c r="AF958" s="25">
        <v>0</v>
      </c>
    </row>
    <row r="959" spans="1:32" x14ac:dyDescent="0.25">
      <c r="A959" s="25" t="s">
        <v>1028</v>
      </c>
      <c r="B959" s="25">
        <v>0</v>
      </c>
      <c r="C959" s="25">
        <v>0</v>
      </c>
      <c r="D959" s="25">
        <v>0</v>
      </c>
      <c r="E959" s="25">
        <v>0</v>
      </c>
      <c r="F959" s="25">
        <v>0</v>
      </c>
      <c r="G959" s="25">
        <v>0</v>
      </c>
      <c r="H959" s="25">
        <v>0</v>
      </c>
      <c r="I959" s="25">
        <v>0</v>
      </c>
      <c r="J959" s="25">
        <v>0</v>
      </c>
      <c r="K959" s="25">
        <v>0</v>
      </c>
      <c r="L959" s="25">
        <v>0</v>
      </c>
      <c r="M959" s="25">
        <v>0</v>
      </c>
      <c r="N959" s="25">
        <v>0</v>
      </c>
      <c r="O959" s="25">
        <v>0</v>
      </c>
      <c r="P959" s="25">
        <v>0</v>
      </c>
      <c r="Q959" s="25">
        <v>0</v>
      </c>
      <c r="R959" s="25">
        <v>0</v>
      </c>
      <c r="S959" s="25">
        <v>0</v>
      </c>
      <c r="T959" s="25">
        <v>0</v>
      </c>
      <c r="U959" s="25">
        <v>0</v>
      </c>
      <c r="V959" s="25">
        <v>0</v>
      </c>
      <c r="W959" s="25">
        <v>0</v>
      </c>
      <c r="X959" s="25">
        <v>0</v>
      </c>
      <c r="Y959" s="25">
        <v>0</v>
      </c>
      <c r="Z959" s="25">
        <v>0</v>
      </c>
      <c r="AA959" s="25">
        <v>0</v>
      </c>
      <c r="AB959" s="25">
        <v>0</v>
      </c>
      <c r="AC959" s="25">
        <v>0</v>
      </c>
      <c r="AD959" s="25">
        <v>0</v>
      </c>
      <c r="AE959" s="25">
        <v>0</v>
      </c>
      <c r="AF959" s="25">
        <v>0</v>
      </c>
    </row>
    <row r="960" spans="1:32" x14ac:dyDescent="0.25">
      <c r="A960" s="25" t="s">
        <v>1029</v>
      </c>
      <c r="B960" s="25">
        <v>0</v>
      </c>
      <c r="C960" s="25">
        <v>0</v>
      </c>
      <c r="D960" s="25">
        <v>0</v>
      </c>
      <c r="E960" s="25">
        <v>0</v>
      </c>
      <c r="F960" s="25">
        <v>0</v>
      </c>
      <c r="G960" s="25">
        <v>0</v>
      </c>
      <c r="H960" s="25">
        <v>0</v>
      </c>
      <c r="I960" s="25">
        <v>0</v>
      </c>
      <c r="J960" s="25">
        <v>0</v>
      </c>
      <c r="K960" s="25">
        <v>0</v>
      </c>
      <c r="L960" s="25">
        <v>0</v>
      </c>
      <c r="M960" s="25">
        <v>0</v>
      </c>
      <c r="N960" s="25">
        <v>0</v>
      </c>
      <c r="O960" s="25">
        <v>0</v>
      </c>
      <c r="P960" s="25">
        <v>0</v>
      </c>
      <c r="Q960" s="25">
        <v>0</v>
      </c>
      <c r="R960" s="25">
        <v>0</v>
      </c>
      <c r="S960" s="25">
        <v>0</v>
      </c>
      <c r="T960" s="25">
        <v>0</v>
      </c>
      <c r="U960" s="25">
        <v>0</v>
      </c>
      <c r="V960" s="25">
        <v>0</v>
      </c>
      <c r="W960" s="25">
        <v>0</v>
      </c>
      <c r="X960" s="25">
        <v>0</v>
      </c>
      <c r="Y960" s="25">
        <v>0</v>
      </c>
      <c r="Z960" s="25">
        <v>0</v>
      </c>
      <c r="AA960" s="25">
        <v>0</v>
      </c>
      <c r="AB960" s="25">
        <v>0</v>
      </c>
      <c r="AC960" s="25">
        <v>0</v>
      </c>
      <c r="AD960" s="25">
        <v>0</v>
      </c>
      <c r="AE960" s="25">
        <v>0</v>
      </c>
      <c r="AF960" s="25">
        <v>0</v>
      </c>
    </row>
    <row r="961" spans="1:32" x14ac:dyDescent="0.25">
      <c r="A961" s="25" t="s">
        <v>1030</v>
      </c>
      <c r="B961" s="25">
        <v>0</v>
      </c>
      <c r="C961" s="25">
        <v>0</v>
      </c>
      <c r="D961" s="25">
        <v>0</v>
      </c>
      <c r="E961" s="25">
        <v>0</v>
      </c>
      <c r="F961" s="25">
        <v>0</v>
      </c>
      <c r="G961" s="25">
        <v>0</v>
      </c>
      <c r="H961" s="25">
        <v>0</v>
      </c>
      <c r="I961" s="25">
        <v>0</v>
      </c>
      <c r="J961" s="25">
        <v>0</v>
      </c>
      <c r="K961" s="25">
        <v>0</v>
      </c>
      <c r="L961" s="25">
        <v>0</v>
      </c>
      <c r="M961" s="25">
        <v>0</v>
      </c>
      <c r="N961" s="25">
        <v>0</v>
      </c>
      <c r="O961" s="25">
        <v>0</v>
      </c>
      <c r="P961" s="25">
        <v>0</v>
      </c>
      <c r="Q961" s="25">
        <v>0</v>
      </c>
      <c r="R961" s="25">
        <v>0</v>
      </c>
      <c r="S961" s="25">
        <v>0</v>
      </c>
      <c r="T961" s="25">
        <v>0</v>
      </c>
      <c r="U961" s="25">
        <v>0</v>
      </c>
      <c r="V961" s="25">
        <v>0</v>
      </c>
      <c r="W961" s="25">
        <v>0</v>
      </c>
      <c r="X961" s="25">
        <v>0</v>
      </c>
      <c r="Y961" s="25">
        <v>0</v>
      </c>
      <c r="Z961" s="25">
        <v>0</v>
      </c>
      <c r="AA961" s="25">
        <v>0</v>
      </c>
      <c r="AB961" s="25">
        <v>0</v>
      </c>
      <c r="AC961" s="25">
        <v>0</v>
      </c>
      <c r="AD961" s="25">
        <v>0</v>
      </c>
      <c r="AE961" s="25">
        <v>0</v>
      </c>
      <c r="AF961" s="25">
        <v>0</v>
      </c>
    </row>
    <row r="962" spans="1:32" x14ac:dyDescent="0.25">
      <c r="A962" s="25" t="s">
        <v>1031</v>
      </c>
      <c r="B962" s="25">
        <v>0</v>
      </c>
      <c r="C962" s="25">
        <v>0</v>
      </c>
      <c r="D962" s="25">
        <v>0</v>
      </c>
      <c r="E962" s="25">
        <v>0</v>
      </c>
      <c r="F962" s="25">
        <v>0</v>
      </c>
      <c r="G962" s="25">
        <v>0</v>
      </c>
      <c r="H962" s="25">
        <v>0</v>
      </c>
      <c r="I962" s="25">
        <v>0</v>
      </c>
      <c r="J962" s="25">
        <v>0</v>
      </c>
      <c r="K962" s="25">
        <v>0</v>
      </c>
      <c r="L962" s="25">
        <v>0</v>
      </c>
      <c r="M962" s="25">
        <v>0</v>
      </c>
      <c r="N962" s="25">
        <v>0</v>
      </c>
      <c r="O962" s="25">
        <v>0</v>
      </c>
      <c r="P962" s="25">
        <v>0</v>
      </c>
      <c r="Q962" s="25">
        <v>0</v>
      </c>
      <c r="R962" s="25">
        <v>0</v>
      </c>
      <c r="S962" s="25">
        <v>0</v>
      </c>
      <c r="T962" s="25">
        <v>0</v>
      </c>
      <c r="U962" s="25">
        <v>0</v>
      </c>
      <c r="V962" s="25">
        <v>0</v>
      </c>
      <c r="W962" s="25">
        <v>0</v>
      </c>
      <c r="X962" s="25">
        <v>0</v>
      </c>
      <c r="Y962" s="25">
        <v>0</v>
      </c>
      <c r="Z962" s="25">
        <v>0</v>
      </c>
      <c r="AA962" s="25">
        <v>0</v>
      </c>
      <c r="AB962" s="25">
        <v>0</v>
      </c>
      <c r="AC962" s="25">
        <v>0</v>
      </c>
      <c r="AD962" s="25">
        <v>0</v>
      </c>
      <c r="AE962" s="25">
        <v>0</v>
      </c>
      <c r="AF962" s="25">
        <v>0</v>
      </c>
    </row>
    <row r="963" spans="1:32" x14ac:dyDescent="0.25">
      <c r="A963" s="25" t="s">
        <v>1032</v>
      </c>
      <c r="B963" s="12">
        <v>493175000000000</v>
      </c>
      <c r="C963" s="12">
        <v>441063000000000</v>
      </c>
      <c r="D963" s="12">
        <v>291976000000000</v>
      </c>
      <c r="E963" s="12">
        <v>265993000000000</v>
      </c>
      <c r="F963" s="12">
        <v>344711000000000</v>
      </c>
      <c r="G963" s="12">
        <v>338577000000000</v>
      </c>
      <c r="H963" s="12">
        <v>315736000000000</v>
      </c>
      <c r="I963" s="12">
        <v>349174000000000</v>
      </c>
      <c r="J963" s="12">
        <v>345445000000000</v>
      </c>
      <c r="K963" s="12">
        <v>357317000000000</v>
      </c>
      <c r="L963" s="12">
        <v>353923000000000</v>
      </c>
      <c r="M963" s="12">
        <v>327177000000000</v>
      </c>
      <c r="N963" s="12">
        <v>350595000000000</v>
      </c>
      <c r="O963" s="12">
        <v>349272000000000</v>
      </c>
      <c r="P963" s="12">
        <v>352905000000000</v>
      </c>
      <c r="Q963" s="12">
        <v>329227000000000</v>
      </c>
      <c r="R963" s="12">
        <v>353415000000000</v>
      </c>
      <c r="S963" s="12">
        <v>354238000000000</v>
      </c>
      <c r="T963" s="12">
        <v>336134000000000</v>
      </c>
      <c r="U963" s="12">
        <v>358787000000000</v>
      </c>
      <c r="V963" s="12">
        <v>357683000000000</v>
      </c>
      <c r="W963" s="12">
        <v>335354000000000</v>
      </c>
      <c r="X963" s="12">
        <v>360180000000000</v>
      </c>
      <c r="Y963" s="12">
        <v>359210000000000</v>
      </c>
      <c r="Z963" s="12">
        <v>367882000000000</v>
      </c>
      <c r="AA963" s="12">
        <v>365303000000000</v>
      </c>
      <c r="AB963" s="12">
        <v>370123000000000</v>
      </c>
      <c r="AC963" s="12">
        <v>372911000000000</v>
      </c>
      <c r="AD963" s="12">
        <v>371920000000000</v>
      </c>
      <c r="AE963" s="12">
        <v>373104000000000</v>
      </c>
      <c r="AF963" s="12">
        <v>376629000000000</v>
      </c>
    </row>
    <row r="964" spans="1:32" x14ac:dyDescent="0.25">
      <c r="A964" s="25" t="s">
        <v>1033</v>
      </c>
      <c r="B964" s="25">
        <v>0</v>
      </c>
      <c r="C964" s="25">
        <v>0</v>
      </c>
      <c r="D964" s="25">
        <v>0</v>
      </c>
      <c r="E964" s="25">
        <v>0</v>
      </c>
      <c r="F964" s="25">
        <v>0</v>
      </c>
      <c r="G964" s="25">
        <v>0</v>
      </c>
      <c r="H964" s="25">
        <v>0</v>
      </c>
      <c r="I964" s="25">
        <v>0</v>
      </c>
      <c r="J964" s="25">
        <v>0</v>
      </c>
      <c r="K964" s="25">
        <v>0</v>
      </c>
      <c r="L964" s="25">
        <v>0</v>
      </c>
      <c r="M964" s="25">
        <v>0</v>
      </c>
      <c r="N964" s="25">
        <v>0</v>
      </c>
      <c r="O964" s="25">
        <v>0</v>
      </c>
      <c r="P964" s="25">
        <v>0</v>
      </c>
      <c r="Q964" s="25">
        <v>0</v>
      </c>
      <c r="R964" s="25">
        <v>0</v>
      </c>
      <c r="S964" s="25">
        <v>0</v>
      </c>
      <c r="T964" s="25">
        <v>0</v>
      </c>
      <c r="U964" s="25">
        <v>0</v>
      </c>
      <c r="V964" s="25">
        <v>0</v>
      </c>
      <c r="W964" s="25">
        <v>0</v>
      </c>
      <c r="X964" s="25">
        <v>0</v>
      </c>
      <c r="Y964" s="25">
        <v>0</v>
      </c>
      <c r="Z964" s="25">
        <v>0</v>
      </c>
      <c r="AA964" s="25">
        <v>0</v>
      </c>
      <c r="AB964" s="25">
        <v>0</v>
      </c>
      <c r="AC964" s="25">
        <v>0</v>
      </c>
      <c r="AD964" s="25">
        <v>0</v>
      </c>
      <c r="AE964" s="25">
        <v>0</v>
      </c>
      <c r="AF964" s="25">
        <v>0</v>
      </c>
    </row>
    <row r="965" spans="1:32" x14ac:dyDescent="0.25">
      <c r="A965" s="25" t="s">
        <v>1034</v>
      </c>
      <c r="B965" s="25">
        <v>0</v>
      </c>
      <c r="C965" s="12">
        <v>0</v>
      </c>
      <c r="D965" s="12">
        <v>0</v>
      </c>
      <c r="E965" s="12">
        <v>0</v>
      </c>
      <c r="F965" s="12">
        <v>0</v>
      </c>
      <c r="G965" s="12">
        <v>0</v>
      </c>
      <c r="H965" s="12">
        <v>0</v>
      </c>
      <c r="I965" s="12">
        <v>0</v>
      </c>
      <c r="J965" s="25">
        <v>0</v>
      </c>
      <c r="K965" s="25">
        <v>0</v>
      </c>
      <c r="L965" s="25">
        <v>0</v>
      </c>
      <c r="M965" s="25">
        <v>0</v>
      </c>
      <c r="N965" s="25">
        <v>0</v>
      </c>
      <c r="O965" s="25">
        <v>0</v>
      </c>
      <c r="P965" s="25">
        <v>0</v>
      </c>
      <c r="Q965" s="25">
        <v>0</v>
      </c>
      <c r="R965" s="25">
        <v>0</v>
      </c>
      <c r="S965" s="25">
        <v>0</v>
      </c>
      <c r="T965" s="25">
        <v>0</v>
      </c>
      <c r="U965" s="25">
        <v>0</v>
      </c>
      <c r="V965" s="25">
        <v>0</v>
      </c>
      <c r="W965" s="25">
        <v>0</v>
      </c>
      <c r="X965" s="25">
        <v>0</v>
      </c>
      <c r="Y965" s="25">
        <v>0</v>
      </c>
      <c r="Z965" s="25">
        <v>0</v>
      </c>
      <c r="AA965" s="25">
        <v>0</v>
      </c>
      <c r="AB965" s="25">
        <v>0</v>
      </c>
      <c r="AC965" s="25">
        <v>0</v>
      </c>
      <c r="AD965" s="25">
        <v>0</v>
      </c>
      <c r="AE965" s="25">
        <v>0</v>
      </c>
      <c r="AF965" s="25">
        <v>0</v>
      </c>
    </row>
    <row r="966" spans="1:32" x14ac:dyDescent="0.25">
      <c r="A966" s="25" t="s">
        <v>1035</v>
      </c>
      <c r="B966" s="25">
        <v>0</v>
      </c>
      <c r="C966" s="25">
        <v>0</v>
      </c>
      <c r="D966" s="25">
        <v>0</v>
      </c>
      <c r="E966" s="25">
        <v>0</v>
      </c>
      <c r="F966" s="25">
        <v>0</v>
      </c>
      <c r="G966" s="25">
        <v>0</v>
      </c>
      <c r="H966" s="25">
        <v>0</v>
      </c>
      <c r="I966" s="25">
        <v>0</v>
      </c>
      <c r="J966" s="25">
        <v>0</v>
      </c>
      <c r="K966" s="25">
        <v>0</v>
      </c>
      <c r="L966" s="25">
        <v>0</v>
      </c>
      <c r="M966" s="25">
        <v>0</v>
      </c>
      <c r="N966" s="25">
        <v>0</v>
      </c>
      <c r="O966" s="25">
        <v>0</v>
      </c>
      <c r="P966" s="25">
        <v>0</v>
      </c>
      <c r="Q966" s="25">
        <v>0</v>
      </c>
      <c r="R966" s="25">
        <v>0</v>
      </c>
      <c r="S966" s="25">
        <v>0</v>
      </c>
      <c r="T966" s="25">
        <v>0</v>
      </c>
      <c r="U966" s="25">
        <v>0</v>
      </c>
      <c r="V966" s="25">
        <v>0</v>
      </c>
      <c r="W966" s="25">
        <v>0</v>
      </c>
      <c r="X966" s="25">
        <v>0</v>
      </c>
      <c r="Y966" s="25">
        <v>0</v>
      </c>
      <c r="Z966" s="25">
        <v>0</v>
      </c>
      <c r="AA966" s="25">
        <v>0</v>
      </c>
      <c r="AB966" s="25">
        <v>0</v>
      </c>
      <c r="AC966" s="25">
        <v>0</v>
      </c>
      <c r="AD966" s="25">
        <v>0</v>
      </c>
      <c r="AE966" s="25">
        <v>0</v>
      </c>
      <c r="AF966" s="25">
        <v>0</v>
      </c>
    </row>
    <row r="967" spans="1:32" x14ac:dyDescent="0.25">
      <c r="A967" s="25" t="s">
        <v>1036</v>
      </c>
      <c r="B967" s="12">
        <v>409426000000000</v>
      </c>
      <c r="C967" s="12">
        <v>469679000000000</v>
      </c>
      <c r="D967" s="12">
        <v>626905000000000</v>
      </c>
      <c r="E967" s="12">
        <v>661026000000000</v>
      </c>
      <c r="F967" s="12">
        <v>580176000000000</v>
      </c>
      <c r="G967" s="12">
        <v>586020000000000</v>
      </c>
      <c r="H967" s="12">
        <v>604572000000000</v>
      </c>
      <c r="I967" s="12">
        <v>564552000000000</v>
      </c>
      <c r="J967" s="12">
        <v>564293000000000</v>
      </c>
      <c r="K967" s="12">
        <v>550029000000000</v>
      </c>
      <c r="L967" s="12">
        <v>549865000000000</v>
      </c>
      <c r="M967" s="12">
        <v>579527000000000</v>
      </c>
      <c r="N967" s="12">
        <v>554257000000000</v>
      </c>
      <c r="O967" s="12">
        <v>554492000000000</v>
      </c>
      <c r="P967" s="12">
        <v>550180000000000</v>
      </c>
      <c r="Q967" s="12">
        <v>573173000000000</v>
      </c>
      <c r="R967" s="12">
        <v>549013000000000</v>
      </c>
      <c r="S967" s="12">
        <v>548513000000000</v>
      </c>
      <c r="T967" s="12">
        <v>564695000000000</v>
      </c>
      <c r="U967" s="12">
        <v>542143000000000</v>
      </c>
      <c r="V967" s="12">
        <v>537512000000000</v>
      </c>
      <c r="W967" s="12">
        <v>557572000000000</v>
      </c>
      <c r="X967" s="12">
        <v>530564000000000</v>
      </c>
      <c r="Y967" s="12">
        <v>527090000000000</v>
      </c>
      <c r="Z967" s="12">
        <v>515392000000000</v>
      </c>
      <c r="AA967" s="12">
        <v>517231000000000</v>
      </c>
      <c r="AB967" s="12">
        <v>510554000000000</v>
      </c>
      <c r="AC967" s="12">
        <v>506577000000000</v>
      </c>
      <c r="AD967" s="12">
        <v>507596000000000</v>
      </c>
      <c r="AE967" s="12">
        <v>506183000000000</v>
      </c>
      <c r="AF967" s="12">
        <v>503192000000000</v>
      </c>
    </row>
    <row r="968" spans="1:32" x14ac:dyDescent="0.25">
      <c r="A968" s="25" t="s">
        <v>1037</v>
      </c>
      <c r="B968" s="25">
        <v>0</v>
      </c>
      <c r="C968" s="25">
        <v>0</v>
      </c>
      <c r="D968" s="25">
        <v>0</v>
      </c>
      <c r="E968" s="25">
        <v>0</v>
      </c>
      <c r="F968" s="25">
        <v>0</v>
      </c>
      <c r="G968" s="25">
        <v>0</v>
      </c>
      <c r="H968" s="25">
        <v>0</v>
      </c>
      <c r="I968" s="25">
        <v>0</v>
      </c>
      <c r="J968" s="25">
        <v>0</v>
      </c>
      <c r="K968" s="25">
        <v>0</v>
      </c>
      <c r="L968" s="25">
        <v>0</v>
      </c>
      <c r="M968" s="25">
        <v>0</v>
      </c>
      <c r="N968" s="25">
        <v>0</v>
      </c>
      <c r="O968" s="25">
        <v>0</v>
      </c>
      <c r="P968" s="25">
        <v>0</v>
      </c>
      <c r="Q968" s="25">
        <v>0</v>
      </c>
      <c r="R968" s="25">
        <v>0</v>
      </c>
      <c r="S968" s="25">
        <v>0</v>
      </c>
      <c r="T968" s="25">
        <v>0</v>
      </c>
      <c r="U968" s="25">
        <v>0</v>
      </c>
      <c r="V968" s="25">
        <v>0</v>
      </c>
      <c r="W968" s="25">
        <v>0</v>
      </c>
      <c r="X968" s="25">
        <v>0</v>
      </c>
      <c r="Y968" s="25">
        <v>0</v>
      </c>
      <c r="Z968" s="25">
        <v>0</v>
      </c>
      <c r="AA968" s="25">
        <v>0</v>
      </c>
      <c r="AB968" s="25">
        <v>0</v>
      </c>
      <c r="AC968" s="25">
        <v>0</v>
      </c>
      <c r="AD968" s="25">
        <v>0</v>
      </c>
      <c r="AE968" s="25">
        <v>0</v>
      </c>
      <c r="AF968" s="25">
        <v>0</v>
      </c>
    </row>
    <row r="969" spans="1:32" x14ac:dyDescent="0.25">
      <c r="A969" s="25" t="s">
        <v>1038</v>
      </c>
      <c r="B969" s="25">
        <v>0</v>
      </c>
      <c r="C969" s="25">
        <v>0</v>
      </c>
      <c r="D969" s="25">
        <v>0</v>
      </c>
      <c r="E969" s="25">
        <v>0</v>
      </c>
      <c r="F969" s="25">
        <v>0</v>
      </c>
      <c r="G969" s="25">
        <v>0</v>
      </c>
      <c r="H969" s="25">
        <v>0</v>
      </c>
      <c r="I969" s="25">
        <v>0</v>
      </c>
      <c r="J969" s="25">
        <v>0</v>
      </c>
      <c r="K969" s="25">
        <v>0</v>
      </c>
      <c r="L969" s="25">
        <v>0</v>
      </c>
      <c r="M969" s="25">
        <v>0</v>
      </c>
      <c r="N969" s="25">
        <v>0</v>
      </c>
      <c r="O969" s="25">
        <v>0</v>
      </c>
      <c r="P969" s="25">
        <v>0</v>
      </c>
      <c r="Q969" s="25">
        <v>0</v>
      </c>
      <c r="R969" s="25">
        <v>0</v>
      </c>
      <c r="S969" s="25">
        <v>0</v>
      </c>
      <c r="T969" s="25">
        <v>0</v>
      </c>
      <c r="U969" s="25">
        <v>0</v>
      </c>
      <c r="V969" s="25">
        <v>0</v>
      </c>
      <c r="W969" s="25">
        <v>0</v>
      </c>
      <c r="X969" s="25">
        <v>0</v>
      </c>
      <c r="Y969" s="25">
        <v>0</v>
      </c>
      <c r="Z969" s="25">
        <v>0</v>
      </c>
      <c r="AA969" s="25">
        <v>0</v>
      </c>
      <c r="AB969" s="25">
        <v>0</v>
      </c>
      <c r="AC969" s="25">
        <v>0</v>
      </c>
      <c r="AD969" s="25">
        <v>0</v>
      </c>
      <c r="AE969" s="25">
        <v>0</v>
      </c>
      <c r="AF969" s="25">
        <v>0</v>
      </c>
    </row>
    <row r="970" spans="1:32" x14ac:dyDescent="0.25">
      <c r="A970" s="25" t="s">
        <v>1039</v>
      </c>
      <c r="B970" s="25">
        <v>0</v>
      </c>
      <c r="C970" s="25">
        <v>0</v>
      </c>
      <c r="D970" s="25">
        <v>0</v>
      </c>
      <c r="E970" s="25">
        <v>0</v>
      </c>
      <c r="F970" s="25">
        <v>0</v>
      </c>
      <c r="G970" s="25">
        <v>0</v>
      </c>
      <c r="H970" s="25">
        <v>0</v>
      </c>
      <c r="I970" s="25">
        <v>0</v>
      </c>
      <c r="J970" s="25">
        <v>0</v>
      </c>
      <c r="K970" s="25">
        <v>0</v>
      </c>
      <c r="L970" s="25">
        <v>0</v>
      </c>
      <c r="M970" s="25">
        <v>0</v>
      </c>
      <c r="N970" s="25">
        <v>0</v>
      </c>
      <c r="O970" s="25">
        <v>0</v>
      </c>
      <c r="P970" s="25">
        <v>0</v>
      </c>
      <c r="Q970" s="25">
        <v>0</v>
      </c>
      <c r="R970" s="25">
        <v>0</v>
      </c>
      <c r="S970" s="25">
        <v>0</v>
      </c>
      <c r="T970" s="25">
        <v>0</v>
      </c>
      <c r="U970" s="25">
        <v>0</v>
      </c>
      <c r="V970" s="25">
        <v>0</v>
      </c>
      <c r="W970" s="25">
        <v>0</v>
      </c>
      <c r="X970" s="25">
        <v>0</v>
      </c>
      <c r="Y970" s="25">
        <v>0</v>
      </c>
      <c r="Z970" s="25">
        <v>0</v>
      </c>
      <c r="AA970" s="25">
        <v>0</v>
      </c>
      <c r="AB970" s="25">
        <v>0</v>
      </c>
      <c r="AC970" s="25">
        <v>0</v>
      </c>
      <c r="AD970" s="25">
        <v>0</v>
      </c>
      <c r="AE970" s="25">
        <v>0</v>
      </c>
      <c r="AF970" s="25">
        <v>0</v>
      </c>
    </row>
    <row r="971" spans="1:32" x14ac:dyDescent="0.25">
      <c r="A971" s="25" t="s">
        <v>1040</v>
      </c>
      <c r="B971" s="25">
        <v>0</v>
      </c>
      <c r="C971" s="25">
        <v>0</v>
      </c>
      <c r="D971" s="25">
        <v>0</v>
      </c>
      <c r="E971" s="25">
        <v>0</v>
      </c>
      <c r="F971" s="25">
        <v>0</v>
      </c>
      <c r="G971" s="25">
        <v>0</v>
      </c>
      <c r="H971" s="25">
        <v>0</v>
      </c>
      <c r="I971" s="25">
        <v>0</v>
      </c>
      <c r="J971" s="25">
        <v>0</v>
      </c>
      <c r="K971" s="25">
        <v>0</v>
      </c>
      <c r="L971" s="25">
        <v>0</v>
      </c>
      <c r="M971" s="25">
        <v>0</v>
      </c>
      <c r="N971" s="25">
        <v>0</v>
      </c>
      <c r="O971" s="25">
        <v>0</v>
      </c>
      <c r="P971" s="25">
        <v>0</v>
      </c>
      <c r="Q971" s="25">
        <v>0</v>
      </c>
      <c r="R971" s="25">
        <v>0</v>
      </c>
      <c r="S971" s="25">
        <v>0</v>
      </c>
      <c r="T971" s="25">
        <v>0</v>
      </c>
      <c r="U971" s="25">
        <v>0</v>
      </c>
      <c r="V971" s="25">
        <v>0</v>
      </c>
      <c r="W971" s="25">
        <v>0</v>
      </c>
      <c r="X971" s="25">
        <v>0</v>
      </c>
      <c r="Y971" s="25">
        <v>0</v>
      </c>
      <c r="Z971" s="25">
        <v>0</v>
      </c>
      <c r="AA971" s="25">
        <v>0</v>
      </c>
      <c r="AB971" s="25">
        <v>0</v>
      </c>
      <c r="AC971" s="25">
        <v>0</v>
      </c>
      <c r="AD971" s="25">
        <v>0</v>
      </c>
      <c r="AE971" s="25">
        <v>0</v>
      </c>
      <c r="AF971" s="25">
        <v>0</v>
      </c>
    </row>
    <row r="972" spans="1:32" x14ac:dyDescent="0.25">
      <c r="A972" s="25" t="s">
        <v>1041</v>
      </c>
      <c r="B972" s="25">
        <v>0</v>
      </c>
      <c r="C972" s="25">
        <v>0</v>
      </c>
      <c r="D972" s="25">
        <v>0</v>
      </c>
      <c r="E972" s="25">
        <v>0</v>
      </c>
      <c r="F972" s="25">
        <v>0</v>
      </c>
      <c r="G972" s="25">
        <v>0</v>
      </c>
      <c r="H972" s="25">
        <v>0</v>
      </c>
      <c r="I972" s="25">
        <v>0</v>
      </c>
      <c r="J972" s="25">
        <v>0</v>
      </c>
      <c r="K972" s="25">
        <v>0</v>
      </c>
      <c r="L972" s="25">
        <v>0</v>
      </c>
      <c r="M972" s="25">
        <v>0</v>
      </c>
      <c r="N972" s="25">
        <v>0</v>
      </c>
      <c r="O972" s="25">
        <v>0</v>
      </c>
      <c r="P972" s="25">
        <v>0</v>
      </c>
      <c r="Q972" s="25">
        <v>0</v>
      </c>
      <c r="R972" s="25">
        <v>0</v>
      </c>
      <c r="S972" s="25">
        <v>0</v>
      </c>
      <c r="T972" s="25">
        <v>0</v>
      </c>
      <c r="U972" s="25">
        <v>0</v>
      </c>
      <c r="V972" s="25">
        <v>0</v>
      </c>
      <c r="W972" s="25">
        <v>0</v>
      </c>
      <c r="X972" s="25">
        <v>0</v>
      </c>
      <c r="Y972" s="25">
        <v>0</v>
      </c>
      <c r="Z972" s="25">
        <v>0</v>
      </c>
      <c r="AA972" s="25">
        <v>0</v>
      </c>
      <c r="AB972" s="25">
        <v>0</v>
      </c>
      <c r="AC972" s="25">
        <v>0</v>
      </c>
      <c r="AD972" s="25">
        <v>0</v>
      </c>
      <c r="AE972" s="25">
        <v>0</v>
      </c>
      <c r="AF972" s="25">
        <v>0</v>
      </c>
    </row>
    <row r="973" spans="1:32" x14ac:dyDescent="0.25">
      <c r="A973" s="25" t="s">
        <v>1042</v>
      </c>
      <c r="B973" s="25">
        <v>0</v>
      </c>
      <c r="C973" s="25">
        <v>0</v>
      </c>
      <c r="D973" s="25">
        <v>0</v>
      </c>
      <c r="E973" s="25">
        <v>0</v>
      </c>
      <c r="F973" s="25">
        <v>0</v>
      </c>
      <c r="G973" s="25">
        <v>0</v>
      </c>
      <c r="H973" s="25">
        <v>0</v>
      </c>
      <c r="I973" s="25">
        <v>0</v>
      </c>
      <c r="J973" s="25">
        <v>0</v>
      </c>
      <c r="K973" s="25">
        <v>0</v>
      </c>
      <c r="L973" s="25">
        <v>0</v>
      </c>
      <c r="M973" s="25">
        <v>0</v>
      </c>
      <c r="N973" s="25">
        <v>0</v>
      </c>
      <c r="O973" s="25">
        <v>0</v>
      </c>
      <c r="P973" s="25">
        <v>0</v>
      </c>
      <c r="Q973" s="25">
        <v>0</v>
      </c>
      <c r="R973" s="25">
        <v>0</v>
      </c>
      <c r="S973" s="25">
        <v>0</v>
      </c>
      <c r="T973" s="25">
        <v>0</v>
      </c>
      <c r="U973" s="25">
        <v>0</v>
      </c>
      <c r="V973" s="25">
        <v>0</v>
      </c>
      <c r="W973" s="25">
        <v>0</v>
      </c>
      <c r="X973" s="25">
        <v>0</v>
      </c>
      <c r="Y973" s="25">
        <v>0</v>
      </c>
      <c r="Z973" s="25">
        <v>0</v>
      </c>
      <c r="AA973" s="25">
        <v>0</v>
      </c>
      <c r="AB973" s="25">
        <v>0</v>
      </c>
      <c r="AC973" s="25">
        <v>0</v>
      </c>
      <c r="AD973" s="25">
        <v>0</v>
      </c>
      <c r="AE973" s="25">
        <v>0</v>
      </c>
      <c r="AF973" s="25">
        <v>0</v>
      </c>
    </row>
    <row r="974" spans="1:32" x14ac:dyDescent="0.25">
      <c r="A974" s="25" t="s">
        <v>1043</v>
      </c>
      <c r="B974" s="25">
        <v>0</v>
      </c>
      <c r="C974" s="25">
        <v>0</v>
      </c>
      <c r="D974" s="25">
        <v>0</v>
      </c>
      <c r="E974" s="25">
        <v>0</v>
      </c>
      <c r="F974" s="25">
        <v>0</v>
      </c>
      <c r="G974" s="25">
        <v>0</v>
      </c>
      <c r="H974" s="25">
        <v>0</v>
      </c>
      <c r="I974" s="25">
        <v>0</v>
      </c>
      <c r="J974" s="25">
        <v>0</v>
      </c>
      <c r="K974" s="25">
        <v>0</v>
      </c>
      <c r="L974" s="25">
        <v>0</v>
      </c>
      <c r="M974" s="25">
        <v>0</v>
      </c>
      <c r="N974" s="25">
        <v>0</v>
      </c>
      <c r="O974" s="25">
        <v>0</v>
      </c>
      <c r="P974" s="25">
        <v>0</v>
      </c>
      <c r="Q974" s="25">
        <v>0</v>
      </c>
      <c r="R974" s="25">
        <v>0</v>
      </c>
      <c r="S974" s="25">
        <v>0</v>
      </c>
      <c r="T974" s="25">
        <v>0</v>
      </c>
      <c r="U974" s="25">
        <v>0</v>
      </c>
      <c r="V974" s="25">
        <v>0</v>
      </c>
      <c r="W974" s="25">
        <v>0</v>
      </c>
      <c r="X974" s="25">
        <v>0</v>
      </c>
      <c r="Y974" s="25">
        <v>0</v>
      </c>
      <c r="Z974" s="25">
        <v>0</v>
      </c>
      <c r="AA974" s="25">
        <v>0</v>
      </c>
      <c r="AB974" s="25">
        <v>0</v>
      </c>
      <c r="AC974" s="25">
        <v>0</v>
      </c>
      <c r="AD974" s="25">
        <v>0</v>
      </c>
      <c r="AE974" s="25">
        <v>0</v>
      </c>
      <c r="AF974" s="25">
        <v>0</v>
      </c>
    </row>
    <row r="975" spans="1:32" x14ac:dyDescent="0.25">
      <c r="A975" s="25" t="s">
        <v>1044</v>
      </c>
      <c r="B975" s="25">
        <v>0</v>
      </c>
      <c r="C975" s="25">
        <v>0</v>
      </c>
      <c r="D975" s="25">
        <v>0</v>
      </c>
      <c r="E975" s="25">
        <v>0</v>
      </c>
      <c r="F975" s="25">
        <v>0</v>
      </c>
      <c r="G975" s="25">
        <v>0</v>
      </c>
      <c r="H975" s="25">
        <v>0</v>
      </c>
      <c r="I975" s="25">
        <v>0</v>
      </c>
      <c r="J975" s="25">
        <v>0</v>
      </c>
      <c r="K975" s="25">
        <v>0</v>
      </c>
      <c r="L975" s="25">
        <v>0</v>
      </c>
      <c r="M975" s="25">
        <v>0</v>
      </c>
      <c r="N975" s="25">
        <v>0</v>
      </c>
      <c r="O975" s="25">
        <v>0</v>
      </c>
      <c r="P975" s="25">
        <v>0</v>
      </c>
      <c r="Q975" s="25">
        <v>0</v>
      </c>
      <c r="R975" s="25">
        <v>0</v>
      </c>
      <c r="S975" s="25">
        <v>0</v>
      </c>
      <c r="T975" s="25">
        <v>0</v>
      </c>
      <c r="U975" s="25">
        <v>0</v>
      </c>
      <c r="V975" s="25">
        <v>0</v>
      </c>
      <c r="W975" s="25">
        <v>0</v>
      </c>
      <c r="X975" s="25">
        <v>0</v>
      </c>
      <c r="Y975" s="25">
        <v>0</v>
      </c>
      <c r="Z975" s="25">
        <v>0</v>
      </c>
      <c r="AA975" s="25">
        <v>0</v>
      </c>
      <c r="AB975" s="25">
        <v>0</v>
      </c>
      <c r="AC975" s="25">
        <v>0</v>
      </c>
      <c r="AD975" s="25">
        <v>0</v>
      </c>
      <c r="AE975" s="25">
        <v>0</v>
      </c>
      <c r="AF975" s="25">
        <v>0</v>
      </c>
    </row>
    <row r="976" spans="1:32" x14ac:dyDescent="0.25">
      <c r="A976" s="25" t="s">
        <v>1045</v>
      </c>
      <c r="B976" s="25">
        <v>0</v>
      </c>
      <c r="C976" s="25">
        <v>0</v>
      </c>
      <c r="D976" s="25">
        <v>0</v>
      </c>
      <c r="E976" s="25">
        <v>0</v>
      </c>
      <c r="F976" s="25">
        <v>0</v>
      </c>
      <c r="G976" s="25">
        <v>0</v>
      </c>
      <c r="H976" s="25">
        <v>0</v>
      </c>
      <c r="I976" s="25">
        <v>0</v>
      </c>
      <c r="J976" s="25">
        <v>0</v>
      </c>
      <c r="K976" s="25">
        <v>0</v>
      </c>
      <c r="L976" s="25">
        <v>0</v>
      </c>
      <c r="M976" s="25">
        <v>0</v>
      </c>
      <c r="N976" s="25">
        <v>0</v>
      </c>
      <c r="O976" s="25">
        <v>0</v>
      </c>
      <c r="P976" s="25">
        <v>0</v>
      </c>
      <c r="Q976" s="25">
        <v>0</v>
      </c>
      <c r="R976" s="25">
        <v>0</v>
      </c>
      <c r="S976" s="25">
        <v>0</v>
      </c>
      <c r="T976" s="25">
        <v>0</v>
      </c>
      <c r="U976" s="25">
        <v>0</v>
      </c>
      <c r="V976" s="25">
        <v>0</v>
      </c>
      <c r="W976" s="25">
        <v>0</v>
      </c>
      <c r="X976" s="25">
        <v>0</v>
      </c>
      <c r="Y976" s="25">
        <v>0</v>
      </c>
      <c r="Z976" s="25">
        <v>0</v>
      </c>
      <c r="AA976" s="25">
        <v>0</v>
      </c>
      <c r="AB976" s="25">
        <v>0</v>
      </c>
      <c r="AC976" s="25">
        <v>0</v>
      </c>
      <c r="AD976" s="25">
        <v>0</v>
      </c>
      <c r="AE976" s="25">
        <v>0</v>
      </c>
      <c r="AF976" s="25">
        <v>0</v>
      </c>
    </row>
    <row r="977" spans="1:32" x14ac:dyDescent="0.25">
      <c r="A977" s="25" t="s">
        <v>1046</v>
      </c>
      <c r="B977" s="25">
        <v>0</v>
      </c>
      <c r="C977" s="25">
        <v>0</v>
      </c>
      <c r="D977" s="25">
        <v>0</v>
      </c>
      <c r="E977" s="25">
        <v>0</v>
      </c>
      <c r="F977" s="25">
        <v>0</v>
      </c>
      <c r="G977" s="25">
        <v>0</v>
      </c>
      <c r="H977" s="25">
        <v>0</v>
      </c>
      <c r="I977" s="25">
        <v>0</v>
      </c>
      <c r="J977" s="25">
        <v>0</v>
      </c>
      <c r="K977" s="25">
        <v>0</v>
      </c>
      <c r="L977" s="25">
        <v>0</v>
      </c>
      <c r="M977" s="25">
        <v>0</v>
      </c>
      <c r="N977" s="25">
        <v>0</v>
      </c>
      <c r="O977" s="25">
        <v>0</v>
      </c>
      <c r="P977" s="25">
        <v>0</v>
      </c>
      <c r="Q977" s="25">
        <v>0</v>
      </c>
      <c r="R977" s="25">
        <v>0</v>
      </c>
      <c r="S977" s="25">
        <v>0</v>
      </c>
      <c r="T977" s="25">
        <v>0</v>
      </c>
      <c r="U977" s="25">
        <v>0</v>
      </c>
      <c r="V977" s="25">
        <v>0</v>
      </c>
      <c r="W977" s="25">
        <v>0</v>
      </c>
      <c r="X977" s="25">
        <v>0</v>
      </c>
      <c r="Y977" s="25">
        <v>0</v>
      </c>
      <c r="Z977" s="25">
        <v>0</v>
      </c>
      <c r="AA977" s="25">
        <v>0</v>
      </c>
      <c r="AB977" s="25">
        <v>0</v>
      </c>
      <c r="AC977" s="25">
        <v>0</v>
      </c>
      <c r="AD977" s="25">
        <v>0</v>
      </c>
      <c r="AE977" s="25">
        <v>0</v>
      </c>
      <c r="AF977" s="25">
        <v>0</v>
      </c>
    </row>
    <row r="978" spans="1:32" x14ac:dyDescent="0.25">
      <c r="A978" s="25" t="s">
        <v>1047</v>
      </c>
      <c r="B978" s="25">
        <v>0</v>
      </c>
      <c r="C978" s="25">
        <v>0</v>
      </c>
      <c r="D978" s="25">
        <v>0</v>
      </c>
      <c r="E978" s="25">
        <v>0</v>
      </c>
      <c r="F978" s="25">
        <v>0</v>
      </c>
      <c r="G978" s="25">
        <v>0</v>
      </c>
      <c r="H978" s="25">
        <v>0</v>
      </c>
      <c r="I978" s="25">
        <v>0</v>
      </c>
      <c r="J978" s="25">
        <v>0</v>
      </c>
      <c r="K978" s="25">
        <v>0</v>
      </c>
      <c r="L978" s="25">
        <v>0</v>
      </c>
      <c r="M978" s="25">
        <v>0</v>
      </c>
      <c r="N978" s="25">
        <v>0</v>
      </c>
      <c r="O978" s="25">
        <v>0</v>
      </c>
      <c r="P978" s="25">
        <v>0</v>
      </c>
      <c r="Q978" s="25">
        <v>0</v>
      </c>
      <c r="R978" s="25">
        <v>0</v>
      </c>
      <c r="S978" s="25">
        <v>0</v>
      </c>
      <c r="T978" s="25">
        <v>0</v>
      </c>
      <c r="U978" s="25">
        <v>0</v>
      </c>
      <c r="V978" s="25">
        <v>0</v>
      </c>
      <c r="W978" s="25">
        <v>0</v>
      </c>
      <c r="X978" s="25">
        <v>0</v>
      </c>
      <c r="Y978" s="25">
        <v>0</v>
      </c>
      <c r="Z978" s="25">
        <v>0</v>
      </c>
      <c r="AA978" s="25">
        <v>0</v>
      </c>
      <c r="AB978" s="25">
        <v>0</v>
      </c>
      <c r="AC978" s="25">
        <v>0</v>
      </c>
      <c r="AD978" s="25">
        <v>0</v>
      </c>
      <c r="AE978" s="25">
        <v>0</v>
      </c>
      <c r="AF978" s="25">
        <v>0</v>
      </c>
    </row>
    <row r="979" spans="1:32" x14ac:dyDescent="0.25">
      <c r="A979" s="25" t="s">
        <v>1048</v>
      </c>
      <c r="B979" s="25">
        <v>0</v>
      </c>
      <c r="C979" s="25">
        <v>0</v>
      </c>
      <c r="D979" s="25">
        <v>0</v>
      </c>
      <c r="E979" s="25">
        <v>0</v>
      </c>
      <c r="F979" s="25">
        <v>0</v>
      </c>
      <c r="G979" s="25">
        <v>0</v>
      </c>
      <c r="H979" s="25">
        <v>0</v>
      </c>
      <c r="I979" s="25">
        <v>0</v>
      </c>
      <c r="J979" s="25">
        <v>0</v>
      </c>
      <c r="K979" s="25">
        <v>0</v>
      </c>
      <c r="L979" s="25">
        <v>0</v>
      </c>
      <c r="M979" s="25">
        <v>0</v>
      </c>
      <c r="N979" s="25">
        <v>0</v>
      </c>
      <c r="O979" s="25">
        <v>0</v>
      </c>
      <c r="P979" s="25">
        <v>0</v>
      </c>
      <c r="Q979" s="25">
        <v>0</v>
      </c>
      <c r="R979" s="25">
        <v>0</v>
      </c>
      <c r="S979" s="25">
        <v>0</v>
      </c>
      <c r="T979" s="25">
        <v>0</v>
      </c>
      <c r="U979" s="25">
        <v>0</v>
      </c>
      <c r="V979" s="25">
        <v>0</v>
      </c>
      <c r="W979" s="25">
        <v>0</v>
      </c>
      <c r="X979" s="25">
        <v>0</v>
      </c>
      <c r="Y979" s="25">
        <v>0</v>
      </c>
      <c r="Z979" s="25">
        <v>0</v>
      </c>
      <c r="AA979" s="25">
        <v>0</v>
      </c>
      <c r="AB979" s="25">
        <v>0</v>
      </c>
      <c r="AC979" s="25">
        <v>0</v>
      </c>
      <c r="AD979" s="25">
        <v>0</v>
      </c>
      <c r="AE979" s="25">
        <v>0</v>
      </c>
      <c r="AF979" s="25">
        <v>0</v>
      </c>
    </row>
    <row r="980" spans="1:32" x14ac:dyDescent="0.25">
      <c r="A980" s="25" t="s">
        <v>1049</v>
      </c>
      <c r="B980" s="25">
        <v>0</v>
      </c>
      <c r="C980" s="25">
        <v>0</v>
      </c>
      <c r="D980" s="25">
        <v>0</v>
      </c>
      <c r="E980" s="25">
        <v>0</v>
      </c>
      <c r="F980" s="25">
        <v>0</v>
      </c>
      <c r="G980" s="25">
        <v>0</v>
      </c>
      <c r="H980" s="25">
        <v>0</v>
      </c>
      <c r="I980" s="25">
        <v>0</v>
      </c>
      <c r="J980" s="25">
        <v>0</v>
      </c>
      <c r="K980" s="25">
        <v>0</v>
      </c>
      <c r="L980" s="25">
        <v>0</v>
      </c>
      <c r="M980" s="25">
        <v>0</v>
      </c>
      <c r="N980" s="25">
        <v>0</v>
      </c>
      <c r="O980" s="25">
        <v>0</v>
      </c>
      <c r="P980" s="25">
        <v>0</v>
      </c>
      <c r="Q980" s="25">
        <v>0</v>
      </c>
      <c r="R980" s="25">
        <v>0</v>
      </c>
      <c r="S980" s="25">
        <v>0</v>
      </c>
      <c r="T980" s="25">
        <v>0</v>
      </c>
      <c r="U980" s="25">
        <v>0</v>
      </c>
      <c r="V980" s="25">
        <v>0</v>
      </c>
      <c r="W980" s="25">
        <v>0</v>
      </c>
      <c r="X980" s="25">
        <v>0</v>
      </c>
      <c r="Y980" s="25">
        <v>0</v>
      </c>
      <c r="Z980" s="25">
        <v>0</v>
      </c>
      <c r="AA980" s="25">
        <v>0</v>
      </c>
      <c r="AB980" s="25">
        <v>0</v>
      </c>
      <c r="AC980" s="25">
        <v>0</v>
      </c>
      <c r="AD980" s="25">
        <v>0</v>
      </c>
      <c r="AE980" s="25">
        <v>0</v>
      </c>
      <c r="AF980" s="25">
        <v>0</v>
      </c>
    </row>
    <row r="981" spans="1:32" x14ac:dyDescent="0.25">
      <c r="A981" s="25" t="s">
        <v>1050</v>
      </c>
      <c r="B981" s="25">
        <v>0</v>
      </c>
      <c r="C981" s="25">
        <v>0</v>
      </c>
      <c r="D981" s="25">
        <v>0</v>
      </c>
      <c r="E981" s="25">
        <v>0</v>
      </c>
      <c r="F981" s="25">
        <v>0</v>
      </c>
      <c r="G981" s="25">
        <v>0</v>
      </c>
      <c r="H981" s="25">
        <v>0</v>
      </c>
      <c r="I981" s="25">
        <v>0</v>
      </c>
      <c r="J981" s="25">
        <v>0</v>
      </c>
      <c r="K981" s="25">
        <v>0</v>
      </c>
      <c r="L981" s="25">
        <v>0</v>
      </c>
      <c r="M981" s="25">
        <v>0</v>
      </c>
      <c r="N981" s="25">
        <v>0</v>
      </c>
      <c r="O981" s="25">
        <v>0</v>
      </c>
      <c r="P981" s="25">
        <v>0</v>
      </c>
      <c r="Q981" s="25">
        <v>0</v>
      </c>
      <c r="R981" s="25">
        <v>0</v>
      </c>
      <c r="S981" s="25">
        <v>0</v>
      </c>
      <c r="T981" s="25">
        <v>0</v>
      </c>
      <c r="U981" s="25">
        <v>0</v>
      </c>
      <c r="V981" s="25">
        <v>0</v>
      </c>
      <c r="W981" s="25">
        <v>0</v>
      </c>
      <c r="X981" s="25">
        <v>0</v>
      </c>
      <c r="Y981" s="25">
        <v>0</v>
      </c>
      <c r="Z981" s="25">
        <v>0</v>
      </c>
      <c r="AA981" s="25">
        <v>0</v>
      </c>
      <c r="AB981" s="25">
        <v>0</v>
      </c>
      <c r="AC981" s="25">
        <v>0</v>
      </c>
      <c r="AD981" s="25">
        <v>0</v>
      </c>
      <c r="AE981" s="25">
        <v>0</v>
      </c>
      <c r="AF981" s="25">
        <v>0</v>
      </c>
    </row>
    <row r="982" spans="1:32" x14ac:dyDescent="0.25">
      <c r="A982" s="25" t="s">
        <v>1051</v>
      </c>
      <c r="B982" s="25">
        <v>0</v>
      </c>
      <c r="C982" s="25">
        <v>0</v>
      </c>
      <c r="D982" s="25">
        <v>0</v>
      </c>
      <c r="E982" s="25">
        <v>0</v>
      </c>
      <c r="F982" s="25">
        <v>0</v>
      </c>
      <c r="G982" s="25">
        <v>0</v>
      </c>
      <c r="H982" s="25">
        <v>0</v>
      </c>
      <c r="I982" s="25">
        <v>0</v>
      </c>
      <c r="J982" s="25">
        <v>0</v>
      </c>
      <c r="K982" s="25">
        <v>0</v>
      </c>
      <c r="L982" s="25">
        <v>0</v>
      </c>
      <c r="M982" s="25">
        <v>0</v>
      </c>
      <c r="N982" s="25">
        <v>0</v>
      </c>
      <c r="O982" s="25">
        <v>0</v>
      </c>
      <c r="P982" s="25">
        <v>0</v>
      </c>
      <c r="Q982" s="25">
        <v>0</v>
      </c>
      <c r="R982" s="25">
        <v>0</v>
      </c>
      <c r="S982" s="25">
        <v>0</v>
      </c>
      <c r="T982" s="25">
        <v>0</v>
      </c>
      <c r="U982" s="25">
        <v>0</v>
      </c>
      <c r="V982" s="25">
        <v>0</v>
      </c>
      <c r="W982" s="25">
        <v>0</v>
      </c>
      <c r="X982" s="25">
        <v>0</v>
      </c>
      <c r="Y982" s="25">
        <v>0</v>
      </c>
      <c r="Z982" s="25">
        <v>0</v>
      </c>
      <c r="AA982" s="25">
        <v>0</v>
      </c>
      <c r="AB982" s="25">
        <v>0</v>
      </c>
      <c r="AC982" s="25">
        <v>0</v>
      </c>
      <c r="AD982" s="25">
        <v>0</v>
      </c>
      <c r="AE982" s="25">
        <v>0</v>
      </c>
      <c r="AF982" s="25">
        <v>0</v>
      </c>
    </row>
    <row r="983" spans="1:32" x14ac:dyDescent="0.25">
      <c r="A983" s="25" t="s">
        <v>1052</v>
      </c>
      <c r="B983" s="25">
        <v>0</v>
      </c>
      <c r="C983" s="25">
        <v>0</v>
      </c>
      <c r="D983" s="25">
        <v>0</v>
      </c>
      <c r="E983" s="25">
        <v>0</v>
      </c>
      <c r="F983" s="25">
        <v>0</v>
      </c>
      <c r="G983" s="25">
        <v>0</v>
      </c>
      <c r="H983" s="25">
        <v>0</v>
      </c>
      <c r="I983" s="25">
        <v>0</v>
      </c>
      <c r="J983" s="25">
        <v>0</v>
      </c>
      <c r="K983" s="25">
        <v>0</v>
      </c>
      <c r="L983" s="25">
        <v>0</v>
      </c>
      <c r="M983" s="25">
        <v>0</v>
      </c>
      <c r="N983" s="25">
        <v>0</v>
      </c>
      <c r="O983" s="25">
        <v>0</v>
      </c>
      <c r="P983" s="25">
        <v>0</v>
      </c>
      <c r="Q983" s="25">
        <v>0</v>
      </c>
      <c r="R983" s="25">
        <v>0</v>
      </c>
      <c r="S983" s="25">
        <v>0</v>
      </c>
      <c r="T983" s="25">
        <v>0</v>
      </c>
      <c r="U983" s="25">
        <v>0</v>
      </c>
      <c r="V983" s="25">
        <v>0</v>
      </c>
      <c r="W983" s="25">
        <v>0</v>
      </c>
      <c r="X983" s="25">
        <v>0</v>
      </c>
      <c r="Y983" s="25">
        <v>0</v>
      </c>
      <c r="Z983" s="25">
        <v>0</v>
      </c>
      <c r="AA983" s="25">
        <v>0</v>
      </c>
      <c r="AB983" s="25">
        <v>0</v>
      </c>
      <c r="AC983" s="25">
        <v>0</v>
      </c>
      <c r="AD983" s="25">
        <v>0</v>
      </c>
      <c r="AE983" s="25">
        <v>0</v>
      </c>
      <c r="AF983" s="25">
        <v>0</v>
      </c>
    </row>
    <row r="984" spans="1:32" x14ac:dyDescent="0.25">
      <c r="A984" s="25" t="s">
        <v>1053</v>
      </c>
      <c r="B984" s="25">
        <v>0</v>
      </c>
      <c r="C984" s="25">
        <v>0</v>
      </c>
      <c r="D984" s="25">
        <v>0</v>
      </c>
      <c r="E984" s="25">
        <v>0</v>
      </c>
      <c r="F984" s="25">
        <v>0</v>
      </c>
      <c r="G984" s="25">
        <v>0</v>
      </c>
      <c r="H984" s="25">
        <v>0</v>
      </c>
      <c r="I984" s="25">
        <v>0</v>
      </c>
      <c r="J984" s="25">
        <v>0</v>
      </c>
      <c r="K984" s="25">
        <v>0</v>
      </c>
      <c r="L984" s="25">
        <v>0</v>
      </c>
      <c r="M984" s="25">
        <v>0</v>
      </c>
      <c r="N984" s="25">
        <v>0</v>
      </c>
      <c r="O984" s="25">
        <v>0</v>
      </c>
      <c r="P984" s="25">
        <v>0</v>
      </c>
      <c r="Q984" s="25">
        <v>0</v>
      </c>
      <c r="R984" s="25">
        <v>0</v>
      </c>
      <c r="S984" s="25">
        <v>0</v>
      </c>
      <c r="T984" s="25">
        <v>0</v>
      </c>
      <c r="U984" s="25">
        <v>0</v>
      </c>
      <c r="V984" s="25">
        <v>0</v>
      </c>
      <c r="W984" s="25">
        <v>0</v>
      </c>
      <c r="X984" s="25">
        <v>0</v>
      </c>
      <c r="Y984" s="25">
        <v>0</v>
      </c>
      <c r="Z984" s="25">
        <v>0</v>
      </c>
      <c r="AA984" s="25">
        <v>0</v>
      </c>
      <c r="AB984" s="25">
        <v>0</v>
      </c>
      <c r="AC984" s="25">
        <v>0</v>
      </c>
      <c r="AD984" s="25">
        <v>0</v>
      </c>
      <c r="AE984" s="25">
        <v>0</v>
      </c>
      <c r="AF984" s="25">
        <v>0</v>
      </c>
    </row>
    <row r="985" spans="1:32" x14ac:dyDescent="0.25">
      <c r="A985" s="25" t="s">
        <v>1054</v>
      </c>
      <c r="B985" s="25">
        <v>0</v>
      </c>
      <c r="C985" s="25">
        <v>0</v>
      </c>
      <c r="D985" s="25">
        <v>0</v>
      </c>
      <c r="E985" s="25">
        <v>0</v>
      </c>
      <c r="F985" s="25">
        <v>0</v>
      </c>
      <c r="G985" s="25">
        <v>0</v>
      </c>
      <c r="H985" s="25">
        <v>0</v>
      </c>
      <c r="I985" s="25">
        <v>0</v>
      </c>
      <c r="J985" s="25">
        <v>0</v>
      </c>
      <c r="K985" s="25">
        <v>0</v>
      </c>
      <c r="L985" s="25">
        <v>0</v>
      </c>
      <c r="M985" s="25">
        <v>0</v>
      </c>
      <c r="N985" s="25">
        <v>0</v>
      </c>
      <c r="O985" s="25">
        <v>0</v>
      </c>
      <c r="P985" s="25">
        <v>0</v>
      </c>
      <c r="Q985" s="25">
        <v>0</v>
      </c>
      <c r="R985" s="25">
        <v>0</v>
      </c>
      <c r="S985" s="25">
        <v>0</v>
      </c>
      <c r="T985" s="25">
        <v>0</v>
      </c>
      <c r="U985" s="25">
        <v>0</v>
      </c>
      <c r="V985" s="25">
        <v>0</v>
      </c>
      <c r="W985" s="25">
        <v>0</v>
      </c>
      <c r="X985" s="25">
        <v>0</v>
      </c>
      <c r="Y985" s="25">
        <v>0</v>
      </c>
      <c r="Z985" s="25">
        <v>0</v>
      </c>
      <c r="AA985" s="25">
        <v>0</v>
      </c>
      <c r="AB985" s="25">
        <v>0</v>
      </c>
      <c r="AC985" s="25">
        <v>0</v>
      </c>
      <c r="AD985" s="25">
        <v>0</v>
      </c>
      <c r="AE985" s="25">
        <v>0</v>
      </c>
      <c r="AF985" s="25">
        <v>0</v>
      </c>
    </row>
    <row r="986" spans="1:32" x14ac:dyDescent="0.25">
      <c r="A986" s="25" t="s">
        <v>1055</v>
      </c>
      <c r="B986" s="25">
        <v>0</v>
      </c>
      <c r="C986" s="25">
        <v>0</v>
      </c>
      <c r="D986" s="25">
        <v>0</v>
      </c>
      <c r="E986" s="25">
        <v>0</v>
      </c>
      <c r="F986" s="25">
        <v>0</v>
      </c>
      <c r="G986" s="25">
        <v>0</v>
      </c>
      <c r="H986" s="25">
        <v>0</v>
      </c>
      <c r="I986" s="25">
        <v>0</v>
      </c>
      <c r="J986" s="25">
        <v>0</v>
      </c>
      <c r="K986" s="25">
        <v>0</v>
      </c>
      <c r="L986" s="25">
        <v>0</v>
      </c>
      <c r="M986" s="25">
        <v>0</v>
      </c>
      <c r="N986" s="25">
        <v>0</v>
      </c>
      <c r="O986" s="25">
        <v>0</v>
      </c>
      <c r="P986" s="25">
        <v>0</v>
      </c>
      <c r="Q986" s="25">
        <v>0</v>
      </c>
      <c r="R986" s="25">
        <v>0</v>
      </c>
      <c r="S986" s="25">
        <v>0</v>
      </c>
      <c r="T986" s="25">
        <v>0</v>
      </c>
      <c r="U986" s="25">
        <v>0</v>
      </c>
      <c r="V986" s="25">
        <v>0</v>
      </c>
      <c r="W986" s="25">
        <v>0</v>
      </c>
      <c r="X986" s="25">
        <v>0</v>
      </c>
      <c r="Y986" s="25">
        <v>0</v>
      </c>
      <c r="Z986" s="25">
        <v>0</v>
      </c>
      <c r="AA986" s="25">
        <v>0</v>
      </c>
      <c r="AB986" s="25">
        <v>0</v>
      </c>
      <c r="AC986" s="25">
        <v>0</v>
      </c>
      <c r="AD986" s="25">
        <v>0</v>
      </c>
      <c r="AE986" s="25">
        <v>0</v>
      </c>
      <c r="AF986" s="25">
        <v>0</v>
      </c>
    </row>
    <row r="987" spans="1:32" x14ac:dyDescent="0.25">
      <c r="A987" s="25" t="s">
        <v>1056</v>
      </c>
      <c r="B987" s="25">
        <v>0</v>
      </c>
      <c r="C987" s="25">
        <v>0</v>
      </c>
      <c r="D987" s="25">
        <v>0</v>
      </c>
      <c r="E987" s="25">
        <v>0</v>
      </c>
      <c r="F987" s="25">
        <v>0</v>
      </c>
      <c r="G987" s="25">
        <v>0</v>
      </c>
      <c r="H987" s="25">
        <v>0</v>
      </c>
      <c r="I987" s="25">
        <v>0</v>
      </c>
      <c r="J987" s="25">
        <v>0</v>
      </c>
      <c r="K987" s="25">
        <v>0</v>
      </c>
      <c r="L987" s="25">
        <v>0</v>
      </c>
      <c r="M987" s="25">
        <v>0</v>
      </c>
      <c r="N987" s="25">
        <v>0</v>
      </c>
      <c r="O987" s="25">
        <v>0</v>
      </c>
      <c r="P987" s="25">
        <v>0</v>
      </c>
      <c r="Q987" s="25">
        <v>0</v>
      </c>
      <c r="R987" s="25">
        <v>0</v>
      </c>
      <c r="S987" s="25">
        <v>0</v>
      </c>
      <c r="T987" s="25">
        <v>0</v>
      </c>
      <c r="U987" s="25">
        <v>0</v>
      </c>
      <c r="V987" s="25">
        <v>0</v>
      </c>
      <c r="W987" s="25">
        <v>0</v>
      </c>
      <c r="X987" s="25">
        <v>0</v>
      </c>
      <c r="Y987" s="25">
        <v>0</v>
      </c>
      <c r="Z987" s="25">
        <v>0</v>
      </c>
      <c r="AA987" s="25">
        <v>0</v>
      </c>
      <c r="AB987" s="25">
        <v>0</v>
      </c>
      <c r="AC987" s="25">
        <v>0</v>
      </c>
      <c r="AD987" s="25">
        <v>0</v>
      </c>
      <c r="AE987" s="25">
        <v>0</v>
      </c>
      <c r="AF987" s="25">
        <v>0</v>
      </c>
    </row>
    <row r="988" spans="1:32" x14ac:dyDescent="0.25">
      <c r="A988" s="25" t="s">
        <v>1057</v>
      </c>
      <c r="B988" s="25">
        <v>0</v>
      </c>
      <c r="C988" s="25">
        <v>0</v>
      </c>
      <c r="D988" s="25">
        <v>0</v>
      </c>
      <c r="E988" s="25">
        <v>0</v>
      </c>
      <c r="F988" s="25">
        <v>0</v>
      </c>
      <c r="G988" s="25">
        <v>0</v>
      </c>
      <c r="H988" s="25">
        <v>0</v>
      </c>
      <c r="I988" s="25">
        <v>0</v>
      </c>
      <c r="J988" s="25">
        <v>0</v>
      </c>
      <c r="K988" s="25">
        <v>0</v>
      </c>
      <c r="L988" s="25">
        <v>0</v>
      </c>
      <c r="M988" s="25">
        <v>0</v>
      </c>
      <c r="N988" s="25">
        <v>0</v>
      </c>
      <c r="O988" s="25">
        <v>0</v>
      </c>
      <c r="P988" s="25">
        <v>0</v>
      </c>
      <c r="Q988" s="25">
        <v>0</v>
      </c>
      <c r="R988" s="25">
        <v>0</v>
      </c>
      <c r="S988" s="25">
        <v>0</v>
      </c>
      <c r="T988" s="25">
        <v>0</v>
      </c>
      <c r="U988" s="25">
        <v>0</v>
      </c>
      <c r="V988" s="25">
        <v>0</v>
      </c>
      <c r="W988" s="25">
        <v>0</v>
      </c>
      <c r="X988" s="25">
        <v>0</v>
      </c>
      <c r="Y988" s="25">
        <v>0</v>
      </c>
      <c r="Z988" s="25">
        <v>0</v>
      </c>
      <c r="AA988" s="25">
        <v>0</v>
      </c>
      <c r="AB988" s="25">
        <v>0</v>
      </c>
      <c r="AC988" s="25">
        <v>0</v>
      </c>
      <c r="AD988" s="25">
        <v>0</v>
      </c>
      <c r="AE988" s="25">
        <v>0</v>
      </c>
      <c r="AF988" s="25">
        <v>0</v>
      </c>
    </row>
    <row r="989" spans="1:32" x14ac:dyDescent="0.25">
      <c r="A989" s="25" t="s">
        <v>1058</v>
      </c>
      <c r="B989" s="25">
        <v>0</v>
      </c>
      <c r="C989" s="25">
        <v>0</v>
      </c>
      <c r="D989" s="25">
        <v>0</v>
      </c>
      <c r="E989" s="25">
        <v>0</v>
      </c>
      <c r="F989" s="25">
        <v>0</v>
      </c>
      <c r="G989" s="25">
        <v>0</v>
      </c>
      <c r="H989" s="25">
        <v>0</v>
      </c>
      <c r="I989" s="25">
        <v>0</v>
      </c>
      <c r="J989" s="25">
        <v>0</v>
      </c>
      <c r="K989" s="25">
        <v>0</v>
      </c>
      <c r="L989" s="25">
        <v>0</v>
      </c>
      <c r="M989" s="25">
        <v>0</v>
      </c>
      <c r="N989" s="25">
        <v>0</v>
      </c>
      <c r="O989" s="25">
        <v>0</v>
      </c>
      <c r="P989" s="25">
        <v>0</v>
      </c>
      <c r="Q989" s="25">
        <v>0</v>
      </c>
      <c r="R989" s="25">
        <v>0</v>
      </c>
      <c r="S989" s="25">
        <v>0</v>
      </c>
      <c r="T989" s="25">
        <v>0</v>
      </c>
      <c r="U989" s="25">
        <v>0</v>
      </c>
      <c r="V989" s="25">
        <v>0</v>
      </c>
      <c r="W989" s="25">
        <v>0</v>
      </c>
      <c r="X989" s="25">
        <v>0</v>
      </c>
      <c r="Y989" s="25">
        <v>0</v>
      </c>
      <c r="Z989" s="25">
        <v>0</v>
      </c>
      <c r="AA989" s="25">
        <v>0</v>
      </c>
      <c r="AB989" s="25">
        <v>0</v>
      </c>
      <c r="AC989" s="25">
        <v>0</v>
      </c>
      <c r="AD989" s="25">
        <v>0</v>
      </c>
      <c r="AE989" s="25">
        <v>0</v>
      </c>
      <c r="AF989" s="25">
        <v>0</v>
      </c>
    </row>
    <row r="990" spans="1:32" x14ac:dyDescent="0.25">
      <c r="A990" s="25" t="s">
        <v>1059</v>
      </c>
      <c r="B990" s="25">
        <v>0</v>
      </c>
      <c r="C990" s="25">
        <v>0</v>
      </c>
      <c r="D990" s="25">
        <v>0</v>
      </c>
      <c r="E990" s="25">
        <v>0</v>
      </c>
      <c r="F990" s="25">
        <v>0</v>
      </c>
      <c r="G990" s="25">
        <v>0</v>
      </c>
      <c r="H990" s="25">
        <v>0</v>
      </c>
      <c r="I990" s="25">
        <v>0</v>
      </c>
      <c r="J990" s="25">
        <v>0</v>
      </c>
      <c r="K990" s="25">
        <v>0</v>
      </c>
      <c r="L990" s="25">
        <v>0</v>
      </c>
      <c r="M990" s="25">
        <v>0</v>
      </c>
      <c r="N990" s="25">
        <v>0</v>
      </c>
      <c r="O990" s="25">
        <v>0</v>
      </c>
      <c r="P990" s="25">
        <v>0</v>
      </c>
      <c r="Q990" s="25">
        <v>0</v>
      </c>
      <c r="R990" s="25">
        <v>0</v>
      </c>
      <c r="S990" s="25">
        <v>0</v>
      </c>
      <c r="T990" s="25">
        <v>0</v>
      </c>
      <c r="U990" s="25">
        <v>0</v>
      </c>
      <c r="V990" s="25">
        <v>0</v>
      </c>
      <c r="W990" s="25">
        <v>0</v>
      </c>
      <c r="X990" s="25">
        <v>0</v>
      </c>
      <c r="Y990" s="25">
        <v>0</v>
      </c>
      <c r="Z990" s="25">
        <v>0</v>
      </c>
      <c r="AA990" s="25">
        <v>0</v>
      </c>
      <c r="AB990" s="25">
        <v>0</v>
      </c>
      <c r="AC990" s="25">
        <v>0</v>
      </c>
      <c r="AD990" s="25">
        <v>0</v>
      </c>
      <c r="AE990" s="25">
        <v>0</v>
      </c>
      <c r="AF990" s="25">
        <v>0</v>
      </c>
    </row>
    <row r="991" spans="1:32" x14ac:dyDescent="0.25">
      <c r="A991" s="25" t="s">
        <v>1060</v>
      </c>
      <c r="B991" s="25">
        <v>0</v>
      </c>
      <c r="C991" s="25">
        <v>0</v>
      </c>
      <c r="D991" s="25">
        <v>0</v>
      </c>
      <c r="E991" s="25">
        <v>0</v>
      </c>
      <c r="F991" s="25">
        <v>0</v>
      </c>
      <c r="G991" s="25">
        <v>0</v>
      </c>
      <c r="H991" s="25">
        <v>0</v>
      </c>
      <c r="I991" s="25">
        <v>0</v>
      </c>
      <c r="J991" s="25">
        <v>0</v>
      </c>
      <c r="K991" s="25">
        <v>0</v>
      </c>
      <c r="L991" s="25">
        <v>0</v>
      </c>
      <c r="M991" s="25">
        <v>0</v>
      </c>
      <c r="N991" s="25">
        <v>0</v>
      </c>
      <c r="O991" s="25">
        <v>0</v>
      </c>
      <c r="P991" s="25">
        <v>0</v>
      </c>
      <c r="Q991" s="25">
        <v>0</v>
      </c>
      <c r="R991" s="25">
        <v>0</v>
      </c>
      <c r="S991" s="25">
        <v>0</v>
      </c>
      <c r="T991" s="25">
        <v>0</v>
      </c>
      <c r="U991" s="25">
        <v>0</v>
      </c>
      <c r="V991" s="25">
        <v>0</v>
      </c>
      <c r="W991" s="25">
        <v>0</v>
      </c>
      <c r="X991" s="25">
        <v>0</v>
      </c>
      <c r="Y991" s="25">
        <v>0</v>
      </c>
      <c r="Z991" s="25">
        <v>0</v>
      </c>
      <c r="AA991" s="25">
        <v>0</v>
      </c>
      <c r="AB991" s="25">
        <v>0</v>
      </c>
      <c r="AC991" s="25">
        <v>0</v>
      </c>
      <c r="AD991" s="25">
        <v>0</v>
      </c>
      <c r="AE991" s="25">
        <v>0</v>
      </c>
      <c r="AF991" s="25">
        <v>0</v>
      </c>
    </row>
    <row r="992" spans="1:32" x14ac:dyDescent="0.25">
      <c r="A992" s="25" t="s">
        <v>1061</v>
      </c>
      <c r="B992" s="25">
        <v>0</v>
      </c>
      <c r="C992" s="25">
        <v>0</v>
      </c>
      <c r="D992" s="25">
        <v>0</v>
      </c>
      <c r="E992" s="25">
        <v>0</v>
      </c>
      <c r="F992" s="25">
        <v>0</v>
      </c>
      <c r="G992" s="25">
        <v>0</v>
      </c>
      <c r="H992" s="25">
        <v>0</v>
      </c>
      <c r="I992" s="25">
        <v>0</v>
      </c>
      <c r="J992" s="25">
        <v>0</v>
      </c>
      <c r="K992" s="25">
        <v>0</v>
      </c>
      <c r="L992" s="25">
        <v>0</v>
      </c>
      <c r="M992" s="25">
        <v>0</v>
      </c>
      <c r="N992" s="25">
        <v>0</v>
      </c>
      <c r="O992" s="25">
        <v>0</v>
      </c>
      <c r="P992" s="25">
        <v>0</v>
      </c>
      <c r="Q992" s="25">
        <v>0</v>
      </c>
      <c r="R992" s="25">
        <v>0</v>
      </c>
      <c r="S992" s="25">
        <v>0</v>
      </c>
      <c r="T992" s="25">
        <v>0</v>
      </c>
      <c r="U992" s="25">
        <v>0</v>
      </c>
      <c r="V992" s="25">
        <v>0</v>
      </c>
      <c r="W992" s="25">
        <v>0</v>
      </c>
      <c r="X992" s="25">
        <v>0</v>
      </c>
      <c r="Y992" s="25">
        <v>0</v>
      </c>
      <c r="Z992" s="25">
        <v>0</v>
      </c>
      <c r="AA992" s="25">
        <v>0</v>
      </c>
      <c r="AB992" s="25">
        <v>0</v>
      </c>
      <c r="AC992" s="25">
        <v>0</v>
      </c>
      <c r="AD992" s="25">
        <v>0</v>
      </c>
      <c r="AE992" s="25">
        <v>0</v>
      </c>
      <c r="AF992" s="25">
        <v>0</v>
      </c>
    </row>
    <row r="993" spans="1:32" x14ac:dyDescent="0.25">
      <c r="A993" s="25" t="s">
        <v>1062</v>
      </c>
      <c r="B993" s="25">
        <v>0</v>
      </c>
      <c r="C993" s="25">
        <v>0</v>
      </c>
      <c r="D993" s="25">
        <v>0</v>
      </c>
      <c r="E993" s="25">
        <v>0</v>
      </c>
      <c r="F993" s="25">
        <v>0</v>
      </c>
      <c r="G993" s="25">
        <v>0</v>
      </c>
      <c r="H993" s="25">
        <v>0</v>
      </c>
      <c r="I993" s="25">
        <v>0</v>
      </c>
      <c r="J993" s="25">
        <v>0</v>
      </c>
      <c r="K993" s="25">
        <v>0</v>
      </c>
      <c r="L993" s="25">
        <v>0</v>
      </c>
      <c r="M993" s="25">
        <v>0</v>
      </c>
      <c r="N993" s="25">
        <v>0</v>
      </c>
      <c r="O993" s="25">
        <v>0</v>
      </c>
      <c r="P993" s="25">
        <v>0</v>
      </c>
      <c r="Q993" s="25">
        <v>0</v>
      </c>
      <c r="R993" s="25">
        <v>0</v>
      </c>
      <c r="S993" s="25">
        <v>0</v>
      </c>
      <c r="T993" s="25">
        <v>0</v>
      </c>
      <c r="U993" s="25">
        <v>0</v>
      </c>
      <c r="V993" s="25">
        <v>0</v>
      </c>
      <c r="W993" s="25">
        <v>0</v>
      </c>
      <c r="X993" s="25">
        <v>0</v>
      </c>
      <c r="Y993" s="25">
        <v>0</v>
      </c>
      <c r="Z993" s="25">
        <v>0</v>
      </c>
      <c r="AA993" s="25">
        <v>0</v>
      </c>
      <c r="AB993" s="25">
        <v>0</v>
      </c>
      <c r="AC993" s="25">
        <v>0</v>
      </c>
      <c r="AD993" s="25">
        <v>0</v>
      </c>
      <c r="AE993" s="25">
        <v>0</v>
      </c>
      <c r="AF993" s="25">
        <v>0</v>
      </c>
    </row>
    <row r="994" spans="1:32" x14ac:dyDescent="0.25">
      <c r="A994" s="25" t="s">
        <v>1063</v>
      </c>
      <c r="B994" s="25">
        <v>0</v>
      </c>
      <c r="C994" s="25">
        <v>0</v>
      </c>
      <c r="D994" s="25">
        <v>0</v>
      </c>
      <c r="E994" s="25">
        <v>0</v>
      </c>
      <c r="F994" s="25">
        <v>0</v>
      </c>
      <c r="G994" s="25">
        <v>0</v>
      </c>
      <c r="H994" s="25">
        <v>0</v>
      </c>
      <c r="I994" s="25">
        <v>0</v>
      </c>
      <c r="J994" s="25">
        <v>0</v>
      </c>
      <c r="K994" s="25">
        <v>0</v>
      </c>
      <c r="L994" s="25">
        <v>0</v>
      </c>
      <c r="M994" s="25">
        <v>0</v>
      </c>
      <c r="N994" s="25">
        <v>0</v>
      </c>
      <c r="O994" s="25">
        <v>0</v>
      </c>
      <c r="P994" s="25">
        <v>0</v>
      </c>
      <c r="Q994" s="25">
        <v>0</v>
      </c>
      <c r="R994" s="25">
        <v>0</v>
      </c>
      <c r="S994" s="25">
        <v>0</v>
      </c>
      <c r="T994" s="25">
        <v>0</v>
      </c>
      <c r="U994" s="25">
        <v>0</v>
      </c>
      <c r="V994" s="25">
        <v>0</v>
      </c>
      <c r="W994" s="25">
        <v>0</v>
      </c>
      <c r="X994" s="25">
        <v>0</v>
      </c>
      <c r="Y994" s="25">
        <v>0</v>
      </c>
      <c r="Z994" s="25">
        <v>0</v>
      </c>
      <c r="AA994" s="25">
        <v>0</v>
      </c>
      <c r="AB994" s="25">
        <v>0</v>
      </c>
      <c r="AC994" s="25">
        <v>0</v>
      </c>
      <c r="AD994" s="25">
        <v>0</v>
      </c>
      <c r="AE994" s="25">
        <v>0</v>
      </c>
      <c r="AF994" s="25">
        <v>0</v>
      </c>
    </row>
    <row r="995" spans="1:32" x14ac:dyDescent="0.25">
      <c r="A995" s="25" t="s">
        <v>1064</v>
      </c>
      <c r="B995" s="25">
        <v>0</v>
      </c>
      <c r="C995" s="25">
        <v>0</v>
      </c>
      <c r="D995" s="25">
        <v>0</v>
      </c>
      <c r="E995" s="25">
        <v>0</v>
      </c>
      <c r="F995" s="25">
        <v>0</v>
      </c>
      <c r="G995" s="25">
        <v>0</v>
      </c>
      <c r="H995" s="25">
        <v>0</v>
      </c>
      <c r="I995" s="25">
        <v>0</v>
      </c>
      <c r="J995" s="25">
        <v>0</v>
      </c>
      <c r="K995" s="25">
        <v>0</v>
      </c>
      <c r="L995" s="25">
        <v>0</v>
      </c>
      <c r="M995" s="25">
        <v>0</v>
      </c>
      <c r="N995" s="25">
        <v>0</v>
      </c>
      <c r="O995" s="25">
        <v>0</v>
      </c>
      <c r="P995" s="25">
        <v>0</v>
      </c>
      <c r="Q995" s="25">
        <v>0</v>
      </c>
      <c r="R995" s="25">
        <v>0</v>
      </c>
      <c r="S995" s="25">
        <v>0</v>
      </c>
      <c r="T995" s="25">
        <v>0</v>
      </c>
      <c r="U995" s="25">
        <v>0</v>
      </c>
      <c r="V995" s="25">
        <v>0</v>
      </c>
      <c r="W995" s="25">
        <v>0</v>
      </c>
      <c r="X995" s="25">
        <v>0</v>
      </c>
      <c r="Y995" s="25">
        <v>0</v>
      </c>
      <c r="Z995" s="25">
        <v>0</v>
      </c>
      <c r="AA995" s="25">
        <v>0</v>
      </c>
      <c r="AB995" s="25">
        <v>0</v>
      </c>
      <c r="AC995" s="25">
        <v>0</v>
      </c>
      <c r="AD995" s="25">
        <v>0</v>
      </c>
      <c r="AE995" s="25">
        <v>0</v>
      </c>
      <c r="AF995" s="25">
        <v>0</v>
      </c>
    </row>
    <row r="996" spans="1:32" x14ac:dyDescent="0.25">
      <c r="A996" s="25" t="s">
        <v>1065</v>
      </c>
      <c r="B996" s="25">
        <v>0</v>
      </c>
      <c r="C996" s="25">
        <v>0</v>
      </c>
      <c r="D996" s="25">
        <v>0</v>
      </c>
      <c r="E996" s="25">
        <v>0</v>
      </c>
      <c r="F996" s="25">
        <v>0</v>
      </c>
      <c r="G996" s="25">
        <v>0</v>
      </c>
      <c r="H996" s="25">
        <v>0</v>
      </c>
      <c r="I996" s="25">
        <v>0</v>
      </c>
      <c r="J996" s="25">
        <v>0</v>
      </c>
      <c r="K996" s="25">
        <v>0</v>
      </c>
      <c r="L996" s="25">
        <v>0</v>
      </c>
      <c r="M996" s="25">
        <v>0</v>
      </c>
      <c r="N996" s="25">
        <v>0</v>
      </c>
      <c r="O996" s="25">
        <v>0</v>
      </c>
      <c r="P996" s="25">
        <v>0</v>
      </c>
      <c r="Q996" s="25">
        <v>0</v>
      </c>
      <c r="R996" s="25">
        <v>0</v>
      </c>
      <c r="S996" s="25">
        <v>0</v>
      </c>
      <c r="T996" s="25">
        <v>0</v>
      </c>
      <c r="U996" s="25">
        <v>0</v>
      </c>
      <c r="V996" s="25">
        <v>0</v>
      </c>
      <c r="W996" s="25">
        <v>0</v>
      </c>
      <c r="X996" s="25">
        <v>0</v>
      </c>
      <c r="Y996" s="25">
        <v>0</v>
      </c>
      <c r="Z996" s="25">
        <v>0</v>
      </c>
      <c r="AA996" s="25">
        <v>0</v>
      </c>
      <c r="AB996" s="25">
        <v>0</v>
      </c>
      <c r="AC996" s="25">
        <v>0</v>
      </c>
      <c r="AD996" s="25">
        <v>0</v>
      </c>
      <c r="AE996" s="25">
        <v>0</v>
      </c>
      <c r="AF996" s="25">
        <v>0</v>
      </c>
    </row>
    <row r="997" spans="1:32" x14ac:dyDescent="0.25">
      <c r="A997" s="25" t="s">
        <v>1066</v>
      </c>
      <c r="B997" s="25">
        <v>0</v>
      </c>
      <c r="C997" s="25">
        <v>0</v>
      </c>
      <c r="D997" s="25">
        <v>0</v>
      </c>
      <c r="E997" s="25">
        <v>0</v>
      </c>
      <c r="F997" s="25">
        <v>0</v>
      </c>
      <c r="G997" s="25">
        <v>0</v>
      </c>
      <c r="H997" s="25">
        <v>0</v>
      </c>
      <c r="I997" s="25">
        <v>0</v>
      </c>
      <c r="J997" s="25">
        <v>0</v>
      </c>
      <c r="K997" s="25">
        <v>0</v>
      </c>
      <c r="L997" s="25">
        <v>0</v>
      </c>
      <c r="M997" s="25">
        <v>0</v>
      </c>
      <c r="N997" s="25">
        <v>0</v>
      </c>
      <c r="O997" s="25">
        <v>0</v>
      </c>
      <c r="P997" s="25">
        <v>0</v>
      </c>
      <c r="Q997" s="25">
        <v>0</v>
      </c>
      <c r="R997" s="25">
        <v>0</v>
      </c>
      <c r="S997" s="25">
        <v>0</v>
      </c>
      <c r="T997" s="25">
        <v>0</v>
      </c>
      <c r="U997" s="25">
        <v>0</v>
      </c>
      <c r="V997" s="25">
        <v>0</v>
      </c>
      <c r="W997" s="25">
        <v>0</v>
      </c>
      <c r="X997" s="25">
        <v>0</v>
      </c>
      <c r="Y997" s="25">
        <v>0</v>
      </c>
      <c r="Z997" s="25">
        <v>0</v>
      </c>
      <c r="AA997" s="25">
        <v>0</v>
      </c>
      <c r="AB997" s="25">
        <v>0</v>
      </c>
      <c r="AC997" s="25">
        <v>0</v>
      </c>
      <c r="AD997" s="25">
        <v>0</v>
      </c>
      <c r="AE997" s="25">
        <v>0</v>
      </c>
      <c r="AF997" s="25">
        <v>0</v>
      </c>
    </row>
    <row r="998" spans="1:32" x14ac:dyDescent="0.25">
      <c r="A998" s="25" t="s">
        <v>1067</v>
      </c>
      <c r="B998" s="25">
        <v>0</v>
      </c>
      <c r="C998" s="25">
        <v>0</v>
      </c>
      <c r="D998" s="25">
        <v>0</v>
      </c>
      <c r="E998" s="25">
        <v>0</v>
      </c>
      <c r="F998" s="25">
        <v>0</v>
      </c>
      <c r="G998" s="25">
        <v>0</v>
      </c>
      <c r="H998" s="25">
        <v>0</v>
      </c>
      <c r="I998" s="25">
        <v>0</v>
      </c>
      <c r="J998" s="25">
        <v>0</v>
      </c>
      <c r="K998" s="25">
        <v>0</v>
      </c>
      <c r="L998" s="25">
        <v>0</v>
      </c>
      <c r="M998" s="25">
        <v>0</v>
      </c>
      <c r="N998" s="25">
        <v>0</v>
      </c>
      <c r="O998" s="25">
        <v>0</v>
      </c>
      <c r="P998" s="25">
        <v>0</v>
      </c>
      <c r="Q998" s="25">
        <v>0</v>
      </c>
      <c r="R998" s="25">
        <v>0</v>
      </c>
      <c r="S998" s="25">
        <v>0</v>
      </c>
      <c r="T998" s="25">
        <v>0</v>
      </c>
      <c r="U998" s="25">
        <v>0</v>
      </c>
      <c r="V998" s="25">
        <v>0</v>
      </c>
      <c r="W998" s="25">
        <v>0</v>
      </c>
      <c r="X998" s="25">
        <v>0</v>
      </c>
      <c r="Y998" s="25">
        <v>0</v>
      </c>
      <c r="Z998" s="25">
        <v>0</v>
      </c>
      <c r="AA998" s="25">
        <v>0</v>
      </c>
      <c r="AB998" s="25">
        <v>0</v>
      </c>
      <c r="AC998" s="25">
        <v>0</v>
      </c>
      <c r="AD998" s="25">
        <v>0</v>
      </c>
      <c r="AE998" s="25">
        <v>0</v>
      </c>
      <c r="AF998" s="25">
        <v>0</v>
      </c>
    </row>
    <row r="999" spans="1:32" x14ac:dyDescent="0.25">
      <c r="A999" s="25" t="s">
        <v>1068</v>
      </c>
      <c r="B999" s="25">
        <v>0</v>
      </c>
      <c r="C999" s="25">
        <v>0</v>
      </c>
      <c r="D999" s="25">
        <v>0</v>
      </c>
      <c r="E999" s="25">
        <v>0</v>
      </c>
      <c r="F999" s="25">
        <v>0</v>
      </c>
      <c r="G999" s="25">
        <v>0</v>
      </c>
      <c r="H999" s="25">
        <v>0</v>
      </c>
      <c r="I999" s="25">
        <v>0</v>
      </c>
      <c r="J999" s="25">
        <v>0</v>
      </c>
      <c r="K999" s="25">
        <v>0</v>
      </c>
      <c r="L999" s="25">
        <v>0</v>
      </c>
      <c r="M999" s="25">
        <v>0</v>
      </c>
      <c r="N999" s="25">
        <v>0</v>
      </c>
      <c r="O999" s="25">
        <v>0</v>
      </c>
      <c r="P999" s="25">
        <v>0</v>
      </c>
      <c r="Q999" s="25">
        <v>0</v>
      </c>
      <c r="R999" s="25">
        <v>0</v>
      </c>
      <c r="S999" s="25">
        <v>0</v>
      </c>
      <c r="T999" s="25">
        <v>0</v>
      </c>
      <c r="U999" s="25">
        <v>0</v>
      </c>
      <c r="V999" s="25">
        <v>0</v>
      </c>
      <c r="W999" s="25">
        <v>0</v>
      </c>
      <c r="X999" s="25">
        <v>0</v>
      </c>
      <c r="Y999" s="25">
        <v>0</v>
      </c>
      <c r="Z999" s="25">
        <v>0</v>
      </c>
      <c r="AA999" s="25">
        <v>0</v>
      </c>
      <c r="AB999" s="25">
        <v>0</v>
      </c>
      <c r="AC999" s="25">
        <v>0</v>
      </c>
      <c r="AD999" s="25">
        <v>0</v>
      </c>
      <c r="AE999" s="25">
        <v>0</v>
      </c>
      <c r="AF999" s="25">
        <v>0</v>
      </c>
    </row>
    <row r="1000" spans="1:32" x14ac:dyDescent="0.25">
      <c r="A1000" s="25" t="s">
        <v>1069</v>
      </c>
      <c r="B1000" s="25">
        <v>0</v>
      </c>
      <c r="C1000" s="12">
        <v>11227500000</v>
      </c>
      <c r="D1000" s="12">
        <v>33614600000</v>
      </c>
      <c r="E1000" s="12">
        <v>70498800000</v>
      </c>
      <c r="F1000" s="12">
        <v>120245000000</v>
      </c>
      <c r="G1000" s="12">
        <v>179246000000</v>
      </c>
      <c r="H1000" s="12">
        <v>241502000000</v>
      </c>
      <c r="I1000" s="12">
        <v>302301000000</v>
      </c>
      <c r="J1000" s="12">
        <v>359395000000</v>
      </c>
      <c r="K1000" s="12">
        <v>412425000000</v>
      </c>
      <c r="L1000" s="12">
        <v>462396000000</v>
      </c>
      <c r="M1000" s="12">
        <v>510087000000</v>
      </c>
      <c r="N1000" s="12">
        <v>555711000000</v>
      </c>
      <c r="O1000" s="12">
        <v>601759000000</v>
      </c>
      <c r="P1000" s="12">
        <v>649230000000</v>
      </c>
      <c r="Q1000" s="12">
        <v>698404000000</v>
      </c>
      <c r="R1000" s="12">
        <v>751915000000</v>
      </c>
      <c r="S1000" s="12">
        <v>800791000000</v>
      </c>
      <c r="T1000" s="12">
        <v>846702000000</v>
      </c>
      <c r="U1000" s="12">
        <v>889959000000</v>
      </c>
      <c r="V1000" s="12">
        <v>927023000000</v>
      </c>
      <c r="W1000" s="12">
        <v>953806000000</v>
      </c>
      <c r="X1000" s="12">
        <v>972019000000</v>
      </c>
      <c r="Y1000" s="12">
        <v>984306000000</v>
      </c>
      <c r="Z1000" s="12">
        <v>992848000000</v>
      </c>
      <c r="AA1000" s="12">
        <v>999754000000</v>
      </c>
      <c r="AB1000" s="12">
        <v>1006280000000</v>
      </c>
      <c r="AC1000" s="12">
        <v>1011850000000</v>
      </c>
      <c r="AD1000" s="12">
        <v>1016510000000</v>
      </c>
      <c r="AE1000" s="12">
        <v>1020920000000</v>
      </c>
      <c r="AF1000" s="12">
        <v>1025340000000</v>
      </c>
    </row>
    <row r="1001" spans="1:32" x14ac:dyDescent="0.25">
      <c r="A1001" s="25" t="s">
        <v>1070</v>
      </c>
      <c r="B1001" s="25">
        <v>0</v>
      </c>
      <c r="C1001" s="25">
        <v>0</v>
      </c>
      <c r="D1001" s="25">
        <v>0</v>
      </c>
      <c r="E1001" s="25">
        <v>0</v>
      </c>
      <c r="F1001" s="25">
        <v>0</v>
      </c>
      <c r="G1001" s="25">
        <v>0</v>
      </c>
      <c r="H1001" s="25">
        <v>0</v>
      </c>
      <c r="I1001" s="25">
        <v>0</v>
      </c>
      <c r="J1001" s="25">
        <v>0</v>
      </c>
      <c r="K1001" s="25">
        <v>0</v>
      </c>
      <c r="L1001" s="25">
        <v>0</v>
      </c>
      <c r="M1001" s="25">
        <v>0</v>
      </c>
      <c r="N1001" s="25">
        <v>0</v>
      </c>
      <c r="O1001" s="25">
        <v>0</v>
      </c>
      <c r="P1001" s="25">
        <v>0</v>
      </c>
      <c r="Q1001" s="25">
        <v>0</v>
      </c>
      <c r="R1001" s="25">
        <v>0</v>
      </c>
      <c r="S1001" s="25">
        <v>0</v>
      </c>
      <c r="T1001" s="25">
        <v>0</v>
      </c>
      <c r="U1001" s="25">
        <v>0</v>
      </c>
      <c r="V1001" s="25">
        <v>0</v>
      </c>
      <c r="W1001" s="25">
        <v>0</v>
      </c>
      <c r="X1001" s="25">
        <v>0</v>
      </c>
      <c r="Y1001" s="25">
        <v>0</v>
      </c>
      <c r="Z1001" s="25">
        <v>0</v>
      </c>
      <c r="AA1001" s="25">
        <v>0</v>
      </c>
      <c r="AB1001" s="25">
        <v>0</v>
      </c>
      <c r="AC1001" s="25">
        <v>0</v>
      </c>
      <c r="AD1001" s="25">
        <v>0</v>
      </c>
      <c r="AE1001" s="25">
        <v>0</v>
      </c>
      <c r="AF1001" s="25">
        <v>0</v>
      </c>
    </row>
    <row r="1002" spans="1:32" x14ac:dyDescent="0.25">
      <c r="A1002" s="25" t="s">
        <v>1071</v>
      </c>
      <c r="B1002" s="25">
        <v>0</v>
      </c>
      <c r="C1002" s="25">
        <v>0</v>
      </c>
      <c r="D1002" s="25">
        <v>0</v>
      </c>
      <c r="E1002" s="25">
        <v>0</v>
      </c>
      <c r="F1002" s="25">
        <v>0</v>
      </c>
      <c r="G1002" s="25">
        <v>0</v>
      </c>
      <c r="H1002" s="25">
        <v>0</v>
      </c>
      <c r="I1002" s="25">
        <v>0</v>
      </c>
      <c r="J1002" s="25">
        <v>0</v>
      </c>
      <c r="K1002" s="25">
        <v>0</v>
      </c>
      <c r="L1002" s="25">
        <v>0</v>
      </c>
      <c r="M1002" s="25">
        <v>0</v>
      </c>
      <c r="N1002" s="25">
        <v>0</v>
      </c>
      <c r="O1002" s="25">
        <v>0</v>
      </c>
      <c r="P1002" s="25">
        <v>0</v>
      </c>
      <c r="Q1002" s="25">
        <v>0</v>
      </c>
      <c r="R1002" s="25">
        <v>0</v>
      </c>
      <c r="S1002" s="25">
        <v>0</v>
      </c>
      <c r="T1002" s="25">
        <v>0</v>
      </c>
      <c r="U1002" s="25">
        <v>0</v>
      </c>
      <c r="V1002" s="25">
        <v>0</v>
      </c>
      <c r="W1002" s="25">
        <v>0</v>
      </c>
      <c r="X1002" s="25">
        <v>0</v>
      </c>
      <c r="Y1002" s="25">
        <v>0</v>
      </c>
      <c r="Z1002" s="25">
        <v>0</v>
      </c>
      <c r="AA1002" s="25">
        <v>0</v>
      </c>
      <c r="AB1002" s="25">
        <v>0</v>
      </c>
      <c r="AC1002" s="25">
        <v>0</v>
      </c>
      <c r="AD1002" s="25">
        <v>0</v>
      </c>
      <c r="AE1002" s="25">
        <v>0</v>
      </c>
      <c r="AF1002" s="25">
        <v>0</v>
      </c>
    </row>
    <row r="1003" spans="1:32" x14ac:dyDescent="0.25">
      <c r="A1003" s="25" t="s">
        <v>1072</v>
      </c>
      <c r="B1003" s="25">
        <v>0</v>
      </c>
      <c r="C1003" s="25">
        <v>0</v>
      </c>
      <c r="D1003" s="25">
        <v>0</v>
      </c>
      <c r="E1003" s="25">
        <v>0</v>
      </c>
      <c r="F1003" s="25">
        <v>0</v>
      </c>
      <c r="G1003" s="25">
        <v>0</v>
      </c>
      <c r="H1003" s="25">
        <v>0</v>
      </c>
      <c r="I1003" s="25">
        <v>0</v>
      </c>
      <c r="J1003" s="25">
        <v>0</v>
      </c>
      <c r="K1003" s="25">
        <v>0</v>
      </c>
      <c r="L1003" s="25">
        <v>0</v>
      </c>
      <c r="M1003" s="25">
        <v>0</v>
      </c>
      <c r="N1003" s="25">
        <v>0</v>
      </c>
      <c r="O1003" s="25">
        <v>0</v>
      </c>
      <c r="P1003" s="25">
        <v>0</v>
      </c>
      <c r="Q1003" s="25">
        <v>0</v>
      </c>
      <c r="R1003" s="25">
        <v>0</v>
      </c>
      <c r="S1003" s="25">
        <v>0</v>
      </c>
      <c r="T1003" s="25">
        <v>0</v>
      </c>
      <c r="U1003" s="25">
        <v>0</v>
      </c>
      <c r="V1003" s="25">
        <v>0</v>
      </c>
      <c r="W1003" s="25">
        <v>0</v>
      </c>
      <c r="X1003" s="25">
        <v>0</v>
      </c>
      <c r="Y1003" s="25">
        <v>0</v>
      </c>
      <c r="Z1003" s="25">
        <v>0</v>
      </c>
      <c r="AA1003" s="25">
        <v>0</v>
      </c>
      <c r="AB1003" s="25">
        <v>0</v>
      </c>
      <c r="AC1003" s="25">
        <v>0</v>
      </c>
      <c r="AD1003" s="25">
        <v>0</v>
      </c>
      <c r="AE1003" s="25">
        <v>0</v>
      </c>
      <c r="AF1003" s="25">
        <v>0</v>
      </c>
    </row>
    <row r="1004" spans="1:32" x14ac:dyDescent="0.25">
      <c r="A1004" s="25" t="s">
        <v>1073</v>
      </c>
      <c r="B1004" s="25">
        <v>0</v>
      </c>
      <c r="C1004" s="25">
        <v>0</v>
      </c>
      <c r="D1004" s="25">
        <v>0</v>
      </c>
      <c r="E1004" s="25">
        <v>0</v>
      </c>
      <c r="F1004" s="25">
        <v>0</v>
      </c>
      <c r="G1004" s="25">
        <v>0</v>
      </c>
      <c r="H1004" s="25">
        <v>0</v>
      </c>
      <c r="I1004" s="25">
        <v>0</v>
      </c>
      <c r="J1004" s="25">
        <v>0</v>
      </c>
      <c r="K1004" s="25">
        <v>0</v>
      </c>
      <c r="L1004" s="25">
        <v>0</v>
      </c>
      <c r="M1004" s="25">
        <v>0</v>
      </c>
      <c r="N1004" s="25">
        <v>0</v>
      </c>
      <c r="O1004" s="25">
        <v>0</v>
      </c>
      <c r="P1004" s="25">
        <v>0</v>
      </c>
      <c r="Q1004" s="25">
        <v>0</v>
      </c>
      <c r="R1004" s="25">
        <v>0</v>
      </c>
      <c r="S1004" s="25">
        <v>0</v>
      </c>
      <c r="T1004" s="25">
        <v>0</v>
      </c>
      <c r="U1004" s="25">
        <v>0</v>
      </c>
      <c r="V1004" s="25">
        <v>0</v>
      </c>
      <c r="W1004" s="25">
        <v>0</v>
      </c>
      <c r="X1004" s="25">
        <v>0</v>
      </c>
      <c r="Y1004" s="25">
        <v>0</v>
      </c>
      <c r="Z1004" s="25">
        <v>0</v>
      </c>
      <c r="AA1004" s="25">
        <v>0</v>
      </c>
      <c r="AB1004" s="25">
        <v>0</v>
      </c>
      <c r="AC1004" s="25">
        <v>0</v>
      </c>
      <c r="AD1004" s="25">
        <v>0</v>
      </c>
      <c r="AE1004" s="25">
        <v>0</v>
      </c>
      <c r="AF1004" s="25">
        <v>0</v>
      </c>
    </row>
    <row r="1005" spans="1:32" x14ac:dyDescent="0.25">
      <c r="A1005" s="25" t="s">
        <v>1074</v>
      </c>
      <c r="B1005" s="25">
        <v>0</v>
      </c>
      <c r="C1005" s="25">
        <v>0</v>
      </c>
      <c r="D1005" s="25">
        <v>0</v>
      </c>
      <c r="E1005" s="25">
        <v>0</v>
      </c>
      <c r="F1005" s="25">
        <v>0</v>
      </c>
      <c r="G1005" s="25">
        <v>0</v>
      </c>
      <c r="H1005" s="25">
        <v>0</v>
      </c>
      <c r="I1005" s="25">
        <v>0</v>
      </c>
      <c r="J1005" s="25">
        <v>0</v>
      </c>
      <c r="K1005" s="25">
        <v>0</v>
      </c>
      <c r="L1005" s="25">
        <v>0</v>
      </c>
      <c r="M1005" s="25">
        <v>0</v>
      </c>
      <c r="N1005" s="25">
        <v>0</v>
      </c>
      <c r="O1005" s="25">
        <v>0</v>
      </c>
      <c r="P1005" s="25">
        <v>0</v>
      </c>
      <c r="Q1005" s="25">
        <v>0</v>
      </c>
      <c r="R1005" s="25">
        <v>0</v>
      </c>
      <c r="S1005" s="25">
        <v>0</v>
      </c>
      <c r="T1005" s="25">
        <v>0</v>
      </c>
      <c r="U1005" s="25">
        <v>0</v>
      </c>
      <c r="V1005" s="25">
        <v>0</v>
      </c>
      <c r="W1005" s="25">
        <v>0</v>
      </c>
      <c r="X1005" s="25">
        <v>0</v>
      </c>
      <c r="Y1005" s="25">
        <v>0</v>
      </c>
      <c r="Z1005" s="25">
        <v>0</v>
      </c>
      <c r="AA1005" s="25">
        <v>0</v>
      </c>
      <c r="AB1005" s="25">
        <v>0</v>
      </c>
      <c r="AC1005" s="25">
        <v>0</v>
      </c>
      <c r="AD1005" s="25">
        <v>0</v>
      </c>
      <c r="AE1005" s="25">
        <v>0</v>
      </c>
      <c r="AF1005" s="25">
        <v>0</v>
      </c>
    </row>
    <row r="1006" spans="1:32" x14ac:dyDescent="0.25">
      <c r="A1006" s="25" t="s">
        <v>1075</v>
      </c>
      <c r="B1006" s="25">
        <v>0</v>
      </c>
      <c r="C1006" s="25">
        <v>0</v>
      </c>
      <c r="D1006" s="25">
        <v>0</v>
      </c>
      <c r="E1006" s="25">
        <v>0</v>
      </c>
      <c r="F1006" s="25">
        <v>0</v>
      </c>
      <c r="G1006" s="25">
        <v>0</v>
      </c>
      <c r="H1006" s="25">
        <v>0</v>
      </c>
      <c r="I1006" s="25">
        <v>0</v>
      </c>
      <c r="J1006" s="25">
        <v>0</v>
      </c>
      <c r="K1006" s="25">
        <v>0</v>
      </c>
      <c r="L1006" s="25">
        <v>0</v>
      </c>
      <c r="M1006" s="25">
        <v>0</v>
      </c>
      <c r="N1006" s="25">
        <v>0</v>
      </c>
      <c r="O1006" s="25">
        <v>0</v>
      </c>
      <c r="P1006" s="25">
        <v>0</v>
      </c>
      <c r="Q1006" s="25">
        <v>0</v>
      </c>
      <c r="R1006" s="25">
        <v>0</v>
      </c>
      <c r="S1006" s="25">
        <v>0</v>
      </c>
      <c r="T1006" s="25">
        <v>0</v>
      </c>
      <c r="U1006" s="25">
        <v>0</v>
      </c>
      <c r="V1006" s="25">
        <v>0</v>
      </c>
      <c r="W1006" s="25">
        <v>0</v>
      </c>
      <c r="X1006" s="25">
        <v>0</v>
      </c>
      <c r="Y1006" s="25">
        <v>0</v>
      </c>
      <c r="Z1006" s="25">
        <v>0</v>
      </c>
      <c r="AA1006" s="25">
        <v>0</v>
      </c>
      <c r="AB1006" s="25">
        <v>0</v>
      </c>
      <c r="AC1006" s="25">
        <v>0</v>
      </c>
      <c r="AD1006" s="25">
        <v>0</v>
      </c>
      <c r="AE1006" s="25">
        <v>0</v>
      </c>
      <c r="AF1006" s="25">
        <v>0</v>
      </c>
    </row>
    <row r="1007" spans="1:32" x14ac:dyDescent="0.25">
      <c r="A1007" s="25" t="s">
        <v>1076</v>
      </c>
      <c r="B1007" s="25">
        <v>0</v>
      </c>
      <c r="C1007" s="25">
        <v>0</v>
      </c>
      <c r="D1007" s="25">
        <v>0</v>
      </c>
      <c r="E1007" s="25">
        <v>0</v>
      </c>
      <c r="F1007" s="25">
        <v>0</v>
      </c>
      <c r="G1007" s="25">
        <v>0</v>
      </c>
      <c r="H1007" s="25">
        <v>0</v>
      </c>
      <c r="I1007" s="25">
        <v>0</v>
      </c>
      <c r="J1007" s="25">
        <v>0</v>
      </c>
      <c r="K1007" s="25">
        <v>0</v>
      </c>
      <c r="L1007" s="25">
        <v>0</v>
      </c>
      <c r="M1007" s="25">
        <v>0</v>
      </c>
      <c r="N1007" s="25">
        <v>0</v>
      </c>
      <c r="O1007" s="25">
        <v>0</v>
      </c>
      <c r="P1007" s="25">
        <v>0</v>
      </c>
      <c r="Q1007" s="25">
        <v>0</v>
      </c>
      <c r="R1007" s="25">
        <v>0</v>
      </c>
      <c r="S1007" s="25">
        <v>0</v>
      </c>
      <c r="T1007" s="25">
        <v>0</v>
      </c>
      <c r="U1007" s="25">
        <v>0</v>
      </c>
      <c r="V1007" s="25">
        <v>0</v>
      </c>
      <c r="W1007" s="25">
        <v>0</v>
      </c>
      <c r="X1007" s="25">
        <v>0</v>
      </c>
      <c r="Y1007" s="25">
        <v>0</v>
      </c>
      <c r="Z1007" s="25">
        <v>0</v>
      </c>
      <c r="AA1007" s="25">
        <v>0</v>
      </c>
      <c r="AB1007" s="25">
        <v>0</v>
      </c>
      <c r="AC1007" s="25">
        <v>0</v>
      </c>
      <c r="AD1007" s="25">
        <v>0</v>
      </c>
      <c r="AE1007" s="25">
        <v>0</v>
      </c>
      <c r="AF1007" s="25">
        <v>0</v>
      </c>
    </row>
    <row r="1008" spans="1:32" x14ac:dyDescent="0.25">
      <c r="A1008" s="25" t="s">
        <v>1077</v>
      </c>
      <c r="B1008" s="25">
        <v>0</v>
      </c>
      <c r="C1008" s="25">
        <v>0</v>
      </c>
      <c r="D1008" s="25">
        <v>0</v>
      </c>
      <c r="E1008" s="25">
        <v>0</v>
      </c>
      <c r="F1008" s="25">
        <v>0</v>
      </c>
      <c r="G1008" s="25">
        <v>0</v>
      </c>
      <c r="H1008" s="25">
        <v>0</v>
      </c>
      <c r="I1008" s="25">
        <v>0</v>
      </c>
      <c r="J1008" s="25">
        <v>0</v>
      </c>
      <c r="K1008" s="25">
        <v>0</v>
      </c>
      <c r="L1008" s="25">
        <v>0</v>
      </c>
      <c r="M1008" s="25">
        <v>0</v>
      </c>
      <c r="N1008" s="25">
        <v>0</v>
      </c>
      <c r="O1008" s="25">
        <v>0</v>
      </c>
      <c r="P1008" s="25">
        <v>0</v>
      </c>
      <c r="Q1008" s="25">
        <v>0</v>
      </c>
      <c r="R1008" s="25">
        <v>0</v>
      </c>
      <c r="S1008" s="25">
        <v>0</v>
      </c>
      <c r="T1008" s="25">
        <v>0</v>
      </c>
      <c r="U1008" s="25">
        <v>0</v>
      </c>
      <c r="V1008" s="25">
        <v>0</v>
      </c>
      <c r="W1008" s="25">
        <v>0</v>
      </c>
      <c r="X1008" s="25">
        <v>0</v>
      </c>
      <c r="Y1008" s="25">
        <v>0</v>
      </c>
      <c r="Z1008" s="25">
        <v>0</v>
      </c>
      <c r="AA1008" s="25">
        <v>0</v>
      </c>
      <c r="AB1008" s="25">
        <v>0</v>
      </c>
      <c r="AC1008" s="25">
        <v>0</v>
      </c>
      <c r="AD1008" s="25">
        <v>0</v>
      </c>
      <c r="AE1008" s="25">
        <v>0</v>
      </c>
      <c r="AF1008" s="25">
        <v>0</v>
      </c>
    </row>
    <row r="1009" spans="1:32" x14ac:dyDescent="0.25">
      <c r="A1009" s="25" t="s">
        <v>1078</v>
      </c>
      <c r="B1009" s="25">
        <v>0</v>
      </c>
      <c r="C1009" s="25">
        <v>0</v>
      </c>
      <c r="D1009" s="25">
        <v>0</v>
      </c>
      <c r="E1009" s="25">
        <v>0</v>
      </c>
      <c r="F1009" s="25">
        <v>0</v>
      </c>
      <c r="G1009" s="25">
        <v>0</v>
      </c>
      <c r="H1009" s="25">
        <v>0</v>
      </c>
      <c r="I1009" s="25">
        <v>0</v>
      </c>
      <c r="J1009" s="25">
        <v>0</v>
      </c>
      <c r="K1009" s="25">
        <v>0</v>
      </c>
      <c r="L1009" s="25">
        <v>0</v>
      </c>
      <c r="M1009" s="25">
        <v>0</v>
      </c>
      <c r="N1009" s="25">
        <v>0</v>
      </c>
      <c r="O1009" s="25">
        <v>0</v>
      </c>
      <c r="P1009" s="25">
        <v>0</v>
      </c>
      <c r="Q1009" s="25">
        <v>0</v>
      </c>
      <c r="R1009" s="25">
        <v>0</v>
      </c>
      <c r="S1009" s="25">
        <v>0</v>
      </c>
      <c r="T1009" s="25">
        <v>0</v>
      </c>
      <c r="U1009" s="25">
        <v>0</v>
      </c>
      <c r="V1009" s="25">
        <v>0</v>
      </c>
      <c r="W1009" s="25">
        <v>0</v>
      </c>
      <c r="X1009" s="25">
        <v>0</v>
      </c>
      <c r="Y1009" s="25">
        <v>0</v>
      </c>
      <c r="Z1009" s="25">
        <v>0</v>
      </c>
      <c r="AA1009" s="25">
        <v>0</v>
      </c>
      <c r="AB1009" s="25">
        <v>0</v>
      </c>
      <c r="AC1009" s="25">
        <v>0</v>
      </c>
      <c r="AD1009" s="25">
        <v>0</v>
      </c>
      <c r="AE1009" s="25">
        <v>0</v>
      </c>
      <c r="AF1009" s="25">
        <v>0</v>
      </c>
    </row>
    <row r="1010" spans="1:32" x14ac:dyDescent="0.25">
      <c r="A1010" s="25" t="s">
        <v>1079</v>
      </c>
      <c r="B1010" s="25">
        <v>0</v>
      </c>
      <c r="C1010" s="25">
        <v>0</v>
      </c>
      <c r="D1010" s="25">
        <v>0</v>
      </c>
      <c r="E1010" s="25">
        <v>0</v>
      </c>
      <c r="F1010" s="25">
        <v>0</v>
      </c>
      <c r="G1010" s="25">
        <v>0</v>
      </c>
      <c r="H1010" s="25">
        <v>0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5">
        <v>0</v>
      </c>
      <c r="O1010" s="25">
        <v>0</v>
      </c>
      <c r="P1010" s="25">
        <v>0</v>
      </c>
      <c r="Q1010" s="25">
        <v>0</v>
      </c>
      <c r="R1010" s="25">
        <v>0</v>
      </c>
      <c r="S1010" s="25">
        <v>0</v>
      </c>
      <c r="T1010" s="25">
        <v>0</v>
      </c>
      <c r="U1010" s="25">
        <v>0</v>
      </c>
      <c r="V1010" s="25">
        <v>0</v>
      </c>
      <c r="W1010" s="25">
        <v>0</v>
      </c>
      <c r="X1010" s="25">
        <v>0</v>
      </c>
      <c r="Y1010" s="25">
        <v>0</v>
      </c>
      <c r="Z1010" s="25">
        <v>0</v>
      </c>
      <c r="AA1010" s="25">
        <v>0</v>
      </c>
      <c r="AB1010" s="25">
        <v>0</v>
      </c>
      <c r="AC1010" s="25">
        <v>0</v>
      </c>
      <c r="AD1010" s="25">
        <v>0</v>
      </c>
      <c r="AE1010" s="25">
        <v>0</v>
      </c>
      <c r="AF1010" s="25">
        <v>0</v>
      </c>
    </row>
    <row r="1011" spans="1:32" x14ac:dyDescent="0.25">
      <c r="A1011" s="25" t="s">
        <v>1080</v>
      </c>
      <c r="B1011" s="25">
        <v>0</v>
      </c>
      <c r="C1011" s="25">
        <v>0</v>
      </c>
      <c r="D1011" s="25">
        <v>0</v>
      </c>
      <c r="E1011" s="25">
        <v>0</v>
      </c>
      <c r="F1011" s="25">
        <v>0</v>
      </c>
      <c r="G1011" s="25">
        <v>0</v>
      </c>
      <c r="H1011" s="25">
        <v>0</v>
      </c>
      <c r="I1011" s="25">
        <v>0</v>
      </c>
      <c r="J1011" s="25">
        <v>0</v>
      </c>
      <c r="K1011" s="25">
        <v>0</v>
      </c>
      <c r="L1011" s="25">
        <v>0</v>
      </c>
      <c r="M1011" s="25">
        <v>0</v>
      </c>
      <c r="N1011" s="25">
        <v>0</v>
      </c>
      <c r="O1011" s="25">
        <v>0</v>
      </c>
      <c r="P1011" s="25">
        <v>0</v>
      </c>
      <c r="Q1011" s="25">
        <v>0</v>
      </c>
      <c r="R1011" s="25">
        <v>0</v>
      </c>
      <c r="S1011" s="25">
        <v>0</v>
      </c>
      <c r="T1011" s="25">
        <v>0</v>
      </c>
      <c r="U1011" s="25">
        <v>0</v>
      </c>
      <c r="V1011" s="25">
        <v>0</v>
      </c>
      <c r="W1011" s="25">
        <v>0</v>
      </c>
      <c r="X1011" s="25">
        <v>0</v>
      </c>
      <c r="Y1011" s="25">
        <v>0</v>
      </c>
      <c r="Z1011" s="25">
        <v>0</v>
      </c>
      <c r="AA1011" s="25">
        <v>0</v>
      </c>
      <c r="AB1011" s="25">
        <v>0</v>
      </c>
      <c r="AC1011" s="25">
        <v>0</v>
      </c>
      <c r="AD1011" s="25">
        <v>0</v>
      </c>
      <c r="AE1011" s="25">
        <v>0</v>
      </c>
      <c r="AF1011" s="25">
        <v>0</v>
      </c>
    </row>
    <row r="1012" spans="1:32" x14ac:dyDescent="0.25">
      <c r="A1012" s="25" t="s">
        <v>1081</v>
      </c>
      <c r="B1012" s="25">
        <v>0</v>
      </c>
      <c r="C1012" s="25">
        <v>0</v>
      </c>
      <c r="D1012" s="25">
        <v>0</v>
      </c>
      <c r="E1012" s="25">
        <v>0</v>
      </c>
      <c r="F1012" s="25">
        <v>0</v>
      </c>
      <c r="G1012" s="25">
        <v>0</v>
      </c>
      <c r="H1012" s="25">
        <v>0</v>
      </c>
      <c r="I1012" s="25">
        <v>0</v>
      </c>
      <c r="J1012" s="25">
        <v>0</v>
      </c>
      <c r="K1012" s="25">
        <v>0</v>
      </c>
      <c r="L1012" s="25">
        <v>0</v>
      </c>
      <c r="M1012" s="25">
        <v>0</v>
      </c>
      <c r="N1012" s="25">
        <v>0</v>
      </c>
      <c r="O1012" s="25">
        <v>0</v>
      </c>
      <c r="P1012" s="25">
        <v>0</v>
      </c>
      <c r="Q1012" s="25">
        <v>0</v>
      </c>
      <c r="R1012" s="25">
        <v>0</v>
      </c>
      <c r="S1012" s="25">
        <v>0</v>
      </c>
      <c r="T1012" s="25">
        <v>0</v>
      </c>
      <c r="U1012" s="25">
        <v>0</v>
      </c>
      <c r="V1012" s="25">
        <v>0</v>
      </c>
      <c r="W1012" s="25">
        <v>0</v>
      </c>
      <c r="X1012" s="25">
        <v>0</v>
      </c>
      <c r="Y1012" s="25">
        <v>0</v>
      </c>
      <c r="Z1012" s="25">
        <v>0</v>
      </c>
      <c r="AA1012" s="25">
        <v>0</v>
      </c>
      <c r="AB1012" s="25">
        <v>0</v>
      </c>
      <c r="AC1012" s="25">
        <v>0</v>
      </c>
      <c r="AD1012" s="25">
        <v>0</v>
      </c>
      <c r="AE1012" s="25">
        <v>0</v>
      </c>
      <c r="AF1012" s="25">
        <v>0</v>
      </c>
    </row>
    <row r="1013" spans="1:32" x14ac:dyDescent="0.25">
      <c r="A1013" s="25" t="s">
        <v>1082</v>
      </c>
      <c r="B1013" s="25">
        <v>0</v>
      </c>
      <c r="C1013" s="25">
        <v>0</v>
      </c>
      <c r="D1013" s="25">
        <v>0</v>
      </c>
      <c r="E1013" s="25">
        <v>0</v>
      </c>
      <c r="F1013" s="25">
        <v>0</v>
      </c>
      <c r="G1013" s="25">
        <v>0</v>
      </c>
      <c r="H1013" s="25">
        <v>0</v>
      </c>
      <c r="I1013" s="25">
        <v>0</v>
      </c>
      <c r="J1013" s="25">
        <v>0</v>
      </c>
      <c r="K1013" s="25">
        <v>0</v>
      </c>
      <c r="L1013" s="25">
        <v>0</v>
      </c>
      <c r="M1013" s="25">
        <v>0</v>
      </c>
      <c r="N1013" s="25">
        <v>0</v>
      </c>
      <c r="O1013" s="25">
        <v>0</v>
      </c>
      <c r="P1013" s="25">
        <v>0</v>
      </c>
      <c r="Q1013" s="25">
        <v>0</v>
      </c>
      <c r="R1013" s="25">
        <v>0</v>
      </c>
      <c r="S1013" s="25">
        <v>0</v>
      </c>
      <c r="T1013" s="25">
        <v>0</v>
      </c>
      <c r="U1013" s="25">
        <v>0</v>
      </c>
      <c r="V1013" s="25">
        <v>0</v>
      </c>
      <c r="W1013" s="25">
        <v>0</v>
      </c>
      <c r="X1013" s="25">
        <v>0</v>
      </c>
      <c r="Y1013" s="25">
        <v>0</v>
      </c>
      <c r="Z1013" s="25">
        <v>0</v>
      </c>
      <c r="AA1013" s="25">
        <v>0</v>
      </c>
      <c r="AB1013" s="25">
        <v>0</v>
      </c>
      <c r="AC1013" s="25">
        <v>0</v>
      </c>
      <c r="AD1013" s="25">
        <v>0</v>
      </c>
      <c r="AE1013" s="25">
        <v>0</v>
      </c>
      <c r="AF1013" s="25">
        <v>0</v>
      </c>
    </row>
    <row r="1014" spans="1:32" x14ac:dyDescent="0.25">
      <c r="A1014" s="25" t="s">
        <v>1083</v>
      </c>
      <c r="B1014" s="25">
        <v>0</v>
      </c>
      <c r="C1014" s="25">
        <v>0</v>
      </c>
      <c r="D1014" s="25">
        <v>0</v>
      </c>
      <c r="E1014" s="25">
        <v>0</v>
      </c>
      <c r="F1014" s="25">
        <v>0</v>
      </c>
      <c r="G1014" s="25">
        <v>0</v>
      </c>
      <c r="H1014" s="25">
        <v>0</v>
      </c>
      <c r="I1014" s="25">
        <v>0</v>
      </c>
      <c r="J1014" s="25">
        <v>0</v>
      </c>
      <c r="K1014" s="25">
        <v>0</v>
      </c>
      <c r="L1014" s="25">
        <v>0</v>
      </c>
      <c r="M1014" s="25">
        <v>0</v>
      </c>
      <c r="N1014" s="25">
        <v>0</v>
      </c>
      <c r="O1014" s="25">
        <v>0</v>
      </c>
      <c r="P1014" s="25">
        <v>0</v>
      </c>
      <c r="Q1014" s="25">
        <v>0</v>
      </c>
      <c r="R1014" s="25">
        <v>0</v>
      </c>
      <c r="S1014" s="25">
        <v>0</v>
      </c>
      <c r="T1014" s="25">
        <v>0</v>
      </c>
      <c r="U1014" s="25">
        <v>0</v>
      </c>
      <c r="V1014" s="25">
        <v>0</v>
      </c>
      <c r="W1014" s="25">
        <v>0</v>
      </c>
      <c r="X1014" s="25">
        <v>0</v>
      </c>
      <c r="Y1014" s="25">
        <v>0</v>
      </c>
      <c r="Z1014" s="25">
        <v>0</v>
      </c>
      <c r="AA1014" s="25">
        <v>0</v>
      </c>
      <c r="AB1014" s="25">
        <v>0</v>
      </c>
      <c r="AC1014" s="25">
        <v>0</v>
      </c>
      <c r="AD1014" s="25">
        <v>0</v>
      </c>
      <c r="AE1014" s="25">
        <v>0</v>
      </c>
      <c r="AF1014" s="25">
        <v>0</v>
      </c>
    </row>
    <row r="1015" spans="1:32" x14ac:dyDescent="0.25">
      <c r="A1015" s="25" t="s">
        <v>1084</v>
      </c>
      <c r="B1015" s="25">
        <v>0</v>
      </c>
      <c r="C1015" s="25">
        <v>0</v>
      </c>
      <c r="D1015" s="25">
        <v>0</v>
      </c>
      <c r="E1015" s="25">
        <v>0</v>
      </c>
      <c r="F1015" s="25">
        <v>0</v>
      </c>
      <c r="G1015" s="25">
        <v>0</v>
      </c>
      <c r="H1015" s="25">
        <v>0</v>
      </c>
      <c r="I1015" s="25">
        <v>0</v>
      </c>
      <c r="J1015" s="25">
        <v>0</v>
      </c>
      <c r="K1015" s="25">
        <v>0</v>
      </c>
      <c r="L1015" s="25">
        <v>0</v>
      </c>
      <c r="M1015" s="25">
        <v>0</v>
      </c>
      <c r="N1015" s="25">
        <v>0</v>
      </c>
      <c r="O1015" s="25">
        <v>0</v>
      </c>
      <c r="P1015" s="25">
        <v>0</v>
      </c>
      <c r="Q1015" s="25">
        <v>0</v>
      </c>
      <c r="R1015" s="25">
        <v>0</v>
      </c>
      <c r="S1015" s="25">
        <v>0</v>
      </c>
      <c r="T1015" s="25">
        <v>0</v>
      </c>
      <c r="U1015" s="25">
        <v>0</v>
      </c>
      <c r="V1015" s="25">
        <v>0</v>
      </c>
      <c r="W1015" s="25">
        <v>0</v>
      </c>
      <c r="X1015" s="25">
        <v>0</v>
      </c>
      <c r="Y1015" s="25">
        <v>0</v>
      </c>
      <c r="Z1015" s="25">
        <v>0</v>
      </c>
      <c r="AA1015" s="25">
        <v>0</v>
      </c>
      <c r="AB1015" s="25">
        <v>0</v>
      </c>
      <c r="AC1015" s="25">
        <v>0</v>
      </c>
      <c r="AD1015" s="25">
        <v>0</v>
      </c>
      <c r="AE1015" s="25">
        <v>0</v>
      </c>
      <c r="AF1015" s="25">
        <v>0</v>
      </c>
    </row>
    <row r="1016" spans="1:32" x14ac:dyDescent="0.25">
      <c r="A1016" s="25" t="s">
        <v>1085</v>
      </c>
      <c r="B1016" s="25">
        <v>0</v>
      </c>
      <c r="C1016" s="25">
        <v>0</v>
      </c>
      <c r="D1016" s="25">
        <v>0</v>
      </c>
      <c r="E1016" s="25">
        <v>0</v>
      </c>
      <c r="F1016" s="25">
        <v>0</v>
      </c>
      <c r="G1016" s="25">
        <v>0</v>
      </c>
      <c r="H1016" s="25">
        <v>0</v>
      </c>
      <c r="I1016" s="25">
        <v>0</v>
      </c>
      <c r="J1016" s="25">
        <v>0</v>
      </c>
      <c r="K1016" s="25">
        <v>0</v>
      </c>
      <c r="L1016" s="25">
        <v>0</v>
      </c>
      <c r="M1016" s="25">
        <v>0</v>
      </c>
      <c r="N1016" s="25">
        <v>0</v>
      </c>
      <c r="O1016" s="25">
        <v>0</v>
      </c>
      <c r="P1016" s="25">
        <v>0</v>
      </c>
      <c r="Q1016" s="25">
        <v>0</v>
      </c>
      <c r="R1016" s="25">
        <v>0</v>
      </c>
      <c r="S1016" s="25">
        <v>0</v>
      </c>
      <c r="T1016" s="25">
        <v>0</v>
      </c>
      <c r="U1016" s="25">
        <v>0</v>
      </c>
      <c r="V1016" s="25">
        <v>0</v>
      </c>
      <c r="W1016" s="25">
        <v>0</v>
      </c>
      <c r="X1016" s="25">
        <v>0</v>
      </c>
      <c r="Y1016" s="25">
        <v>0</v>
      </c>
      <c r="Z1016" s="25">
        <v>0</v>
      </c>
      <c r="AA1016" s="25">
        <v>0</v>
      </c>
      <c r="AB1016" s="25">
        <v>0</v>
      </c>
      <c r="AC1016" s="25">
        <v>0</v>
      </c>
      <c r="AD1016" s="25">
        <v>0</v>
      </c>
      <c r="AE1016" s="25">
        <v>0</v>
      </c>
      <c r="AF1016" s="25">
        <v>0</v>
      </c>
    </row>
    <row r="1017" spans="1:32" x14ac:dyDescent="0.25">
      <c r="A1017" s="25" t="s">
        <v>1086</v>
      </c>
      <c r="B1017" s="25">
        <v>0</v>
      </c>
      <c r="C1017" s="25">
        <v>0</v>
      </c>
      <c r="D1017" s="25">
        <v>0</v>
      </c>
      <c r="E1017" s="25">
        <v>0</v>
      </c>
      <c r="F1017" s="25">
        <v>0</v>
      </c>
      <c r="G1017" s="25">
        <v>0</v>
      </c>
      <c r="H1017" s="25">
        <v>0</v>
      </c>
      <c r="I1017" s="25">
        <v>0</v>
      </c>
      <c r="J1017" s="25">
        <v>0</v>
      </c>
      <c r="K1017" s="25">
        <v>0</v>
      </c>
      <c r="L1017" s="25">
        <v>0</v>
      </c>
      <c r="M1017" s="25">
        <v>0</v>
      </c>
      <c r="N1017" s="25">
        <v>0</v>
      </c>
      <c r="O1017" s="25">
        <v>0</v>
      </c>
      <c r="P1017" s="25">
        <v>0</v>
      </c>
      <c r="Q1017" s="25">
        <v>0</v>
      </c>
      <c r="R1017" s="25">
        <v>0</v>
      </c>
      <c r="S1017" s="25">
        <v>0</v>
      </c>
      <c r="T1017" s="25">
        <v>0</v>
      </c>
      <c r="U1017" s="25">
        <v>0</v>
      </c>
      <c r="V1017" s="25">
        <v>0</v>
      </c>
      <c r="W1017" s="25">
        <v>0</v>
      </c>
      <c r="X1017" s="25">
        <v>0</v>
      </c>
      <c r="Y1017" s="25">
        <v>0</v>
      </c>
      <c r="Z1017" s="25">
        <v>0</v>
      </c>
      <c r="AA1017" s="25">
        <v>0</v>
      </c>
      <c r="AB1017" s="25">
        <v>0</v>
      </c>
      <c r="AC1017" s="25">
        <v>0</v>
      </c>
      <c r="AD1017" s="25">
        <v>0</v>
      </c>
      <c r="AE1017" s="25">
        <v>0</v>
      </c>
      <c r="AF1017" s="25">
        <v>0</v>
      </c>
    </row>
    <row r="1018" spans="1:32" x14ac:dyDescent="0.25">
      <c r="A1018" s="25" t="s">
        <v>1087</v>
      </c>
      <c r="B1018" s="25">
        <v>0</v>
      </c>
      <c r="C1018" s="25">
        <v>0</v>
      </c>
      <c r="D1018" s="25">
        <v>0</v>
      </c>
      <c r="E1018" s="25">
        <v>0</v>
      </c>
      <c r="F1018" s="25">
        <v>0</v>
      </c>
      <c r="G1018" s="25">
        <v>0</v>
      </c>
      <c r="H1018" s="25">
        <v>0</v>
      </c>
      <c r="I1018" s="25">
        <v>0</v>
      </c>
      <c r="J1018" s="25">
        <v>0</v>
      </c>
      <c r="K1018" s="25">
        <v>0</v>
      </c>
      <c r="L1018" s="25">
        <v>0</v>
      </c>
      <c r="M1018" s="25">
        <v>0</v>
      </c>
      <c r="N1018" s="25">
        <v>0</v>
      </c>
      <c r="O1018" s="25">
        <v>0</v>
      </c>
      <c r="P1018" s="25">
        <v>0</v>
      </c>
      <c r="Q1018" s="25">
        <v>0</v>
      </c>
      <c r="R1018" s="25">
        <v>0</v>
      </c>
      <c r="S1018" s="25">
        <v>0</v>
      </c>
      <c r="T1018" s="25">
        <v>0</v>
      </c>
      <c r="U1018" s="25">
        <v>0</v>
      </c>
      <c r="V1018" s="25">
        <v>0</v>
      </c>
      <c r="W1018" s="25">
        <v>0</v>
      </c>
      <c r="X1018" s="25">
        <v>0</v>
      </c>
      <c r="Y1018" s="25">
        <v>0</v>
      </c>
      <c r="Z1018" s="25">
        <v>0</v>
      </c>
      <c r="AA1018" s="25">
        <v>0</v>
      </c>
      <c r="AB1018" s="25">
        <v>0</v>
      </c>
      <c r="AC1018" s="25">
        <v>0</v>
      </c>
      <c r="AD1018" s="25">
        <v>0</v>
      </c>
      <c r="AE1018" s="25">
        <v>0</v>
      </c>
      <c r="AF1018" s="25">
        <v>0</v>
      </c>
    </row>
    <row r="1019" spans="1:32" x14ac:dyDescent="0.25">
      <c r="A1019" s="25" t="s">
        <v>1088</v>
      </c>
      <c r="B1019" s="25">
        <v>0</v>
      </c>
      <c r="C1019" s="25">
        <v>0</v>
      </c>
      <c r="D1019" s="25">
        <v>0</v>
      </c>
      <c r="E1019" s="25">
        <v>0</v>
      </c>
      <c r="F1019" s="25">
        <v>0</v>
      </c>
      <c r="G1019" s="25">
        <v>0</v>
      </c>
      <c r="H1019" s="25">
        <v>0</v>
      </c>
      <c r="I1019" s="25">
        <v>0</v>
      </c>
      <c r="J1019" s="25">
        <v>0</v>
      </c>
      <c r="K1019" s="25">
        <v>0</v>
      </c>
      <c r="L1019" s="25">
        <v>0</v>
      </c>
      <c r="M1019" s="25">
        <v>0</v>
      </c>
      <c r="N1019" s="25">
        <v>0</v>
      </c>
      <c r="O1019" s="25">
        <v>0</v>
      </c>
      <c r="P1019" s="25">
        <v>0</v>
      </c>
      <c r="Q1019" s="25">
        <v>0</v>
      </c>
      <c r="R1019" s="25">
        <v>0</v>
      </c>
      <c r="S1019" s="25">
        <v>0</v>
      </c>
      <c r="T1019" s="25">
        <v>0</v>
      </c>
      <c r="U1019" s="25">
        <v>0</v>
      </c>
      <c r="V1019" s="25">
        <v>0</v>
      </c>
      <c r="W1019" s="25">
        <v>0</v>
      </c>
      <c r="X1019" s="25">
        <v>0</v>
      </c>
      <c r="Y1019" s="25">
        <v>0</v>
      </c>
      <c r="Z1019" s="25">
        <v>0</v>
      </c>
      <c r="AA1019" s="25">
        <v>0</v>
      </c>
      <c r="AB1019" s="25">
        <v>0</v>
      </c>
      <c r="AC1019" s="25">
        <v>0</v>
      </c>
      <c r="AD1019" s="25">
        <v>0</v>
      </c>
      <c r="AE1019" s="25">
        <v>0</v>
      </c>
      <c r="AF1019" s="25">
        <v>0</v>
      </c>
    </row>
    <row r="1020" spans="1:32" x14ac:dyDescent="0.25">
      <c r="A1020" s="25" t="s">
        <v>1089</v>
      </c>
      <c r="B1020" s="25">
        <v>0</v>
      </c>
      <c r="C1020" s="25">
        <v>0</v>
      </c>
      <c r="D1020" s="25">
        <v>0</v>
      </c>
      <c r="E1020" s="25">
        <v>0</v>
      </c>
      <c r="F1020" s="25">
        <v>0</v>
      </c>
      <c r="G1020" s="25">
        <v>0</v>
      </c>
      <c r="H1020" s="25">
        <v>0</v>
      </c>
      <c r="I1020" s="25">
        <v>0</v>
      </c>
      <c r="J1020" s="25">
        <v>0</v>
      </c>
      <c r="K1020" s="25">
        <v>0</v>
      </c>
      <c r="L1020" s="25">
        <v>0</v>
      </c>
      <c r="M1020" s="25">
        <v>0</v>
      </c>
      <c r="N1020" s="25">
        <v>0</v>
      </c>
      <c r="O1020" s="25">
        <v>0</v>
      </c>
      <c r="P1020" s="25">
        <v>0</v>
      </c>
      <c r="Q1020" s="25">
        <v>0</v>
      </c>
      <c r="R1020" s="25">
        <v>0</v>
      </c>
      <c r="S1020" s="25">
        <v>0</v>
      </c>
      <c r="T1020" s="25">
        <v>0</v>
      </c>
      <c r="U1020" s="25">
        <v>0</v>
      </c>
      <c r="V1020" s="25">
        <v>0</v>
      </c>
      <c r="W1020" s="25">
        <v>0</v>
      </c>
      <c r="X1020" s="25">
        <v>0</v>
      </c>
      <c r="Y1020" s="25">
        <v>0</v>
      </c>
      <c r="Z1020" s="25">
        <v>0</v>
      </c>
      <c r="AA1020" s="25">
        <v>0</v>
      </c>
      <c r="AB1020" s="25">
        <v>0</v>
      </c>
      <c r="AC1020" s="25">
        <v>0</v>
      </c>
      <c r="AD1020" s="25">
        <v>0</v>
      </c>
      <c r="AE1020" s="25">
        <v>0</v>
      </c>
      <c r="AF1020" s="25">
        <v>0</v>
      </c>
    </row>
    <row r="1021" spans="1:32" x14ac:dyDescent="0.25">
      <c r="A1021" s="25" t="s">
        <v>1090</v>
      </c>
      <c r="B1021" s="25">
        <v>0</v>
      </c>
      <c r="C1021" s="25">
        <v>0</v>
      </c>
      <c r="D1021" s="25">
        <v>0</v>
      </c>
      <c r="E1021" s="25">
        <v>0</v>
      </c>
      <c r="F1021" s="25">
        <v>0</v>
      </c>
      <c r="G1021" s="25">
        <v>0</v>
      </c>
      <c r="H1021" s="25">
        <v>0</v>
      </c>
      <c r="I1021" s="25">
        <v>0</v>
      </c>
      <c r="J1021" s="25">
        <v>0</v>
      </c>
      <c r="K1021" s="25">
        <v>0</v>
      </c>
      <c r="L1021" s="25">
        <v>0</v>
      </c>
      <c r="M1021" s="25">
        <v>0</v>
      </c>
      <c r="N1021" s="25">
        <v>0</v>
      </c>
      <c r="O1021" s="25">
        <v>0</v>
      </c>
      <c r="P1021" s="25">
        <v>0</v>
      </c>
      <c r="Q1021" s="25">
        <v>0</v>
      </c>
      <c r="R1021" s="25">
        <v>0</v>
      </c>
      <c r="S1021" s="25">
        <v>0</v>
      </c>
      <c r="T1021" s="25">
        <v>0</v>
      </c>
      <c r="U1021" s="25">
        <v>0</v>
      </c>
      <c r="V1021" s="25">
        <v>0</v>
      </c>
      <c r="W1021" s="25">
        <v>0</v>
      </c>
      <c r="X1021" s="25">
        <v>0</v>
      </c>
      <c r="Y1021" s="25">
        <v>0</v>
      </c>
      <c r="Z1021" s="25">
        <v>0</v>
      </c>
      <c r="AA1021" s="25">
        <v>0</v>
      </c>
      <c r="AB1021" s="25">
        <v>0</v>
      </c>
      <c r="AC1021" s="25">
        <v>0</v>
      </c>
      <c r="AD1021" s="25">
        <v>0</v>
      </c>
      <c r="AE1021" s="25">
        <v>0</v>
      </c>
      <c r="AF1021" s="25">
        <v>0</v>
      </c>
    </row>
    <row r="1022" spans="1:32" x14ac:dyDescent="0.25">
      <c r="A1022" s="25" t="s">
        <v>1091</v>
      </c>
      <c r="B1022" s="12">
        <v>14632300000000</v>
      </c>
      <c r="C1022" s="12">
        <v>14587400000000</v>
      </c>
      <c r="D1022" s="12">
        <v>14520000000000</v>
      </c>
      <c r="E1022" s="12">
        <v>14205300000000</v>
      </c>
      <c r="F1022" s="12">
        <v>13558200000000</v>
      </c>
      <c r="G1022" s="12">
        <v>12843000000000</v>
      </c>
      <c r="H1022" s="12">
        <v>12071800000000</v>
      </c>
      <c r="I1022" s="12">
        <v>11278100000000</v>
      </c>
      <c r="J1022" s="12">
        <v>10497500000000</v>
      </c>
      <c r="K1022" s="12">
        <v>9748920000000</v>
      </c>
      <c r="L1022" s="12">
        <v>9052410000000</v>
      </c>
      <c r="M1022" s="12">
        <v>8405050000000</v>
      </c>
      <c r="N1022" s="12">
        <v>7794450000000</v>
      </c>
      <c r="O1022" s="12">
        <v>7237060000000</v>
      </c>
      <c r="P1022" s="12">
        <v>6722380000000</v>
      </c>
      <c r="Q1022" s="12">
        <v>6235050000000</v>
      </c>
      <c r="R1022" s="12">
        <v>5781290000000</v>
      </c>
      <c r="S1022" s="12">
        <v>5390480000000</v>
      </c>
      <c r="T1022" s="12">
        <v>5057240000000</v>
      </c>
      <c r="U1022" s="12">
        <v>4769140000000</v>
      </c>
      <c r="V1022" s="12">
        <v>4536160000000</v>
      </c>
      <c r="W1022" s="12">
        <v>4357030000000</v>
      </c>
      <c r="X1022" s="12">
        <v>4228730000000</v>
      </c>
      <c r="Y1022" s="12">
        <v>4138990000000</v>
      </c>
      <c r="Z1022" s="12">
        <v>4074070000000</v>
      </c>
      <c r="AA1022" s="12">
        <v>4026610000000</v>
      </c>
      <c r="AB1022" s="12">
        <v>3993360000000</v>
      </c>
      <c r="AC1022" s="12">
        <v>3966960000000</v>
      </c>
      <c r="AD1022" s="12">
        <v>3944860000000</v>
      </c>
      <c r="AE1022" s="12">
        <v>3927250000000</v>
      </c>
      <c r="AF1022" s="12">
        <v>3913800000000</v>
      </c>
    </row>
    <row r="1023" spans="1:32" x14ac:dyDescent="0.25">
      <c r="A1023" s="25" t="s">
        <v>1092</v>
      </c>
      <c r="B1023" s="25">
        <v>0</v>
      </c>
      <c r="C1023" s="25">
        <v>0</v>
      </c>
      <c r="D1023" s="25">
        <v>0</v>
      </c>
      <c r="E1023" s="25">
        <v>0</v>
      </c>
      <c r="F1023" s="25">
        <v>0</v>
      </c>
      <c r="G1023" s="25">
        <v>0</v>
      </c>
      <c r="H1023" s="25">
        <v>0</v>
      </c>
      <c r="I1023" s="25">
        <v>0</v>
      </c>
      <c r="J1023" s="25">
        <v>0</v>
      </c>
      <c r="K1023" s="25">
        <v>0</v>
      </c>
      <c r="L1023" s="25">
        <v>0</v>
      </c>
      <c r="M1023" s="25">
        <v>0</v>
      </c>
      <c r="N1023" s="25">
        <v>0</v>
      </c>
      <c r="O1023" s="25">
        <v>0</v>
      </c>
      <c r="P1023" s="25">
        <v>0</v>
      </c>
      <c r="Q1023" s="25">
        <v>0</v>
      </c>
      <c r="R1023" s="25">
        <v>0</v>
      </c>
      <c r="S1023" s="25">
        <v>0</v>
      </c>
      <c r="T1023" s="25">
        <v>0</v>
      </c>
      <c r="U1023" s="25">
        <v>0</v>
      </c>
      <c r="V1023" s="25">
        <v>0</v>
      </c>
      <c r="W1023" s="25">
        <v>0</v>
      </c>
      <c r="X1023" s="25">
        <v>0</v>
      </c>
      <c r="Y1023" s="25">
        <v>0</v>
      </c>
      <c r="Z1023" s="25">
        <v>0</v>
      </c>
      <c r="AA1023" s="25">
        <v>0</v>
      </c>
      <c r="AB1023" s="25">
        <v>0</v>
      </c>
      <c r="AC1023" s="25">
        <v>0</v>
      </c>
      <c r="AD1023" s="25">
        <v>0</v>
      </c>
      <c r="AE1023" s="25">
        <v>0</v>
      </c>
      <c r="AF1023" s="25">
        <v>0</v>
      </c>
    </row>
    <row r="1024" spans="1:32" x14ac:dyDescent="0.25">
      <c r="A1024" s="25" t="s">
        <v>1093</v>
      </c>
      <c r="B1024" s="12">
        <v>1662020000000</v>
      </c>
      <c r="C1024" s="12">
        <v>1656920000000</v>
      </c>
      <c r="D1024" s="12">
        <v>1649270000000</v>
      </c>
      <c r="E1024" s="12">
        <v>1613520000000</v>
      </c>
      <c r="F1024" s="12">
        <v>1540020000000</v>
      </c>
      <c r="G1024" s="12">
        <v>1458780000000</v>
      </c>
      <c r="H1024" s="12">
        <v>1371190000000</v>
      </c>
      <c r="I1024" s="12">
        <v>1281040000000</v>
      </c>
      <c r="J1024" s="12">
        <v>1192360000000</v>
      </c>
      <c r="K1024" s="12">
        <v>1107340000000</v>
      </c>
      <c r="L1024" s="12">
        <v>1028230000000</v>
      </c>
      <c r="M1024" s="12">
        <v>954694000000</v>
      </c>
      <c r="N1024" s="12">
        <v>885338000000</v>
      </c>
      <c r="O1024" s="12">
        <v>822027000000</v>
      </c>
      <c r="P1024" s="12">
        <v>763566000000</v>
      </c>
      <c r="Q1024" s="12">
        <v>708212000000</v>
      </c>
      <c r="R1024" s="12">
        <v>656672000000</v>
      </c>
      <c r="S1024" s="12">
        <v>612281000000</v>
      </c>
      <c r="T1024" s="12">
        <v>574430000000</v>
      </c>
      <c r="U1024" s="12">
        <v>541707000000</v>
      </c>
      <c r="V1024" s="12">
        <v>515243000000</v>
      </c>
      <c r="W1024" s="12">
        <v>494897000000</v>
      </c>
      <c r="X1024" s="12">
        <v>480323000000</v>
      </c>
      <c r="Y1024" s="12">
        <v>470131000000</v>
      </c>
      <c r="Z1024" s="12">
        <v>462756000000</v>
      </c>
      <c r="AA1024" s="12">
        <v>457366000000</v>
      </c>
      <c r="AB1024" s="12">
        <v>453589000000</v>
      </c>
      <c r="AC1024" s="12">
        <v>450590000000</v>
      </c>
      <c r="AD1024" s="12">
        <v>448080000000</v>
      </c>
      <c r="AE1024" s="12">
        <v>446080000000</v>
      </c>
      <c r="AF1024" s="12">
        <v>444552000000</v>
      </c>
    </row>
    <row r="1025" spans="1:32" x14ac:dyDescent="0.25">
      <c r="A1025" s="25" t="s">
        <v>1094</v>
      </c>
      <c r="B1025" s="25">
        <v>0</v>
      </c>
      <c r="C1025" s="25">
        <v>0</v>
      </c>
      <c r="D1025" s="25">
        <v>0</v>
      </c>
      <c r="E1025" s="25">
        <v>0</v>
      </c>
      <c r="F1025" s="25">
        <v>0</v>
      </c>
      <c r="G1025" s="25">
        <v>0</v>
      </c>
      <c r="H1025" s="25">
        <v>0</v>
      </c>
      <c r="I1025" s="25">
        <v>0</v>
      </c>
      <c r="J1025" s="25">
        <v>0</v>
      </c>
      <c r="K1025" s="25">
        <v>0</v>
      </c>
      <c r="L1025" s="25">
        <v>0</v>
      </c>
      <c r="M1025" s="25">
        <v>0</v>
      </c>
      <c r="N1025" s="25">
        <v>0</v>
      </c>
      <c r="O1025" s="25">
        <v>0</v>
      </c>
      <c r="P1025" s="25">
        <v>0</v>
      </c>
      <c r="Q1025" s="25">
        <v>0</v>
      </c>
      <c r="R1025" s="25">
        <v>0</v>
      </c>
      <c r="S1025" s="25">
        <v>0</v>
      </c>
      <c r="T1025" s="25">
        <v>0</v>
      </c>
      <c r="U1025" s="25">
        <v>0</v>
      </c>
      <c r="V1025" s="25">
        <v>0</v>
      </c>
      <c r="W1025" s="25">
        <v>0</v>
      </c>
      <c r="X1025" s="25">
        <v>0</v>
      </c>
      <c r="Y1025" s="25">
        <v>0</v>
      </c>
      <c r="Z1025" s="25">
        <v>0</v>
      </c>
      <c r="AA1025" s="25">
        <v>0</v>
      </c>
      <c r="AB1025" s="25">
        <v>0</v>
      </c>
      <c r="AC1025" s="25">
        <v>0</v>
      </c>
      <c r="AD1025" s="25">
        <v>0</v>
      </c>
      <c r="AE1025" s="25">
        <v>0</v>
      </c>
      <c r="AF1025" s="25">
        <v>0</v>
      </c>
    </row>
    <row r="1026" spans="1:32" x14ac:dyDescent="0.25">
      <c r="A1026" s="25" t="s">
        <v>1095</v>
      </c>
      <c r="B1026" s="25">
        <v>0</v>
      </c>
      <c r="C1026" s="25">
        <v>0</v>
      </c>
      <c r="D1026" s="25">
        <v>0</v>
      </c>
      <c r="E1026" s="25">
        <v>0</v>
      </c>
      <c r="F1026" s="25">
        <v>0</v>
      </c>
      <c r="G1026" s="25">
        <v>0</v>
      </c>
      <c r="H1026" s="25">
        <v>0</v>
      </c>
      <c r="I1026" s="25">
        <v>0</v>
      </c>
      <c r="J1026" s="25">
        <v>0</v>
      </c>
      <c r="K1026" s="25">
        <v>0</v>
      </c>
      <c r="L1026" s="25">
        <v>0</v>
      </c>
      <c r="M1026" s="25">
        <v>0</v>
      </c>
      <c r="N1026" s="25">
        <v>0</v>
      </c>
      <c r="O1026" s="25">
        <v>0</v>
      </c>
      <c r="P1026" s="25">
        <v>0</v>
      </c>
      <c r="Q1026" s="25">
        <v>0</v>
      </c>
      <c r="R1026" s="25">
        <v>0</v>
      </c>
      <c r="S1026" s="25">
        <v>0</v>
      </c>
      <c r="T1026" s="25">
        <v>0</v>
      </c>
      <c r="U1026" s="25">
        <v>0</v>
      </c>
      <c r="V1026" s="25">
        <v>0</v>
      </c>
      <c r="W1026" s="25">
        <v>0</v>
      </c>
      <c r="X1026" s="25">
        <v>0</v>
      </c>
      <c r="Y1026" s="25">
        <v>0</v>
      </c>
      <c r="Z1026" s="25">
        <v>0</v>
      </c>
      <c r="AA1026" s="25">
        <v>0</v>
      </c>
      <c r="AB1026" s="25">
        <v>0</v>
      </c>
      <c r="AC1026" s="25">
        <v>0</v>
      </c>
      <c r="AD1026" s="25">
        <v>0</v>
      </c>
      <c r="AE1026" s="25">
        <v>0</v>
      </c>
      <c r="AF1026" s="25">
        <v>0</v>
      </c>
    </row>
    <row r="1027" spans="1:32" x14ac:dyDescent="0.25">
      <c r="A1027" s="25" t="s">
        <v>1096</v>
      </c>
      <c r="B1027" s="25">
        <v>0</v>
      </c>
      <c r="C1027" s="25">
        <v>0</v>
      </c>
      <c r="D1027" s="25">
        <v>0</v>
      </c>
      <c r="E1027" s="25">
        <v>0</v>
      </c>
      <c r="F1027" s="25">
        <v>0</v>
      </c>
      <c r="G1027" s="25">
        <v>0</v>
      </c>
      <c r="H1027" s="25">
        <v>0</v>
      </c>
      <c r="I1027" s="25">
        <v>0</v>
      </c>
      <c r="J1027" s="25">
        <v>0</v>
      </c>
      <c r="K1027" s="25">
        <v>0</v>
      </c>
      <c r="L1027" s="25">
        <v>0</v>
      </c>
      <c r="M1027" s="25">
        <v>0</v>
      </c>
      <c r="N1027" s="25">
        <v>0</v>
      </c>
      <c r="O1027" s="25">
        <v>0</v>
      </c>
      <c r="P1027" s="25">
        <v>0</v>
      </c>
      <c r="Q1027" s="25">
        <v>0</v>
      </c>
      <c r="R1027" s="25">
        <v>0</v>
      </c>
      <c r="S1027" s="25">
        <v>0</v>
      </c>
      <c r="T1027" s="25">
        <v>0</v>
      </c>
      <c r="U1027" s="25">
        <v>0</v>
      </c>
      <c r="V1027" s="25">
        <v>0</v>
      </c>
      <c r="W1027" s="25">
        <v>0</v>
      </c>
      <c r="X1027" s="25">
        <v>0</v>
      </c>
      <c r="Y1027" s="25">
        <v>0</v>
      </c>
      <c r="Z1027" s="25">
        <v>0</v>
      </c>
      <c r="AA1027" s="25">
        <v>0</v>
      </c>
      <c r="AB1027" s="25">
        <v>0</v>
      </c>
      <c r="AC1027" s="25">
        <v>0</v>
      </c>
      <c r="AD1027" s="25">
        <v>0</v>
      </c>
      <c r="AE1027" s="25">
        <v>0</v>
      </c>
      <c r="AF1027" s="25">
        <v>0</v>
      </c>
    </row>
    <row r="1028" spans="1:32" x14ac:dyDescent="0.25">
      <c r="A1028" s="25" t="s">
        <v>1097</v>
      </c>
      <c r="B1028" s="25">
        <v>0</v>
      </c>
      <c r="C1028" s="25">
        <v>0</v>
      </c>
      <c r="D1028" s="25">
        <v>0</v>
      </c>
      <c r="E1028" s="25">
        <v>0</v>
      </c>
      <c r="F1028" s="25">
        <v>0</v>
      </c>
      <c r="G1028" s="25">
        <v>0</v>
      </c>
      <c r="H1028" s="25">
        <v>0</v>
      </c>
      <c r="I1028" s="25">
        <v>0</v>
      </c>
      <c r="J1028" s="25">
        <v>0</v>
      </c>
      <c r="K1028" s="25">
        <v>0</v>
      </c>
      <c r="L1028" s="25">
        <v>0</v>
      </c>
      <c r="M1028" s="25">
        <v>0</v>
      </c>
      <c r="N1028" s="25">
        <v>0</v>
      </c>
      <c r="O1028" s="25">
        <v>0</v>
      </c>
      <c r="P1028" s="25">
        <v>0</v>
      </c>
      <c r="Q1028" s="25">
        <v>0</v>
      </c>
      <c r="R1028" s="25">
        <v>0</v>
      </c>
      <c r="S1028" s="25">
        <v>0</v>
      </c>
      <c r="T1028" s="25">
        <v>0</v>
      </c>
      <c r="U1028" s="25">
        <v>0</v>
      </c>
      <c r="V1028" s="25">
        <v>0</v>
      </c>
      <c r="W1028" s="25">
        <v>0</v>
      </c>
      <c r="X1028" s="25">
        <v>0</v>
      </c>
      <c r="Y1028" s="25">
        <v>0</v>
      </c>
      <c r="Z1028" s="25">
        <v>0</v>
      </c>
      <c r="AA1028" s="25">
        <v>0</v>
      </c>
      <c r="AB1028" s="25">
        <v>0</v>
      </c>
      <c r="AC1028" s="25">
        <v>0</v>
      </c>
      <c r="AD1028" s="25">
        <v>0</v>
      </c>
      <c r="AE1028" s="25">
        <v>0</v>
      </c>
      <c r="AF1028" s="25">
        <v>0</v>
      </c>
    </row>
    <row r="1029" spans="1:32" x14ac:dyDescent="0.25">
      <c r="A1029" s="25" t="s">
        <v>1098</v>
      </c>
      <c r="B1029" s="25">
        <v>0</v>
      </c>
      <c r="C1029" s="25">
        <v>0</v>
      </c>
      <c r="D1029" s="25">
        <v>0</v>
      </c>
      <c r="E1029" s="25">
        <v>0</v>
      </c>
      <c r="F1029" s="25">
        <v>0</v>
      </c>
      <c r="G1029" s="25">
        <v>0</v>
      </c>
      <c r="H1029" s="25">
        <v>0</v>
      </c>
      <c r="I1029" s="25">
        <v>0</v>
      </c>
      <c r="J1029" s="25">
        <v>0</v>
      </c>
      <c r="K1029" s="25">
        <v>0</v>
      </c>
      <c r="L1029" s="25">
        <v>0</v>
      </c>
      <c r="M1029" s="25">
        <v>0</v>
      </c>
      <c r="N1029" s="25">
        <v>0</v>
      </c>
      <c r="O1029" s="25">
        <v>0</v>
      </c>
      <c r="P1029" s="25">
        <v>0</v>
      </c>
      <c r="Q1029" s="25">
        <v>0</v>
      </c>
      <c r="R1029" s="25">
        <v>0</v>
      </c>
      <c r="S1029" s="25">
        <v>0</v>
      </c>
      <c r="T1029" s="25">
        <v>0</v>
      </c>
      <c r="U1029" s="25">
        <v>0</v>
      </c>
      <c r="V1029" s="25">
        <v>0</v>
      </c>
      <c r="W1029" s="25">
        <v>0</v>
      </c>
      <c r="X1029" s="25">
        <v>0</v>
      </c>
      <c r="Y1029" s="25">
        <v>0</v>
      </c>
      <c r="Z1029" s="25">
        <v>0</v>
      </c>
      <c r="AA1029" s="25">
        <v>0</v>
      </c>
      <c r="AB1029" s="25">
        <v>0</v>
      </c>
      <c r="AC1029" s="25">
        <v>0</v>
      </c>
      <c r="AD1029" s="25">
        <v>0</v>
      </c>
      <c r="AE1029" s="25">
        <v>0</v>
      </c>
      <c r="AF1029" s="25">
        <v>0</v>
      </c>
    </row>
    <row r="1030" spans="1:32" x14ac:dyDescent="0.25">
      <c r="A1030" s="25" t="s">
        <v>1099</v>
      </c>
      <c r="B1030" s="25">
        <v>0</v>
      </c>
      <c r="C1030" s="25">
        <v>0</v>
      </c>
      <c r="D1030" s="25">
        <v>0</v>
      </c>
      <c r="E1030" s="25">
        <v>0</v>
      </c>
      <c r="F1030" s="25">
        <v>0</v>
      </c>
      <c r="G1030" s="25">
        <v>0</v>
      </c>
      <c r="H1030" s="25">
        <v>0</v>
      </c>
      <c r="I1030" s="25">
        <v>0</v>
      </c>
      <c r="J1030" s="25">
        <v>0</v>
      </c>
      <c r="K1030" s="25">
        <v>0</v>
      </c>
      <c r="L1030" s="25">
        <v>0</v>
      </c>
      <c r="M1030" s="25">
        <v>0</v>
      </c>
      <c r="N1030" s="25">
        <v>0</v>
      </c>
      <c r="O1030" s="25">
        <v>0</v>
      </c>
      <c r="P1030" s="25">
        <v>0</v>
      </c>
      <c r="Q1030" s="25">
        <v>0</v>
      </c>
      <c r="R1030" s="25">
        <v>0</v>
      </c>
      <c r="S1030" s="25">
        <v>0</v>
      </c>
      <c r="T1030" s="25">
        <v>0</v>
      </c>
      <c r="U1030" s="25">
        <v>0</v>
      </c>
      <c r="V1030" s="25">
        <v>0</v>
      </c>
      <c r="W1030" s="25">
        <v>0</v>
      </c>
      <c r="X1030" s="25">
        <v>0</v>
      </c>
      <c r="Y1030" s="25">
        <v>0</v>
      </c>
      <c r="Z1030" s="25">
        <v>0</v>
      </c>
      <c r="AA1030" s="25">
        <v>0</v>
      </c>
      <c r="AB1030" s="25">
        <v>0</v>
      </c>
      <c r="AC1030" s="25">
        <v>0</v>
      </c>
      <c r="AD1030" s="25">
        <v>0</v>
      </c>
      <c r="AE1030" s="25">
        <v>0</v>
      </c>
      <c r="AF1030" s="25">
        <v>0</v>
      </c>
    </row>
    <row r="1031" spans="1:32" x14ac:dyDescent="0.25">
      <c r="A1031" s="25" t="s">
        <v>1100</v>
      </c>
      <c r="B1031" s="25">
        <v>0</v>
      </c>
      <c r="C1031" s="25">
        <v>0</v>
      </c>
      <c r="D1031" s="25">
        <v>0</v>
      </c>
      <c r="E1031" s="25">
        <v>0</v>
      </c>
      <c r="F1031" s="25">
        <v>0</v>
      </c>
      <c r="G1031" s="25">
        <v>0</v>
      </c>
      <c r="H1031" s="25">
        <v>0</v>
      </c>
      <c r="I1031" s="25">
        <v>0</v>
      </c>
      <c r="J1031" s="25">
        <v>0</v>
      </c>
      <c r="K1031" s="25">
        <v>0</v>
      </c>
      <c r="L1031" s="25">
        <v>0</v>
      </c>
      <c r="M1031" s="25">
        <v>0</v>
      </c>
      <c r="N1031" s="25">
        <v>0</v>
      </c>
      <c r="O1031" s="25">
        <v>0</v>
      </c>
      <c r="P1031" s="25">
        <v>0</v>
      </c>
      <c r="Q1031" s="25">
        <v>0</v>
      </c>
      <c r="R1031" s="25">
        <v>0</v>
      </c>
      <c r="S1031" s="25">
        <v>0</v>
      </c>
      <c r="T1031" s="25">
        <v>0</v>
      </c>
      <c r="U1031" s="25">
        <v>0</v>
      </c>
      <c r="V1031" s="25">
        <v>0</v>
      </c>
      <c r="W1031" s="25">
        <v>0</v>
      </c>
      <c r="X1031" s="25">
        <v>0</v>
      </c>
      <c r="Y1031" s="25">
        <v>0</v>
      </c>
      <c r="Z1031" s="25">
        <v>0</v>
      </c>
      <c r="AA1031" s="25">
        <v>0</v>
      </c>
      <c r="AB1031" s="25">
        <v>0</v>
      </c>
      <c r="AC1031" s="25">
        <v>0</v>
      </c>
      <c r="AD1031" s="25">
        <v>0</v>
      </c>
      <c r="AE1031" s="25">
        <v>0</v>
      </c>
      <c r="AF1031" s="25">
        <v>0</v>
      </c>
    </row>
    <row r="1032" spans="1:32" x14ac:dyDescent="0.25">
      <c r="A1032" s="25" t="s">
        <v>1101</v>
      </c>
      <c r="B1032" s="25">
        <v>0</v>
      </c>
      <c r="C1032" s="25">
        <v>0</v>
      </c>
      <c r="D1032" s="25">
        <v>0</v>
      </c>
      <c r="E1032" s="25">
        <v>0</v>
      </c>
      <c r="F1032" s="25">
        <v>0</v>
      </c>
      <c r="G1032" s="25">
        <v>0</v>
      </c>
      <c r="H1032" s="25">
        <v>0</v>
      </c>
      <c r="I1032" s="25">
        <v>0</v>
      </c>
      <c r="J1032" s="25">
        <v>0</v>
      </c>
      <c r="K1032" s="25">
        <v>0</v>
      </c>
      <c r="L1032" s="25">
        <v>0</v>
      </c>
      <c r="M1032" s="25">
        <v>0</v>
      </c>
      <c r="N1032" s="25">
        <v>0</v>
      </c>
      <c r="O1032" s="25">
        <v>0</v>
      </c>
      <c r="P1032" s="25">
        <v>0</v>
      </c>
      <c r="Q1032" s="25">
        <v>0</v>
      </c>
      <c r="R1032" s="25">
        <v>0</v>
      </c>
      <c r="S1032" s="25">
        <v>0</v>
      </c>
      <c r="T1032" s="25">
        <v>0</v>
      </c>
      <c r="U1032" s="25">
        <v>0</v>
      </c>
      <c r="V1032" s="25">
        <v>0</v>
      </c>
      <c r="W1032" s="25">
        <v>0</v>
      </c>
      <c r="X1032" s="25">
        <v>0</v>
      </c>
      <c r="Y1032" s="25">
        <v>0</v>
      </c>
      <c r="Z1032" s="25">
        <v>0</v>
      </c>
      <c r="AA1032" s="25">
        <v>0</v>
      </c>
      <c r="AB1032" s="25">
        <v>0</v>
      </c>
      <c r="AC1032" s="25">
        <v>0</v>
      </c>
      <c r="AD1032" s="25">
        <v>0</v>
      </c>
      <c r="AE1032" s="25">
        <v>0</v>
      </c>
      <c r="AF1032" s="25">
        <v>0</v>
      </c>
    </row>
    <row r="1033" spans="1:32" x14ac:dyDescent="0.25">
      <c r="A1033" s="25" t="s">
        <v>1102</v>
      </c>
      <c r="B1033" s="25">
        <v>0</v>
      </c>
      <c r="C1033" s="25">
        <v>0</v>
      </c>
      <c r="D1033" s="25">
        <v>0</v>
      </c>
      <c r="E1033" s="25">
        <v>0</v>
      </c>
      <c r="F1033" s="25">
        <v>0</v>
      </c>
      <c r="G1033" s="25">
        <v>0</v>
      </c>
      <c r="H1033" s="25">
        <v>0</v>
      </c>
      <c r="I1033" s="25">
        <v>0</v>
      </c>
      <c r="J1033" s="25">
        <v>0</v>
      </c>
      <c r="K1033" s="25">
        <v>0</v>
      </c>
      <c r="L1033" s="25">
        <v>0</v>
      </c>
      <c r="M1033" s="25">
        <v>0</v>
      </c>
      <c r="N1033" s="25">
        <v>0</v>
      </c>
      <c r="O1033" s="25">
        <v>0</v>
      </c>
      <c r="P1033" s="25">
        <v>0</v>
      </c>
      <c r="Q1033" s="25">
        <v>0</v>
      </c>
      <c r="R1033" s="25">
        <v>0</v>
      </c>
      <c r="S1033" s="25">
        <v>0</v>
      </c>
      <c r="T1033" s="25">
        <v>0</v>
      </c>
      <c r="U1033" s="25">
        <v>0</v>
      </c>
      <c r="V1033" s="25">
        <v>0</v>
      </c>
      <c r="W1033" s="25">
        <v>0</v>
      </c>
      <c r="X1033" s="25">
        <v>0</v>
      </c>
      <c r="Y1033" s="25">
        <v>0</v>
      </c>
      <c r="Z1033" s="25">
        <v>0</v>
      </c>
      <c r="AA1033" s="25">
        <v>0</v>
      </c>
      <c r="AB1033" s="25">
        <v>0</v>
      </c>
      <c r="AC1033" s="25">
        <v>0</v>
      </c>
      <c r="AD1033" s="25">
        <v>0</v>
      </c>
      <c r="AE1033" s="25">
        <v>0</v>
      </c>
      <c r="AF1033" s="25">
        <v>0</v>
      </c>
    </row>
    <row r="1034" spans="1:32" x14ac:dyDescent="0.25">
      <c r="A1034" s="25" t="s">
        <v>1103</v>
      </c>
      <c r="B1034" s="25">
        <v>0</v>
      </c>
      <c r="C1034" s="25">
        <v>0</v>
      </c>
      <c r="D1034" s="25">
        <v>0</v>
      </c>
      <c r="E1034" s="25">
        <v>0</v>
      </c>
      <c r="F1034" s="25">
        <v>0</v>
      </c>
      <c r="G1034" s="25">
        <v>0</v>
      </c>
      <c r="H1034" s="25">
        <v>0</v>
      </c>
      <c r="I1034" s="25">
        <v>0</v>
      </c>
      <c r="J1034" s="25">
        <v>0</v>
      </c>
      <c r="K1034" s="25">
        <v>0</v>
      </c>
      <c r="L1034" s="25">
        <v>0</v>
      </c>
      <c r="M1034" s="25">
        <v>0</v>
      </c>
      <c r="N1034" s="25">
        <v>0</v>
      </c>
      <c r="O1034" s="25">
        <v>0</v>
      </c>
      <c r="P1034" s="25">
        <v>0</v>
      </c>
      <c r="Q1034" s="25">
        <v>0</v>
      </c>
      <c r="R1034" s="25">
        <v>0</v>
      </c>
      <c r="S1034" s="25">
        <v>0</v>
      </c>
      <c r="T1034" s="25">
        <v>0</v>
      </c>
      <c r="U1034" s="25">
        <v>0</v>
      </c>
      <c r="V1034" s="25">
        <v>0</v>
      </c>
      <c r="W1034" s="25">
        <v>0</v>
      </c>
      <c r="X1034" s="25">
        <v>0</v>
      </c>
      <c r="Y1034" s="25">
        <v>0</v>
      </c>
      <c r="Z1034" s="25">
        <v>0</v>
      </c>
      <c r="AA1034" s="25">
        <v>0</v>
      </c>
      <c r="AB1034" s="25">
        <v>0</v>
      </c>
      <c r="AC1034" s="25">
        <v>0</v>
      </c>
      <c r="AD1034" s="25">
        <v>0</v>
      </c>
      <c r="AE1034" s="25">
        <v>0</v>
      </c>
      <c r="AF1034" s="25">
        <v>0</v>
      </c>
    </row>
    <row r="1035" spans="1:32" x14ac:dyDescent="0.25">
      <c r="A1035" s="25" t="s">
        <v>1104</v>
      </c>
      <c r="B1035" s="25">
        <v>0</v>
      </c>
      <c r="C1035" s="25">
        <v>0</v>
      </c>
      <c r="D1035" s="25">
        <v>0</v>
      </c>
      <c r="E1035" s="25">
        <v>0</v>
      </c>
      <c r="F1035" s="25">
        <v>0</v>
      </c>
      <c r="G1035" s="25">
        <v>0</v>
      </c>
      <c r="H1035" s="25">
        <v>0</v>
      </c>
      <c r="I1035" s="25">
        <v>0</v>
      </c>
      <c r="J1035" s="25">
        <v>0</v>
      </c>
      <c r="K1035" s="25">
        <v>0</v>
      </c>
      <c r="L1035" s="25">
        <v>0</v>
      </c>
      <c r="M1035" s="25">
        <v>0</v>
      </c>
      <c r="N1035" s="25">
        <v>0</v>
      </c>
      <c r="O1035" s="25">
        <v>0</v>
      </c>
      <c r="P1035" s="25">
        <v>0</v>
      </c>
      <c r="Q1035" s="25">
        <v>0</v>
      </c>
      <c r="R1035" s="25">
        <v>0</v>
      </c>
      <c r="S1035" s="25">
        <v>0</v>
      </c>
      <c r="T1035" s="25">
        <v>0</v>
      </c>
      <c r="U1035" s="25">
        <v>0</v>
      </c>
      <c r="V1035" s="25">
        <v>0</v>
      </c>
      <c r="W1035" s="25">
        <v>0</v>
      </c>
      <c r="X1035" s="25">
        <v>0</v>
      </c>
      <c r="Y1035" s="25">
        <v>0</v>
      </c>
      <c r="Z1035" s="25">
        <v>0</v>
      </c>
      <c r="AA1035" s="25">
        <v>0</v>
      </c>
      <c r="AB1035" s="25">
        <v>0</v>
      </c>
      <c r="AC1035" s="25">
        <v>0</v>
      </c>
      <c r="AD1035" s="25">
        <v>0</v>
      </c>
      <c r="AE1035" s="25">
        <v>0</v>
      </c>
      <c r="AF1035" s="25">
        <v>0</v>
      </c>
    </row>
    <row r="1036" spans="1:32" x14ac:dyDescent="0.25">
      <c r="A1036" s="25" t="s">
        <v>1105</v>
      </c>
      <c r="B1036" s="25">
        <v>0</v>
      </c>
      <c r="C1036" s="25">
        <v>0</v>
      </c>
      <c r="D1036" s="25">
        <v>0</v>
      </c>
      <c r="E1036" s="25">
        <v>0</v>
      </c>
      <c r="F1036" s="25">
        <v>0</v>
      </c>
      <c r="G1036" s="25">
        <v>0</v>
      </c>
      <c r="H1036" s="25">
        <v>0</v>
      </c>
      <c r="I1036" s="25">
        <v>0</v>
      </c>
      <c r="J1036" s="25">
        <v>0</v>
      </c>
      <c r="K1036" s="25">
        <v>0</v>
      </c>
      <c r="L1036" s="25">
        <v>0</v>
      </c>
      <c r="M1036" s="25">
        <v>0</v>
      </c>
      <c r="N1036" s="25">
        <v>0</v>
      </c>
      <c r="O1036" s="25">
        <v>0</v>
      </c>
      <c r="P1036" s="25">
        <v>0</v>
      </c>
      <c r="Q1036" s="25">
        <v>0</v>
      </c>
      <c r="R1036" s="25">
        <v>0</v>
      </c>
      <c r="S1036" s="25">
        <v>0</v>
      </c>
      <c r="T1036" s="25">
        <v>0</v>
      </c>
      <c r="U1036" s="25">
        <v>0</v>
      </c>
      <c r="V1036" s="25">
        <v>0</v>
      </c>
      <c r="W1036" s="25">
        <v>0</v>
      </c>
      <c r="X1036" s="25">
        <v>0</v>
      </c>
      <c r="Y1036" s="25">
        <v>0</v>
      </c>
      <c r="Z1036" s="25">
        <v>0</v>
      </c>
      <c r="AA1036" s="25">
        <v>0</v>
      </c>
      <c r="AB1036" s="25">
        <v>0</v>
      </c>
      <c r="AC1036" s="25">
        <v>0</v>
      </c>
      <c r="AD1036" s="25">
        <v>0</v>
      </c>
      <c r="AE1036" s="25">
        <v>0</v>
      </c>
      <c r="AF1036" s="25">
        <v>0</v>
      </c>
    </row>
    <row r="1037" spans="1:32" x14ac:dyDescent="0.25">
      <c r="A1037" s="25" t="s">
        <v>1106</v>
      </c>
      <c r="B1037" s="25">
        <v>0</v>
      </c>
      <c r="C1037" s="25">
        <v>0</v>
      </c>
      <c r="D1037" s="25">
        <v>0</v>
      </c>
      <c r="E1037" s="25">
        <v>0</v>
      </c>
      <c r="F1037" s="25">
        <v>0</v>
      </c>
      <c r="G1037" s="25">
        <v>0</v>
      </c>
      <c r="H1037" s="25">
        <v>0</v>
      </c>
      <c r="I1037" s="25">
        <v>0</v>
      </c>
      <c r="J1037" s="25">
        <v>0</v>
      </c>
      <c r="K1037" s="25">
        <v>0</v>
      </c>
      <c r="L1037" s="25">
        <v>0</v>
      </c>
      <c r="M1037" s="25">
        <v>0</v>
      </c>
      <c r="N1037" s="25">
        <v>0</v>
      </c>
      <c r="O1037" s="25">
        <v>0</v>
      </c>
      <c r="P1037" s="25">
        <v>0</v>
      </c>
      <c r="Q1037" s="25">
        <v>0</v>
      </c>
      <c r="R1037" s="25">
        <v>0</v>
      </c>
      <c r="S1037" s="25">
        <v>0</v>
      </c>
      <c r="T1037" s="25">
        <v>0</v>
      </c>
      <c r="U1037" s="25">
        <v>0</v>
      </c>
      <c r="V1037" s="25">
        <v>0</v>
      </c>
      <c r="W1037" s="25">
        <v>0</v>
      </c>
      <c r="X1037" s="25">
        <v>0</v>
      </c>
      <c r="Y1037" s="25">
        <v>0</v>
      </c>
      <c r="Z1037" s="25">
        <v>0</v>
      </c>
      <c r="AA1037" s="25">
        <v>0</v>
      </c>
      <c r="AB1037" s="25">
        <v>0</v>
      </c>
      <c r="AC1037" s="25">
        <v>0</v>
      </c>
      <c r="AD1037" s="25">
        <v>0</v>
      </c>
      <c r="AE1037" s="25">
        <v>0</v>
      </c>
      <c r="AF1037" s="25">
        <v>0</v>
      </c>
    </row>
    <row r="1038" spans="1:32" x14ac:dyDescent="0.25">
      <c r="A1038" s="25" t="s">
        <v>1107</v>
      </c>
      <c r="B1038" s="25">
        <v>0</v>
      </c>
      <c r="C1038" s="25">
        <v>0</v>
      </c>
      <c r="D1038" s="25">
        <v>0</v>
      </c>
      <c r="E1038" s="25">
        <v>0</v>
      </c>
      <c r="F1038" s="25">
        <v>0</v>
      </c>
      <c r="G1038" s="25">
        <v>0</v>
      </c>
      <c r="H1038" s="25">
        <v>0</v>
      </c>
      <c r="I1038" s="25">
        <v>0</v>
      </c>
      <c r="J1038" s="25">
        <v>0</v>
      </c>
      <c r="K1038" s="25">
        <v>0</v>
      </c>
      <c r="L1038" s="25">
        <v>0</v>
      </c>
      <c r="M1038" s="25">
        <v>0</v>
      </c>
      <c r="N1038" s="25">
        <v>0</v>
      </c>
      <c r="O1038" s="25">
        <v>0</v>
      </c>
      <c r="P1038" s="25">
        <v>0</v>
      </c>
      <c r="Q1038" s="25">
        <v>0</v>
      </c>
      <c r="R1038" s="25">
        <v>0</v>
      </c>
      <c r="S1038" s="25">
        <v>0</v>
      </c>
      <c r="T1038" s="25">
        <v>0</v>
      </c>
      <c r="U1038" s="25">
        <v>0</v>
      </c>
      <c r="V1038" s="25">
        <v>0</v>
      </c>
      <c r="W1038" s="25">
        <v>0</v>
      </c>
      <c r="X1038" s="25">
        <v>0</v>
      </c>
      <c r="Y1038" s="25">
        <v>0</v>
      </c>
      <c r="Z1038" s="25">
        <v>0</v>
      </c>
      <c r="AA1038" s="25">
        <v>0</v>
      </c>
      <c r="AB1038" s="25">
        <v>0</v>
      </c>
      <c r="AC1038" s="25">
        <v>0</v>
      </c>
      <c r="AD1038" s="25">
        <v>0</v>
      </c>
      <c r="AE1038" s="25">
        <v>0</v>
      </c>
      <c r="AF1038" s="25">
        <v>0</v>
      </c>
    </row>
    <row r="1039" spans="1:32" x14ac:dyDescent="0.25">
      <c r="A1039" s="25" t="s">
        <v>1108</v>
      </c>
      <c r="B1039" s="25">
        <v>0</v>
      </c>
      <c r="C1039" s="25">
        <v>0</v>
      </c>
      <c r="D1039" s="25">
        <v>0</v>
      </c>
      <c r="E1039" s="25">
        <v>0</v>
      </c>
      <c r="F1039" s="25">
        <v>0</v>
      </c>
      <c r="G1039" s="25">
        <v>0</v>
      </c>
      <c r="H1039" s="25">
        <v>0</v>
      </c>
      <c r="I1039" s="25">
        <v>0</v>
      </c>
      <c r="J1039" s="25">
        <v>0</v>
      </c>
      <c r="K1039" s="25">
        <v>0</v>
      </c>
      <c r="L1039" s="25">
        <v>0</v>
      </c>
      <c r="M1039" s="25">
        <v>0</v>
      </c>
      <c r="N1039" s="25">
        <v>0</v>
      </c>
      <c r="O1039" s="25">
        <v>0</v>
      </c>
      <c r="P1039" s="25">
        <v>0</v>
      </c>
      <c r="Q1039" s="25">
        <v>0</v>
      </c>
      <c r="R1039" s="25">
        <v>0</v>
      </c>
      <c r="S1039" s="25">
        <v>0</v>
      </c>
      <c r="T1039" s="25">
        <v>0</v>
      </c>
      <c r="U1039" s="25">
        <v>0</v>
      </c>
      <c r="V1039" s="25">
        <v>0</v>
      </c>
      <c r="W1039" s="25">
        <v>0</v>
      </c>
      <c r="X1039" s="25">
        <v>0</v>
      </c>
      <c r="Y1039" s="25">
        <v>0</v>
      </c>
      <c r="Z1039" s="25">
        <v>0</v>
      </c>
      <c r="AA1039" s="25">
        <v>0</v>
      </c>
      <c r="AB1039" s="25">
        <v>0</v>
      </c>
      <c r="AC1039" s="25">
        <v>0</v>
      </c>
      <c r="AD1039" s="25">
        <v>0</v>
      </c>
      <c r="AE1039" s="25">
        <v>0</v>
      </c>
      <c r="AF1039" s="25">
        <v>0</v>
      </c>
    </row>
    <row r="1040" spans="1:32" x14ac:dyDescent="0.25">
      <c r="A1040" s="25" t="s">
        <v>1109</v>
      </c>
      <c r="B1040" s="25">
        <v>0</v>
      </c>
      <c r="C1040" s="25">
        <v>0</v>
      </c>
      <c r="D1040" s="25">
        <v>0</v>
      </c>
      <c r="E1040" s="25">
        <v>0</v>
      </c>
      <c r="F1040" s="25">
        <v>0</v>
      </c>
      <c r="G1040" s="25">
        <v>0</v>
      </c>
      <c r="H1040" s="25">
        <v>0</v>
      </c>
      <c r="I1040" s="25">
        <v>0</v>
      </c>
      <c r="J1040" s="25">
        <v>0</v>
      </c>
      <c r="K1040" s="25">
        <v>0</v>
      </c>
      <c r="L1040" s="25">
        <v>0</v>
      </c>
      <c r="M1040" s="25">
        <v>0</v>
      </c>
      <c r="N1040" s="25">
        <v>0</v>
      </c>
      <c r="O1040" s="25">
        <v>0</v>
      </c>
      <c r="P1040" s="25">
        <v>0</v>
      </c>
      <c r="Q1040" s="25">
        <v>0</v>
      </c>
      <c r="R1040" s="25">
        <v>0</v>
      </c>
      <c r="S1040" s="25">
        <v>0</v>
      </c>
      <c r="T1040" s="25">
        <v>0</v>
      </c>
      <c r="U1040" s="25">
        <v>0</v>
      </c>
      <c r="V1040" s="25">
        <v>0</v>
      </c>
      <c r="W1040" s="25">
        <v>0</v>
      </c>
      <c r="X1040" s="25">
        <v>0</v>
      </c>
      <c r="Y1040" s="25">
        <v>0</v>
      </c>
      <c r="Z1040" s="25">
        <v>0</v>
      </c>
      <c r="AA1040" s="25">
        <v>0</v>
      </c>
      <c r="AB1040" s="25">
        <v>0</v>
      </c>
      <c r="AC1040" s="25">
        <v>0</v>
      </c>
      <c r="AD1040" s="25">
        <v>0</v>
      </c>
      <c r="AE1040" s="25">
        <v>0</v>
      </c>
      <c r="AF1040" s="25">
        <v>0</v>
      </c>
    </row>
    <row r="1041" spans="1:32" x14ac:dyDescent="0.25">
      <c r="A1041" s="25" t="s">
        <v>1110</v>
      </c>
      <c r="B1041" s="25">
        <v>0</v>
      </c>
      <c r="C1041" s="25">
        <v>0</v>
      </c>
      <c r="D1041" s="25">
        <v>0</v>
      </c>
      <c r="E1041" s="25">
        <v>0</v>
      </c>
      <c r="F1041" s="25">
        <v>0</v>
      </c>
      <c r="G1041" s="25">
        <v>0</v>
      </c>
      <c r="H1041" s="25">
        <v>0</v>
      </c>
      <c r="I1041" s="25">
        <v>0</v>
      </c>
      <c r="J1041" s="25">
        <v>0</v>
      </c>
      <c r="K1041" s="25">
        <v>0</v>
      </c>
      <c r="L1041" s="25">
        <v>0</v>
      </c>
      <c r="M1041" s="25">
        <v>0</v>
      </c>
      <c r="N1041" s="25">
        <v>0</v>
      </c>
      <c r="O1041" s="25">
        <v>0</v>
      </c>
      <c r="P1041" s="25">
        <v>0</v>
      </c>
      <c r="Q1041" s="25">
        <v>0</v>
      </c>
      <c r="R1041" s="25">
        <v>0</v>
      </c>
      <c r="S1041" s="25">
        <v>0</v>
      </c>
      <c r="T1041" s="25">
        <v>0</v>
      </c>
      <c r="U1041" s="25">
        <v>0</v>
      </c>
      <c r="V1041" s="25">
        <v>0</v>
      </c>
      <c r="W1041" s="25">
        <v>0</v>
      </c>
      <c r="X1041" s="25">
        <v>0</v>
      </c>
      <c r="Y1041" s="25">
        <v>0</v>
      </c>
      <c r="Z1041" s="25">
        <v>0</v>
      </c>
      <c r="AA1041" s="25">
        <v>0</v>
      </c>
      <c r="AB1041" s="25">
        <v>0</v>
      </c>
      <c r="AC1041" s="25">
        <v>0</v>
      </c>
      <c r="AD1041" s="25">
        <v>0</v>
      </c>
      <c r="AE1041" s="25">
        <v>0</v>
      </c>
      <c r="AF1041" s="25">
        <v>0</v>
      </c>
    </row>
    <row r="1042" spans="1:32" x14ac:dyDescent="0.25">
      <c r="A1042" s="25" t="s">
        <v>1111</v>
      </c>
      <c r="B1042" s="25">
        <v>0</v>
      </c>
      <c r="C1042" s="25">
        <v>0</v>
      </c>
      <c r="D1042" s="25">
        <v>0</v>
      </c>
      <c r="E1042" s="25">
        <v>0</v>
      </c>
      <c r="F1042" s="25">
        <v>0</v>
      </c>
      <c r="G1042" s="25">
        <v>0</v>
      </c>
      <c r="H1042" s="25">
        <v>0</v>
      </c>
      <c r="I1042" s="25">
        <v>0</v>
      </c>
      <c r="J1042" s="25">
        <v>0</v>
      </c>
      <c r="K1042" s="25">
        <v>0</v>
      </c>
      <c r="L1042" s="25">
        <v>0</v>
      </c>
      <c r="M1042" s="25">
        <v>0</v>
      </c>
      <c r="N1042" s="25">
        <v>0</v>
      </c>
      <c r="O1042" s="25">
        <v>0</v>
      </c>
      <c r="P1042" s="25">
        <v>0</v>
      </c>
      <c r="Q1042" s="25">
        <v>0</v>
      </c>
      <c r="R1042" s="25">
        <v>0</v>
      </c>
      <c r="S1042" s="25">
        <v>0</v>
      </c>
      <c r="T1042" s="25">
        <v>0</v>
      </c>
      <c r="U1042" s="25">
        <v>0</v>
      </c>
      <c r="V1042" s="25">
        <v>0</v>
      </c>
      <c r="W1042" s="25">
        <v>0</v>
      </c>
      <c r="X1042" s="25">
        <v>0</v>
      </c>
      <c r="Y1042" s="25">
        <v>0</v>
      </c>
      <c r="Z1042" s="25">
        <v>0</v>
      </c>
      <c r="AA1042" s="25">
        <v>0</v>
      </c>
      <c r="AB1042" s="25">
        <v>0</v>
      </c>
      <c r="AC1042" s="25">
        <v>0</v>
      </c>
      <c r="AD1042" s="25">
        <v>0</v>
      </c>
      <c r="AE1042" s="25">
        <v>0</v>
      </c>
      <c r="AF1042" s="25">
        <v>0</v>
      </c>
    </row>
    <row r="1043" spans="1:32" x14ac:dyDescent="0.25">
      <c r="A1043" s="25" t="s">
        <v>1112</v>
      </c>
      <c r="B1043" s="25">
        <v>0</v>
      </c>
      <c r="C1043" s="25">
        <v>0</v>
      </c>
      <c r="D1043" s="25">
        <v>0</v>
      </c>
      <c r="E1043" s="25">
        <v>0</v>
      </c>
      <c r="F1043" s="25">
        <v>0</v>
      </c>
      <c r="G1043" s="25">
        <v>0</v>
      </c>
      <c r="H1043" s="25">
        <v>0</v>
      </c>
      <c r="I1043" s="25">
        <v>0</v>
      </c>
      <c r="J1043" s="25">
        <v>0</v>
      </c>
      <c r="K1043" s="25">
        <v>0</v>
      </c>
      <c r="L1043" s="25">
        <v>0</v>
      </c>
      <c r="M1043" s="25">
        <v>0</v>
      </c>
      <c r="N1043" s="25">
        <v>0</v>
      </c>
      <c r="O1043" s="25">
        <v>0</v>
      </c>
      <c r="P1043" s="25">
        <v>0</v>
      </c>
      <c r="Q1043" s="25">
        <v>0</v>
      </c>
      <c r="R1043" s="25">
        <v>0</v>
      </c>
      <c r="S1043" s="25">
        <v>0</v>
      </c>
      <c r="T1043" s="25">
        <v>0</v>
      </c>
      <c r="U1043" s="25">
        <v>0</v>
      </c>
      <c r="V1043" s="25">
        <v>0</v>
      </c>
      <c r="W1043" s="25">
        <v>0</v>
      </c>
      <c r="X1043" s="25">
        <v>0</v>
      </c>
      <c r="Y1043" s="25">
        <v>0</v>
      </c>
      <c r="Z1043" s="25">
        <v>0</v>
      </c>
      <c r="AA1043" s="25">
        <v>0</v>
      </c>
      <c r="AB1043" s="25">
        <v>0</v>
      </c>
      <c r="AC1043" s="25">
        <v>0</v>
      </c>
      <c r="AD1043" s="25">
        <v>0</v>
      </c>
      <c r="AE1043" s="25">
        <v>0</v>
      </c>
      <c r="AF1043" s="25">
        <v>0</v>
      </c>
    </row>
    <row r="1044" spans="1:32" x14ac:dyDescent="0.25">
      <c r="A1044" s="25" t="s">
        <v>1113</v>
      </c>
      <c r="B1044" s="25">
        <v>0</v>
      </c>
      <c r="C1044" s="25">
        <v>0</v>
      </c>
      <c r="D1044" s="25">
        <v>0</v>
      </c>
      <c r="E1044" s="25">
        <v>0</v>
      </c>
      <c r="F1044" s="25">
        <v>0</v>
      </c>
      <c r="G1044" s="25">
        <v>0</v>
      </c>
      <c r="H1044" s="25">
        <v>0</v>
      </c>
      <c r="I1044" s="25">
        <v>0</v>
      </c>
      <c r="J1044" s="25">
        <v>0</v>
      </c>
      <c r="K1044" s="25">
        <v>0</v>
      </c>
      <c r="L1044" s="25">
        <v>0</v>
      </c>
      <c r="M1044" s="25">
        <v>0</v>
      </c>
      <c r="N1044" s="25">
        <v>0</v>
      </c>
      <c r="O1044" s="25">
        <v>0</v>
      </c>
      <c r="P1044" s="25">
        <v>0</v>
      </c>
      <c r="Q1044" s="25">
        <v>0</v>
      </c>
      <c r="R1044" s="25">
        <v>0</v>
      </c>
      <c r="S1044" s="25">
        <v>0</v>
      </c>
      <c r="T1044" s="25">
        <v>0</v>
      </c>
      <c r="U1044" s="25">
        <v>0</v>
      </c>
      <c r="V1044" s="25">
        <v>0</v>
      </c>
      <c r="W1044" s="25">
        <v>0</v>
      </c>
      <c r="X1044" s="25">
        <v>0</v>
      </c>
      <c r="Y1044" s="25">
        <v>0</v>
      </c>
      <c r="Z1044" s="25">
        <v>0</v>
      </c>
      <c r="AA1044" s="25">
        <v>0</v>
      </c>
      <c r="AB1044" s="25">
        <v>0</v>
      </c>
      <c r="AC1044" s="25">
        <v>0</v>
      </c>
      <c r="AD1044" s="25">
        <v>0</v>
      </c>
      <c r="AE1044" s="25">
        <v>0</v>
      </c>
      <c r="AF1044" s="25">
        <v>0</v>
      </c>
    </row>
    <row r="1045" spans="1:32" x14ac:dyDescent="0.25">
      <c r="A1045" s="25" t="s">
        <v>1114</v>
      </c>
      <c r="B1045" s="25">
        <v>0</v>
      </c>
      <c r="C1045" s="25">
        <v>0</v>
      </c>
      <c r="D1045" s="25">
        <v>0</v>
      </c>
      <c r="E1045" s="25">
        <v>0</v>
      </c>
      <c r="F1045" s="25">
        <v>0</v>
      </c>
      <c r="G1045" s="25">
        <v>0</v>
      </c>
      <c r="H1045" s="25">
        <v>0</v>
      </c>
      <c r="I1045" s="25">
        <v>0</v>
      </c>
      <c r="J1045" s="25">
        <v>0</v>
      </c>
      <c r="K1045" s="25">
        <v>0</v>
      </c>
      <c r="L1045" s="25">
        <v>0</v>
      </c>
      <c r="M1045" s="25">
        <v>0</v>
      </c>
      <c r="N1045" s="25">
        <v>0</v>
      </c>
      <c r="O1045" s="25">
        <v>0</v>
      </c>
      <c r="P1045" s="25">
        <v>0</v>
      </c>
      <c r="Q1045" s="25">
        <v>0</v>
      </c>
      <c r="R1045" s="25">
        <v>0</v>
      </c>
      <c r="S1045" s="25">
        <v>0</v>
      </c>
      <c r="T1045" s="25">
        <v>0</v>
      </c>
      <c r="U1045" s="25">
        <v>0</v>
      </c>
      <c r="V1045" s="25">
        <v>0</v>
      </c>
      <c r="W1045" s="25">
        <v>0</v>
      </c>
      <c r="X1045" s="25">
        <v>0</v>
      </c>
      <c r="Y1045" s="25">
        <v>0</v>
      </c>
      <c r="Z1045" s="25">
        <v>0</v>
      </c>
      <c r="AA1045" s="25">
        <v>0</v>
      </c>
      <c r="AB1045" s="25">
        <v>0</v>
      </c>
      <c r="AC1045" s="25">
        <v>0</v>
      </c>
      <c r="AD1045" s="25">
        <v>0</v>
      </c>
      <c r="AE1045" s="25">
        <v>0</v>
      </c>
      <c r="AF1045" s="25">
        <v>0</v>
      </c>
    </row>
    <row r="1046" spans="1:32" x14ac:dyDescent="0.25">
      <c r="A1046" s="25" t="s">
        <v>1115</v>
      </c>
      <c r="B1046" s="25">
        <v>0</v>
      </c>
      <c r="C1046" s="25">
        <v>0</v>
      </c>
      <c r="D1046" s="25">
        <v>0</v>
      </c>
      <c r="E1046" s="25">
        <v>0</v>
      </c>
      <c r="F1046" s="25">
        <v>0</v>
      </c>
      <c r="G1046" s="25">
        <v>0</v>
      </c>
      <c r="H1046" s="25">
        <v>0</v>
      </c>
      <c r="I1046" s="25">
        <v>0</v>
      </c>
      <c r="J1046" s="25">
        <v>0</v>
      </c>
      <c r="K1046" s="25">
        <v>0</v>
      </c>
      <c r="L1046" s="25">
        <v>0</v>
      </c>
      <c r="M1046" s="25">
        <v>0</v>
      </c>
      <c r="N1046" s="25">
        <v>0</v>
      </c>
      <c r="O1046" s="25">
        <v>0</v>
      </c>
      <c r="P1046" s="25">
        <v>0</v>
      </c>
      <c r="Q1046" s="25">
        <v>0</v>
      </c>
      <c r="R1046" s="25">
        <v>0</v>
      </c>
      <c r="S1046" s="25">
        <v>0</v>
      </c>
      <c r="T1046" s="25">
        <v>0</v>
      </c>
      <c r="U1046" s="25">
        <v>0</v>
      </c>
      <c r="V1046" s="25">
        <v>0</v>
      </c>
      <c r="W1046" s="25">
        <v>0</v>
      </c>
      <c r="X1046" s="25">
        <v>0</v>
      </c>
      <c r="Y1046" s="25">
        <v>0</v>
      </c>
      <c r="Z1046" s="25">
        <v>0</v>
      </c>
      <c r="AA1046" s="25">
        <v>0</v>
      </c>
      <c r="AB1046" s="25">
        <v>0</v>
      </c>
      <c r="AC1046" s="25">
        <v>0</v>
      </c>
      <c r="AD1046" s="25">
        <v>0</v>
      </c>
      <c r="AE1046" s="25">
        <v>0</v>
      </c>
      <c r="AF1046" s="25">
        <v>0</v>
      </c>
    </row>
    <row r="1047" spans="1:32" x14ac:dyDescent="0.25">
      <c r="A1047" s="25" t="s">
        <v>1116</v>
      </c>
      <c r="B1047" s="25">
        <v>0</v>
      </c>
      <c r="C1047" s="25">
        <v>0</v>
      </c>
      <c r="D1047" s="25">
        <v>0</v>
      </c>
      <c r="E1047" s="25">
        <v>0</v>
      </c>
      <c r="F1047" s="25">
        <v>0</v>
      </c>
      <c r="G1047" s="25">
        <v>0</v>
      </c>
      <c r="H1047" s="25">
        <v>0</v>
      </c>
      <c r="I1047" s="25">
        <v>0</v>
      </c>
      <c r="J1047" s="25">
        <v>0</v>
      </c>
      <c r="K1047" s="25">
        <v>0</v>
      </c>
      <c r="L1047" s="25">
        <v>0</v>
      </c>
      <c r="M1047" s="25">
        <v>0</v>
      </c>
      <c r="N1047" s="25">
        <v>0</v>
      </c>
      <c r="O1047" s="25">
        <v>0</v>
      </c>
      <c r="P1047" s="25">
        <v>0</v>
      </c>
      <c r="Q1047" s="25">
        <v>0</v>
      </c>
      <c r="R1047" s="25">
        <v>0</v>
      </c>
      <c r="S1047" s="25">
        <v>0</v>
      </c>
      <c r="T1047" s="25">
        <v>0</v>
      </c>
      <c r="U1047" s="25">
        <v>0</v>
      </c>
      <c r="V1047" s="25">
        <v>0</v>
      </c>
      <c r="W1047" s="25">
        <v>0</v>
      </c>
      <c r="X1047" s="25">
        <v>0</v>
      </c>
      <c r="Y1047" s="25">
        <v>0</v>
      </c>
      <c r="Z1047" s="25">
        <v>0</v>
      </c>
      <c r="AA1047" s="25">
        <v>0</v>
      </c>
      <c r="AB1047" s="25">
        <v>0</v>
      </c>
      <c r="AC1047" s="25">
        <v>0</v>
      </c>
      <c r="AD1047" s="25">
        <v>0</v>
      </c>
      <c r="AE1047" s="25">
        <v>0</v>
      </c>
      <c r="AF1047" s="25">
        <v>0</v>
      </c>
    </row>
    <row r="1048" spans="1:32" x14ac:dyDescent="0.25">
      <c r="A1048" s="25" t="s">
        <v>1117</v>
      </c>
      <c r="B1048" s="25">
        <v>0</v>
      </c>
      <c r="C1048" s="25">
        <v>0</v>
      </c>
      <c r="D1048" s="25">
        <v>0</v>
      </c>
      <c r="E1048" s="25">
        <v>0</v>
      </c>
      <c r="F1048" s="25">
        <v>0</v>
      </c>
      <c r="G1048" s="25">
        <v>0</v>
      </c>
      <c r="H1048" s="25">
        <v>0</v>
      </c>
      <c r="I1048" s="25">
        <v>0</v>
      </c>
      <c r="J1048" s="25">
        <v>0</v>
      </c>
      <c r="K1048" s="25">
        <v>0</v>
      </c>
      <c r="L1048" s="25">
        <v>0</v>
      </c>
      <c r="M1048" s="25">
        <v>0</v>
      </c>
      <c r="N1048" s="25">
        <v>0</v>
      </c>
      <c r="O1048" s="25">
        <v>0</v>
      </c>
      <c r="P1048" s="25">
        <v>0</v>
      </c>
      <c r="Q1048" s="25">
        <v>0</v>
      </c>
      <c r="R1048" s="25">
        <v>0</v>
      </c>
      <c r="S1048" s="25">
        <v>0</v>
      </c>
      <c r="T1048" s="25">
        <v>0</v>
      </c>
      <c r="U1048" s="25">
        <v>0</v>
      </c>
      <c r="V1048" s="25">
        <v>0</v>
      </c>
      <c r="W1048" s="25">
        <v>0</v>
      </c>
      <c r="X1048" s="25">
        <v>0</v>
      </c>
      <c r="Y1048" s="25">
        <v>0</v>
      </c>
      <c r="Z1048" s="25">
        <v>0</v>
      </c>
      <c r="AA1048" s="25">
        <v>0</v>
      </c>
      <c r="AB1048" s="25">
        <v>0</v>
      </c>
      <c r="AC1048" s="25">
        <v>0</v>
      </c>
      <c r="AD1048" s="25">
        <v>0</v>
      </c>
      <c r="AE1048" s="25">
        <v>0</v>
      </c>
      <c r="AF1048" s="25">
        <v>0</v>
      </c>
    </row>
    <row r="1049" spans="1:32" x14ac:dyDescent="0.25">
      <c r="A1049" s="25" t="s">
        <v>1118</v>
      </c>
      <c r="B1049" s="25">
        <v>0</v>
      </c>
      <c r="C1049" s="25">
        <v>0</v>
      </c>
      <c r="D1049" s="25">
        <v>0</v>
      </c>
      <c r="E1049" s="25">
        <v>0</v>
      </c>
      <c r="F1049" s="25">
        <v>0</v>
      </c>
      <c r="G1049" s="25">
        <v>0</v>
      </c>
      <c r="H1049" s="25">
        <v>0</v>
      </c>
      <c r="I1049" s="25">
        <v>0</v>
      </c>
      <c r="J1049" s="25">
        <v>0</v>
      </c>
      <c r="K1049" s="25">
        <v>0</v>
      </c>
      <c r="L1049" s="25">
        <v>0</v>
      </c>
      <c r="M1049" s="25">
        <v>0</v>
      </c>
      <c r="N1049" s="25">
        <v>0</v>
      </c>
      <c r="O1049" s="25">
        <v>0</v>
      </c>
      <c r="P1049" s="25">
        <v>0</v>
      </c>
      <c r="Q1049" s="25">
        <v>0</v>
      </c>
      <c r="R1049" s="25">
        <v>0</v>
      </c>
      <c r="S1049" s="25">
        <v>0</v>
      </c>
      <c r="T1049" s="25">
        <v>0</v>
      </c>
      <c r="U1049" s="25">
        <v>0</v>
      </c>
      <c r="V1049" s="25">
        <v>0</v>
      </c>
      <c r="W1049" s="25">
        <v>0</v>
      </c>
      <c r="X1049" s="25">
        <v>0</v>
      </c>
      <c r="Y1049" s="25">
        <v>0</v>
      </c>
      <c r="Z1049" s="25">
        <v>0</v>
      </c>
      <c r="AA1049" s="25">
        <v>0</v>
      </c>
      <c r="AB1049" s="25">
        <v>0</v>
      </c>
      <c r="AC1049" s="25">
        <v>0</v>
      </c>
      <c r="AD1049" s="25">
        <v>0</v>
      </c>
      <c r="AE1049" s="25">
        <v>0</v>
      </c>
      <c r="AF1049" s="25">
        <v>0</v>
      </c>
    </row>
    <row r="1050" spans="1:32" x14ac:dyDescent="0.25">
      <c r="A1050" s="25" t="s">
        <v>1119</v>
      </c>
      <c r="B1050" s="25">
        <v>0</v>
      </c>
      <c r="C1050" s="25">
        <v>0</v>
      </c>
      <c r="D1050" s="25">
        <v>0</v>
      </c>
      <c r="E1050" s="25">
        <v>0</v>
      </c>
      <c r="F1050" s="25">
        <v>0</v>
      </c>
      <c r="G1050" s="25">
        <v>0</v>
      </c>
      <c r="H1050" s="25">
        <v>0</v>
      </c>
      <c r="I1050" s="25">
        <v>0</v>
      </c>
      <c r="J1050" s="25">
        <v>0</v>
      </c>
      <c r="K1050" s="25">
        <v>0</v>
      </c>
      <c r="L1050" s="25">
        <v>0</v>
      </c>
      <c r="M1050" s="25">
        <v>0</v>
      </c>
      <c r="N1050" s="25">
        <v>0</v>
      </c>
      <c r="O1050" s="25">
        <v>0</v>
      </c>
      <c r="P1050" s="25">
        <v>0</v>
      </c>
      <c r="Q1050" s="25">
        <v>0</v>
      </c>
      <c r="R1050" s="25">
        <v>0</v>
      </c>
      <c r="S1050" s="25">
        <v>0</v>
      </c>
      <c r="T1050" s="25">
        <v>0</v>
      </c>
      <c r="U1050" s="25">
        <v>0</v>
      </c>
      <c r="V1050" s="25">
        <v>0</v>
      </c>
      <c r="W1050" s="25">
        <v>0</v>
      </c>
      <c r="X1050" s="25">
        <v>0</v>
      </c>
      <c r="Y1050" s="25">
        <v>0</v>
      </c>
      <c r="Z1050" s="25">
        <v>0</v>
      </c>
      <c r="AA1050" s="25">
        <v>0</v>
      </c>
      <c r="AB1050" s="25">
        <v>0</v>
      </c>
      <c r="AC1050" s="25">
        <v>0</v>
      </c>
      <c r="AD1050" s="25">
        <v>0</v>
      </c>
      <c r="AE1050" s="25">
        <v>0</v>
      </c>
      <c r="AF1050" s="25">
        <v>0</v>
      </c>
    </row>
    <row r="1051" spans="1:32" x14ac:dyDescent="0.25">
      <c r="A1051" s="25" t="s">
        <v>1120</v>
      </c>
      <c r="B1051" s="25">
        <v>0</v>
      </c>
      <c r="C1051" s="25">
        <v>0</v>
      </c>
      <c r="D1051" s="25">
        <v>0</v>
      </c>
      <c r="E1051" s="25">
        <v>0</v>
      </c>
      <c r="F1051" s="25">
        <v>0</v>
      </c>
      <c r="G1051" s="25">
        <v>0</v>
      </c>
      <c r="H1051" s="25">
        <v>0</v>
      </c>
      <c r="I1051" s="25">
        <v>0</v>
      </c>
      <c r="J1051" s="25">
        <v>0</v>
      </c>
      <c r="K1051" s="25">
        <v>0</v>
      </c>
      <c r="L1051" s="25">
        <v>0</v>
      </c>
      <c r="M1051" s="25">
        <v>0</v>
      </c>
      <c r="N1051" s="25">
        <v>0</v>
      </c>
      <c r="O1051" s="25">
        <v>0</v>
      </c>
      <c r="P1051" s="25">
        <v>0</v>
      </c>
      <c r="Q1051" s="25">
        <v>0</v>
      </c>
      <c r="R1051" s="25">
        <v>0</v>
      </c>
      <c r="S1051" s="25">
        <v>0</v>
      </c>
      <c r="T1051" s="25">
        <v>0</v>
      </c>
      <c r="U1051" s="25">
        <v>0</v>
      </c>
      <c r="V1051" s="25">
        <v>0</v>
      </c>
      <c r="W1051" s="25">
        <v>0</v>
      </c>
      <c r="X1051" s="25">
        <v>0</v>
      </c>
      <c r="Y1051" s="25">
        <v>0</v>
      </c>
      <c r="Z1051" s="25">
        <v>0</v>
      </c>
      <c r="AA1051" s="25">
        <v>0</v>
      </c>
      <c r="AB1051" s="25">
        <v>0</v>
      </c>
      <c r="AC1051" s="25">
        <v>0</v>
      </c>
      <c r="AD1051" s="25">
        <v>0</v>
      </c>
      <c r="AE1051" s="25">
        <v>0</v>
      </c>
      <c r="AF1051" s="25">
        <v>0</v>
      </c>
    </row>
    <row r="1052" spans="1:32" x14ac:dyDescent="0.25">
      <c r="A1052" s="25" t="s">
        <v>1121</v>
      </c>
      <c r="B1052" s="25">
        <v>0</v>
      </c>
      <c r="C1052" s="25">
        <v>0</v>
      </c>
      <c r="D1052" s="25">
        <v>0</v>
      </c>
      <c r="E1052" s="25">
        <v>0</v>
      </c>
      <c r="F1052" s="25">
        <v>0</v>
      </c>
      <c r="G1052" s="25">
        <v>0</v>
      </c>
      <c r="H1052" s="25">
        <v>0</v>
      </c>
      <c r="I1052" s="25">
        <v>0</v>
      </c>
      <c r="J1052" s="25">
        <v>0</v>
      </c>
      <c r="K1052" s="25">
        <v>0</v>
      </c>
      <c r="L1052" s="25">
        <v>0</v>
      </c>
      <c r="M1052" s="25">
        <v>0</v>
      </c>
      <c r="N1052" s="25">
        <v>0</v>
      </c>
      <c r="O1052" s="25">
        <v>0</v>
      </c>
      <c r="P1052" s="25">
        <v>0</v>
      </c>
      <c r="Q1052" s="25">
        <v>0</v>
      </c>
      <c r="R1052" s="25">
        <v>0</v>
      </c>
      <c r="S1052" s="25">
        <v>0</v>
      </c>
      <c r="T1052" s="25">
        <v>0</v>
      </c>
      <c r="U1052" s="25">
        <v>0</v>
      </c>
      <c r="V1052" s="25">
        <v>0</v>
      </c>
      <c r="W1052" s="25">
        <v>0</v>
      </c>
      <c r="X1052" s="25">
        <v>0</v>
      </c>
      <c r="Y1052" s="25">
        <v>0</v>
      </c>
      <c r="Z1052" s="25">
        <v>0</v>
      </c>
      <c r="AA1052" s="25">
        <v>0</v>
      </c>
      <c r="AB1052" s="25">
        <v>0</v>
      </c>
      <c r="AC1052" s="25">
        <v>0</v>
      </c>
      <c r="AD1052" s="25">
        <v>0</v>
      </c>
      <c r="AE1052" s="25">
        <v>0</v>
      </c>
      <c r="AF1052" s="25">
        <v>0</v>
      </c>
    </row>
    <row r="1053" spans="1:32" x14ac:dyDescent="0.25">
      <c r="A1053" s="25" t="s">
        <v>1122</v>
      </c>
      <c r="B1053" s="25">
        <v>0</v>
      </c>
      <c r="C1053" s="25">
        <v>0</v>
      </c>
      <c r="D1053" s="25">
        <v>0</v>
      </c>
      <c r="E1053" s="25">
        <v>0</v>
      </c>
      <c r="F1053" s="25">
        <v>0</v>
      </c>
      <c r="G1053" s="25">
        <v>0</v>
      </c>
      <c r="H1053" s="25">
        <v>0</v>
      </c>
      <c r="I1053" s="25">
        <v>0</v>
      </c>
      <c r="J1053" s="25">
        <v>0</v>
      </c>
      <c r="K1053" s="25">
        <v>0</v>
      </c>
      <c r="L1053" s="25">
        <v>0</v>
      </c>
      <c r="M1053" s="25">
        <v>0</v>
      </c>
      <c r="N1053" s="25">
        <v>0</v>
      </c>
      <c r="O1053" s="25">
        <v>0</v>
      </c>
      <c r="P1053" s="25">
        <v>0</v>
      </c>
      <c r="Q1053" s="25">
        <v>0</v>
      </c>
      <c r="R1053" s="25">
        <v>0</v>
      </c>
      <c r="S1053" s="25">
        <v>0</v>
      </c>
      <c r="T1053" s="25">
        <v>0</v>
      </c>
      <c r="U1053" s="25">
        <v>0</v>
      </c>
      <c r="V1053" s="25">
        <v>0</v>
      </c>
      <c r="W1053" s="25">
        <v>0</v>
      </c>
      <c r="X1053" s="25">
        <v>0</v>
      </c>
      <c r="Y1053" s="25">
        <v>0</v>
      </c>
      <c r="Z1053" s="25">
        <v>0</v>
      </c>
      <c r="AA1053" s="25">
        <v>0</v>
      </c>
      <c r="AB1053" s="25">
        <v>0</v>
      </c>
      <c r="AC1053" s="25">
        <v>0</v>
      </c>
      <c r="AD1053" s="25">
        <v>0</v>
      </c>
      <c r="AE1053" s="25">
        <v>0</v>
      </c>
      <c r="AF1053" s="25">
        <v>0</v>
      </c>
    </row>
    <row r="1054" spans="1:32" x14ac:dyDescent="0.25">
      <c r="A1054" s="25" t="s">
        <v>1123</v>
      </c>
      <c r="B1054" s="25">
        <v>0</v>
      </c>
      <c r="C1054" s="25">
        <v>0</v>
      </c>
      <c r="D1054" s="25">
        <v>0</v>
      </c>
      <c r="E1054" s="25">
        <v>0</v>
      </c>
      <c r="F1054" s="25">
        <v>0</v>
      </c>
      <c r="G1054" s="25">
        <v>0</v>
      </c>
      <c r="H1054" s="25">
        <v>0</v>
      </c>
      <c r="I1054" s="25">
        <v>0</v>
      </c>
      <c r="J1054" s="25">
        <v>0</v>
      </c>
      <c r="K1054" s="25">
        <v>0</v>
      </c>
      <c r="L1054" s="25">
        <v>0</v>
      </c>
      <c r="M1054" s="25">
        <v>0</v>
      </c>
      <c r="N1054" s="25">
        <v>0</v>
      </c>
      <c r="O1054" s="25">
        <v>0</v>
      </c>
      <c r="P1054" s="25">
        <v>0</v>
      </c>
      <c r="Q1054" s="25">
        <v>0</v>
      </c>
      <c r="R1054" s="25">
        <v>0</v>
      </c>
      <c r="S1054" s="25">
        <v>0</v>
      </c>
      <c r="T1054" s="25">
        <v>0</v>
      </c>
      <c r="U1054" s="25">
        <v>0</v>
      </c>
      <c r="V1054" s="25">
        <v>0</v>
      </c>
      <c r="W1054" s="25">
        <v>0</v>
      </c>
      <c r="X1054" s="25">
        <v>0</v>
      </c>
      <c r="Y1054" s="25">
        <v>0</v>
      </c>
      <c r="Z1054" s="25">
        <v>0</v>
      </c>
      <c r="AA1054" s="25">
        <v>0</v>
      </c>
      <c r="AB1054" s="25">
        <v>0</v>
      </c>
      <c r="AC1054" s="25">
        <v>0</v>
      </c>
      <c r="AD1054" s="25">
        <v>0</v>
      </c>
      <c r="AE1054" s="25">
        <v>0</v>
      </c>
      <c r="AF1054" s="25">
        <v>0</v>
      </c>
    </row>
    <row r="1055" spans="1:32" x14ac:dyDescent="0.25">
      <c r="A1055" s="25" t="s">
        <v>1124</v>
      </c>
      <c r="B1055" s="25">
        <v>0</v>
      </c>
      <c r="C1055" s="25">
        <v>0</v>
      </c>
      <c r="D1055" s="25">
        <v>0</v>
      </c>
      <c r="E1055" s="25">
        <v>0</v>
      </c>
      <c r="F1055" s="25">
        <v>0</v>
      </c>
      <c r="G1055" s="25">
        <v>0</v>
      </c>
      <c r="H1055" s="25">
        <v>0</v>
      </c>
      <c r="I1055" s="25">
        <v>0</v>
      </c>
      <c r="J1055" s="25">
        <v>0</v>
      </c>
      <c r="K1055" s="25">
        <v>0</v>
      </c>
      <c r="L1055" s="25">
        <v>0</v>
      </c>
      <c r="M1055" s="25">
        <v>0</v>
      </c>
      <c r="N1055" s="25">
        <v>0</v>
      </c>
      <c r="O1055" s="25">
        <v>0</v>
      </c>
      <c r="P1055" s="25">
        <v>0</v>
      </c>
      <c r="Q1055" s="25">
        <v>0</v>
      </c>
      <c r="R1055" s="25">
        <v>0</v>
      </c>
      <c r="S1055" s="25">
        <v>0</v>
      </c>
      <c r="T1055" s="25">
        <v>0</v>
      </c>
      <c r="U1055" s="25">
        <v>0</v>
      </c>
      <c r="V1055" s="25">
        <v>0</v>
      </c>
      <c r="W1055" s="25">
        <v>0</v>
      </c>
      <c r="X1055" s="25">
        <v>0</v>
      </c>
      <c r="Y1055" s="25">
        <v>0</v>
      </c>
      <c r="Z1055" s="25">
        <v>0</v>
      </c>
      <c r="AA1055" s="25">
        <v>0</v>
      </c>
      <c r="AB1055" s="25">
        <v>0</v>
      </c>
      <c r="AC1055" s="25">
        <v>0</v>
      </c>
      <c r="AD1055" s="25">
        <v>0</v>
      </c>
      <c r="AE1055" s="25">
        <v>0</v>
      </c>
      <c r="AF1055" s="25">
        <v>0</v>
      </c>
    </row>
    <row r="1056" spans="1:32" x14ac:dyDescent="0.25">
      <c r="A1056" s="25" t="s">
        <v>1125</v>
      </c>
      <c r="B1056" s="25">
        <v>0</v>
      </c>
      <c r="C1056" s="25">
        <v>0</v>
      </c>
      <c r="D1056" s="25">
        <v>0</v>
      </c>
      <c r="E1056" s="25">
        <v>0</v>
      </c>
      <c r="F1056" s="25">
        <v>0</v>
      </c>
      <c r="G1056" s="25">
        <v>0</v>
      </c>
      <c r="H1056" s="25">
        <v>0</v>
      </c>
      <c r="I1056" s="25">
        <v>0</v>
      </c>
      <c r="J1056" s="25">
        <v>0</v>
      </c>
      <c r="K1056" s="25">
        <v>0</v>
      </c>
      <c r="L1056" s="25">
        <v>0</v>
      </c>
      <c r="M1056" s="25">
        <v>0</v>
      </c>
      <c r="N1056" s="25">
        <v>0</v>
      </c>
      <c r="O1056" s="25">
        <v>0</v>
      </c>
      <c r="P1056" s="25">
        <v>0</v>
      </c>
      <c r="Q1056" s="25">
        <v>0</v>
      </c>
      <c r="R1056" s="25">
        <v>0</v>
      </c>
      <c r="S1056" s="25">
        <v>0</v>
      </c>
      <c r="T1056" s="25">
        <v>0</v>
      </c>
      <c r="U1056" s="25">
        <v>0</v>
      </c>
      <c r="V1056" s="25">
        <v>0</v>
      </c>
      <c r="W1056" s="25">
        <v>0</v>
      </c>
      <c r="X1056" s="25">
        <v>0</v>
      </c>
      <c r="Y1056" s="25">
        <v>0</v>
      </c>
      <c r="Z1056" s="25">
        <v>0</v>
      </c>
      <c r="AA1056" s="25">
        <v>0</v>
      </c>
      <c r="AB1056" s="25">
        <v>0</v>
      </c>
      <c r="AC1056" s="25">
        <v>0</v>
      </c>
      <c r="AD1056" s="25">
        <v>0</v>
      </c>
      <c r="AE1056" s="25">
        <v>0</v>
      </c>
      <c r="AF1056" s="25">
        <v>0</v>
      </c>
    </row>
    <row r="1057" spans="1:32" x14ac:dyDescent="0.25">
      <c r="A1057" s="25" t="s">
        <v>1126</v>
      </c>
      <c r="B1057" s="25">
        <v>0</v>
      </c>
      <c r="C1057" s="25">
        <v>0</v>
      </c>
      <c r="D1057" s="25">
        <v>0</v>
      </c>
      <c r="E1057" s="25">
        <v>0</v>
      </c>
      <c r="F1057" s="25">
        <v>0</v>
      </c>
      <c r="G1057" s="25">
        <v>0</v>
      </c>
      <c r="H1057" s="25">
        <v>0</v>
      </c>
      <c r="I1057" s="25">
        <v>0</v>
      </c>
      <c r="J1057" s="25">
        <v>0</v>
      </c>
      <c r="K1057" s="25">
        <v>0</v>
      </c>
      <c r="L1057" s="25">
        <v>0</v>
      </c>
      <c r="M1057" s="25">
        <v>0</v>
      </c>
      <c r="N1057" s="25">
        <v>0</v>
      </c>
      <c r="O1057" s="25">
        <v>0</v>
      </c>
      <c r="P1057" s="25">
        <v>0</v>
      </c>
      <c r="Q1057" s="25">
        <v>0</v>
      </c>
      <c r="R1057" s="25">
        <v>0</v>
      </c>
      <c r="S1057" s="25">
        <v>0</v>
      </c>
      <c r="T1057" s="25">
        <v>0</v>
      </c>
      <c r="U1057" s="25">
        <v>0</v>
      </c>
      <c r="V1057" s="25">
        <v>0</v>
      </c>
      <c r="W1057" s="25">
        <v>0</v>
      </c>
      <c r="X1057" s="25">
        <v>0</v>
      </c>
      <c r="Y1057" s="25">
        <v>0</v>
      </c>
      <c r="Z1057" s="25">
        <v>0</v>
      </c>
      <c r="AA1057" s="25">
        <v>0</v>
      </c>
      <c r="AB1057" s="25">
        <v>0</v>
      </c>
      <c r="AC1057" s="25">
        <v>0</v>
      </c>
      <c r="AD1057" s="25">
        <v>0</v>
      </c>
      <c r="AE1057" s="25">
        <v>0</v>
      </c>
      <c r="AF1057" s="25">
        <v>0</v>
      </c>
    </row>
    <row r="1058" spans="1:32" x14ac:dyDescent="0.25">
      <c r="A1058" s="25" t="s">
        <v>1127</v>
      </c>
      <c r="B1058" s="25">
        <v>0</v>
      </c>
      <c r="C1058" s="25">
        <v>0</v>
      </c>
      <c r="D1058" s="25">
        <v>0</v>
      </c>
      <c r="E1058" s="25">
        <v>0</v>
      </c>
      <c r="F1058" s="25">
        <v>0</v>
      </c>
      <c r="G1058" s="25">
        <v>0</v>
      </c>
      <c r="H1058" s="25">
        <v>0</v>
      </c>
      <c r="I1058" s="25">
        <v>0</v>
      </c>
      <c r="J1058" s="25">
        <v>0</v>
      </c>
      <c r="K1058" s="25">
        <v>0</v>
      </c>
      <c r="L1058" s="25">
        <v>0</v>
      </c>
      <c r="M1058" s="25">
        <v>0</v>
      </c>
      <c r="N1058" s="25">
        <v>0</v>
      </c>
      <c r="O1058" s="25">
        <v>0</v>
      </c>
      <c r="P1058" s="25">
        <v>0</v>
      </c>
      <c r="Q1058" s="25">
        <v>0</v>
      </c>
      <c r="R1058" s="25">
        <v>0</v>
      </c>
      <c r="S1058" s="25">
        <v>0</v>
      </c>
      <c r="T1058" s="25">
        <v>0</v>
      </c>
      <c r="U1058" s="25">
        <v>0</v>
      </c>
      <c r="V1058" s="25">
        <v>0</v>
      </c>
      <c r="W1058" s="25">
        <v>0</v>
      </c>
      <c r="X1058" s="25">
        <v>0</v>
      </c>
      <c r="Y1058" s="25">
        <v>0</v>
      </c>
      <c r="Z1058" s="25">
        <v>0</v>
      </c>
      <c r="AA1058" s="25">
        <v>0</v>
      </c>
      <c r="AB1058" s="25">
        <v>0</v>
      </c>
      <c r="AC1058" s="25">
        <v>0</v>
      </c>
      <c r="AD1058" s="25">
        <v>0</v>
      </c>
      <c r="AE1058" s="25">
        <v>0</v>
      </c>
      <c r="AF1058" s="25">
        <v>0</v>
      </c>
    </row>
    <row r="1059" spans="1:32" x14ac:dyDescent="0.25">
      <c r="A1059" s="25" t="s">
        <v>1128</v>
      </c>
      <c r="B1059" s="25">
        <v>0</v>
      </c>
      <c r="C1059" s="25">
        <v>0</v>
      </c>
      <c r="D1059" s="25">
        <v>0</v>
      </c>
      <c r="E1059" s="25">
        <v>0</v>
      </c>
      <c r="F1059" s="25">
        <v>0</v>
      </c>
      <c r="G1059" s="25">
        <v>0</v>
      </c>
      <c r="H1059" s="25">
        <v>0</v>
      </c>
      <c r="I1059" s="25">
        <v>0</v>
      </c>
      <c r="J1059" s="25">
        <v>0</v>
      </c>
      <c r="K1059" s="25">
        <v>0</v>
      </c>
      <c r="L1059" s="25">
        <v>0</v>
      </c>
      <c r="M1059" s="25">
        <v>0</v>
      </c>
      <c r="N1059" s="25">
        <v>0</v>
      </c>
      <c r="O1059" s="25">
        <v>0</v>
      </c>
      <c r="P1059" s="25">
        <v>0</v>
      </c>
      <c r="Q1059" s="25">
        <v>0</v>
      </c>
      <c r="R1059" s="25">
        <v>0</v>
      </c>
      <c r="S1059" s="25">
        <v>0</v>
      </c>
      <c r="T1059" s="25">
        <v>0</v>
      </c>
      <c r="U1059" s="25">
        <v>0</v>
      </c>
      <c r="V1059" s="25">
        <v>0</v>
      </c>
      <c r="W1059" s="25">
        <v>0</v>
      </c>
      <c r="X1059" s="25">
        <v>0</v>
      </c>
      <c r="Y1059" s="25">
        <v>0</v>
      </c>
      <c r="Z1059" s="25">
        <v>0</v>
      </c>
      <c r="AA1059" s="25">
        <v>0</v>
      </c>
      <c r="AB1059" s="25">
        <v>0</v>
      </c>
      <c r="AC1059" s="25">
        <v>0</v>
      </c>
      <c r="AD1059" s="25">
        <v>0</v>
      </c>
      <c r="AE1059" s="25">
        <v>0</v>
      </c>
      <c r="AF1059" s="25">
        <v>0</v>
      </c>
    </row>
    <row r="1060" spans="1:32" x14ac:dyDescent="0.25">
      <c r="A1060" s="25" t="s">
        <v>1129</v>
      </c>
      <c r="B1060" s="25">
        <v>0</v>
      </c>
      <c r="C1060" s="25">
        <v>0</v>
      </c>
      <c r="D1060" s="25">
        <v>0</v>
      </c>
      <c r="E1060" s="25">
        <v>0</v>
      </c>
      <c r="F1060" s="25">
        <v>0</v>
      </c>
      <c r="G1060" s="25">
        <v>0</v>
      </c>
      <c r="H1060" s="25">
        <v>0</v>
      </c>
      <c r="I1060" s="25">
        <v>0</v>
      </c>
      <c r="J1060" s="25">
        <v>0</v>
      </c>
      <c r="K1060" s="25">
        <v>0</v>
      </c>
      <c r="L1060" s="25">
        <v>0</v>
      </c>
      <c r="M1060" s="25">
        <v>0</v>
      </c>
      <c r="N1060" s="25">
        <v>0</v>
      </c>
      <c r="O1060" s="25">
        <v>0</v>
      </c>
      <c r="P1060" s="25">
        <v>0</v>
      </c>
      <c r="Q1060" s="25">
        <v>0</v>
      </c>
      <c r="R1060" s="25">
        <v>0</v>
      </c>
      <c r="S1060" s="25">
        <v>0</v>
      </c>
      <c r="T1060" s="25">
        <v>0</v>
      </c>
      <c r="U1060" s="25">
        <v>0</v>
      </c>
      <c r="V1060" s="25">
        <v>0</v>
      </c>
      <c r="W1060" s="25">
        <v>0</v>
      </c>
      <c r="X1060" s="25">
        <v>0</v>
      </c>
      <c r="Y1060" s="25">
        <v>0</v>
      </c>
      <c r="Z1060" s="25">
        <v>0</v>
      </c>
      <c r="AA1060" s="25">
        <v>0</v>
      </c>
      <c r="AB1060" s="25">
        <v>0</v>
      </c>
      <c r="AC1060" s="25">
        <v>0</v>
      </c>
      <c r="AD1060" s="25">
        <v>0</v>
      </c>
      <c r="AE1060" s="25">
        <v>0</v>
      </c>
      <c r="AF1060" s="25">
        <v>0</v>
      </c>
    </row>
    <row r="1061" spans="1:32" x14ac:dyDescent="0.25">
      <c r="A1061" s="25" t="s">
        <v>1130</v>
      </c>
      <c r="B1061" s="25">
        <v>0</v>
      </c>
      <c r="C1061" s="25">
        <v>0</v>
      </c>
      <c r="D1061" s="25">
        <v>0</v>
      </c>
      <c r="E1061" s="25">
        <v>0</v>
      </c>
      <c r="F1061" s="25">
        <v>0</v>
      </c>
      <c r="G1061" s="25">
        <v>0</v>
      </c>
      <c r="H1061" s="25">
        <v>0</v>
      </c>
      <c r="I1061" s="25">
        <v>0</v>
      </c>
      <c r="J1061" s="25">
        <v>0</v>
      </c>
      <c r="K1061" s="25">
        <v>0</v>
      </c>
      <c r="L1061" s="25">
        <v>0</v>
      </c>
      <c r="M1061" s="25">
        <v>0</v>
      </c>
      <c r="N1061" s="25">
        <v>0</v>
      </c>
      <c r="O1061" s="25">
        <v>0</v>
      </c>
      <c r="P1061" s="25">
        <v>0</v>
      </c>
      <c r="Q1061" s="25">
        <v>0</v>
      </c>
      <c r="R1061" s="25">
        <v>0</v>
      </c>
      <c r="S1061" s="25">
        <v>0</v>
      </c>
      <c r="T1061" s="25">
        <v>0</v>
      </c>
      <c r="U1061" s="25">
        <v>0</v>
      </c>
      <c r="V1061" s="25">
        <v>0</v>
      </c>
      <c r="W1061" s="25">
        <v>0</v>
      </c>
      <c r="X1061" s="25">
        <v>0</v>
      </c>
      <c r="Y1061" s="25">
        <v>0</v>
      </c>
      <c r="Z1061" s="25">
        <v>0</v>
      </c>
      <c r="AA1061" s="25">
        <v>0</v>
      </c>
      <c r="AB1061" s="25">
        <v>0</v>
      </c>
      <c r="AC1061" s="25">
        <v>0</v>
      </c>
      <c r="AD1061" s="25">
        <v>0</v>
      </c>
      <c r="AE1061" s="25">
        <v>0</v>
      </c>
      <c r="AF1061" s="25">
        <v>0</v>
      </c>
    </row>
    <row r="1062" spans="1:32" x14ac:dyDescent="0.25">
      <c r="A1062" s="25" t="s">
        <v>1131</v>
      </c>
      <c r="B1062" s="25">
        <v>0</v>
      </c>
      <c r="C1062" s="25">
        <v>0</v>
      </c>
      <c r="D1062" s="25">
        <v>0</v>
      </c>
      <c r="E1062" s="25">
        <v>0</v>
      </c>
      <c r="F1062" s="25">
        <v>0</v>
      </c>
      <c r="G1062" s="25">
        <v>0</v>
      </c>
      <c r="H1062" s="25">
        <v>0</v>
      </c>
      <c r="I1062" s="25">
        <v>0</v>
      </c>
      <c r="J1062" s="25">
        <v>0</v>
      </c>
      <c r="K1062" s="25">
        <v>0</v>
      </c>
      <c r="L1062" s="25">
        <v>0</v>
      </c>
      <c r="M1062" s="25">
        <v>0</v>
      </c>
      <c r="N1062" s="25">
        <v>0</v>
      </c>
      <c r="O1062" s="25">
        <v>0</v>
      </c>
      <c r="P1062" s="25">
        <v>0</v>
      </c>
      <c r="Q1062" s="25">
        <v>0</v>
      </c>
      <c r="R1062" s="25">
        <v>0</v>
      </c>
      <c r="S1062" s="25">
        <v>0</v>
      </c>
      <c r="T1062" s="25">
        <v>0</v>
      </c>
      <c r="U1062" s="25">
        <v>0</v>
      </c>
      <c r="V1062" s="25">
        <v>0</v>
      </c>
      <c r="W1062" s="25">
        <v>0</v>
      </c>
      <c r="X1062" s="25">
        <v>0</v>
      </c>
      <c r="Y1062" s="25">
        <v>0</v>
      </c>
      <c r="Z1062" s="25">
        <v>0</v>
      </c>
      <c r="AA1062" s="25">
        <v>0</v>
      </c>
      <c r="AB1062" s="25">
        <v>0</v>
      </c>
      <c r="AC1062" s="25">
        <v>0</v>
      </c>
      <c r="AD1062" s="25">
        <v>0</v>
      </c>
      <c r="AE1062" s="25">
        <v>0</v>
      </c>
      <c r="AF1062" s="25">
        <v>0</v>
      </c>
    </row>
    <row r="1063" spans="1:32" x14ac:dyDescent="0.25">
      <c r="A1063" s="25" t="s">
        <v>1132</v>
      </c>
      <c r="B1063" s="25">
        <v>0</v>
      </c>
      <c r="C1063" s="25">
        <v>0</v>
      </c>
      <c r="D1063" s="25">
        <v>0</v>
      </c>
      <c r="E1063" s="25">
        <v>0</v>
      </c>
      <c r="F1063" s="25">
        <v>0</v>
      </c>
      <c r="G1063" s="25">
        <v>0</v>
      </c>
      <c r="H1063" s="25">
        <v>0</v>
      </c>
      <c r="I1063" s="25">
        <v>0</v>
      </c>
      <c r="J1063" s="25">
        <v>0</v>
      </c>
      <c r="K1063" s="25">
        <v>0</v>
      </c>
      <c r="L1063" s="25">
        <v>0</v>
      </c>
      <c r="M1063" s="25">
        <v>0</v>
      </c>
      <c r="N1063" s="25">
        <v>0</v>
      </c>
      <c r="O1063" s="25">
        <v>0</v>
      </c>
      <c r="P1063" s="25">
        <v>0</v>
      </c>
      <c r="Q1063" s="25">
        <v>0</v>
      </c>
      <c r="R1063" s="25">
        <v>0</v>
      </c>
      <c r="S1063" s="25">
        <v>0</v>
      </c>
      <c r="T1063" s="25">
        <v>0</v>
      </c>
      <c r="U1063" s="25">
        <v>0</v>
      </c>
      <c r="V1063" s="25">
        <v>0</v>
      </c>
      <c r="W1063" s="25">
        <v>0</v>
      </c>
      <c r="X1063" s="25">
        <v>0</v>
      </c>
      <c r="Y1063" s="25">
        <v>0</v>
      </c>
      <c r="Z1063" s="25">
        <v>0</v>
      </c>
      <c r="AA1063" s="25">
        <v>0</v>
      </c>
      <c r="AB1063" s="25">
        <v>0</v>
      </c>
      <c r="AC1063" s="25">
        <v>0</v>
      </c>
      <c r="AD1063" s="25">
        <v>0</v>
      </c>
      <c r="AE1063" s="25">
        <v>0</v>
      </c>
      <c r="AF1063" s="25">
        <v>0</v>
      </c>
    </row>
    <row r="1064" spans="1:32" x14ac:dyDescent="0.25">
      <c r="A1064" s="25" t="s">
        <v>1133</v>
      </c>
      <c r="B1064" s="25">
        <v>0</v>
      </c>
      <c r="C1064" s="25">
        <v>0</v>
      </c>
      <c r="D1064" s="25">
        <v>0</v>
      </c>
      <c r="E1064" s="25">
        <v>0</v>
      </c>
      <c r="F1064" s="25">
        <v>0</v>
      </c>
      <c r="G1064" s="25">
        <v>0</v>
      </c>
      <c r="H1064" s="25">
        <v>0</v>
      </c>
      <c r="I1064" s="25">
        <v>0</v>
      </c>
      <c r="J1064" s="25">
        <v>0</v>
      </c>
      <c r="K1064" s="25">
        <v>0</v>
      </c>
      <c r="L1064" s="25">
        <v>0</v>
      </c>
      <c r="M1064" s="25">
        <v>0</v>
      </c>
      <c r="N1064" s="25">
        <v>0</v>
      </c>
      <c r="O1064" s="25">
        <v>0</v>
      </c>
      <c r="P1064" s="25">
        <v>0</v>
      </c>
      <c r="Q1064" s="25">
        <v>0</v>
      </c>
      <c r="R1064" s="25">
        <v>0</v>
      </c>
      <c r="S1064" s="25">
        <v>0</v>
      </c>
      <c r="T1064" s="25">
        <v>0</v>
      </c>
      <c r="U1064" s="25">
        <v>0</v>
      </c>
      <c r="V1064" s="25">
        <v>0</v>
      </c>
      <c r="W1064" s="25">
        <v>0</v>
      </c>
      <c r="X1064" s="25">
        <v>0</v>
      </c>
      <c r="Y1064" s="25">
        <v>0</v>
      </c>
      <c r="Z1064" s="25">
        <v>0</v>
      </c>
      <c r="AA1064" s="25">
        <v>0</v>
      </c>
      <c r="AB1064" s="25">
        <v>0</v>
      </c>
      <c r="AC1064" s="25">
        <v>0</v>
      </c>
      <c r="AD1064" s="25">
        <v>0</v>
      </c>
      <c r="AE1064" s="25">
        <v>0</v>
      </c>
      <c r="AF1064" s="25">
        <v>0</v>
      </c>
    </row>
    <row r="1065" spans="1:32" x14ac:dyDescent="0.25">
      <c r="A1065" s="25" t="s">
        <v>1134</v>
      </c>
      <c r="B1065" s="25">
        <v>0</v>
      </c>
      <c r="C1065" s="25">
        <v>0</v>
      </c>
      <c r="D1065" s="25">
        <v>0</v>
      </c>
      <c r="E1065" s="25">
        <v>0</v>
      </c>
      <c r="F1065" s="25">
        <v>0</v>
      </c>
      <c r="G1065" s="25">
        <v>0</v>
      </c>
      <c r="H1065" s="25">
        <v>0</v>
      </c>
      <c r="I1065" s="25">
        <v>0</v>
      </c>
      <c r="J1065" s="25">
        <v>0</v>
      </c>
      <c r="K1065" s="25">
        <v>0</v>
      </c>
      <c r="L1065" s="25">
        <v>0</v>
      </c>
      <c r="M1065" s="25">
        <v>0</v>
      </c>
      <c r="N1065" s="25">
        <v>0</v>
      </c>
      <c r="O1065" s="25">
        <v>0</v>
      </c>
      <c r="P1065" s="25">
        <v>0</v>
      </c>
      <c r="Q1065" s="25">
        <v>0</v>
      </c>
      <c r="R1065" s="25">
        <v>0</v>
      </c>
      <c r="S1065" s="25">
        <v>0</v>
      </c>
      <c r="T1065" s="25">
        <v>0</v>
      </c>
      <c r="U1065" s="25">
        <v>0</v>
      </c>
      <c r="V1065" s="25">
        <v>0</v>
      </c>
      <c r="W1065" s="25">
        <v>0</v>
      </c>
      <c r="X1065" s="25">
        <v>0</v>
      </c>
      <c r="Y1065" s="25">
        <v>0</v>
      </c>
      <c r="Z1065" s="25">
        <v>0</v>
      </c>
      <c r="AA1065" s="25">
        <v>0</v>
      </c>
      <c r="AB1065" s="25">
        <v>0</v>
      </c>
      <c r="AC1065" s="25">
        <v>0</v>
      </c>
      <c r="AD1065" s="25">
        <v>0</v>
      </c>
      <c r="AE1065" s="25">
        <v>0</v>
      </c>
      <c r="AF1065" s="25">
        <v>0</v>
      </c>
    </row>
    <row r="1066" spans="1:32" x14ac:dyDescent="0.25">
      <c r="A1066" s="25" t="s">
        <v>1135</v>
      </c>
      <c r="B1066" s="25">
        <v>0</v>
      </c>
      <c r="C1066" s="25">
        <v>0</v>
      </c>
      <c r="D1066" s="25">
        <v>0</v>
      </c>
      <c r="E1066" s="25">
        <v>0</v>
      </c>
      <c r="F1066" s="25">
        <v>0</v>
      </c>
      <c r="G1066" s="25">
        <v>0</v>
      </c>
      <c r="H1066" s="25">
        <v>0</v>
      </c>
      <c r="I1066" s="25">
        <v>0</v>
      </c>
      <c r="J1066" s="25">
        <v>0</v>
      </c>
      <c r="K1066" s="25">
        <v>0</v>
      </c>
      <c r="L1066" s="25">
        <v>0</v>
      </c>
      <c r="M1066" s="25">
        <v>0</v>
      </c>
      <c r="N1066" s="25">
        <v>0</v>
      </c>
      <c r="O1066" s="25">
        <v>0</v>
      </c>
      <c r="P1066" s="25">
        <v>0</v>
      </c>
      <c r="Q1066" s="25">
        <v>0</v>
      </c>
      <c r="R1066" s="25">
        <v>0</v>
      </c>
      <c r="S1066" s="25">
        <v>0</v>
      </c>
      <c r="T1066" s="25">
        <v>0</v>
      </c>
      <c r="U1066" s="25">
        <v>0</v>
      </c>
      <c r="V1066" s="25">
        <v>0</v>
      </c>
      <c r="W1066" s="25">
        <v>0</v>
      </c>
      <c r="X1066" s="25">
        <v>0</v>
      </c>
      <c r="Y1066" s="25">
        <v>0</v>
      </c>
      <c r="Z1066" s="25">
        <v>0</v>
      </c>
      <c r="AA1066" s="25">
        <v>0</v>
      </c>
      <c r="AB1066" s="25">
        <v>0</v>
      </c>
      <c r="AC1066" s="25">
        <v>0</v>
      </c>
      <c r="AD1066" s="25">
        <v>0</v>
      </c>
      <c r="AE1066" s="25">
        <v>0</v>
      </c>
      <c r="AF1066" s="25">
        <v>0</v>
      </c>
    </row>
    <row r="1067" spans="1:32" x14ac:dyDescent="0.25">
      <c r="A1067" s="25" t="s">
        <v>1136</v>
      </c>
      <c r="B1067" s="25">
        <v>0</v>
      </c>
      <c r="C1067" s="25">
        <v>0</v>
      </c>
      <c r="D1067" s="25">
        <v>0</v>
      </c>
      <c r="E1067" s="25">
        <v>0</v>
      </c>
      <c r="F1067" s="25">
        <v>0</v>
      </c>
      <c r="G1067" s="25">
        <v>0</v>
      </c>
      <c r="H1067" s="25">
        <v>0</v>
      </c>
      <c r="I1067" s="25">
        <v>0</v>
      </c>
      <c r="J1067" s="25">
        <v>0</v>
      </c>
      <c r="K1067" s="25">
        <v>0</v>
      </c>
      <c r="L1067" s="25">
        <v>0</v>
      </c>
      <c r="M1067" s="25">
        <v>0</v>
      </c>
      <c r="N1067" s="25">
        <v>0</v>
      </c>
      <c r="O1067" s="25">
        <v>0</v>
      </c>
      <c r="P1067" s="25">
        <v>0</v>
      </c>
      <c r="Q1067" s="25">
        <v>0</v>
      </c>
      <c r="R1067" s="25">
        <v>0</v>
      </c>
      <c r="S1067" s="25">
        <v>0</v>
      </c>
      <c r="T1067" s="25">
        <v>0</v>
      </c>
      <c r="U1067" s="25">
        <v>0</v>
      </c>
      <c r="V1067" s="25">
        <v>0</v>
      </c>
      <c r="W1067" s="25">
        <v>0</v>
      </c>
      <c r="X1067" s="25">
        <v>0</v>
      </c>
      <c r="Y1067" s="25">
        <v>0</v>
      </c>
      <c r="Z1067" s="25">
        <v>0</v>
      </c>
      <c r="AA1067" s="25">
        <v>0</v>
      </c>
      <c r="AB1067" s="25">
        <v>0</v>
      </c>
      <c r="AC1067" s="25">
        <v>0</v>
      </c>
      <c r="AD1067" s="25">
        <v>0</v>
      </c>
      <c r="AE1067" s="25">
        <v>0</v>
      </c>
      <c r="AF1067" s="25">
        <v>0</v>
      </c>
    </row>
    <row r="1068" spans="1:32" x14ac:dyDescent="0.25">
      <c r="A1068" s="25" t="s">
        <v>1137</v>
      </c>
      <c r="B1068" s="25">
        <v>0</v>
      </c>
      <c r="C1068" s="25">
        <v>0</v>
      </c>
      <c r="D1068" s="25">
        <v>0</v>
      </c>
      <c r="E1068" s="25">
        <v>0</v>
      </c>
      <c r="F1068" s="25">
        <v>0</v>
      </c>
      <c r="G1068" s="25">
        <v>0</v>
      </c>
      <c r="H1068" s="25">
        <v>0</v>
      </c>
      <c r="I1068" s="25">
        <v>0</v>
      </c>
      <c r="J1068" s="25">
        <v>0</v>
      </c>
      <c r="K1068" s="25">
        <v>0</v>
      </c>
      <c r="L1068" s="25">
        <v>0</v>
      </c>
      <c r="M1068" s="25">
        <v>0</v>
      </c>
      <c r="N1068" s="25">
        <v>0</v>
      </c>
      <c r="O1068" s="25">
        <v>0</v>
      </c>
      <c r="P1068" s="25">
        <v>0</v>
      </c>
      <c r="Q1068" s="25">
        <v>0</v>
      </c>
      <c r="R1068" s="25">
        <v>0</v>
      </c>
      <c r="S1068" s="25">
        <v>0</v>
      </c>
      <c r="T1068" s="25">
        <v>0</v>
      </c>
      <c r="U1068" s="25">
        <v>0</v>
      </c>
      <c r="V1068" s="25">
        <v>0</v>
      </c>
      <c r="W1068" s="25">
        <v>0</v>
      </c>
      <c r="X1068" s="25">
        <v>0</v>
      </c>
      <c r="Y1068" s="25">
        <v>0</v>
      </c>
      <c r="Z1068" s="25">
        <v>0</v>
      </c>
      <c r="AA1068" s="25">
        <v>0</v>
      </c>
      <c r="AB1068" s="25">
        <v>0</v>
      </c>
      <c r="AC1068" s="25">
        <v>0</v>
      </c>
      <c r="AD1068" s="25">
        <v>0</v>
      </c>
      <c r="AE1068" s="25">
        <v>0</v>
      </c>
      <c r="AF1068" s="25">
        <v>0</v>
      </c>
    </row>
    <row r="1069" spans="1:32" x14ac:dyDescent="0.25">
      <c r="A1069" s="25" t="s">
        <v>1138</v>
      </c>
      <c r="B1069" s="25">
        <v>0</v>
      </c>
      <c r="C1069" s="25">
        <v>0</v>
      </c>
      <c r="D1069" s="25">
        <v>0</v>
      </c>
      <c r="E1069" s="25">
        <v>0</v>
      </c>
      <c r="F1069" s="25">
        <v>0</v>
      </c>
      <c r="G1069" s="25">
        <v>0</v>
      </c>
      <c r="H1069" s="25">
        <v>0</v>
      </c>
      <c r="I1069" s="25">
        <v>0</v>
      </c>
      <c r="J1069" s="25">
        <v>0</v>
      </c>
      <c r="K1069" s="25">
        <v>0</v>
      </c>
      <c r="L1069" s="25">
        <v>0</v>
      </c>
      <c r="M1069" s="25">
        <v>0</v>
      </c>
      <c r="N1069" s="25">
        <v>0</v>
      </c>
      <c r="O1069" s="25">
        <v>0</v>
      </c>
      <c r="P1069" s="25">
        <v>0</v>
      </c>
      <c r="Q1069" s="25">
        <v>0</v>
      </c>
      <c r="R1069" s="25">
        <v>0</v>
      </c>
      <c r="S1069" s="25">
        <v>0</v>
      </c>
      <c r="T1069" s="25">
        <v>0</v>
      </c>
      <c r="U1069" s="25">
        <v>0</v>
      </c>
      <c r="V1069" s="25">
        <v>0</v>
      </c>
      <c r="W1069" s="25">
        <v>0</v>
      </c>
      <c r="X1069" s="25">
        <v>0</v>
      </c>
      <c r="Y1069" s="25">
        <v>0</v>
      </c>
      <c r="Z1069" s="25">
        <v>0</v>
      </c>
      <c r="AA1069" s="25">
        <v>0</v>
      </c>
      <c r="AB1069" s="25">
        <v>0</v>
      </c>
      <c r="AC1069" s="25">
        <v>0</v>
      </c>
      <c r="AD1069" s="25">
        <v>0</v>
      </c>
      <c r="AE1069" s="25">
        <v>0</v>
      </c>
      <c r="AF1069" s="25">
        <v>0</v>
      </c>
    </row>
    <row r="1070" spans="1:32" x14ac:dyDescent="0.25">
      <c r="A1070" s="25" t="s">
        <v>1139</v>
      </c>
      <c r="B1070" s="25">
        <v>0</v>
      </c>
      <c r="C1070" s="25">
        <v>0</v>
      </c>
      <c r="D1070" s="25">
        <v>0</v>
      </c>
      <c r="E1070" s="25">
        <v>0</v>
      </c>
      <c r="F1070" s="25">
        <v>0</v>
      </c>
      <c r="G1070" s="25">
        <v>0</v>
      </c>
      <c r="H1070" s="25">
        <v>0</v>
      </c>
      <c r="I1070" s="25">
        <v>0</v>
      </c>
      <c r="J1070" s="25">
        <v>0</v>
      </c>
      <c r="K1070" s="25">
        <v>0</v>
      </c>
      <c r="L1070" s="25">
        <v>0</v>
      </c>
      <c r="M1070" s="25">
        <v>0</v>
      </c>
      <c r="N1070" s="25">
        <v>0</v>
      </c>
      <c r="O1070" s="25">
        <v>0</v>
      </c>
      <c r="P1070" s="25">
        <v>0</v>
      </c>
      <c r="Q1070" s="25">
        <v>0</v>
      </c>
      <c r="R1070" s="25">
        <v>0</v>
      </c>
      <c r="S1070" s="25">
        <v>0</v>
      </c>
      <c r="T1070" s="25">
        <v>0</v>
      </c>
      <c r="U1070" s="25">
        <v>0</v>
      </c>
      <c r="V1070" s="25">
        <v>0</v>
      </c>
      <c r="W1070" s="25">
        <v>0</v>
      </c>
      <c r="X1070" s="25">
        <v>0</v>
      </c>
      <c r="Y1070" s="25">
        <v>0</v>
      </c>
      <c r="Z1070" s="25">
        <v>0</v>
      </c>
      <c r="AA1070" s="25">
        <v>0</v>
      </c>
      <c r="AB1070" s="25">
        <v>0</v>
      </c>
      <c r="AC1070" s="25">
        <v>0</v>
      </c>
      <c r="AD1070" s="25">
        <v>0</v>
      </c>
      <c r="AE1070" s="25">
        <v>0</v>
      </c>
      <c r="AF1070" s="25">
        <v>0</v>
      </c>
    </row>
    <row r="1071" spans="1:32" x14ac:dyDescent="0.25">
      <c r="A1071" s="25" t="s">
        <v>1140</v>
      </c>
      <c r="B1071" s="25">
        <v>0</v>
      </c>
      <c r="C1071" s="25">
        <v>0</v>
      </c>
      <c r="D1071" s="25">
        <v>0</v>
      </c>
      <c r="E1071" s="25">
        <v>0</v>
      </c>
      <c r="F1071" s="25">
        <v>0</v>
      </c>
      <c r="G1071" s="25">
        <v>0</v>
      </c>
      <c r="H1071" s="25">
        <v>0</v>
      </c>
      <c r="I1071" s="25">
        <v>0</v>
      </c>
      <c r="J1071" s="25">
        <v>0</v>
      </c>
      <c r="K1071" s="25">
        <v>0</v>
      </c>
      <c r="L1071" s="25">
        <v>0</v>
      </c>
      <c r="M1071" s="25">
        <v>0</v>
      </c>
      <c r="N1071" s="25">
        <v>0</v>
      </c>
      <c r="O1071" s="25">
        <v>0</v>
      </c>
      <c r="P1071" s="25">
        <v>0</v>
      </c>
      <c r="Q1071" s="25">
        <v>0</v>
      </c>
      <c r="R1071" s="25">
        <v>0</v>
      </c>
      <c r="S1071" s="25">
        <v>0</v>
      </c>
      <c r="T1071" s="25">
        <v>0</v>
      </c>
      <c r="U1071" s="25">
        <v>0</v>
      </c>
      <c r="V1071" s="25">
        <v>0</v>
      </c>
      <c r="W1071" s="25">
        <v>0</v>
      </c>
      <c r="X1071" s="25">
        <v>0</v>
      </c>
      <c r="Y1071" s="25">
        <v>0</v>
      </c>
      <c r="Z1071" s="25">
        <v>0</v>
      </c>
      <c r="AA1071" s="25">
        <v>0</v>
      </c>
      <c r="AB1071" s="25">
        <v>0</v>
      </c>
      <c r="AC1071" s="25">
        <v>0</v>
      </c>
      <c r="AD1071" s="25">
        <v>0</v>
      </c>
      <c r="AE1071" s="25">
        <v>0</v>
      </c>
      <c r="AF1071" s="25">
        <v>0</v>
      </c>
    </row>
    <row r="1072" spans="1:32" x14ac:dyDescent="0.25">
      <c r="A1072" s="25" t="s">
        <v>1141</v>
      </c>
      <c r="B1072" s="25">
        <v>0</v>
      </c>
      <c r="C1072" s="25">
        <v>0</v>
      </c>
      <c r="D1072" s="25">
        <v>0</v>
      </c>
      <c r="E1072" s="25">
        <v>0</v>
      </c>
      <c r="F1072" s="25">
        <v>0</v>
      </c>
      <c r="G1072" s="25">
        <v>0</v>
      </c>
      <c r="H1072" s="25">
        <v>0</v>
      </c>
      <c r="I1072" s="25">
        <v>0</v>
      </c>
      <c r="J1072" s="25">
        <v>0</v>
      </c>
      <c r="K1072" s="25">
        <v>0</v>
      </c>
      <c r="L1072" s="25">
        <v>0</v>
      </c>
      <c r="M1072" s="25">
        <v>0</v>
      </c>
      <c r="N1072" s="25">
        <v>0</v>
      </c>
      <c r="O1072" s="25">
        <v>0</v>
      </c>
      <c r="P1072" s="25">
        <v>0</v>
      </c>
      <c r="Q1072" s="25">
        <v>0</v>
      </c>
      <c r="R1072" s="25">
        <v>0</v>
      </c>
      <c r="S1072" s="25">
        <v>0</v>
      </c>
      <c r="T1072" s="25">
        <v>0</v>
      </c>
      <c r="U1072" s="25">
        <v>0</v>
      </c>
      <c r="V1072" s="25">
        <v>0</v>
      </c>
      <c r="W1072" s="25">
        <v>0</v>
      </c>
      <c r="X1072" s="25">
        <v>0</v>
      </c>
      <c r="Y1072" s="25">
        <v>0</v>
      </c>
      <c r="Z1072" s="25">
        <v>0</v>
      </c>
      <c r="AA1072" s="25">
        <v>0</v>
      </c>
      <c r="AB1072" s="25">
        <v>0</v>
      </c>
      <c r="AC1072" s="25">
        <v>0</v>
      </c>
      <c r="AD1072" s="25">
        <v>0</v>
      </c>
      <c r="AE1072" s="25">
        <v>0</v>
      </c>
      <c r="AF1072" s="25">
        <v>0</v>
      </c>
    </row>
    <row r="1073" spans="1:32" x14ac:dyDescent="0.25">
      <c r="A1073" s="25" t="s">
        <v>1142</v>
      </c>
      <c r="B1073" s="25">
        <v>0</v>
      </c>
      <c r="C1073" s="25">
        <v>0</v>
      </c>
      <c r="D1073" s="25">
        <v>0</v>
      </c>
      <c r="E1073" s="25">
        <v>0</v>
      </c>
      <c r="F1073" s="25">
        <v>0</v>
      </c>
      <c r="G1073" s="25">
        <v>0</v>
      </c>
      <c r="H1073" s="25">
        <v>0</v>
      </c>
      <c r="I1073" s="25">
        <v>0</v>
      </c>
      <c r="J1073" s="25">
        <v>0</v>
      </c>
      <c r="K1073" s="25">
        <v>0</v>
      </c>
      <c r="L1073" s="25">
        <v>0</v>
      </c>
      <c r="M1073" s="25">
        <v>0</v>
      </c>
      <c r="N1073" s="25">
        <v>0</v>
      </c>
      <c r="O1073" s="25">
        <v>0</v>
      </c>
      <c r="P1073" s="25">
        <v>0</v>
      </c>
      <c r="Q1073" s="25">
        <v>0</v>
      </c>
      <c r="R1073" s="25">
        <v>0</v>
      </c>
      <c r="S1073" s="25">
        <v>0</v>
      </c>
      <c r="T1073" s="25">
        <v>0</v>
      </c>
      <c r="U1073" s="25">
        <v>0</v>
      </c>
      <c r="V1073" s="25">
        <v>0</v>
      </c>
      <c r="W1073" s="25">
        <v>0</v>
      </c>
      <c r="X1073" s="25">
        <v>0</v>
      </c>
      <c r="Y1073" s="25">
        <v>0</v>
      </c>
      <c r="Z1073" s="25">
        <v>0</v>
      </c>
      <c r="AA1073" s="25">
        <v>0</v>
      </c>
      <c r="AB1073" s="25">
        <v>0</v>
      </c>
      <c r="AC1073" s="25">
        <v>0</v>
      </c>
      <c r="AD1073" s="25">
        <v>0</v>
      </c>
      <c r="AE1073" s="25">
        <v>0</v>
      </c>
      <c r="AF1073" s="25">
        <v>0</v>
      </c>
    </row>
    <row r="1074" spans="1:32" x14ac:dyDescent="0.25">
      <c r="A1074" s="25" t="s">
        <v>1143</v>
      </c>
      <c r="B1074" s="25">
        <v>0</v>
      </c>
      <c r="C1074" s="25">
        <v>0</v>
      </c>
      <c r="D1074" s="25">
        <v>0</v>
      </c>
      <c r="E1074" s="25">
        <v>0</v>
      </c>
      <c r="F1074" s="25">
        <v>0</v>
      </c>
      <c r="G1074" s="25">
        <v>0</v>
      </c>
      <c r="H1074" s="25">
        <v>0</v>
      </c>
      <c r="I1074" s="25">
        <v>0</v>
      </c>
      <c r="J1074" s="25">
        <v>0</v>
      </c>
      <c r="K1074" s="25">
        <v>0</v>
      </c>
      <c r="L1074" s="25">
        <v>0</v>
      </c>
      <c r="M1074" s="25">
        <v>0</v>
      </c>
      <c r="N1074" s="25">
        <v>0</v>
      </c>
      <c r="O1074" s="25">
        <v>0</v>
      </c>
      <c r="P1074" s="25">
        <v>0</v>
      </c>
      <c r="Q1074" s="25">
        <v>0</v>
      </c>
      <c r="R1074" s="25">
        <v>0</v>
      </c>
      <c r="S1074" s="25">
        <v>0</v>
      </c>
      <c r="T1074" s="25">
        <v>0</v>
      </c>
      <c r="U1074" s="25">
        <v>0</v>
      </c>
      <c r="V1074" s="25">
        <v>0</v>
      </c>
      <c r="W1074" s="25">
        <v>0</v>
      </c>
      <c r="X1074" s="25">
        <v>0</v>
      </c>
      <c r="Y1074" s="25">
        <v>0</v>
      </c>
      <c r="Z1074" s="25">
        <v>0</v>
      </c>
      <c r="AA1074" s="25">
        <v>0</v>
      </c>
      <c r="AB1074" s="25">
        <v>0</v>
      </c>
      <c r="AC1074" s="25">
        <v>0</v>
      </c>
      <c r="AD1074" s="25">
        <v>0</v>
      </c>
      <c r="AE1074" s="25">
        <v>0</v>
      </c>
      <c r="AF1074" s="25">
        <v>0</v>
      </c>
    </row>
    <row r="1075" spans="1:32" x14ac:dyDescent="0.25">
      <c r="A1075" s="25" t="s">
        <v>1144</v>
      </c>
      <c r="B1075" s="25">
        <v>0</v>
      </c>
      <c r="C1075" s="25">
        <v>0</v>
      </c>
      <c r="D1075" s="25">
        <v>0</v>
      </c>
      <c r="E1075" s="25">
        <v>0</v>
      </c>
      <c r="F1075" s="25">
        <v>0</v>
      </c>
      <c r="G1075" s="25">
        <v>0</v>
      </c>
      <c r="H1075" s="25">
        <v>0</v>
      </c>
      <c r="I1075" s="25">
        <v>0</v>
      </c>
      <c r="J1075" s="25">
        <v>0</v>
      </c>
      <c r="K1075" s="25">
        <v>0</v>
      </c>
      <c r="L1075" s="25">
        <v>0</v>
      </c>
      <c r="M1075" s="25">
        <v>0</v>
      </c>
      <c r="N1075" s="25">
        <v>0</v>
      </c>
      <c r="O1075" s="25">
        <v>0</v>
      </c>
      <c r="P1075" s="25">
        <v>0</v>
      </c>
      <c r="Q1075" s="25">
        <v>0</v>
      </c>
      <c r="R1075" s="25">
        <v>0</v>
      </c>
      <c r="S1075" s="25">
        <v>0</v>
      </c>
      <c r="T1075" s="25">
        <v>0</v>
      </c>
      <c r="U1075" s="25">
        <v>0</v>
      </c>
      <c r="V1075" s="25">
        <v>0</v>
      </c>
      <c r="W1075" s="25">
        <v>0</v>
      </c>
      <c r="X1075" s="25">
        <v>0</v>
      </c>
      <c r="Y1075" s="25">
        <v>0</v>
      </c>
      <c r="Z1075" s="25">
        <v>0</v>
      </c>
      <c r="AA1075" s="25">
        <v>0</v>
      </c>
      <c r="AB1075" s="25">
        <v>0</v>
      </c>
      <c r="AC1075" s="25">
        <v>0</v>
      </c>
      <c r="AD1075" s="25">
        <v>0</v>
      </c>
      <c r="AE1075" s="25">
        <v>0</v>
      </c>
      <c r="AF1075" s="25">
        <v>0</v>
      </c>
    </row>
    <row r="1076" spans="1:32" x14ac:dyDescent="0.25">
      <c r="A1076" s="25" t="s">
        <v>1145</v>
      </c>
      <c r="B1076" s="25">
        <v>0</v>
      </c>
      <c r="C1076" s="25">
        <v>0</v>
      </c>
      <c r="D1076" s="25">
        <v>0</v>
      </c>
      <c r="E1076" s="25">
        <v>0</v>
      </c>
      <c r="F1076" s="25">
        <v>0</v>
      </c>
      <c r="G1076" s="25">
        <v>0</v>
      </c>
      <c r="H1076" s="25">
        <v>0</v>
      </c>
      <c r="I1076" s="25">
        <v>0</v>
      </c>
      <c r="J1076" s="25">
        <v>0</v>
      </c>
      <c r="K1076" s="25">
        <v>0</v>
      </c>
      <c r="L1076" s="25">
        <v>0</v>
      </c>
      <c r="M1076" s="25">
        <v>0</v>
      </c>
      <c r="N1076" s="25">
        <v>0</v>
      </c>
      <c r="O1076" s="25">
        <v>0</v>
      </c>
      <c r="P1076" s="25">
        <v>0</v>
      </c>
      <c r="Q1076" s="25">
        <v>0</v>
      </c>
      <c r="R1076" s="25">
        <v>0</v>
      </c>
      <c r="S1076" s="25">
        <v>0</v>
      </c>
      <c r="T1076" s="25">
        <v>0</v>
      </c>
      <c r="U1076" s="25">
        <v>0</v>
      </c>
      <c r="V1076" s="25">
        <v>0</v>
      </c>
      <c r="W1076" s="25">
        <v>0</v>
      </c>
      <c r="X1076" s="25">
        <v>0</v>
      </c>
      <c r="Y1076" s="25">
        <v>0</v>
      </c>
      <c r="Z1076" s="25">
        <v>0</v>
      </c>
      <c r="AA1076" s="25">
        <v>0</v>
      </c>
      <c r="AB1076" s="25">
        <v>0</v>
      </c>
      <c r="AC1076" s="25">
        <v>0</v>
      </c>
      <c r="AD1076" s="25">
        <v>0</v>
      </c>
      <c r="AE1076" s="25">
        <v>0</v>
      </c>
      <c r="AF1076" s="25">
        <v>0</v>
      </c>
    </row>
    <row r="1077" spans="1:32" x14ac:dyDescent="0.25">
      <c r="A1077" s="25" t="s">
        <v>1146</v>
      </c>
      <c r="B1077" s="25">
        <v>0</v>
      </c>
      <c r="C1077" s="25">
        <v>0</v>
      </c>
      <c r="D1077" s="25">
        <v>0</v>
      </c>
      <c r="E1077" s="25">
        <v>0</v>
      </c>
      <c r="F1077" s="25">
        <v>0</v>
      </c>
      <c r="G1077" s="25">
        <v>0</v>
      </c>
      <c r="H1077" s="25">
        <v>0</v>
      </c>
      <c r="I1077" s="25">
        <v>0</v>
      </c>
      <c r="J1077" s="25">
        <v>0</v>
      </c>
      <c r="K1077" s="25">
        <v>0</v>
      </c>
      <c r="L1077" s="25">
        <v>0</v>
      </c>
      <c r="M1077" s="25">
        <v>0</v>
      </c>
      <c r="N1077" s="25">
        <v>0</v>
      </c>
      <c r="O1077" s="25">
        <v>0</v>
      </c>
      <c r="P1077" s="25">
        <v>0</v>
      </c>
      <c r="Q1077" s="25">
        <v>0</v>
      </c>
      <c r="R1077" s="25">
        <v>0</v>
      </c>
      <c r="S1077" s="25">
        <v>0</v>
      </c>
      <c r="T1077" s="25">
        <v>0</v>
      </c>
      <c r="U1077" s="25">
        <v>0</v>
      </c>
      <c r="V1077" s="25">
        <v>0</v>
      </c>
      <c r="W1077" s="25">
        <v>0</v>
      </c>
      <c r="X1077" s="25">
        <v>0</v>
      </c>
      <c r="Y1077" s="25">
        <v>0</v>
      </c>
      <c r="Z1077" s="25">
        <v>0</v>
      </c>
      <c r="AA1077" s="25">
        <v>0</v>
      </c>
      <c r="AB1077" s="25">
        <v>0</v>
      </c>
      <c r="AC1077" s="25">
        <v>0</v>
      </c>
      <c r="AD1077" s="25">
        <v>0</v>
      </c>
      <c r="AE1077" s="25">
        <v>0</v>
      </c>
      <c r="AF1077" s="25">
        <v>0</v>
      </c>
    </row>
    <row r="1078" spans="1:32" x14ac:dyDescent="0.25">
      <c r="A1078" s="25" t="s">
        <v>1147</v>
      </c>
      <c r="B1078" s="25">
        <v>0</v>
      </c>
      <c r="C1078" s="25">
        <v>0</v>
      </c>
      <c r="D1078" s="25">
        <v>0</v>
      </c>
      <c r="E1078" s="25">
        <v>0</v>
      </c>
      <c r="F1078" s="25">
        <v>0</v>
      </c>
      <c r="G1078" s="25">
        <v>0</v>
      </c>
      <c r="H1078" s="25">
        <v>0</v>
      </c>
      <c r="I1078" s="25">
        <v>0</v>
      </c>
      <c r="J1078" s="25">
        <v>0</v>
      </c>
      <c r="K1078" s="25">
        <v>0</v>
      </c>
      <c r="L1078" s="25">
        <v>0</v>
      </c>
      <c r="M1078" s="25">
        <v>0</v>
      </c>
      <c r="N1078" s="25">
        <v>0</v>
      </c>
      <c r="O1078" s="25">
        <v>0</v>
      </c>
      <c r="P1078" s="25">
        <v>0</v>
      </c>
      <c r="Q1078" s="25">
        <v>0</v>
      </c>
      <c r="R1078" s="25">
        <v>0</v>
      </c>
      <c r="S1078" s="25">
        <v>0</v>
      </c>
      <c r="T1078" s="25">
        <v>0</v>
      </c>
      <c r="U1078" s="25">
        <v>0</v>
      </c>
      <c r="V1078" s="25">
        <v>0</v>
      </c>
      <c r="W1078" s="25">
        <v>0</v>
      </c>
      <c r="X1078" s="25">
        <v>0</v>
      </c>
      <c r="Y1078" s="25">
        <v>0</v>
      </c>
      <c r="Z1078" s="25">
        <v>0</v>
      </c>
      <c r="AA1078" s="25">
        <v>0</v>
      </c>
      <c r="AB1078" s="25">
        <v>0</v>
      </c>
      <c r="AC1078" s="25">
        <v>0</v>
      </c>
      <c r="AD1078" s="25">
        <v>0</v>
      </c>
      <c r="AE1078" s="25">
        <v>0</v>
      </c>
      <c r="AF1078" s="25">
        <v>0</v>
      </c>
    </row>
    <row r="1079" spans="1:32" x14ac:dyDescent="0.25">
      <c r="A1079" s="25" t="s">
        <v>1148</v>
      </c>
      <c r="B1079" s="25">
        <v>0</v>
      </c>
      <c r="C1079" s="25">
        <v>0</v>
      </c>
      <c r="D1079" s="25">
        <v>0</v>
      </c>
      <c r="E1079" s="25">
        <v>0</v>
      </c>
      <c r="F1079" s="25">
        <v>0</v>
      </c>
      <c r="G1079" s="25">
        <v>0</v>
      </c>
      <c r="H1079" s="25">
        <v>0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5">
        <v>0</v>
      </c>
      <c r="O1079" s="25">
        <v>0</v>
      </c>
      <c r="P1079" s="25">
        <v>0</v>
      </c>
      <c r="Q1079" s="25">
        <v>0</v>
      </c>
      <c r="R1079" s="25">
        <v>0</v>
      </c>
      <c r="S1079" s="25">
        <v>0</v>
      </c>
      <c r="T1079" s="25">
        <v>0</v>
      </c>
      <c r="U1079" s="25">
        <v>0</v>
      </c>
      <c r="V1079" s="25">
        <v>0</v>
      </c>
      <c r="W1079" s="25">
        <v>0</v>
      </c>
      <c r="X1079" s="25">
        <v>0</v>
      </c>
      <c r="Y1079" s="25">
        <v>0</v>
      </c>
      <c r="Z1079" s="25">
        <v>0</v>
      </c>
      <c r="AA1079" s="25">
        <v>0</v>
      </c>
      <c r="AB1079" s="25">
        <v>0</v>
      </c>
      <c r="AC1079" s="25">
        <v>0</v>
      </c>
      <c r="AD1079" s="25">
        <v>0</v>
      </c>
      <c r="AE1079" s="25">
        <v>0</v>
      </c>
      <c r="AF1079" s="25">
        <v>0</v>
      </c>
    </row>
    <row r="1080" spans="1:32" x14ac:dyDescent="0.25">
      <c r="A1080" s="25" t="s">
        <v>1149</v>
      </c>
      <c r="B1080" s="25">
        <v>0</v>
      </c>
      <c r="C1080" s="25">
        <v>0</v>
      </c>
      <c r="D1080" s="25">
        <v>0</v>
      </c>
      <c r="E1080" s="25">
        <v>0</v>
      </c>
      <c r="F1080" s="25">
        <v>0</v>
      </c>
      <c r="G1080" s="25">
        <v>0</v>
      </c>
      <c r="H1080" s="25">
        <v>0</v>
      </c>
      <c r="I1080" s="25">
        <v>0</v>
      </c>
      <c r="J1080" s="25">
        <v>0</v>
      </c>
      <c r="K1080" s="25">
        <v>0</v>
      </c>
      <c r="L1080" s="25">
        <v>0</v>
      </c>
      <c r="M1080" s="25">
        <v>0</v>
      </c>
      <c r="N1080" s="25">
        <v>0</v>
      </c>
      <c r="O1080" s="25">
        <v>0</v>
      </c>
      <c r="P1080" s="25">
        <v>0</v>
      </c>
      <c r="Q1080" s="25">
        <v>0</v>
      </c>
      <c r="R1080" s="25">
        <v>0</v>
      </c>
      <c r="S1080" s="25">
        <v>0</v>
      </c>
      <c r="T1080" s="25">
        <v>0</v>
      </c>
      <c r="U1080" s="25">
        <v>0</v>
      </c>
      <c r="V1080" s="25">
        <v>0</v>
      </c>
      <c r="W1080" s="25">
        <v>0</v>
      </c>
      <c r="X1080" s="25">
        <v>0</v>
      </c>
      <c r="Y1080" s="25">
        <v>0</v>
      </c>
      <c r="Z1080" s="25">
        <v>0</v>
      </c>
      <c r="AA1080" s="25">
        <v>0</v>
      </c>
      <c r="AB1080" s="25">
        <v>0</v>
      </c>
      <c r="AC1080" s="25">
        <v>0</v>
      </c>
      <c r="AD1080" s="25">
        <v>0</v>
      </c>
      <c r="AE1080" s="25">
        <v>0</v>
      </c>
      <c r="AF1080" s="25">
        <v>0</v>
      </c>
    </row>
    <row r="1081" spans="1:32" x14ac:dyDescent="0.25">
      <c r="A1081" s="25" t="s">
        <v>1150</v>
      </c>
      <c r="B1081" s="25">
        <v>0</v>
      </c>
      <c r="C1081" s="25">
        <v>0</v>
      </c>
      <c r="D1081" s="25">
        <v>0</v>
      </c>
      <c r="E1081" s="25">
        <v>0</v>
      </c>
      <c r="F1081" s="25">
        <v>0</v>
      </c>
      <c r="G1081" s="25">
        <v>0</v>
      </c>
      <c r="H1081" s="25">
        <v>0</v>
      </c>
      <c r="I1081" s="25">
        <v>0</v>
      </c>
      <c r="J1081" s="25">
        <v>0</v>
      </c>
      <c r="K1081" s="25">
        <v>0</v>
      </c>
      <c r="L1081" s="25">
        <v>0</v>
      </c>
      <c r="M1081" s="25">
        <v>0</v>
      </c>
      <c r="N1081" s="25">
        <v>0</v>
      </c>
      <c r="O1081" s="25">
        <v>0</v>
      </c>
      <c r="P1081" s="25">
        <v>0</v>
      </c>
      <c r="Q1081" s="25">
        <v>0</v>
      </c>
      <c r="R1081" s="25">
        <v>0</v>
      </c>
      <c r="S1081" s="25">
        <v>0</v>
      </c>
      <c r="T1081" s="25">
        <v>0</v>
      </c>
      <c r="U1081" s="25">
        <v>0</v>
      </c>
      <c r="V1081" s="25">
        <v>0</v>
      </c>
      <c r="W1081" s="25">
        <v>0</v>
      </c>
      <c r="X1081" s="25">
        <v>0</v>
      </c>
      <c r="Y1081" s="25">
        <v>0</v>
      </c>
      <c r="Z1081" s="25">
        <v>0</v>
      </c>
      <c r="AA1081" s="25">
        <v>0</v>
      </c>
      <c r="AB1081" s="25">
        <v>0</v>
      </c>
      <c r="AC1081" s="25">
        <v>0</v>
      </c>
      <c r="AD1081" s="25">
        <v>0</v>
      </c>
      <c r="AE1081" s="25">
        <v>0</v>
      </c>
      <c r="AF1081" s="25">
        <v>0</v>
      </c>
    </row>
    <row r="1082" spans="1:32" x14ac:dyDescent="0.25">
      <c r="A1082" s="25" t="s">
        <v>1151</v>
      </c>
      <c r="B1082" s="25">
        <v>0</v>
      </c>
      <c r="C1082" s="25">
        <v>0</v>
      </c>
      <c r="D1082" s="25">
        <v>0</v>
      </c>
      <c r="E1082" s="25">
        <v>0</v>
      </c>
      <c r="F1082" s="25">
        <v>0</v>
      </c>
      <c r="G1082" s="25">
        <v>0</v>
      </c>
      <c r="H1082" s="25">
        <v>0</v>
      </c>
      <c r="I1082" s="25">
        <v>0</v>
      </c>
      <c r="J1082" s="25">
        <v>0</v>
      </c>
      <c r="K1082" s="25">
        <v>0</v>
      </c>
      <c r="L1082" s="25">
        <v>0</v>
      </c>
      <c r="M1082" s="25">
        <v>0</v>
      </c>
      <c r="N1082" s="25">
        <v>0</v>
      </c>
      <c r="O1082" s="25">
        <v>0</v>
      </c>
      <c r="P1082" s="25">
        <v>0</v>
      </c>
      <c r="Q1082" s="25">
        <v>0</v>
      </c>
      <c r="R1082" s="25">
        <v>0</v>
      </c>
      <c r="S1082" s="25">
        <v>0</v>
      </c>
      <c r="T1082" s="25">
        <v>0</v>
      </c>
      <c r="U1082" s="25">
        <v>0</v>
      </c>
      <c r="V1082" s="25">
        <v>0</v>
      </c>
      <c r="W1082" s="25">
        <v>0</v>
      </c>
      <c r="X1082" s="25">
        <v>0</v>
      </c>
      <c r="Y1082" s="25">
        <v>0</v>
      </c>
      <c r="Z1082" s="25">
        <v>0</v>
      </c>
      <c r="AA1082" s="25">
        <v>0</v>
      </c>
      <c r="AB1082" s="25">
        <v>0</v>
      </c>
      <c r="AC1082" s="25">
        <v>0</v>
      </c>
      <c r="AD1082" s="25">
        <v>0</v>
      </c>
      <c r="AE1082" s="25">
        <v>0</v>
      </c>
      <c r="AF1082" s="25">
        <v>0</v>
      </c>
    </row>
    <row r="1083" spans="1:32" x14ac:dyDescent="0.25">
      <c r="A1083" s="25" t="s">
        <v>1152</v>
      </c>
      <c r="B1083" s="25">
        <v>0</v>
      </c>
      <c r="C1083" s="25">
        <v>0</v>
      </c>
      <c r="D1083" s="25">
        <v>0</v>
      </c>
      <c r="E1083" s="25">
        <v>0</v>
      </c>
      <c r="F1083" s="25">
        <v>0</v>
      </c>
      <c r="G1083" s="25">
        <v>0</v>
      </c>
      <c r="H1083" s="25">
        <v>0</v>
      </c>
      <c r="I1083" s="25">
        <v>0</v>
      </c>
      <c r="J1083" s="25">
        <v>0</v>
      </c>
      <c r="K1083" s="25">
        <v>0</v>
      </c>
      <c r="L1083" s="25">
        <v>0</v>
      </c>
      <c r="M1083" s="25">
        <v>0</v>
      </c>
      <c r="N1083" s="25">
        <v>0</v>
      </c>
      <c r="O1083" s="25">
        <v>0</v>
      </c>
      <c r="P1083" s="25">
        <v>0</v>
      </c>
      <c r="Q1083" s="25">
        <v>0</v>
      </c>
      <c r="R1083" s="25">
        <v>0</v>
      </c>
      <c r="S1083" s="25">
        <v>0</v>
      </c>
      <c r="T1083" s="25">
        <v>0</v>
      </c>
      <c r="U1083" s="25">
        <v>0</v>
      </c>
      <c r="V1083" s="25">
        <v>0</v>
      </c>
      <c r="W1083" s="25">
        <v>0</v>
      </c>
      <c r="X1083" s="25">
        <v>0</v>
      </c>
      <c r="Y1083" s="25">
        <v>0</v>
      </c>
      <c r="Z1083" s="25">
        <v>0</v>
      </c>
      <c r="AA1083" s="25">
        <v>0</v>
      </c>
      <c r="AB1083" s="25">
        <v>0</v>
      </c>
      <c r="AC1083" s="25">
        <v>0</v>
      </c>
      <c r="AD1083" s="25">
        <v>0</v>
      </c>
      <c r="AE1083" s="25">
        <v>0</v>
      </c>
      <c r="AF1083" s="25">
        <v>0</v>
      </c>
    </row>
    <row r="1084" spans="1:32" x14ac:dyDescent="0.25">
      <c r="A1084" s="25" t="s">
        <v>1153</v>
      </c>
      <c r="B1084" s="25">
        <v>0</v>
      </c>
      <c r="C1084" s="25">
        <v>0</v>
      </c>
      <c r="D1084" s="25">
        <v>0</v>
      </c>
      <c r="E1084" s="25">
        <v>0</v>
      </c>
      <c r="F1084" s="25">
        <v>0</v>
      </c>
      <c r="G1084" s="25">
        <v>0</v>
      </c>
      <c r="H1084" s="25">
        <v>0</v>
      </c>
      <c r="I1084" s="25">
        <v>0</v>
      </c>
      <c r="J1084" s="25">
        <v>0</v>
      </c>
      <c r="K1084" s="25">
        <v>0</v>
      </c>
      <c r="L1084" s="25">
        <v>0</v>
      </c>
      <c r="M1084" s="25">
        <v>0</v>
      </c>
      <c r="N1084" s="25">
        <v>0</v>
      </c>
      <c r="O1084" s="25">
        <v>0</v>
      </c>
      <c r="P1084" s="25">
        <v>0</v>
      </c>
      <c r="Q1084" s="25">
        <v>0</v>
      </c>
      <c r="R1084" s="25">
        <v>0</v>
      </c>
      <c r="S1084" s="25">
        <v>0</v>
      </c>
      <c r="T1084" s="25">
        <v>0</v>
      </c>
      <c r="U1084" s="25">
        <v>0</v>
      </c>
      <c r="V1084" s="25">
        <v>0</v>
      </c>
      <c r="W1084" s="25">
        <v>0</v>
      </c>
      <c r="X1084" s="25">
        <v>0</v>
      </c>
      <c r="Y1084" s="25">
        <v>0</v>
      </c>
      <c r="Z1084" s="25">
        <v>0</v>
      </c>
      <c r="AA1084" s="25">
        <v>0</v>
      </c>
      <c r="AB1084" s="25">
        <v>0</v>
      </c>
      <c r="AC1084" s="25">
        <v>0</v>
      </c>
      <c r="AD1084" s="25">
        <v>0</v>
      </c>
      <c r="AE1084" s="25">
        <v>0</v>
      </c>
      <c r="AF1084" s="25">
        <v>0</v>
      </c>
    </row>
    <row r="1085" spans="1:32" x14ac:dyDescent="0.25">
      <c r="A1085" s="25" t="s">
        <v>1154</v>
      </c>
      <c r="B1085" s="25">
        <v>0</v>
      </c>
      <c r="C1085" s="25">
        <v>0</v>
      </c>
      <c r="D1085" s="25">
        <v>0</v>
      </c>
      <c r="E1085" s="25">
        <v>0</v>
      </c>
      <c r="F1085" s="25">
        <v>0</v>
      </c>
      <c r="G1085" s="25">
        <v>0</v>
      </c>
      <c r="H1085" s="25">
        <v>0</v>
      </c>
      <c r="I1085" s="25">
        <v>0</v>
      </c>
      <c r="J1085" s="25">
        <v>0</v>
      </c>
      <c r="K1085" s="25">
        <v>0</v>
      </c>
      <c r="L1085" s="25">
        <v>0</v>
      </c>
      <c r="M1085" s="25">
        <v>0</v>
      </c>
      <c r="N1085" s="25">
        <v>0</v>
      </c>
      <c r="O1085" s="25">
        <v>0</v>
      </c>
      <c r="P1085" s="25">
        <v>0</v>
      </c>
      <c r="Q1085" s="25">
        <v>0</v>
      </c>
      <c r="R1085" s="25">
        <v>0</v>
      </c>
      <c r="S1085" s="25">
        <v>0</v>
      </c>
      <c r="T1085" s="25">
        <v>0</v>
      </c>
      <c r="U1085" s="25">
        <v>0</v>
      </c>
      <c r="V1085" s="25">
        <v>0</v>
      </c>
      <c r="W1085" s="25">
        <v>0</v>
      </c>
      <c r="X1085" s="25">
        <v>0</v>
      </c>
      <c r="Y1085" s="25">
        <v>0</v>
      </c>
      <c r="Z1085" s="25">
        <v>0</v>
      </c>
      <c r="AA1085" s="25">
        <v>0</v>
      </c>
      <c r="AB1085" s="25">
        <v>0</v>
      </c>
      <c r="AC1085" s="25">
        <v>0</v>
      </c>
      <c r="AD1085" s="25">
        <v>0</v>
      </c>
      <c r="AE1085" s="25">
        <v>0</v>
      </c>
      <c r="AF1085" s="25">
        <v>0</v>
      </c>
    </row>
    <row r="1086" spans="1:32" x14ac:dyDescent="0.25">
      <c r="A1086" s="25" t="s">
        <v>1155</v>
      </c>
      <c r="B1086" s="25">
        <v>0</v>
      </c>
      <c r="C1086" s="25">
        <v>0</v>
      </c>
      <c r="D1086" s="25">
        <v>0</v>
      </c>
      <c r="E1086" s="25">
        <v>0</v>
      </c>
      <c r="F1086" s="25">
        <v>0</v>
      </c>
      <c r="G1086" s="25">
        <v>0</v>
      </c>
      <c r="H1086" s="25">
        <v>0</v>
      </c>
      <c r="I1086" s="25">
        <v>0</v>
      </c>
      <c r="J1086" s="25">
        <v>0</v>
      </c>
      <c r="K1086" s="25">
        <v>0</v>
      </c>
      <c r="L1086" s="25">
        <v>0</v>
      </c>
      <c r="M1086" s="25">
        <v>0</v>
      </c>
      <c r="N1086" s="25">
        <v>0</v>
      </c>
      <c r="O1086" s="25">
        <v>0</v>
      </c>
      <c r="P1086" s="25">
        <v>0</v>
      </c>
      <c r="Q1086" s="25">
        <v>0</v>
      </c>
      <c r="R1086" s="25">
        <v>0</v>
      </c>
      <c r="S1086" s="25">
        <v>0</v>
      </c>
      <c r="T1086" s="25">
        <v>0</v>
      </c>
      <c r="U1086" s="25">
        <v>0</v>
      </c>
      <c r="V1086" s="25">
        <v>0</v>
      </c>
      <c r="W1086" s="25">
        <v>0</v>
      </c>
      <c r="X1086" s="25">
        <v>0</v>
      </c>
      <c r="Y1086" s="25">
        <v>0</v>
      </c>
      <c r="Z1086" s="25">
        <v>0</v>
      </c>
      <c r="AA1086" s="25">
        <v>0</v>
      </c>
      <c r="AB1086" s="25">
        <v>0</v>
      </c>
      <c r="AC1086" s="25">
        <v>0</v>
      </c>
      <c r="AD1086" s="25">
        <v>0</v>
      </c>
      <c r="AE1086" s="25">
        <v>0</v>
      </c>
      <c r="AF1086" s="25">
        <v>0</v>
      </c>
    </row>
    <row r="1087" spans="1:32" x14ac:dyDescent="0.25">
      <c r="A1087" s="25" t="s">
        <v>1156</v>
      </c>
      <c r="B1087" s="25">
        <v>0</v>
      </c>
      <c r="C1087" s="25">
        <v>0</v>
      </c>
      <c r="D1087" s="25">
        <v>0</v>
      </c>
      <c r="E1087" s="25">
        <v>0</v>
      </c>
      <c r="F1087" s="25">
        <v>0</v>
      </c>
      <c r="G1087" s="25">
        <v>0</v>
      </c>
      <c r="H1087" s="25">
        <v>0</v>
      </c>
      <c r="I1087" s="25">
        <v>0</v>
      </c>
      <c r="J1087" s="25">
        <v>0</v>
      </c>
      <c r="K1087" s="25">
        <v>0</v>
      </c>
      <c r="L1087" s="25">
        <v>0</v>
      </c>
      <c r="M1087" s="25">
        <v>0</v>
      </c>
      <c r="N1087" s="25">
        <v>0</v>
      </c>
      <c r="O1087" s="25">
        <v>0</v>
      </c>
      <c r="P1087" s="25">
        <v>0</v>
      </c>
      <c r="Q1087" s="25">
        <v>0</v>
      </c>
      <c r="R1087" s="25">
        <v>0</v>
      </c>
      <c r="S1087" s="25">
        <v>0</v>
      </c>
      <c r="T1087" s="25">
        <v>0</v>
      </c>
      <c r="U1087" s="25">
        <v>0</v>
      </c>
      <c r="V1087" s="25">
        <v>0</v>
      </c>
      <c r="W1087" s="25">
        <v>0</v>
      </c>
      <c r="X1087" s="25">
        <v>0</v>
      </c>
      <c r="Y1087" s="25">
        <v>0</v>
      </c>
      <c r="Z1087" s="25">
        <v>0</v>
      </c>
      <c r="AA1087" s="25">
        <v>0</v>
      </c>
      <c r="AB1087" s="25">
        <v>0</v>
      </c>
      <c r="AC1087" s="25">
        <v>0</v>
      </c>
      <c r="AD1087" s="25">
        <v>0</v>
      </c>
      <c r="AE1087" s="25">
        <v>0</v>
      </c>
      <c r="AF1087" s="25">
        <v>0</v>
      </c>
    </row>
    <row r="1088" spans="1:32" x14ac:dyDescent="0.25">
      <c r="A1088" s="25" t="s">
        <v>1157</v>
      </c>
      <c r="B1088" s="25">
        <v>0</v>
      </c>
      <c r="C1088" s="25">
        <v>0</v>
      </c>
      <c r="D1088" s="25">
        <v>0</v>
      </c>
      <c r="E1088" s="25">
        <v>0</v>
      </c>
      <c r="F1088" s="25">
        <v>0</v>
      </c>
      <c r="G1088" s="25">
        <v>0</v>
      </c>
      <c r="H1088" s="25">
        <v>0</v>
      </c>
      <c r="I1088" s="25">
        <v>0</v>
      </c>
      <c r="J1088" s="25">
        <v>0</v>
      </c>
      <c r="K1088" s="25">
        <v>0</v>
      </c>
      <c r="L1088" s="25">
        <v>0</v>
      </c>
      <c r="M1088" s="25">
        <v>0</v>
      </c>
      <c r="N1088" s="25">
        <v>0</v>
      </c>
      <c r="O1088" s="25">
        <v>0</v>
      </c>
      <c r="P1088" s="25">
        <v>0</v>
      </c>
      <c r="Q1088" s="25">
        <v>0</v>
      </c>
      <c r="R1088" s="25">
        <v>0</v>
      </c>
      <c r="S1088" s="25">
        <v>0</v>
      </c>
      <c r="T1088" s="25">
        <v>0</v>
      </c>
      <c r="U1088" s="25">
        <v>0</v>
      </c>
      <c r="V1088" s="25">
        <v>0</v>
      </c>
      <c r="W1088" s="25">
        <v>0</v>
      </c>
      <c r="X1088" s="25">
        <v>0</v>
      </c>
      <c r="Y1088" s="25">
        <v>0</v>
      </c>
      <c r="Z1088" s="25">
        <v>0</v>
      </c>
      <c r="AA1088" s="25">
        <v>0</v>
      </c>
      <c r="AB1088" s="25">
        <v>0</v>
      </c>
      <c r="AC1088" s="25">
        <v>0</v>
      </c>
      <c r="AD1088" s="25">
        <v>0</v>
      </c>
      <c r="AE1088" s="25">
        <v>0</v>
      </c>
      <c r="AF1088" s="25">
        <v>0</v>
      </c>
    </row>
    <row r="1089" spans="1:32" x14ac:dyDescent="0.25">
      <c r="A1089" s="25" t="s">
        <v>1158</v>
      </c>
      <c r="B1089" s="25">
        <v>0</v>
      </c>
      <c r="C1089" s="25">
        <v>0</v>
      </c>
      <c r="D1089" s="25">
        <v>0</v>
      </c>
      <c r="E1089" s="25">
        <v>0</v>
      </c>
      <c r="F1089" s="25">
        <v>0</v>
      </c>
      <c r="G1089" s="25">
        <v>0</v>
      </c>
      <c r="H1089" s="25">
        <v>0</v>
      </c>
      <c r="I1089" s="25">
        <v>0</v>
      </c>
      <c r="J1089" s="25">
        <v>0</v>
      </c>
      <c r="K1089" s="25">
        <v>0</v>
      </c>
      <c r="L1089" s="25">
        <v>0</v>
      </c>
      <c r="M1089" s="25">
        <v>0</v>
      </c>
      <c r="N1089" s="25">
        <v>0</v>
      </c>
      <c r="O1089" s="25">
        <v>0</v>
      </c>
      <c r="P1089" s="25">
        <v>0</v>
      </c>
      <c r="Q1089" s="25">
        <v>0</v>
      </c>
      <c r="R1089" s="25">
        <v>0</v>
      </c>
      <c r="S1089" s="25">
        <v>0</v>
      </c>
      <c r="T1089" s="25">
        <v>0</v>
      </c>
      <c r="U1089" s="25">
        <v>0</v>
      </c>
      <c r="V1089" s="25">
        <v>0</v>
      </c>
      <c r="W1089" s="25">
        <v>0</v>
      </c>
      <c r="X1089" s="25">
        <v>0</v>
      </c>
      <c r="Y1089" s="25">
        <v>0</v>
      </c>
      <c r="Z1089" s="25">
        <v>0</v>
      </c>
      <c r="AA1089" s="25">
        <v>0</v>
      </c>
      <c r="AB1089" s="25">
        <v>0</v>
      </c>
      <c r="AC1089" s="25">
        <v>0</v>
      </c>
      <c r="AD1089" s="25">
        <v>0</v>
      </c>
      <c r="AE1089" s="25">
        <v>0</v>
      </c>
      <c r="AF1089" s="25">
        <v>0</v>
      </c>
    </row>
    <row r="1090" spans="1:32" x14ac:dyDescent="0.25">
      <c r="A1090" s="25" t="s">
        <v>1159</v>
      </c>
      <c r="B1090" s="25">
        <v>0</v>
      </c>
      <c r="C1090" s="25">
        <v>0</v>
      </c>
      <c r="D1090" s="25">
        <v>0</v>
      </c>
      <c r="E1090" s="25">
        <v>0</v>
      </c>
      <c r="F1090" s="25">
        <v>0</v>
      </c>
      <c r="G1090" s="25">
        <v>0</v>
      </c>
      <c r="H1090" s="25">
        <v>0</v>
      </c>
      <c r="I1090" s="25">
        <v>0</v>
      </c>
      <c r="J1090" s="25">
        <v>0</v>
      </c>
      <c r="K1090" s="25">
        <v>0</v>
      </c>
      <c r="L1090" s="25">
        <v>0</v>
      </c>
      <c r="M1090" s="25">
        <v>0</v>
      </c>
      <c r="N1090" s="25">
        <v>0</v>
      </c>
      <c r="O1090" s="25">
        <v>0</v>
      </c>
      <c r="P1090" s="25">
        <v>0</v>
      </c>
      <c r="Q1090" s="25">
        <v>0</v>
      </c>
      <c r="R1090" s="25">
        <v>0</v>
      </c>
      <c r="S1090" s="25">
        <v>0</v>
      </c>
      <c r="T1090" s="25">
        <v>0</v>
      </c>
      <c r="U1090" s="25">
        <v>0</v>
      </c>
      <c r="V1090" s="25">
        <v>0</v>
      </c>
      <c r="W1090" s="25">
        <v>0</v>
      </c>
      <c r="X1090" s="25">
        <v>0</v>
      </c>
      <c r="Y1090" s="25">
        <v>0</v>
      </c>
      <c r="Z1090" s="25">
        <v>0</v>
      </c>
      <c r="AA1090" s="25">
        <v>0</v>
      </c>
      <c r="AB1090" s="25">
        <v>0</v>
      </c>
      <c r="AC1090" s="25">
        <v>0</v>
      </c>
      <c r="AD1090" s="25">
        <v>0</v>
      </c>
      <c r="AE1090" s="25">
        <v>0</v>
      </c>
      <c r="AF1090" s="25">
        <v>0</v>
      </c>
    </row>
    <row r="1091" spans="1:32" x14ac:dyDescent="0.25">
      <c r="A1091" s="25" t="s">
        <v>1160</v>
      </c>
      <c r="B1091" s="25">
        <v>0</v>
      </c>
      <c r="C1091" s="25">
        <v>0</v>
      </c>
      <c r="D1091" s="25">
        <v>0</v>
      </c>
      <c r="E1091" s="25">
        <v>0</v>
      </c>
      <c r="F1091" s="25">
        <v>0</v>
      </c>
      <c r="G1091" s="25">
        <v>0</v>
      </c>
      <c r="H1091" s="25">
        <v>0</v>
      </c>
      <c r="I1091" s="25">
        <v>0</v>
      </c>
      <c r="J1091" s="25">
        <v>0</v>
      </c>
      <c r="K1091" s="25">
        <v>0</v>
      </c>
      <c r="L1091" s="25">
        <v>0</v>
      </c>
      <c r="M1091" s="25">
        <v>0</v>
      </c>
      <c r="N1091" s="25">
        <v>0</v>
      </c>
      <c r="O1091" s="25">
        <v>0</v>
      </c>
      <c r="P1091" s="25">
        <v>0</v>
      </c>
      <c r="Q1091" s="25">
        <v>0</v>
      </c>
      <c r="R1091" s="25">
        <v>0</v>
      </c>
      <c r="S1091" s="25">
        <v>0</v>
      </c>
      <c r="T1091" s="25">
        <v>0</v>
      </c>
      <c r="U1091" s="25">
        <v>0</v>
      </c>
      <c r="V1091" s="25">
        <v>0</v>
      </c>
      <c r="W1091" s="25">
        <v>0</v>
      </c>
      <c r="X1091" s="25">
        <v>0</v>
      </c>
      <c r="Y1091" s="25">
        <v>0</v>
      </c>
      <c r="Z1091" s="25">
        <v>0</v>
      </c>
      <c r="AA1091" s="25">
        <v>0</v>
      </c>
      <c r="AB1091" s="25">
        <v>0</v>
      </c>
      <c r="AC1091" s="25">
        <v>0</v>
      </c>
      <c r="AD1091" s="25">
        <v>0</v>
      </c>
      <c r="AE1091" s="25">
        <v>0</v>
      </c>
      <c r="AF1091" s="25">
        <v>0</v>
      </c>
    </row>
    <row r="1092" spans="1:32" x14ac:dyDescent="0.25">
      <c r="A1092" s="25" t="s">
        <v>1161</v>
      </c>
      <c r="B1092" s="25">
        <v>0</v>
      </c>
      <c r="C1092" s="25">
        <v>0</v>
      </c>
      <c r="D1092" s="25">
        <v>0</v>
      </c>
      <c r="E1092" s="25">
        <v>0</v>
      </c>
      <c r="F1092" s="25">
        <v>0</v>
      </c>
      <c r="G1092" s="25">
        <v>0</v>
      </c>
      <c r="H1092" s="25">
        <v>0</v>
      </c>
      <c r="I1092" s="25">
        <v>0</v>
      </c>
      <c r="J1092" s="25">
        <v>0</v>
      </c>
      <c r="K1092" s="25">
        <v>0</v>
      </c>
      <c r="L1092" s="25">
        <v>0</v>
      </c>
      <c r="M1092" s="25">
        <v>0</v>
      </c>
      <c r="N1092" s="25">
        <v>0</v>
      </c>
      <c r="O1092" s="25">
        <v>0</v>
      </c>
      <c r="P1092" s="25">
        <v>0</v>
      </c>
      <c r="Q1092" s="25">
        <v>0</v>
      </c>
      <c r="R1092" s="25">
        <v>0</v>
      </c>
      <c r="S1092" s="25">
        <v>0</v>
      </c>
      <c r="T1092" s="25">
        <v>0</v>
      </c>
      <c r="U1092" s="25">
        <v>0</v>
      </c>
      <c r="V1092" s="25">
        <v>0</v>
      </c>
      <c r="W1092" s="25">
        <v>0</v>
      </c>
      <c r="X1092" s="25">
        <v>0</v>
      </c>
      <c r="Y1092" s="25">
        <v>0</v>
      </c>
      <c r="Z1092" s="25">
        <v>0</v>
      </c>
      <c r="AA1092" s="25">
        <v>0</v>
      </c>
      <c r="AB1092" s="25">
        <v>0</v>
      </c>
      <c r="AC1092" s="25">
        <v>0</v>
      </c>
      <c r="AD1092" s="25">
        <v>0</v>
      </c>
      <c r="AE1092" s="25">
        <v>0</v>
      </c>
      <c r="AF1092" s="25">
        <v>0</v>
      </c>
    </row>
    <row r="1093" spans="1:32" x14ac:dyDescent="0.25">
      <c r="A1093" s="25" t="s">
        <v>1162</v>
      </c>
      <c r="B1093" s="25">
        <v>0</v>
      </c>
      <c r="C1093" s="25">
        <v>0</v>
      </c>
      <c r="D1093" s="25">
        <v>0</v>
      </c>
      <c r="E1093" s="25">
        <v>0</v>
      </c>
      <c r="F1093" s="25">
        <v>0</v>
      </c>
      <c r="G1093" s="25">
        <v>0</v>
      </c>
      <c r="H1093" s="25">
        <v>0</v>
      </c>
      <c r="I1093" s="25">
        <v>0</v>
      </c>
      <c r="J1093" s="25">
        <v>0</v>
      </c>
      <c r="K1093" s="25">
        <v>0</v>
      </c>
      <c r="L1093" s="25">
        <v>0</v>
      </c>
      <c r="M1093" s="25">
        <v>0</v>
      </c>
      <c r="N1093" s="25">
        <v>0</v>
      </c>
      <c r="O1093" s="25">
        <v>0</v>
      </c>
      <c r="P1093" s="25">
        <v>0</v>
      </c>
      <c r="Q1093" s="25">
        <v>0</v>
      </c>
      <c r="R1093" s="25">
        <v>0</v>
      </c>
      <c r="S1093" s="25">
        <v>0</v>
      </c>
      <c r="T1093" s="25">
        <v>0</v>
      </c>
      <c r="U1093" s="25">
        <v>0</v>
      </c>
      <c r="V1093" s="25">
        <v>0</v>
      </c>
      <c r="W1093" s="25">
        <v>0</v>
      </c>
      <c r="X1093" s="25">
        <v>0</v>
      </c>
      <c r="Y1093" s="25">
        <v>0</v>
      </c>
      <c r="Z1093" s="25">
        <v>0</v>
      </c>
      <c r="AA1093" s="25">
        <v>0</v>
      </c>
      <c r="AB1093" s="25">
        <v>0</v>
      </c>
      <c r="AC1093" s="25">
        <v>0</v>
      </c>
      <c r="AD1093" s="25">
        <v>0</v>
      </c>
      <c r="AE1093" s="25">
        <v>0</v>
      </c>
      <c r="AF1093" s="25">
        <v>0</v>
      </c>
    </row>
    <row r="1094" spans="1:32" x14ac:dyDescent="0.25">
      <c r="A1094" s="25" t="s">
        <v>1163</v>
      </c>
      <c r="B1094" s="25">
        <v>0</v>
      </c>
      <c r="C1094" s="25">
        <v>0</v>
      </c>
      <c r="D1094" s="25">
        <v>0</v>
      </c>
      <c r="E1094" s="25">
        <v>0</v>
      </c>
      <c r="F1094" s="25">
        <v>0</v>
      </c>
      <c r="G1094" s="25">
        <v>0</v>
      </c>
      <c r="H1094" s="25">
        <v>0</v>
      </c>
      <c r="I1094" s="25">
        <v>0</v>
      </c>
      <c r="J1094" s="25">
        <v>0</v>
      </c>
      <c r="K1094" s="25">
        <v>0</v>
      </c>
      <c r="L1094" s="25">
        <v>0</v>
      </c>
      <c r="M1094" s="25">
        <v>0</v>
      </c>
      <c r="N1094" s="25">
        <v>0</v>
      </c>
      <c r="O1094" s="25">
        <v>0</v>
      </c>
      <c r="P1094" s="25">
        <v>0</v>
      </c>
      <c r="Q1094" s="25">
        <v>0</v>
      </c>
      <c r="R1094" s="25">
        <v>0</v>
      </c>
      <c r="S1094" s="25">
        <v>0</v>
      </c>
      <c r="T1094" s="25">
        <v>0</v>
      </c>
      <c r="U1094" s="25">
        <v>0</v>
      </c>
      <c r="V1094" s="25">
        <v>0</v>
      </c>
      <c r="W1094" s="25">
        <v>0</v>
      </c>
      <c r="X1094" s="25">
        <v>0</v>
      </c>
      <c r="Y1094" s="25">
        <v>0</v>
      </c>
      <c r="Z1094" s="25">
        <v>0</v>
      </c>
      <c r="AA1094" s="25">
        <v>0</v>
      </c>
      <c r="AB1094" s="25">
        <v>0</v>
      </c>
      <c r="AC1094" s="25">
        <v>0</v>
      </c>
      <c r="AD1094" s="25">
        <v>0</v>
      </c>
      <c r="AE1094" s="25">
        <v>0</v>
      </c>
      <c r="AF1094" s="25">
        <v>0</v>
      </c>
    </row>
    <row r="1095" spans="1:32" x14ac:dyDescent="0.25">
      <c r="A1095" s="25" t="s">
        <v>1164</v>
      </c>
      <c r="B1095" s="25">
        <v>0</v>
      </c>
      <c r="C1095" s="25">
        <v>0</v>
      </c>
      <c r="D1095" s="25">
        <v>0</v>
      </c>
      <c r="E1095" s="25">
        <v>0</v>
      </c>
      <c r="F1095" s="25">
        <v>0</v>
      </c>
      <c r="G1095" s="25">
        <v>0</v>
      </c>
      <c r="H1095" s="25">
        <v>0</v>
      </c>
      <c r="I1095" s="25">
        <v>0</v>
      </c>
      <c r="J1095" s="25">
        <v>0</v>
      </c>
      <c r="K1095" s="25">
        <v>0</v>
      </c>
      <c r="L1095" s="25">
        <v>0</v>
      </c>
      <c r="M1095" s="25">
        <v>0</v>
      </c>
      <c r="N1095" s="25">
        <v>0</v>
      </c>
      <c r="O1095" s="25">
        <v>0</v>
      </c>
      <c r="P1095" s="25">
        <v>0</v>
      </c>
      <c r="Q1095" s="25">
        <v>0</v>
      </c>
      <c r="R1095" s="25">
        <v>0</v>
      </c>
      <c r="S1095" s="25">
        <v>0</v>
      </c>
      <c r="T1095" s="25">
        <v>0</v>
      </c>
      <c r="U1095" s="25">
        <v>0</v>
      </c>
      <c r="V1095" s="25">
        <v>0</v>
      </c>
      <c r="W1095" s="25">
        <v>0</v>
      </c>
      <c r="X1095" s="25">
        <v>0</v>
      </c>
      <c r="Y1095" s="25">
        <v>0</v>
      </c>
      <c r="Z1095" s="25">
        <v>0</v>
      </c>
      <c r="AA1095" s="25">
        <v>0</v>
      </c>
      <c r="AB1095" s="25">
        <v>0</v>
      </c>
      <c r="AC1095" s="25">
        <v>0</v>
      </c>
      <c r="AD1095" s="25">
        <v>0</v>
      </c>
      <c r="AE1095" s="25">
        <v>0</v>
      </c>
      <c r="AF1095" s="25">
        <v>0</v>
      </c>
    </row>
    <row r="1096" spans="1:32" x14ac:dyDescent="0.25">
      <c r="A1096" s="25" t="s">
        <v>1165</v>
      </c>
      <c r="B1096" s="25">
        <v>0</v>
      </c>
      <c r="C1096" s="25">
        <v>0</v>
      </c>
      <c r="D1096" s="25">
        <v>0</v>
      </c>
      <c r="E1096" s="25">
        <v>0</v>
      </c>
      <c r="F1096" s="25">
        <v>0</v>
      </c>
      <c r="G1096" s="25">
        <v>0</v>
      </c>
      <c r="H1096" s="25">
        <v>0</v>
      </c>
      <c r="I1096" s="25">
        <v>0</v>
      </c>
      <c r="J1096" s="25">
        <v>0</v>
      </c>
      <c r="K1096" s="25">
        <v>0</v>
      </c>
      <c r="L1096" s="25">
        <v>0</v>
      </c>
      <c r="M1096" s="25">
        <v>0</v>
      </c>
      <c r="N1096" s="25">
        <v>0</v>
      </c>
      <c r="O1096" s="25">
        <v>0</v>
      </c>
      <c r="P1096" s="25">
        <v>0</v>
      </c>
      <c r="Q1096" s="25">
        <v>0</v>
      </c>
      <c r="R1096" s="25">
        <v>0</v>
      </c>
      <c r="S1096" s="25">
        <v>0</v>
      </c>
      <c r="T1096" s="25">
        <v>0</v>
      </c>
      <c r="U1096" s="25">
        <v>0</v>
      </c>
      <c r="V1096" s="25">
        <v>0</v>
      </c>
      <c r="W1096" s="25">
        <v>0</v>
      </c>
      <c r="X1096" s="25">
        <v>0</v>
      </c>
      <c r="Y1096" s="25">
        <v>0</v>
      </c>
      <c r="Z1096" s="25">
        <v>0</v>
      </c>
      <c r="AA1096" s="25">
        <v>0</v>
      </c>
      <c r="AB1096" s="25">
        <v>0</v>
      </c>
      <c r="AC1096" s="25">
        <v>0</v>
      </c>
      <c r="AD1096" s="25">
        <v>0</v>
      </c>
      <c r="AE1096" s="25">
        <v>0</v>
      </c>
      <c r="AF1096" s="25">
        <v>0</v>
      </c>
    </row>
    <row r="1097" spans="1:32" x14ac:dyDescent="0.25">
      <c r="A1097" s="25" t="s">
        <v>1166</v>
      </c>
      <c r="B1097" s="25">
        <v>0</v>
      </c>
      <c r="C1097" s="25">
        <v>0</v>
      </c>
      <c r="D1097" s="25">
        <v>0</v>
      </c>
      <c r="E1097" s="25">
        <v>0</v>
      </c>
      <c r="F1097" s="25">
        <v>0</v>
      </c>
      <c r="G1097" s="25">
        <v>0</v>
      </c>
      <c r="H1097" s="25">
        <v>0</v>
      </c>
      <c r="I1097" s="25">
        <v>0</v>
      </c>
      <c r="J1097" s="25">
        <v>0</v>
      </c>
      <c r="K1097" s="25">
        <v>0</v>
      </c>
      <c r="L1097" s="25">
        <v>0</v>
      </c>
      <c r="M1097" s="25">
        <v>0</v>
      </c>
      <c r="N1097" s="25">
        <v>0</v>
      </c>
      <c r="O1097" s="25">
        <v>0</v>
      </c>
      <c r="P1097" s="25">
        <v>0</v>
      </c>
      <c r="Q1097" s="25">
        <v>0</v>
      </c>
      <c r="R1097" s="25">
        <v>0</v>
      </c>
      <c r="S1097" s="25">
        <v>0</v>
      </c>
      <c r="T1097" s="25">
        <v>0</v>
      </c>
      <c r="U1097" s="25">
        <v>0</v>
      </c>
      <c r="V1097" s="25">
        <v>0</v>
      </c>
      <c r="W1097" s="25">
        <v>0</v>
      </c>
      <c r="X1097" s="25">
        <v>0</v>
      </c>
      <c r="Y1097" s="25">
        <v>0</v>
      </c>
      <c r="Z1097" s="25">
        <v>0</v>
      </c>
      <c r="AA1097" s="25">
        <v>0</v>
      </c>
      <c r="AB1097" s="25">
        <v>0</v>
      </c>
      <c r="AC1097" s="25">
        <v>0</v>
      </c>
      <c r="AD1097" s="25">
        <v>0</v>
      </c>
      <c r="AE1097" s="25">
        <v>0</v>
      </c>
      <c r="AF1097" s="25">
        <v>0</v>
      </c>
    </row>
    <row r="1098" spans="1:32" x14ac:dyDescent="0.25">
      <c r="A1098" s="25" t="s">
        <v>1167</v>
      </c>
      <c r="B1098" s="25">
        <v>0</v>
      </c>
      <c r="C1098" s="25">
        <v>0</v>
      </c>
      <c r="D1098" s="25">
        <v>0</v>
      </c>
      <c r="E1098" s="25">
        <v>0</v>
      </c>
      <c r="F1098" s="25">
        <v>0</v>
      </c>
      <c r="G1098" s="25">
        <v>0</v>
      </c>
      <c r="H1098" s="25">
        <v>0</v>
      </c>
      <c r="I1098" s="25">
        <v>0</v>
      </c>
      <c r="J1098" s="25">
        <v>0</v>
      </c>
      <c r="K1098" s="25">
        <v>0</v>
      </c>
      <c r="L1098" s="25">
        <v>0</v>
      </c>
      <c r="M1098" s="25">
        <v>0</v>
      </c>
      <c r="N1098" s="25">
        <v>0</v>
      </c>
      <c r="O1098" s="25">
        <v>0</v>
      </c>
      <c r="P1098" s="25">
        <v>0</v>
      </c>
      <c r="Q1098" s="25">
        <v>0</v>
      </c>
      <c r="R1098" s="25">
        <v>0</v>
      </c>
      <c r="S1098" s="25">
        <v>0</v>
      </c>
      <c r="T1098" s="25">
        <v>0</v>
      </c>
      <c r="U1098" s="25">
        <v>0</v>
      </c>
      <c r="V1098" s="25">
        <v>0</v>
      </c>
      <c r="W1098" s="25">
        <v>0</v>
      </c>
      <c r="X1098" s="25">
        <v>0</v>
      </c>
      <c r="Y1098" s="25">
        <v>0</v>
      </c>
      <c r="Z1098" s="25">
        <v>0</v>
      </c>
      <c r="AA1098" s="25">
        <v>0</v>
      </c>
      <c r="AB1098" s="25">
        <v>0</v>
      </c>
      <c r="AC1098" s="25">
        <v>0</v>
      </c>
      <c r="AD1098" s="25">
        <v>0</v>
      </c>
      <c r="AE1098" s="25">
        <v>0</v>
      </c>
      <c r="AF1098" s="25">
        <v>0</v>
      </c>
    </row>
    <row r="1099" spans="1:32" x14ac:dyDescent="0.25">
      <c r="A1099" s="25" t="s">
        <v>1168</v>
      </c>
      <c r="B1099" s="25">
        <v>0</v>
      </c>
      <c r="C1099" s="25">
        <v>0</v>
      </c>
      <c r="D1099" s="25">
        <v>0</v>
      </c>
      <c r="E1099" s="25">
        <v>0</v>
      </c>
      <c r="F1099" s="25">
        <v>0</v>
      </c>
      <c r="G1099" s="25">
        <v>0</v>
      </c>
      <c r="H1099" s="25">
        <v>0</v>
      </c>
      <c r="I1099" s="25">
        <v>0</v>
      </c>
      <c r="J1099" s="25">
        <v>0</v>
      </c>
      <c r="K1099" s="25">
        <v>0</v>
      </c>
      <c r="L1099" s="25">
        <v>0</v>
      </c>
      <c r="M1099" s="25">
        <v>0</v>
      </c>
      <c r="N1099" s="25">
        <v>0</v>
      </c>
      <c r="O1099" s="25">
        <v>0</v>
      </c>
      <c r="P1099" s="25">
        <v>0</v>
      </c>
      <c r="Q1099" s="25">
        <v>0</v>
      </c>
      <c r="R1099" s="25">
        <v>0</v>
      </c>
      <c r="S1099" s="25">
        <v>0</v>
      </c>
      <c r="T1099" s="25">
        <v>0</v>
      </c>
      <c r="U1099" s="25">
        <v>0</v>
      </c>
      <c r="V1099" s="25">
        <v>0</v>
      </c>
      <c r="W1099" s="25">
        <v>0</v>
      </c>
      <c r="X1099" s="25">
        <v>0</v>
      </c>
      <c r="Y1099" s="25">
        <v>0</v>
      </c>
      <c r="Z1099" s="25">
        <v>0</v>
      </c>
      <c r="AA1099" s="25">
        <v>0</v>
      </c>
      <c r="AB1099" s="25">
        <v>0</v>
      </c>
      <c r="AC1099" s="25">
        <v>0</v>
      </c>
      <c r="AD1099" s="25">
        <v>0</v>
      </c>
      <c r="AE1099" s="25">
        <v>0</v>
      </c>
      <c r="AF1099" s="25">
        <v>0</v>
      </c>
    </row>
    <row r="1100" spans="1:32" x14ac:dyDescent="0.25">
      <c r="A1100" s="25" t="s">
        <v>1169</v>
      </c>
      <c r="B1100" s="25">
        <v>0</v>
      </c>
      <c r="C1100" s="25">
        <v>0</v>
      </c>
      <c r="D1100" s="25">
        <v>0</v>
      </c>
      <c r="E1100" s="25">
        <v>0</v>
      </c>
      <c r="F1100" s="25">
        <v>0</v>
      </c>
      <c r="G1100" s="25">
        <v>0</v>
      </c>
      <c r="H1100" s="25">
        <v>0</v>
      </c>
      <c r="I1100" s="25">
        <v>0</v>
      </c>
      <c r="J1100" s="25">
        <v>0</v>
      </c>
      <c r="K1100" s="25">
        <v>0</v>
      </c>
      <c r="L1100" s="25">
        <v>0</v>
      </c>
      <c r="M1100" s="25">
        <v>0</v>
      </c>
      <c r="N1100" s="25">
        <v>0</v>
      </c>
      <c r="O1100" s="25">
        <v>0</v>
      </c>
      <c r="P1100" s="25">
        <v>0</v>
      </c>
      <c r="Q1100" s="25">
        <v>0</v>
      </c>
      <c r="R1100" s="25">
        <v>0</v>
      </c>
      <c r="S1100" s="25">
        <v>0</v>
      </c>
      <c r="T1100" s="25">
        <v>0</v>
      </c>
      <c r="U1100" s="25">
        <v>0</v>
      </c>
      <c r="V1100" s="25">
        <v>0</v>
      </c>
      <c r="W1100" s="25">
        <v>0</v>
      </c>
      <c r="X1100" s="25">
        <v>0</v>
      </c>
      <c r="Y1100" s="25">
        <v>0</v>
      </c>
      <c r="Z1100" s="25">
        <v>0</v>
      </c>
      <c r="AA1100" s="25">
        <v>0</v>
      </c>
      <c r="AB1100" s="25">
        <v>0</v>
      </c>
      <c r="AC1100" s="25">
        <v>0</v>
      </c>
      <c r="AD1100" s="25">
        <v>0</v>
      </c>
      <c r="AE1100" s="25">
        <v>0</v>
      </c>
      <c r="AF1100" s="25">
        <v>0</v>
      </c>
    </row>
    <row r="1101" spans="1:32" x14ac:dyDescent="0.25">
      <c r="A1101" s="25" t="s">
        <v>1170</v>
      </c>
      <c r="B1101" s="25">
        <v>0</v>
      </c>
      <c r="C1101" s="25">
        <v>0</v>
      </c>
      <c r="D1101" s="25">
        <v>0</v>
      </c>
      <c r="E1101" s="25">
        <v>0</v>
      </c>
      <c r="F1101" s="25">
        <v>0</v>
      </c>
      <c r="G1101" s="25">
        <v>0</v>
      </c>
      <c r="H1101" s="25">
        <v>0</v>
      </c>
      <c r="I1101" s="25">
        <v>0</v>
      </c>
      <c r="J1101" s="25">
        <v>0</v>
      </c>
      <c r="K1101" s="25">
        <v>0</v>
      </c>
      <c r="L1101" s="25">
        <v>0</v>
      </c>
      <c r="M1101" s="25">
        <v>0</v>
      </c>
      <c r="N1101" s="25">
        <v>0</v>
      </c>
      <c r="O1101" s="25">
        <v>0</v>
      </c>
      <c r="P1101" s="25">
        <v>0</v>
      </c>
      <c r="Q1101" s="25">
        <v>0</v>
      </c>
      <c r="R1101" s="25">
        <v>0</v>
      </c>
      <c r="S1101" s="25">
        <v>0</v>
      </c>
      <c r="T1101" s="25">
        <v>0</v>
      </c>
      <c r="U1101" s="25">
        <v>0</v>
      </c>
      <c r="V1101" s="25">
        <v>0</v>
      </c>
      <c r="W1101" s="25">
        <v>0</v>
      </c>
      <c r="X1101" s="25">
        <v>0</v>
      </c>
      <c r="Y1101" s="25">
        <v>0</v>
      </c>
      <c r="Z1101" s="25">
        <v>0</v>
      </c>
      <c r="AA1101" s="25">
        <v>0</v>
      </c>
      <c r="AB1101" s="25">
        <v>0</v>
      </c>
      <c r="AC1101" s="25">
        <v>0</v>
      </c>
      <c r="AD1101" s="25">
        <v>0</v>
      </c>
      <c r="AE1101" s="25">
        <v>0</v>
      </c>
      <c r="AF1101" s="25">
        <v>0</v>
      </c>
    </row>
    <row r="1102" spans="1:32" x14ac:dyDescent="0.25">
      <c r="A1102" s="25" t="s">
        <v>1171</v>
      </c>
      <c r="B1102" s="25">
        <v>0</v>
      </c>
      <c r="C1102" s="25">
        <v>0</v>
      </c>
      <c r="D1102" s="25">
        <v>0</v>
      </c>
      <c r="E1102" s="25">
        <v>0</v>
      </c>
      <c r="F1102" s="25">
        <v>0</v>
      </c>
      <c r="G1102" s="25">
        <v>0</v>
      </c>
      <c r="H1102" s="25">
        <v>0</v>
      </c>
      <c r="I1102" s="25">
        <v>0</v>
      </c>
      <c r="J1102" s="25">
        <v>0</v>
      </c>
      <c r="K1102" s="25">
        <v>0</v>
      </c>
      <c r="L1102" s="25">
        <v>0</v>
      </c>
      <c r="M1102" s="25">
        <v>0</v>
      </c>
      <c r="N1102" s="25">
        <v>0</v>
      </c>
      <c r="O1102" s="25">
        <v>0</v>
      </c>
      <c r="P1102" s="25">
        <v>0</v>
      </c>
      <c r="Q1102" s="25">
        <v>0</v>
      </c>
      <c r="R1102" s="25">
        <v>0</v>
      </c>
      <c r="S1102" s="25">
        <v>0</v>
      </c>
      <c r="T1102" s="25">
        <v>0</v>
      </c>
      <c r="U1102" s="25">
        <v>0</v>
      </c>
      <c r="V1102" s="25">
        <v>0</v>
      </c>
      <c r="W1102" s="25">
        <v>0</v>
      </c>
      <c r="X1102" s="25">
        <v>0</v>
      </c>
      <c r="Y1102" s="25">
        <v>0</v>
      </c>
      <c r="Z1102" s="25">
        <v>0</v>
      </c>
      <c r="AA1102" s="25">
        <v>0</v>
      </c>
      <c r="AB1102" s="25">
        <v>0</v>
      </c>
      <c r="AC1102" s="25">
        <v>0</v>
      </c>
      <c r="AD1102" s="25">
        <v>0</v>
      </c>
      <c r="AE1102" s="25">
        <v>0</v>
      </c>
      <c r="AF1102" s="25">
        <v>0</v>
      </c>
    </row>
    <row r="1103" spans="1:32" x14ac:dyDescent="0.25">
      <c r="A1103" s="25" t="s">
        <v>1172</v>
      </c>
      <c r="B1103" s="25">
        <v>0</v>
      </c>
      <c r="C1103" s="25">
        <v>0</v>
      </c>
      <c r="D1103" s="25">
        <v>0</v>
      </c>
      <c r="E1103" s="25">
        <v>0</v>
      </c>
      <c r="F1103" s="25">
        <v>0</v>
      </c>
      <c r="G1103" s="25">
        <v>0</v>
      </c>
      <c r="H1103" s="25">
        <v>0</v>
      </c>
      <c r="I1103" s="25">
        <v>0</v>
      </c>
      <c r="J1103" s="25">
        <v>0</v>
      </c>
      <c r="K1103" s="25">
        <v>0</v>
      </c>
      <c r="L1103" s="25">
        <v>0</v>
      </c>
      <c r="M1103" s="25">
        <v>0</v>
      </c>
      <c r="N1103" s="25">
        <v>0</v>
      </c>
      <c r="O1103" s="25">
        <v>0</v>
      </c>
      <c r="P1103" s="25">
        <v>0</v>
      </c>
      <c r="Q1103" s="25">
        <v>0</v>
      </c>
      <c r="R1103" s="25">
        <v>0</v>
      </c>
      <c r="S1103" s="25">
        <v>0</v>
      </c>
      <c r="T1103" s="25">
        <v>0</v>
      </c>
      <c r="U1103" s="25">
        <v>0</v>
      </c>
      <c r="V1103" s="25">
        <v>0</v>
      </c>
      <c r="W1103" s="25">
        <v>0</v>
      </c>
      <c r="X1103" s="25">
        <v>0</v>
      </c>
      <c r="Y1103" s="25">
        <v>0</v>
      </c>
      <c r="Z1103" s="25">
        <v>0</v>
      </c>
      <c r="AA1103" s="25">
        <v>0</v>
      </c>
      <c r="AB1103" s="25">
        <v>0</v>
      </c>
      <c r="AC1103" s="25">
        <v>0</v>
      </c>
      <c r="AD1103" s="25">
        <v>0</v>
      </c>
      <c r="AE1103" s="25">
        <v>0</v>
      </c>
      <c r="AF1103" s="25">
        <v>0</v>
      </c>
    </row>
    <row r="1104" spans="1:32" x14ac:dyDescent="0.25">
      <c r="A1104" s="25" t="s">
        <v>1173</v>
      </c>
      <c r="B1104" s="25">
        <v>0</v>
      </c>
      <c r="C1104" s="25">
        <v>0</v>
      </c>
      <c r="D1104" s="25">
        <v>0</v>
      </c>
      <c r="E1104" s="25">
        <v>0</v>
      </c>
      <c r="F1104" s="25">
        <v>0</v>
      </c>
      <c r="G1104" s="25">
        <v>0</v>
      </c>
      <c r="H1104" s="25">
        <v>0</v>
      </c>
      <c r="I1104" s="25">
        <v>0</v>
      </c>
      <c r="J1104" s="25">
        <v>0</v>
      </c>
      <c r="K1104" s="25">
        <v>0</v>
      </c>
      <c r="L1104" s="25">
        <v>0</v>
      </c>
      <c r="M1104" s="25">
        <v>0</v>
      </c>
      <c r="N1104" s="25">
        <v>0</v>
      </c>
      <c r="O1104" s="25">
        <v>0</v>
      </c>
      <c r="P1104" s="25">
        <v>0</v>
      </c>
      <c r="Q1104" s="25">
        <v>0</v>
      </c>
      <c r="R1104" s="25">
        <v>0</v>
      </c>
      <c r="S1104" s="25">
        <v>0</v>
      </c>
      <c r="T1104" s="25">
        <v>0</v>
      </c>
      <c r="U1104" s="25">
        <v>0</v>
      </c>
      <c r="V1104" s="25">
        <v>0</v>
      </c>
      <c r="W1104" s="25">
        <v>0</v>
      </c>
      <c r="X1104" s="25">
        <v>0</v>
      </c>
      <c r="Y1104" s="25">
        <v>0</v>
      </c>
      <c r="Z1104" s="25">
        <v>0</v>
      </c>
      <c r="AA1104" s="25">
        <v>0</v>
      </c>
      <c r="AB1104" s="25">
        <v>0</v>
      </c>
      <c r="AC1104" s="25">
        <v>0</v>
      </c>
      <c r="AD1104" s="25">
        <v>0</v>
      </c>
      <c r="AE1104" s="25">
        <v>0</v>
      </c>
      <c r="AF1104" s="25">
        <v>0</v>
      </c>
    </row>
    <row r="1105" spans="1:32" x14ac:dyDescent="0.25">
      <c r="A1105" s="25" t="s">
        <v>1174</v>
      </c>
      <c r="B1105" s="25">
        <v>0</v>
      </c>
      <c r="C1105" s="25">
        <v>0</v>
      </c>
      <c r="D1105" s="25">
        <v>0</v>
      </c>
      <c r="E1105" s="25">
        <v>0</v>
      </c>
      <c r="F1105" s="25">
        <v>0</v>
      </c>
      <c r="G1105" s="25">
        <v>0</v>
      </c>
      <c r="H1105" s="25">
        <v>0</v>
      </c>
      <c r="I1105" s="25">
        <v>0</v>
      </c>
      <c r="J1105" s="25">
        <v>0</v>
      </c>
      <c r="K1105" s="25">
        <v>0</v>
      </c>
      <c r="L1105" s="25">
        <v>0</v>
      </c>
      <c r="M1105" s="25">
        <v>0</v>
      </c>
      <c r="N1105" s="25">
        <v>0</v>
      </c>
      <c r="O1105" s="25">
        <v>0</v>
      </c>
      <c r="P1105" s="25">
        <v>0</v>
      </c>
      <c r="Q1105" s="25">
        <v>0</v>
      </c>
      <c r="R1105" s="25">
        <v>0</v>
      </c>
      <c r="S1105" s="25">
        <v>0</v>
      </c>
      <c r="T1105" s="25">
        <v>0</v>
      </c>
      <c r="U1105" s="25">
        <v>0</v>
      </c>
      <c r="V1105" s="25">
        <v>0</v>
      </c>
      <c r="W1105" s="25">
        <v>0</v>
      </c>
      <c r="X1105" s="25">
        <v>0</v>
      </c>
      <c r="Y1105" s="25">
        <v>0</v>
      </c>
      <c r="Z1105" s="25">
        <v>0</v>
      </c>
      <c r="AA1105" s="25">
        <v>0</v>
      </c>
      <c r="AB1105" s="25">
        <v>0</v>
      </c>
      <c r="AC1105" s="25">
        <v>0</v>
      </c>
      <c r="AD1105" s="25">
        <v>0</v>
      </c>
      <c r="AE1105" s="25">
        <v>0</v>
      </c>
      <c r="AF1105" s="25">
        <v>0</v>
      </c>
    </row>
    <row r="1106" spans="1:32" x14ac:dyDescent="0.25">
      <c r="A1106" s="25" t="s">
        <v>1175</v>
      </c>
      <c r="B1106" s="25">
        <v>0</v>
      </c>
      <c r="C1106" s="25">
        <v>0</v>
      </c>
      <c r="D1106" s="25">
        <v>0</v>
      </c>
      <c r="E1106" s="25">
        <v>0</v>
      </c>
      <c r="F1106" s="25">
        <v>0</v>
      </c>
      <c r="G1106" s="25">
        <v>0</v>
      </c>
      <c r="H1106" s="25">
        <v>0</v>
      </c>
      <c r="I1106" s="25">
        <v>0</v>
      </c>
      <c r="J1106" s="25">
        <v>0</v>
      </c>
      <c r="K1106" s="25">
        <v>0</v>
      </c>
      <c r="L1106" s="25">
        <v>0</v>
      </c>
      <c r="M1106" s="25">
        <v>0</v>
      </c>
      <c r="N1106" s="25">
        <v>0</v>
      </c>
      <c r="O1106" s="25">
        <v>0</v>
      </c>
      <c r="P1106" s="25">
        <v>0</v>
      </c>
      <c r="Q1106" s="25">
        <v>0</v>
      </c>
      <c r="R1106" s="25">
        <v>0</v>
      </c>
      <c r="S1106" s="25">
        <v>0</v>
      </c>
      <c r="T1106" s="25">
        <v>0</v>
      </c>
      <c r="U1106" s="25">
        <v>0</v>
      </c>
      <c r="V1106" s="25">
        <v>0</v>
      </c>
      <c r="W1106" s="25">
        <v>0</v>
      </c>
      <c r="X1106" s="25">
        <v>0</v>
      </c>
      <c r="Y1106" s="25">
        <v>0</v>
      </c>
      <c r="Z1106" s="25">
        <v>0</v>
      </c>
      <c r="AA1106" s="25">
        <v>0</v>
      </c>
      <c r="AB1106" s="25">
        <v>0</v>
      </c>
      <c r="AC1106" s="25">
        <v>0</v>
      </c>
      <c r="AD1106" s="25">
        <v>0</v>
      </c>
      <c r="AE1106" s="25">
        <v>0</v>
      </c>
      <c r="AF1106" s="25">
        <v>0</v>
      </c>
    </row>
    <row r="1107" spans="1:32" x14ac:dyDescent="0.25">
      <c r="A1107" s="25" t="s">
        <v>1176</v>
      </c>
      <c r="B1107" s="25">
        <v>0</v>
      </c>
      <c r="C1107" s="25">
        <v>0</v>
      </c>
      <c r="D1107" s="25">
        <v>0</v>
      </c>
      <c r="E1107" s="25">
        <v>0</v>
      </c>
      <c r="F1107" s="25">
        <v>0</v>
      </c>
      <c r="G1107" s="25">
        <v>0</v>
      </c>
      <c r="H1107" s="25">
        <v>0</v>
      </c>
      <c r="I1107" s="25">
        <v>0</v>
      </c>
      <c r="J1107" s="25">
        <v>0</v>
      </c>
      <c r="K1107" s="25">
        <v>0</v>
      </c>
      <c r="L1107" s="25">
        <v>0</v>
      </c>
      <c r="M1107" s="25">
        <v>0</v>
      </c>
      <c r="N1107" s="25">
        <v>0</v>
      </c>
      <c r="O1107" s="25">
        <v>0</v>
      </c>
      <c r="P1107" s="25">
        <v>0</v>
      </c>
      <c r="Q1107" s="25">
        <v>0</v>
      </c>
      <c r="R1107" s="25">
        <v>0</v>
      </c>
      <c r="S1107" s="25">
        <v>0</v>
      </c>
      <c r="T1107" s="25">
        <v>0</v>
      </c>
      <c r="U1107" s="25">
        <v>0</v>
      </c>
      <c r="V1107" s="25">
        <v>0</v>
      </c>
      <c r="W1107" s="25">
        <v>0</v>
      </c>
      <c r="X1107" s="25">
        <v>0</v>
      </c>
      <c r="Y1107" s="25">
        <v>0</v>
      </c>
      <c r="Z1107" s="25">
        <v>0</v>
      </c>
      <c r="AA1107" s="25">
        <v>0</v>
      </c>
      <c r="AB1107" s="25">
        <v>0</v>
      </c>
      <c r="AC1107" s="25">
        <v>0</v>
      </c>
      <c r="AD1107" s="25">
        <v>0</v>
      </c>
      <c r="AE1107" s="25">
        <v>0</v>
      </c>
      <c r="AF1107" s="25">
        <v>0</v>
      </c>
    </row>
    <row r="1108" spans="1:32" x14ac:dyDescent="0.25">
      <c r="A1108" s="25" t="s">
        <v>1177</v>
      </c>
      <c r="B1108" s="25">
        <v>0</v>
      </c>
      <c r="C1108" s="25">
        <v>0</v>
      </c>
      <c r="D1108" s="25">
        <v>0</v>
      </c>
      <c r="E1108" s="25">
        <v>0</v>
      </c>
      <c r="F1108" s="25">
        <v>0</v>
      </c>
      <c r="G1108" s="25">
        <v>0</v>
      </c>
      <c r="H1108" s="25">
        <v>0</v>
      </c>
      <c r="I1108" s="25">
        <v>0</v>
      </c>
      <c r="J1108" s="25">
        <v>0</v>
      </c>
      <c r="K1108" s="25">
        <v>0</v>
      </c>
      <c r="L1108" s="25">
        <v>0</v>
      </c>
      <c r="M1108" s="25">
        <v>0</v>
      </c>
      <c r="N1108" s="25">
        <v>0</v>
      </c>
      <c r="O1108" s="25">
        <v>0</v>
      </c>
      <c r="P1108" s="25">
        <v>0</v>
      </c>
      <c r="Q1108" s="25">
        <v>0</v>
      </c>
      <c r="R1108" s="25">
        <v>0</v>
      </c>
      <c r="S1108" s="25">
        <v>0</v>
      </c>
      <c r="T1108" s="25">
        <v>0</v>
      </c>
      <c r="U1108" s="25">
        <v>0</v>
      </c>
      <c r="V1108" s="25">
        <v>0</v>
      </c>
      <c r="W1108" s="25">
        <v>0</v>
      </c>
      <c r="X1108" s="25">
        <v>0</v>
      </c>
      <c r="Y1108" s="25">
        <v>0</v>
      </c>
      <c r="Z1108" s="25">
        <v>0</v>
      </c>
      <c r="AA1108" s="25">
        <v>0</v>
      </c>
      <c r="AB1108" s="25">
        <v>0</v>
      </c>
      <c r="AC1108" s="25">
        <v>0</v>
      </c>
      <c r="AD1108" s="25">
        <v>0</v>
      </c>
      <c r="AE1108" s="25">
        <v>0</v>
      </c>
      <c r="AF1108" s="25">
        <v>0</v>
      </c>
    </row>
    <row r="1109" spans="1:32" x14ac:dyDescent="0.25">
      <c r="A1109" s="25" t="s">
        <v>1178</v>
      </c>
      <c r="B1109" s="25">
        <v>0</v>
      </c>
      <c r="C1109" s="25">
        <v>0</v>
      </c>
      <c r="D1109" s="25">
        <v>0</v>
      </c>
      <c r="E1109" s="25">
        <v>0</v>
      </c>
      <c r="F1109" s="25">
        <v>0</v>
      </c>
      <c r="G1109" s="25">
        <v>0</v>
      </c>
      <c r="H1109" s="25">
        <v>0</v>
      </c>
      <c r="I1109" s="25">
        <v>0</v>
      </c>
      <c r="J1109" s="25">
        <v>0</v>
      </c>
      <c r="K1109" s="25">
        <v>0</v>
      </c>
      <c r="L1109" s="25">
        <v>0</v>
      </c>
      <c r="M1109" s="25">
        <v>0</v>
      </c>
      <c r="N1109" s="25">
        <v>0</v>
      </c>
      <c r="O1109" s="25">
        <v>0</v>
      </c>
      <c r="P1109" s="25">
        <v>0</v>
      </c>
      <c r="Q1109" s="25">
        <v>0</v>
      </c>
      <c r="R1109" s="25">
        <v>0</v>
      </c>
      <c r="S1109" s="25">
        <v>0</v>
      </c>
      <c r="T1109" s="25">
        <v>0</v>
      </c>
      <c r="U1109" s="25">
        <v>0</v>
      </c>
      <c r="V1109" s="25">
        <v>0</v>
      </c>
      <c r="W1109" s="25">
        <v>0</v>
      </c>
      <c r="X1109" s="25">
        <v>0</v>
      </c>
      <c r="Y1109" s="25">
        <v>0</v>
      </c>
      <c r="Z1109" s="25">
        <v>0</v>
      </c>
      <c r="AA1109" s="25">
        <v>0</v>
      </c>
      <c r="AB1109" s="25">
        <v>0</v>
      </c>
      <c r="AC1109" s="25">
        <v>0</v>
      </c>
      <c r="AD1109" s="25">
        <v>0</v>
      </c>
      <c r="AE1109" s="25">
        <v>0</v>
      </c>
      <c r="AF1109" s="25">
        <v>0</v>
      </c>
    </row>
    <row r="1110" spans="1:32" x14ac:dyDescent="0.25">
      <c r="A1110" s="25" t="s">
        <v>1179</v>
      </c>
      <c r="B1110" s="25">
        <v>0</v>
      </c>
      <c r="C1110" s="25">
        <v>0</v>
      </c>
      <c r="D1110" s="25">
        <v>0</v>
      </c>
      <c r="E1110" s="25">
        <v>0</v>
      </c>
      <c r="F1110" s="25">
        <v>0</v>
      </c>
      <c r="G1110" s="25">
        <v>0</v>
      </c>
      <c r="H1110" s="25">
        <v>0</v>
      </c>
      <c r="I1110" s="25">
        <v>0</v>
      </c>
      <c r="J1110" s="25">
        <v>0</v>
      </c>
      <c r="K1110" s="25">
        <v>0</v>
      </c>
      <c r="L1110" s="25">
        <v>0</v>
      </c>
      <c r="M1110" s="25">
        <v>0</v>
      </c>
      <c r="N1110" s="25">
        <v>0</v>
      </c>
      <c r="O1110" s="25">
        <v>0</v>
      </c>
      <c r="P1110" s="25">
        <v>0</v>
      </c>
      <c r="Q1110" s="25">
        <v>0</v>
      </c>
      <c r="R1110" s="25">
        <v>0</v>
      </c>
      <c r="S1110" s="25">
        <v>0</v>
      </c>
      <c r="T1110" s="25">
        <v>0</v>
      </c>
      <c r="U1110" s="25">
        <v>0</v>
      </c>
      <c r="V1110" s="25">
        <v>0</v>
      </c>
      <c r="W1110" s="25">
        <v>0</v>
      </c>
      <c r="X1110" s="25">
        <v>0</v>
      </c>
      <c r="Y1110" s="25">
        <v>0</v>
      </c>
      <c r="Z1110" s="25">
        <v>0</v>
      </c>
      <c r="AA1110" s="25">
        <v>0</v>
      </c>
      <c r="AB1110" s="25">
        <v>0</v>
      </c>
      <c r="AC1110" s="25">
        <v>0</v>
      </c>
      <c r="AD1110" s="25">
        <v>0</v>
      </c>
      <c r="AE1110" s="25">
        <v>0</v>
      </c>
      <c r="AF1110" s="25">
        <v>0</v>
      </c>
    </row>
    <row r="1111" spans="1:32" x14ac:dyDescent="0.25">
      <c r="A1111" s="25" t="s">
        <v>1180</v>
      </c>
      <c r="B1111" s="25">
        <v>0</v>
      </c>
      <c r="C1111" s="25">
        <v>0</v>
      </c>
      <c r="D1111" s="25">
        <v>0</v>
      </c>
      <c r="E1111" s="25">
        <v>0</v>
      </c>
      <c r="F1111" s="25">
        <v>0</v>
      </c>
      <c r="G1111" s="25">
        <v>0</v>
      </c>
      <c r="H1111" s="25">
        <v>0</v>
      </c>
      <c r="I1111" s="25">
        <v>0</v>
      </c>
      <c r="J1111" s="25">
        <v>0</v>
      </c>
      <c r="K1111" s="25">
        <v>0</v>
      </c>
      <c r="L1111" s="25">
        <v>0</v>
      </c>
      <c r="M1111" s="25">
        <v>0</v>
      </c>
      <c r="N1111" s="25">
        <v>0</v>
      </c>
      <c r="O1111" s="25">
        <v>0</v>
      </c>
      <c r="P1111" s="25">
        <v>0</v>
      </c>
      <c r="Q1111" s="25">
        <v>0</v>
      </c>
      <c r="R1111" s="25">
        <v>0</v>
      </c>
      <c r="S1111" s="25">
        <v>0</v>
      </c>
      <c r="T1111" s="25">
        <v>0</v>
      </c>
      <c r="U1111" s="25">
        <v>0</v>
      </c>
      <c r="V1111" s="25">
        <v>0</v>
      </c>
      <c r="W1111" s="25">
        <v>0</v>
      </c>
      <c r="X1111" s="25">
        <v>0</v>
      </c>
      <c r="Y1111" s="25">
        <v>0</v>
      </c>
      <c r="Z1111" s="25">
        <v>0</v>
      </c>
      <c r="AA1111" s="25">
        <v>0</v>
      </c>
      <c r="AB1111" s="25">
        <v>0</v>
      </c>
      <c r="AC1111" s="25">
        <v>0</v>
      </c>
      <c r="AD1111" s="25">
        <v>0</v>
      </c>
      <c r="AE1111" s="25">
        <v>0</v>
      </c>
      <c r="AF1111" s="25">
        <v>0</v>
      </c>
    </row>
    <row r="1112" spans="1:32" x14ac:dyDescent="0.25">
      <c r="A1112" s="25" t="s">
        <v>1181</v>
      </c>
      <c r="B1112" s="25">
        <v>0</v>
      </c>
      <c r="C1112" s="25">
        <v>0</v>
      </c>
      <c r="D1112" s="25">
        <v>0</v>
      </c>
      <c r="E1112" s="25">
        <v>0</v>
      </c>
      <c r="F1112" s="25">
        <v>0</v>
      </c>
      <c r="G1112" s="25">
        <v>0</v>
      </c>
      <c r="H1112" s="25">
        <v>0</v>
      </c>
      <c r="I1112" s="25">
        <v>0</v>
      </c>
      <c r="J1112" s="25">
        <v>0</v>
      </c>
      <c r="K1112" s="25">
        <v>0</v>
      </c>
      <c r="L1112" s="25">
        <v>0</v>
      </c>
      <c r="M1112" s="25">
        <v>0</v>
      </c>
      <c r="N1112" s="25">
        <v>0</v>
      </c>
      <c r="O1112" s="25">
        <v>0</v>
      </c>
      <c r="P1112" s="25">
        <v>0</v>
      </c>
      <c r="Q1112" s="25">
        <v>0</v>
      </c>
      <c r="R1112" s="25">
        <v>0</v>
      </c>
      <c r="S1112" s="25">
        <v>0</v>
      </c>
      <c r="T1112" s="25">
        <v>0</v>
      </c>
      <c r="U1112" s="25">
        <v>0</v>
      </c>
      <c r="V1112" s="25">
        <v>0</v>
      </c>
      <c r="W1112" s="25">
        <v>0</v>
      </c>
      <c r="X1112" s="25">
        <v>0</v>
      </c>
      <c r="Y1112" s="25">
        <v>0</v>
      </c>
      <c r="Z1112" s="25">
        <v>0</v>
      </c>
      <c r="AA1112" s="25">
        <v>0</v>
      </c>
      <c r="AB1112" s="25">
        <v>0</v>
      </c>
      <c r="AC1112" s="25">
        <v>0</v>
      </c>
      <c r="AD1112" s="25">
        <v>0</v>
      </c>
      <c r="AE1112" s="25">
        <v>0</v>
      </c>
      <c r="AF1112" s="25">
        <v>0</v>
      </c>
    </row>
    <row r="1113" spans="1:32" x14ac:dyDescent="0.25">
      <c r="A1113" s="25" t="s">
        <v>1182</v>
      </c>
      <c r="B1113" s="25">
        <v>0</v>
      </c>
      <c r="C1113" s="25">
        <v>0</v>
      </c>
      <c r="D1113" s="25">
        <v>0</v>
      </c>
      <c r="E1113" s="25">
        <v>0</v>
      </c>
      <c r="F1113" s="25">
        <v>0</v>
      </c>
      <c r="G1113" s="25">
        <v>0</v>
      </c>
      <c r="H1113" s="25">
        <v>0</v>
      </c>
      <c r="I1113" s="25">
        <v>0</v>
      </c>
      <c r="J1113" s="25">
        <v>0</v>
      </c>
      <c r="K1113" s="25">
        <v>0</v>
      </c>
      <c r="L1113" s="25">
        <v>0</v>
      </c>
      <c r="M1113" s="25">
        <v>0</v>
      </c>
      <c r="N1113" s="25">
        <v>0</v>
      </c>
      <c r="O1113" s="25">
        <v>0</v>
      </c>
      <c r="P1113" s="25">
        <v>0</v>
      </c>
      <c r="Q1113" s="25">
        <v>0</v>
      </c>
      <c r="R1113" s="25">
        <v>0</v>
      </c>
      <c r="S1113" s="25">
        <v>0</v>
      </c>
      <c r="T1113" s="25">
        <v>0</v>
      </c>
      <c r="U1113" s="25">
        <v>0</v>
      </c>
      <c r="V1113" s="25">
        <v>0</v>
      </c>
      <c r="W1113" s="25">
        <v>0</v>
      </c>
      <c r="X1113" s="25">
        <v>0</v>
      </c>
      <c r="Y1113" s="25">
        <v>0</v>
      </c>
      <c r="Z1113" s="25">
        <v>0</v>
      </c>
      <c r="AA1113" s="25">
        <v>0</v>
      </c>
      <c r="AB1113" s="25">
        <v>0</v>
      </c>
      <c r="AC1113" s="25">
        <v>0</v>
      </c>
      <c r="AD1113" s="25">
        <v>0</v>
      </c>
      <c r="AE1113" s="25">
        <v>0</v>
      </c>
      <c r="AF1113" s="25">
        <v>0</v>
      </c>
    </row>
    <row r="1114" spans="1:32" x14ac:dyDescent="0.25">
      <c r="A1114" s="25" t="s">
        <v>1183</v>
      </c>
      <c r="B1114" s="25">
        <v>0</v>
      </c>
      <c r="C1114" s="25">
        <v>0</v>
      </c>
      <c r="D1114" s="25">
        <v>0</v>
      </c>
      <c r="E1114" s="25">
        <v>0</v>
      </c>
      <c r="F1114" s="25">
        <v>0</v>
      </c>
      <c r="G1114" s="25">
        <v>0</v>
      </c>
      <c r="H1114" s="25">
        <v>0</v>
      </c>
      <c r="I1114" s="25">
        <v>0</v>
      </c>
      <c r="J1114" s="25">
        <v>0</v>
      </c>
      <c r="K1114" s="25">
        <v>0</v>
      </c>
      <c r="L1114" s="25">
        <v>0</v>
      </c>
      <c r="M1114" s="25">
        <v>0</v>
      </c>
      <c r="N1114" s="25">
        <v>0</v>
      </c>
      <c r="O1114" s="25">
        <v>0</v>
      </c>
      <c r="P1114" s="25">
        <v>0</v>
      </c>
      <c r="Q1114" s="25">
        <v>0</v>
      </c>
      <c r="R1114" s="25">
        <v>0</v>
      </c>
      <c r="S1114" s="25">
        <v>0</v>
      </c>
      <c r="T1114" s="25">
        <v>0</v>
      </c>
      <c r="U1114" s="25">
        <v>0</v>
      </c>
      <c r="V1114" s="25">
        <v>0</v>
      </c>
      <c r="W1114" s="25">
        <v>0</v>
      </c>
      <c r="X1114" s="25">
        <v>0</v>
      </c>
      <c r="Y1114" s="25">
        <v>0</v>
      </c>
      <c r="Z1114" s="25">
        <v>0</v>
      </c>
      <c r="AA1114" s="25">
        <v>0</v>
      </c>
      <c r="AB1114" s="25">
        <v>0</v>
      </c>
      <c r="AC1114" s="25">
        <v>0</v>
      </c>
      <c r="AD1114" s="25">
        <v>0</v>
      </c>
      <c r="AE1114" s="25">
        <v>0</v>
      </c>
      <c r="AF1114" s="25">
        <v>0</v>
      </c>
    </row>
    <row r="1115" spans="1:32" x14ac:dyDescent="0.25">
      <c r="A1115" s="25" t="s">
        <v>1184</v>
      </c>
      <c r="B1115" s="25">
        <v>0</v>
      </c>
      <c r="C1115" s="25">
        <v>0</v>
      </c>
      <c r="D1115" s="25">
        <v>0</v>
      </c>
      <c r="E1115" s="25">
        <v>0</v>
      </c>
      <c r="F1115" s="25">
        <v>0</v>
      </c>
      <c r="G1115" s="25">
        <v>0</v>
      </c>
      <c r="H1115" s="25">
        <v>0</v>
      </c>
      <c r="I1115" s="25">
        <v>0</v>
      </c>
      <c r="J1115" s="25">
        <v>0</v>
      </c>
      <c r="K1115" s="25">
        <v>0</v>
      </c>
      <c r="L1115" s="25">
        <v>0</v>
      </c>
      <c r="M1115" s="25">
        <v>0</v>
      </c>
      <c r="N1115" s="25">
        <v>0</v>
      </c>
      <c r="O1115" s="25">
        <v>0</v>
      </c>
      <c r="P1115" s="25">
        <v>0</v>
      </c>
      <c r="Q1115" s="25">
        <v>0</v>
      </c>
      <c r="R1115" s="25">
        <v>0</v>
      </c>
      <c r="S1115" s="25">
        <v>0</v>
      </c>
      <c r="T1115" s="25">
        <v>0</v>
      </c>
      <c r="U1115" s="25">
        <v>0</v>
      </c>
      <c r="V1115" s="25">
        <v>0</v>
      </c>
      <c r="W1115" s="25">
        <v>0</v>
      </c>
      <c r="X1115" s="25">
        <v>0</v>
      </c>
      <c r="Y1115" s="25">
        <v>0</v>
      </c>
      <c r="Z1115" s="25">
        <v>0</v>
      </c>
      <c r="AA1115" s="25">
        <v>0</v>
      </c>
      <c r="AB1115" s="25">
        <v>0</v>
      </c>
      <c r="AC1115" s="25">
        <v>0</v>
      </c>
      <c r="AD1115" s="25">
        <v>0</v>
      </c>
      <c r="AE1115" s="25">
        <v>0</v>
      </c>
      <c r="AF1115" s="25">
        <v>0</v>
      </c>
    </row>
    <row r="1116" spans="1:32" x14ac:dyDescent="0.25">
      <c r="A1116" s="25" t="s">
        <v>1185</v>
      </c>
      <c r="B1116" s="25">
        <v>0</v>
      </c>
      <c r="C1116" s="25">
        <v>0</v>
      </c>
      <c r="D1116" s="25">
        <v>0</v>
      </c>
      <c r="E1116" s="25">
        <v>0</v>
      </c>
      <c r="F1116" s="25">
        <v>0</v>
      </c>
      <c r="G1116" s="25">
        <v>0</v>
      </c>
      <c r="H1116" s="25">
        <v>0</v>
      </c>
      <c r="I1116" s="25">
        <v>0</v>
      </c>
      <c r="J1116" s="25">
        <v>0</v>
      </c>
      <c r="K1116" s="25">
        <v>0</v>
      </c>
      <c r="L1116" s="25">
        <v>0</v>
      </c>
      <c r="M1116" s="25">
        <v>0</v>
      </c>
      <c r="N1116" s="25">
        <v>0</v>
      </c>
      <c r="O1116" s="25">
        <v>0</v>
      </c>
      <c r="P1116" s="25">
        <v>0</v>
      </c>
      <c r="Q1116" s="25">
        <v>0</v>
      </c>
      <c r="R1116" s="25">
        <v>0</v>
      </c>
      <c r="S1116" s="25">
        <v>0</v>
      </c>
      <c r="T1116" s="25">
        <v>0</v>
      </c>
      <c r="U1116" s="25">
        <v>0</v>
      </c>
      <c r="V1116" s="25">
        <v>0</v>
      </c>
      <c r="W1116" s="25">
        <v>0</v>
      </c>
      <c r="X1116" s="25">
        <v>0</v>
      </c>
      <c r="Y1116" s="25">
        <v>0</v>
      </c>
      <c r="Z1116" s="25">
        <v>0</v>
      </c>
      <c r="AA1116" s="25">
        <v>0</v>
      </c>
      <c r="AB1116" s="25">
        <v>0</v>
      </c>
      <c r="AC1116" s="25">
        <v>0</v>
      </c>
      <c r="AD1116" s="25">
        <v>0</v>
      </c>
      <c r="AE1116" s="25">
        <v>0</v>
      </c>
      <c r="AF1116" s="25">
        <v>0</v>
      </c>
    </row>
    <row r="1117" spans="1:32" x14ac:dyDescent="0.25">
      <c r="A1117" s="25" t="s">
        <v>1186</v>
      </c>
      <c r="B1117" s="25">
        <v>0</v>
      </c>
      <c r="C1117" s="25">
        <v>0</v>
      </c>
      <c r="D1117" s="25">
        <v>0</v>
      </c>
      <c r="E1117" s="25">
        <v>0</v>
      </c>
      <c r="F1117" s="25">
        <v>0</v>
      </c>
      <c r="G1117" s="25">
        <v>0</v>
      </c>
      <c r="H1117" s="25">
        <v>0</v>
      </c>
      <c r="I1117" s="25">
        <v>0</v>
      </c>
      <c r="J1117" s="25">
        <v>0</v>
      </c>
      <c r="K1117" s="25">
        <v>0</v>
      </c>
      <c r="L1117" s="25">
        <v>0</v>
      </c>
      <c r="M1117" s="25">
        <v>0</v>
      </c>
      <c r="N1117" s="25">
        <v>0</v>
      </c>
      <c r="O1117" s="25">
        <v>0</v>
      </c>
      <c r="P1117" s="25">
        <v>0</v>
      </c>
      <c r="Q1117" s="25">
        <v>0</v>
      </c>
      <c r="R1117" s="25">
        <v>0</v>
      </c>
      <c r="S1117" s="25">
        <v>0</v>
      </c>
      <c r="T1117" s="25">
        <v>0</v>
      </c>
      <c r="U1117" s="25">
        <v>0</v>
      </c>
      <c r="V1117" s="25">
        <v>0</v>
      </c>
      <c r="W1117" s="25">
        <v>0</v>
      </c>
      <c r="X1117" s="25">
        <v>0</v>
      </c>
      <c r="Y1117" s="25">
        <v>0</v>
      </c>
      <c r="Z1117" s="25">
        <v>0</v>
      </c>
      <c r="AA1117" s="25">
        <v>0</v>
      </c>
      <c r="AB1117" s="25">
        <v>0</v>
      </c>
      <c r="AC1117" s="25">
        <v>0</v>
      </c>
      <c r="AD1117" s="25">
        <v>0</v>
      </c>
      <c r="AE1117" s="25">
        <v>0</v>
      </c>
      <c r="AF1117" s="25">
        <v>0</v>
      </c>
    </row>
    <row r="1118" spans="1:32" x14ac:dyDescent="0.25">
      <c r="A1118" s="25" t="s">
        <v>1187</v>
      </c>
      <c r="B1118" s="25">
        <v>0</v>
      </c>
      <c r="C1118" s="25">
        <v>0</v>
      </c>
      <c r="D1118" s="25">
        <v>0</v>
      </c>
      <c r="E1118" s="25">
        <v>0</v>
      </c>
      <c r="F1118" s="25">
        <v>0</v>
      </c>
      <c r="G1118" s="25">
        <v>0</v>
      </c>
      <c r="H1118" s="25">
        <v>0</v>
      </c>
      <c r="I1118" s="25">
        <v>0</v>
      </c>
      <c r="J1118" s="25">
        <v>0</v>
      </c>
      <c r="K1118" s="25">
        <v>0</v>
      </c>
      <c r="L1118" s="25">
        <v>0</v>
      </c>
      <c r="M1118" s="25">
        <v>0</v>
      </c>
      <c r="N1118" s="25">
        <v>0</v>
      </c>
      <c r="O1118" s="25">
        <v>0</v>
      </c>
      <c r="P1118" s="25">
        <v>0</v>
      </c>
      <c r="Q1118" s="25">
        <v>0</v>
      </c>
      <c r="R1118" s="25">
        <v>0</v>
      </c>
      <c r="S1118" s="25">
        <v>0</v>
      </c>
      <c r="T1118" s="25">
        <v>0</v>
      </c>
      <c r="U1118" s="25">
        <v>0</v>
      </c>
      <c r="V1118" s="25">
        <v>0</v>
      </c>
      <c r="W1118" s="25">
        <v>0</v>
      </c>
      <c r="X1118" s="25">
        <v>0</v>
      </c>
      <c r="Y1118" s="25">
        <v>0</v>
      </c>
      <c r="Z1118" s="25">
        <v>0</v>
      </c>
      <c r="AA1118" s="25">
        <v>0</v>
      </c>
      <c r="AB1118" s="25">
        <v>0</v>
      </c>
      <c r="AC1118" s="25">
        <v>0</v>
      </c>
      <c r="AD1118" s="25">
        <v>0</v>
      </c>
      <c r="AE1118" s="25">
        <v>0</v>
      </c>
      <c r="AF1118" s="25">
        <v>0</v>
      </c>
    </row>
    <row r="1119" spans="1:32" x14ac:dyDescent="0.25">
      <c r="A1119" s="25" t="s">
        <v>1188</v>
      </c>
      <c r="B1119" s="25">
        <v>0</v>
      </c>
      <c r="C1119" s="25">
        <v>0</v>
      </c>
      <c r="D1119" s="25">
        <v>0</v>
      </c>
      <c r="E1119" s="25">
        <v>0</v>
      </c>
      <c r="F1119" s="25">
        <v>0</v>
      </c>
      <c r="G1119" s="25">
        <v>0</v>
      </c>
      <c r="H1119" s="25">
        <v>0</v>
      </c>
      <c r="I1119" s="25">
        <v>0</v>
      </c>
      <c r="J1119" s="25">
        <v>0</v>
      </c>
      <c r="K1119" s="25">
        <v>0</v>
      </c>
      <c r="L1119" s="25">
        <v>0</v>
      </c>
      <c r="M1119" s="25">
        <v>0</v>
      </c>
      <c r="N1119" s="25">
        <v>0</v>
      </c>
      <c r="O1119" s="25">
        <v>0</v>
      </c>
      <c r="P1119" s="25">
        <v>0</v>
      </c>
      <c r="Q1119" s="25">
        <v>0</v>
      </c>
      <c r="R1119" s="25">
        <v>0</v>
      </c>
      <c r="S1119" s="25">
        <v>0</v>
      </c>
      <c r="T1119" s="25">
        <v>0</v>
      </c>
      <c r="U1119" s="25">
        <v>0</v>
      </c>
      <c r="V1119" s="25">
        <v>0</v>
      </c>
      <c r="W1119" s="25">
        <v>0</v>
      </c>
      <c r="X1119" s="25">
        <v>0</v>
      </c>
      <c r="Y1119" s="25">
        <v>0</v>
      </c>
      <c r="Z1119" s="25">
        <v>0</v>
      </c>
      <c r="AA1119" s="25">
        <v>0</v>
      </c>
      <c r="AB1119" s="25">
        <v>0</v>
      </c>
      <c r="AC1119" s="25">
        <v>0</v>
      </c>
      <c r="AD1119" s="25">
        <v>0</v>
      </c>
      <c r="AE1119" s="25">
        <v>0</v>
      </c>
      <c r="AF1119" s="25">
        <v>0</v>
      </c>
    </row>
    <row r="1120" spans="1:32" x14ac:dyDescent="0.25">
      <c r="A1120" s="25" t="s">
        <v>1189</v>
      </c>
      <c r="B1120" s="25">
        <v>0</v>
      </c>
      <c r="C1120" s="25">
        <v>0</v>
      </c>
      <c r="D1120" s="25">
        <v>0</v>
      </c>
      <c r="E1120" s="25">
        <v>0</v>
      </c>
      <c r="F1120" s="25">
        <v>0</v>
      </c>
      <c r="G1120" s="25">
        <v>0</v>
      </c>
      <c r="H1120" s="25">
        <v>0</v>
      </c>
      <c r="I1120" s="25">
        <v>0</v>
      </c>
      <c r="J1120" s="25">
        <v>0</v>
      </c>
      <c r="K1120" s="25">
        <v>0</v>
      </c>
      <c r="L1120" s="25">
        <v>0</v>
      </c>
      <c r="M1120" s="25">
        <v>0</v>
      </c>
      <c r="N1120" s="25">
        <v>0</v>
      </c>
      <c r="O1120" s="25">
        <v>0</v>
      </c>
      <c r="P1120" s="25">
        <v>0</v>
      </c>
      <c r="Q1120" s="25">
        <v>0</v>
      </c>
      <c r="R1120" s="25">
        <v>0</v>
      </c>
      <c r="S1120" s="25">
        <v>0</v>
      </c>
      <c r="T1120" s="25">
        <v>0</v>
      </c>
      <c r="U1120" s="25">
        <v>0</v>
      </c>
      <c r="V1120" s="25">
        <v>0</v>
      </c>
      <c r="W1120" s="25">
        <v>0</v>
      </c>
      <c r="X1120" s="25">
        <v>0</v>
      </c>
      <c r="Y1120" s="25">
        <v>0</v>
      </c>
      <c r="Z1120" s="25">
        <v>0</v>
      </c>
      <c r="AA1120" s="25">
        <v>0</v>
      </c>
      <c r="AB1120" s="25">
        <v>0</v>
      </c>
      <c r="AC1120" s="25">
        <v>0</v>
      </c>
      <c r="AD1120" s="25">
        <v>0</v>
      </c>
      <c r="AE1120" s="25">
        <v>0</v>
      </c>
      <c r="AF1120" s="25">
        <v>0</v>
      </c>
    </row>
    <row r="1121" spans="1:32" x14ac:dyDescent="0.25">
      <c r="A1121" s="25" t="s">
        <v>1190</v>
      </c>
      <c r="B1121" s="25">
        <v>0</v>
      </c>
      <c r="C1121" s="25">
        <v>0</v>
      </c>
      <c r="D1121" s="25">
        <v>0</v>
      </c>
      <c r="E1121" s="25">
        <v>0</v>
      </c>
      <c r="F1121" s="25">
        <v>0</v>
      </c>
      <c r="G1121" s="25">
        <v>0</v>
      </c>
      <c r="H1121" s="25">
        <v>0</v>
      </c>
      <c r="I1121" s="25">
        <v>0</v>
      </c>
      <c r="J1121" s="25">
        <v>0</v>
      </c>
      <c r="K1121" s="25">
        <v>0</v>
      </c>
      <c r="L1121" s="25">
        <v>0</v>
      </c>
      <c r="M1121" s="25">
        <v>0</v>
      </c>
      <c r="N1121" s="25">
        <v>0</v>
      </c>
      <c r="O1121" s="25">
        <v>0</v>
      </c>
      <c r="P1121" s="25">
        <v>0</v>
      </c>
      <c r="Q1121" s="25">
        <v>0</v>
      </c>
      <c r="R1121" s="25">
        <v>0</v>
      </c>
      <c r="S1121" s="25">
        <v>0</v>
      </c>
      <c r="T1121" s="25">
        <v>0</v>
      </c>
      <c r="U1121" s="25">
        <v>0</v>
      </c>
      <c r="V1121" s="25">
        <v>0</v>
      </c>
      <c r="W1121" s="25">
        <v>0</v>
      </c>
      <c r="X1121" s="25">
        <v>0</v>
      </c>
      <c r="Y1121" s="25">
        <v>0</v>
      </c>
      <c r="Z1121" s="25">
        <v>0</v>
      </c>
      <c r="AA1121" s="25">
        <v>0</v>
      </c>
      <c r="AB1121" s="25">
        <v>0</v>
      </c>
      <c r="AC1121" s="25">
        <v>0</v>
      </c>
      <c r="AD1121" s="25">
        <v>0</v>
      </c>
      <c r="AE1121" s="25">
        <v>0</v>
      </c>
      <c r="AF1121" s="25">
        <v>0</v>
      </c>
    </row>
    <row r="1122" spans="1:32" x14ac:dyDescent="0.25">
      <c r="A1122" s="25" t="s">
        <v>1191</v>
      </c>
      <c r="B1122" s="25">
        <v>0</v>
      </c>
      <c r="C1122" s="25">
        <v>0</v>
      </c>
      <c r="D1122" s="25">
        <v>0</v>
      </c>
      <c r="E1122" s="25">
        <v>0</v>
      </c>
      <c r="F1122" s="25">
        <v>0</v>
      </c>
      <c r="G1122" s="25">
        <v>0</v>
      </c>
      <c r="H1122" s="25">
        <v>0</v>
      </c>
      <c r="I1122" s="25">
        <v>0</v>
      </c>
      <c r="J1122" s="25">
        <v>0</v>
      </c>
      <c r="K1122" s="25">
        <v>0</v>
      </c>
      <c r="L1122" s="25">
        <v>0</v>
      </c>
      <c r="M1122" s="25">
        <v>0</v>
      </c>
      <c r="N1122" s="25">
        <v>0</v>
      </c>
      <c r="O1122" s="25">
        <v>0</v>
      </c>
      <c r="P1122" s="25">
        <v>0</v>
      </c>
      <c r="Q1122" s="25">
        <v>0</v>
      </c>
      <c r="R1122" s="25">
        <v>0</v>
      </c>
      <c r="S1122" s="25">
        <v>0</v>
      </c>
      <c r="T1122" s="25">
        <v>0</v>
      </c>
      <c r="U1122" s="25">
        <v>0</v>
      </c>
      <c r="V1122" s="25">
        <v>0</v>
      </c>
      <c r="W1122" s="25">
        <v>0</v>
      </c>
      <c r="X1122" s="25">
        <v>0</v>
      </c>
      <c r="Y1122" s="25">
        <v>0</v>
      </c>
      <c r="Z1122" s="25">
        <v>0</v>
      </c>
      <c r="AA1122" s="25">
        <v>0</v>
      </c>
      <c r="AB1122" s="25">
        <v>0</v>
      </c>
      <c r="AC1122" s="25">
        <v>0</v>
      </c>
      <c r="AD1122" s="25">
        <v>0</v>
      </c>
      <c r="AE1122" s="25">
        <v>0</v>
      </c>
      <c r="AF1122" s="25">
        <v>0</v>
      </c>
    </row>
    <row r="1123" spans="1:32" x14ac:dyDescent="0.25">
      <c r="A1123" s="25" t="s">
        <v>1192</v>
      </c>
      <c r="B1123" s="25">
        <v>0</v>
      </c>
      <c r="C1123" s="25">
        <v>0</v>
      </c>
      <c r="D1123" s="25">
        <v>0</v>
      </c>
      <c r="E1123" s="25">
        <v>0</v>
      </c>
      <c r="F1123" s="25">
        <v>0</v>
      </c>
      <c r="G1123" s="25">
        <v>0</v>
      </c>
      <c r="H1123" s="25">
        <v>0</v>
      </c>
      <c r="I1123" s="25">
        <v>0</v>
      </c>
      <c r="J1123" s="25">
        <v>0</v>
      </c>
      <c r="K1123" s="25">
        <v>0</v>
      </c>
      <c r="L1123" s="25">
        <v>0</v>
      </c>
      <c r="M1123" s="25">
        <v>0</v>
      </c>
      <c r="N1123" s="25">
        <v>0</v>
      </c>
      <c r="O1123" s="25">
        <v>0</v>
      </c>
      <c r="P1123" s="25">
        <v>0</v>
      </c>
      <c r="Q1123" s="25">
        <v>0</v>
      </c>
      <c r="R1123" s="25">
        <v>0</v>
      </c>
      <c r="S1123" s="25">
        <v>0</v>
      </c>
      <c r="T1123" s="25">
        <v>0</v>
      </c>
      <c r="U1123" s="25">
        <v>0</v>
      </c>
      <c r="V1123" s="25">
        <v>0</v>
      </c>
      <c r="W1123" s="25">
        <v>0</v>
      </c>
      <c r="X1123" s="25">
        <v>0</v>
      </c>
      <c r="Y1123" s="25">
        <v>0</v>
      </c>
      <c r="Z1123" s="25">
        <v>0</v>
      </c>
      <c r="AA1123" s="25">
        <v>0</v>
      </c>
      <c r="AB1123" s="25">
        <v>0</v>
      </c>
      <c r="AC1123" s="25">
        <v>0</v>
      </c>
      <c r="AD1123" s="25">
        <v>0</v>
      </c>
      <c r="AE1123" s="25">
        <v>0</v>
      </c>
      <c r="AF1123" s="25">
        <v>0</v>
      </c>
    </row>
    <row r="1124" spans="1:32" x14ac:dyDescent="0.25">
      <c r="A1124" s="25" t="s">
        <v>1193</v>
      </c>
      <c r="B1124" s="25">
        <v>0</v>
      </c>
      <c r="C1124" s="25">
        <v>0</v>
      </c>
      <c r="D1124" s="25">
        <v>0</v>
      </c>
      <c r="E1124" s="25">
        <v>0</v>
      </c>
      <c r="F1124" s="25">
        <v>0</v>
      </c>
      <c r="G1124" s="25">
        <v>0</v>
      </c>
      <c r="H1124" s="25">
        <v>0</v>
      </c>
      <c r="I1124" s="25">
        <v>0</v>
      </c>
      <c r="J1124" s="25">
        <v>0</v>
      </c>
      <c r="K1124" s="25">
        <v>0</v>
      </c>
      <c r="L1124" s="25">
        <v>0</v>
      </c>
      <c r="M1124" s="25">
        <v>0</v>
      </c>
      <c r="N1124" s="25">
        <v>0</v>
      </c>
      <c r="O1124" s="25">
        <v>0</v>
      </c>
      <c r="P1124" s="25">
        <v>0</v>
      </c>
      <c r="Q1124" s="25">
        <v>0</v>
      </c>
      <c r="R1124" s="25">
        <v>0</v>
      </c>
      <c r="S1124" s="25">
        <v>0</v>
      </c>
      <c r="T1124" s="25">
        <v>0</v>
      </c>
      <c r="U1124" s="25">
        <v>0</v>
      </c>
      <c r="V1124" s="25">
        <v>0</v>
      </c>
      <c r="W1124" s="25">
        <v>0</v>
      </c>
      <c r="X1124" s="25">
        <v>0</v>
      </c>
      <c r="Y1124" s="25">
        <v>0</v>
      </c>
      <c r="Z1124" s="25">
        <v>0</v>
      </c>
      <c r="AA1124" s="25">
        <v>0</v>
      </c>
      <c r="AB1124" s="25">
        <v>0</v>
      </c>
      <c r="AC1124" s="25">
        <v>0</v>
      </c>
      <c r="AD1124" s="25">
        <v>0</v>
      </c>
      <c r="AE1124" s="25">
        <v>0</v>
      </c>
      <c r="AF1124" s="25">
        <v>0</v>
      </c>
    </row>
    <row r="1125" spans="1:32" x14ac:dyDescent="0.25">
      <c r="A1125" s="25" t="s">
        <v>1194</v>
      </c>
      <c r="B1125" s="25">
        <v>0</v>
      </c>
      <c r="C1125" s="25">
        <v>0</v>
      </c>
      <c r="D1125" s="25">
        <v>0</v>
      </c>
      <c r="E1125" s="25">
        <v>0</v>
      </c>
      <c r="F1125" s="25">
        <v>0</v>
      </c>
      <c r="G1125" s="25">
        <v>0</v>
      </c>
      <c r="H1125" s="25">
        <v>0</v>
      </c>
      <c r="I1125" s="25">
        <v>0</v>
      </c>
      <c r="J1125" s="25">
        <v>0</v>
      </c>
      <c r="K1125" s="25">
        <v>0</v>
      </c>
      <c r="L1125" s="25">
        <v>0</v>
      </c>
      <c r="M1125" s="25">
        <v>0</v>
      </c>
      <c r="N1125" s="25">
        <v>0</v>
      </c>
      <c r="O1125" s="25">
        <v>0</v>
      </c>
      <c r="P1125" s="25">
        <v>0</v>
      </c>
      <c r="Q1125" s="25">
        <v>0</v>
      </c>
      <c r="R1125" s="25">
        <v>0</v>
      </c>
      <c r="S1125" s="25">
        <v>0</v>
      </c>
      <c r="T1125" s="25">
        <v>0</v>
      </c>
      <c r="U1125" s="25">
        <v>0</v>
      </c>
      <c r="V1125" s="25">
        <v>0</v>
      </c>
      <c r="W1125" s="25">
        <v>0</v>
      </c>
      <c r="X1125" s="25">
        <v>0</v>
      </c>
      <c r="Y1125" s="25">
        <v>0</v>
      </c>
      <c r="Z1125" s="25">
        <v>0</v>
      </c>
      <c r="AA1125" s="25">
        <v>0</v>
      </c>
      <c r="AB1125" s="25">
        <v>0</v>
      </c>
      <c r="AC1125" s="25">
        <v>0</v>
      </c>
      <c r="AD1125" s="25">
        <v>0</v>
      </c>
      <c r="AE1125" s="25">
        <v>0</v>
      </c>
      <c r="AF1125" s="25">
        <v>0</v>
      </c>
    </row>
    <row r="1126" spans="1:32" x14ac:dyDescent="0.25">
      <c r="A1126" s="25" t="s">
        <v>1195</v>
      </c>
      <c r="B1126" s="25">
        <v>0</v>
      </c>
      <c r="C1126" s="25">
        <v>0</v>
      </c>
      <c r="D1126" s="25">
        <v>0</v>
      </c>
      <c r="E1126" s="25">
        <v>0</v>
      </c>
      <c r="F1126" s="25">
        <v>0</v>
      </c>
      <c r="G1126" s="25">
        <v>0</v>
      </c>
      <c r="H1126" s="25">
        <v>0</v>
      </c>
      <c r="I1126" s="25">
        <v>0</v>
      </c>
      <c r="J1126" s="25">
        <v>0</v>
      </c>
      <c r="K1126" s="25">
        <v>0</v>
      </c>
      <c r="L1126" s="25">
        <v>0</v>
      </c>
      <c r="M1126" s="25">
        <v>0</v>
      </c>
      <c r="N1126" s="25">
        <v>0</v>
      </c>
      <c r="O1126" s="25">
        <v>0</v>
      </c>
      <c r="P1126" s="25">
        <v>0</v>
      </c>
      <c r="Q1126" s="25">
        <v>0</v>
      </c>
      <c r="R1126" s="25">
        <v>0</v>
      </c>
      <c r="S1126" s="25">
        <v>0</v>
      </c>
      <c r="T1126" s="25">
        <v>0</v>
      </c>
      <c r="U1126" s="25">
        <v>0</v>
      </c>
      <c r="V1126" s="25">
        <v>0</v>
      </c>
      <c r="W1126" s="25">
        <v>0</v>
      </c>
      <c r="X1126" s="25">
        <v>0</v>
      </c>
      <c r="Y1126" s="25">
        <v>0</v>
      </c>
      <c r="Z1126" s="25">
        <v>0</v>
      </c>
      <c r="AA1126" s="25">
        <v>0</v>
      </c>
      <c r="AB1126" s="25">
        <v>0</v>
      </c>
      <c r="AC1126" s="25">
        <v>0</v>
      </c>
      <c r="AD1126" s="25">
        <v>0</v>
      </c>
      <c r="AE1126" s="25">
        <v>0</v>
      </c>
      <c r="AF1126" s="25">
        <v>0</v>
      </c>
    </row>
    <row r="1127" spans="1:32" x14ac:dyDescent="0.25">
      <c r="A1127" s="25" t="s">
        <v>1196</v>
      </c>
      <c r="B1127" s="25">
        <v>0</v>
      </c>
      <c r="C1127" s="25">
        <v>0</v>
      </c>
      <c r="D1127" s="25">
        <v>0</v>
      </c>
      <c r="E1127" s="25">
        <v>0</v>
      </c>
      <c r="F1127" s="25">
        <v>0</v>
      </c>
      <c r="G1127" s="25">
        <v>0</v>
      </c>
      <c r="H1127" s="25">
        <v>0</v>
      </c>
      <c r="I1127" s="25">
        <v>0</v>
      </c>
      <c r="J1127" s="25">
        <v>0</v>
      </c>
      <c r="K1127" s="25">
        <v>0</v>
      </c>
      <c r="L1127" s="25">
        <v>0</v>
      </c>
      <c r="M1127" s="25">
        <v>0</v>
      </c>
      <c r="N1127" s="25">
        <v>0</v>
      </c>
      <c r="O1127" s="25">
        <v>0</v>
      </c>
      <c r="P1127" s="25">
        <v>0</v>
      </c>
      <c r="Q1127" s="25">
        <v>0</v>
      </c>
      <c r="R1127" s="25">
        <v>0</v>
      </c>
      <c r="S1127" s="25">
        <v>0</v>
      </c>
      <c r="T1127" s="25">
        <v>0</v>
      </c>
      <c r="U1127" s="25">
        <v>0</v>
      </c>
      <c r="V1127" s="25">
        <v>0</v>
      </c>
      <c r="W1127" s="25">
        <v>0</v>
      </c>
      <c r="X1127" s="25">
        <v>0</v>
      </c>
      <c r="Y1127" s="25">
        <v>0</v>
      </c>
      <c r="Z1127" s="25">
        <v>0</v>
      </c>
      <c r="AA1127" s="25">
        <v>0</v>
      </c>
      <c r="AB1127" s="25">
        <v>0</v>
      </c>
      <c r="AC1127" s="25">
        <v>0</v>
      </c>
      <c r="AD1127" s="25">
        <v>0</v>
      </c>
      <c r="AE1127" s="25">
        <v>0</v>
      </c>
      <c r="AF1127" s="25">
        <v>0</v>
      </c>
    </row>
    <row r="1128" spans="1:32" x14ac:dyDescent="0.25">
      <c r="A1128" s="25" t="s">
        <v>1197</v>
      </c>
      <c r="B1128" s="25">
        <v>0</v>
      </c>
      <c r="C1128" s="25">
        <v>0</v>
      </c>
      <c r="D1128" s="25">
        <v>0</v>
      </c>
      <c r="E1128" s="25">
        <v>0</v>
      </c>
      <c r="F1128" s="25">
        <v>0</v>
      </c>
      <c r="G1128" s="25">
        <v>0</v>
      </c>
      <c r="H1128" s="25">
        <v>0</v>
      </c>
      <c r="I1128" s="25">
        <v>0</v>
      </c>
      <c r="J1128" s="25">
        <v>0</v>
      </c>
      <c r="K1128" s="25">
        <v>0</v>
      </c>
      <c r="L1128" s="25">
        <v>0</v>
      </c>
      <c r="M1128" s="25">
        <v>0</v>
      </c>
      <c r="N1128" s="25">
        <v>0</v>
      </c>
      <c r="O1128" s="25">
        <v>0</v>
      </c>
      <c r="P1128" s="25">
        <v>0</v>
      </c>
      <c r="Q1128" s="25">
        <v>0</v>
      </c>
      <c r="R1128" s="25">
        <v>0</v>
      </c>
      <c r="S1128" s="25">
        <v>0</v>
      </c>
      <c r="T1128" s="25">
        <v>0</v>
      </c>
      <c r="U1128" s="25">
        <v>0</v>
      </c>
      <c r="V1128" s="25">
        <v>0</v>
      </c>
      <c r="W1128" s="25">
        <v>0</v>
      </c>
      <c r="X1128" s="25">
        <v>0</v>
      </c>
      <c r="Y1128" s="25">
        <v>0</v>
      </c>
      <c r="Z1128" s="25">
        <v>0</v>
      </c>
      <c r="AA1128" s="25">
        <v>0</v>
      </c>
      <c r="AB1128" s="25">
        <v>0</v>
      </c>
      <c r="AC1128" s="25">
        <v>0</v>
      </c>
      <c r="AD1128" s="25">
        <v>0</v>
      </c>
      <c r="AE1128" s="25">
        <v>0</v>
      </c>
      <c r="AF1128" s="25">
        <v>0</v>
      </c>
    </row>
    <row r="1129" spans="1:32" x14ac:dyDescent="0.25">
      <c r="A1129" s="25" t="s">
        <v>1198</v>
      </c>
      <c r="B1129" s="25">
        <v>0</v>
      </c>
      <c r="C1129" s="25">
        <v>0</v>
      </c>
      <c r="D1129" s="25">
        <v>0</v>
      </c>
      <c r="E1129" s="25">
        <v>0</v>
      </c>
      <c r="F1129" s="25">
        <v>0</v>
      </c>
      <c r="G1129" s="25">
        <v>0</v>
      </c>
      <c r="H1129" s="25">
        <v>0</v>
      </c>
      <c r="I1129" s="25">
        <v>0</v>
      </c>
      <c r="J1129" s="25">
        <v>0</v>
      </c>
      <c r="K1129" s="25">
        <v>0</v>
      </c>
      <c r="L1129" s="25">
        <v>0</v>
      </c>
      <c r="M1129" s="25">
        <v>0</v>
      </c>
      <c r="N1129" s="25">
        <v>0</v>
      </c>
      <c r="O1129" s="25">
        <v>0</v>
      </c>
      <c r="P1129" s="25">
        <v>0</v>
      </c>
      <c r="Q1129" s="25">
        <v>0</v>
      </c>
      <c r="R1129" s="25">
        <v>0</v>
      </c>
      <c r="S1129" s="25">
        <v>0</v>
      </c>
      <c r="T1129" s="25">
        <v>0</v>
      </c>
      <c r="U1129" s="25">
        <v>0</v>
      </c>
      <c r="V1129" s="25">
        <v>0</v>
      </c>
      <c r="W1129" s="25">
        <v>0</v>
      </c>
      <c r="X1129" s="25">
        <v>0</v>
      </c>
      <c r="Y1129" s="25">
        <v>0</v>
      </c>
      <c r="Z1129" s="25">
        <v>0</v>
      </c>
      <c r="AA1129" s="25">
        <v>0</v>
      </c>
      <c r="AB1129" s="25">
        <v>0</v>
      </c>
      <c r="AC1129" s="25">
        <v>0</v>
      </c>
      <c r="AD1129" s="25">
        <v>0</v>
      </c>
      <c r="AE1129" s="25">
        <v>0</v>
      </c>
      <c r="AF1129" s="25">
        <v>0</v>
      </c>
    </row>
    <row r="1130" spans="1:32" x14ac:dyDescent="0.25">
      <c r="A1130" s="25" t="s">
        <v>1199</v>
      </c>
      <c r="B1130" s="25">
        <v>0</v>
      </c>
      <c r="C1130" s="25">
        <v>0</v>
      </c>
      <c r="D1130" s="25">
        <v>0</v>
      </c>
      <c r="E1130" s="25">
        <v>0</v>
      </c>
      <c r="F1130" s="25">
        <v>0</v>
      </c>
      <c r="G1130" s="25">
        <v>0</v>
      </c>
      <c r="H1130" s="25">
        <v>0</v>
      </c>
      <c r="I1130" s="25">
        <v>0</v>
      </c>
      <c r="J1130" s="25">
        <v>0</v>
      </c>
      <c r="K1130" s="25">
        <v>0</v>
      </c>
      <c r="L1130" s="25">
        <v>0</v>
      </c>
      <c r="M1130" s="25">
        <v>0</v>
      </c>
      <c r="N1130" s="25">
        <v>0</v>
      </c>
      <c r="O1130" s="25">
        <v>0</v>
      </c>
      <c r="P1130" s="25">
        <v>0</v>
      </c>
      <c r="Q1130" s="25">
        <v>0</v>
      </c>
      <c r="R1130" s="25">
        <v>0</v>
      </c>
      <c r="S1130" s="25">
        <v>0</v>
      </c>
      <c r="T1130" s="25">
        <v>0</v>
      </c>
      <c r="U1130" s="25">
        <v>0</v>
      </c>
      <c r="V1130" s="25">
        <v>0</v>
      </c>
      <c r="W1130" s="25">
        <v>0</v>
      </c>
      <c r="X1130" s="25">
        <v>0</v>
      </c>
      <c r="Y1130" s="25">
        <v>0</v>
      </c>
      <c r="Z1130" s="25">
        <v>0</v>
      </c>
      <c r="AA1130" s="25">
        <v>0</v>
      </c>
      <c r="AB1130" s="25">
        <v>0</v>
      </c>
      <c r="AC1130" s="25">
        <v>0</v>
      </c>
      <c r="AD1130" s="25">
        <v>0</v>
      </c>
      <c r="AE1130" s="25">
        <v>0</v>
      </c>
      <c r="AF1130" s="25">
        <v>0</v>
      </c>
    </row>
    <row r="1131" spans="1:32" x14ac:dyDescent="0.25">
      <c r="A1131" s="25" t="s">
        <v>1200</v>
      </c>
      <c r="B1131" s="25">
        <v>0</v>
      </c>
      <c r="C1131" s="25">
        <v>0</v>
      </c>
      <c r="D1131" s="25">
        <v>0</v>
      </c>
      <c r="E1131" s="25">
        <v>0</v>
      </c>
      <c r="F1131" s="25">
        <v>0</v>
      </c>
      <c r="G1131" s="25">
        <v>0</v>
      </c>
      <c r="H1131" s="25">
        <v>0</v>
      </c>
      <c r="I1131" s="25">
        <v>0</v>
      </c>
      <c r="J1131" s="25">
        <v>0</v>
      </c>
      <c r="K1131" s="25">
        <v>0</v>
      </c>
      <c r="L1131" s="25">
        <v>0</v>
      </c>
      <c r="M1131" s="25">
        <v>0</v>
      </c>
      <c r="N1131" s="25">
        <v>0</v>
      </c>
      <c r="O1131" s="25">
        <v>0</v>
      </c>
      <c r="P1131" s="25">
        <v>0</v>
      </c>
      <c r="Q1131" s="25">
        <v>0</v>
      </c>
      <c r="R1131" s="25">
        <v>0</v>
      </c>
      <c r="S1131" s="25">
        <v>0</v>
      </c>
      <c r="T1131" s="25">
        <v>0</v>
      </c>
      <c r="U1131" s="25">
        <v>0</v>
      </c>
      <c r="V1131" s="25">
        <v>0</v>
      </c>
      <c r="W1131" s="25">
        <v>0</v>
      </c>
      <c r="X1131" s="25">
        <v>0</v>
      </c>
      <c r="Y1131" s="25">
        <v>0</v>
      </c>
      <c r="Z1131" s="25">
        <v>0</v>
      </c>
      <c r="AA1131" s="25">
        <v>0</v>
      </c>
      <c r="AB1131" s="25">
        <v>0</v>
      </c>
      <c r="AC1131" s="25">
        <v>0</v>
      </c>
      <c r="AD1131" s="25">
        <v>0</v>
      </c>
      <c r="AE1131" s="25">
        <v>0</v>
      </c>
      <c r="AF1131" s="25">
        <v>0</v>
      </c>
    </row>
    <row r="1132" spans="1:32" x14ac:dyDescent="0.25">
      <c r="A1132" s="25" t="s">
        <v>1201</v>
      </c>
      <c r="B1132" s="25">
        <v>0</v>
      </c>
      <c r="C1132" s="25">
        <v>0</v>
      </c>
      <c r="D1132" s="25">
        <v>0</v>
      </c>
      <c r="E1132" s="25">
        <v>0</v>
      </c>
      <c r="F1132" s="25">
        <v>0</v>
      </c>
      <c r="G1132" s="25">
        <v>0</v>
      </c>
      <c r="H1132" s="25">
        <v>0</v>
      </c>
      <c r="I1132" s="25">
        <v>0</v>
      </c>
      <c r="J1132" s="25">
        <v>0</v>
      </c>
      <c r="K1132" s="25">
        <v>0</v>
      </c>
      <c r="L1132" s="25">
        <v>0</v>
      </c>
      <c r="M1132" s="25">
        <v>0</v>
      </c>
      <c r="N1132" s="25">
        <v>0</v>
      </c>
      <c r="O1132" s="25">
        <v>0</v>
      </c>
      <c r="P1132" s="25">
        <v>0</v>
      </c>
      <c r="Q1132" s="25">
        <v>0</v>
      </c>
      <c r="R1132" s="25">
        <v>0</v>
      </c>
      <c r="S1132" s="25">
        <v>0</v>
      </c>
      <c r="T1132" s="25">
        <v>0</v>
      </c>
      <c r="U1132" s="25">
        <v>0</v>
      </c>
      <c r="V1132" s="25">
        <v>0</v>
      </c>
      <c r="W1132" s="25">
        <v>0</v>
      </c>
      <c r="X1132" s="25">
        <v>0</v>
      </c>
      <c r="Y1132" s="25">
        <v>0</v>
      </c>
      <c r="Z1132" s="25">
        <v>0</v>
      </c>
      <c r="AA1132" s="25">
        <v>0</v>
      </c>
      <c r="AB1132" s="25">
        <v>0</v>
      </c>
      <c r="AC1132" s="25">
        <v>0</v>
      </c>
      <c r="AD1132" s="25">
        <v>0</v>
      </c>
      <c r="AE1132" s="25">
        <v>0</v>
      </c>
      <c r="AF1132" s="25">
        <v>0</v>
      </c>
    </row>
    <row r="1133" spans="1:32" x14ac:dyDescent="0.25">
      <c r="A1133" s="25" t="s">
        <v>1202</v>
      </c>
      <c r="B1133" s="25">
        <v>0</v>
      </c>
      <c r="C1133" s="25">
        <v>0</v>
      </c>
      <c r="D1133" s="25">
        <v>0</v>
      </c>
      <c r="E1133" s="25">
        <v>0</v>
      </c>
      <c r="F1133" s="25">
        <v>0</v>
      </c>
      <c r="G1133" s="25">
        <v>0</v>
      </c>
      <c r="H1133" s="25">
        <v>0</v>
      </c>
      <c r="I1133" s="25">
        <v>0</v>
      </c>
      <c r="J1133" s="25">
        <v>0</v>
      </c>
      <c r="K1133" s="25">
        <v>0</v>
      </c>
      <c r="L1133" s="25">
        <v>0</v>
      </c>
      <c r="M1133" s="25">
        <v>0</v>
      </c>
      <c r="N1133" s="25">
        <v>0</v>
      </c>
      <c r="O1133" s="25">
        <v>0</v>
      </c>
      <c r="P1133" s="25">
        <v>0</v>
      </c>
      <c r="Q1133" s="25">
        <v>0</v>
      </c>
      <c r="R1133" s="25">
        <v>0</v>
      </c>
      <c r="S1133" s="25">
        <v>0</v>
      </c>
      <c r="T1133" s="25">
        <v>0</v>
      </c>
      <c r="U1133" s="25">
        <v>0</v>
      </c>
      <c r="V1133" s="25">
        <v>0</v>
      </c>
      <c r="W1133" s="25">
        <v>0</v>
      </c>
      <c r="X1133" s="25">
        <v>0</v>
      </c>
      <c r="Y1133" s="25">
        <v>0</v>
      </c>
      <c r="Z1133" s="25">
        <v>0</v>
      </c>
      <c r="AA1133" s="25">
        <v>0</v>
      </c>
      <c r="AB1133" s="25">
        <v>0</v>
      </c>
      <c r="AC1133" s="25">
        <v>0</v>
      </c>
      <c r="AD1133" s="25">
        <v>0</v>
      </c>
      <c r="AE1133" s="25">
        <v>0</v>
      </c>
      <c r="AF1133" s="25">
        <v>0</v>
      </c>
    </row>
    <row r="1134" spans="1:32" x14ac:dyDescent="0.25">
      <c r="A1134" s="25" t="s">
        <v>1203</v>
      </c>
      <c r="B1134" s="25">
        <v>0</v>
      </c>
      <c r="C1134" s="25">
        <v>0</v>
      </c>
      <c r="D1134" s="25">
        <v>0</v>
      </c>
      <c r="E1134" s="25">
        <v>0</v>
      </c>
      <c r="F1134" s="25">
        <v>0</v>
      </c>
      <c r="G1134" s="25">
        <v>0</v>
      </c>
      <c r="H1134" s="25">
        <v>0</v>
      </c>
      <c r="I1134" s="25">
        <v>0</v>
      </c>
      <c r="J1134" s="25">
        <v>0</v>
      </c>
      <c r="K1134" s="25">
        <v>0</v>
      </c>
      <c r="L1134" s="25">
        <v>0</v>
      </c>
      <c r="M1134" s="25">
        <v>0</v>
      </c>
      <c r="N1134" s="25">
        <v>0</v>
      </c>
      <c r="O1134" s="25">
        <v>0</v>
      </c>
      <c r="P1134" s="25">
        <v>0</v>
      </c>
      <c r="Q1134" s="25">
        <v>0</v>
      </c>
      <c r="R1134" s="25">
        <v>0</v>
      </c>
      <c r="S1134" s="25">
        <v>0</v>
      </c>
      <c r="T1134" s="25">
        <v>0</v>
      </c>
      <c r="U1134" s="25">
        <v>0</v>
      </c>
      <c r="V1134" s="25">
        <v>0</v>
      </c>
      <c r="W1134" s="25">
        <v>0</v>
      </c>
      <c r="X1134" s="25">
        <v>0</v>
      </c>
      <c r="Y1134" s="25">
        <v>0</v>
      </c>
      <c r="Z1134" s="25">
        <v>0</v>
      </c>
      <c r="AA1134" s="25">
        <v>0</v>
      </c>
      <c r="AB1134" s="25">
        <v>0</v>
      </c>
      <c r="AC1134" s="25">
        <v>0</v>
      </c>
      <c r="AD1134" s="25">
        <v>0</v>
      </c>
      <c r="AE1134" s="25">
        <v>0</v>
      </c>
      <c r="AF1134" s="25">
        <v>0</v>
      </c>
    </row>
    <row r="1135" spans="1:32" x14ac:dyDescent="0.25">
      <c r="A1135" s="25" t="s">
        <v>1204</v>
      </c>
      <c r="B1135" s="25">
        <v>0</v>
      </c>
      <c r="C1135" s="25">
        <v>0</v>
      </c>
      <c r="D1135" s="25">
        <v>0</v>
      </c>
      <c r="E1135" s="25">
        <v>0</v>
      </c>
      <c r="F1135" s="25">
        <v>0</v>
      </c>
      <c r="G1135" s="25">
        <v>0</v>
      </c>
      <c r="H1135" s="25">
        <v>0</v>
      </c>
      <c r="I1135" s="25">
        <v>0</v>
      </c>
      <c r="J1135" s="25">
        <v>0</v>
      </c>
      <c r="K1135" s="25">
        <v>0</v>
      </c>
      <c r="L1135" s="25">
        <v>0</v>
      </c>
      <c r="M1135" s="25">
        <v>0</v>
      </c>
      <c r="N1135" s="25">
        <v>0</v>
      </c>
      <c r="O1135" s="25">
        <v>0</v>
      </c>
      <c r="P1135" s="25">
        <v>0</v>
      </c>
      <c r="Q1135" s="25">
        <v>0</v>
      </c>
      <c r="R1135" s="25">
        <v>0</v>
      </c>
      <c r="S1135" s="25">
        <v>0</v>
      </c>
      <c r="T1135" s="25">
        <v>0</v>
      </c>
      <c r="U1135" s="25">
        <v>0</v>
      </c>
      <c r="V1135" s="25">
        <v>0</v>
      </c>
      <c r="W1135" s="25">
        <v>0</v>
      </c>
      <c r="X1135" s="25">
        <v>0</v>
      </c>
      <c r="Y1135" s="25">
        <v>0</v>
      </c>
      <c r="Z1135" s="25">
        <v>0</v>
      </c>
      <c r="AA1135" s="25">
        <v>0</v>
      </c>
      <c r="AB1135" s="25">
        <v>0</v>
      </c>
      <c r="AC1135" s="25">
        <v>0</v>
      </c>
      <c r="AD1135" s="25">
        <v>0</v>
      </c>
      <c r="AE1135" s="25">
        <v>0</v>
      </c>
      <c r="AF1135" s="25">
        <v>0</v>
      </c>
    </row>
    <row r="1136" spans="1:32" x14ac:dyDescent="0.25">
      <c r="A1136" s="25" t="s">
        <v>1205</v>
      </c>
      <c r="B1136" s="25">
        <v>0</v>
      </c>
      <c r="C1136" s="25">
        <v>0</v>
      </c>
      <c r="D1136" s="25">
        <v>0</v>
      </c>
      <c r="E1136" s="25">
        <v>0</v>
      </c>
      <c r="F1136" s="25">
        <v>0</v>
      </c>
      <c r="G1136" s="25">
        <v>0</v>
      </c>
      <c r="H1136" s="25">
        <v>0</v>
      </c>
      <c r="I1136" s="25">
        <v>0</v>
      </c>
      <c r="J1136" s="25">
        <v>0</v>
      </c>
      <c r="K1136" s="25">
        <v>0</v>
      </c>
      <c r="L1136" s="25">
        <v>0</v>
      </c>
      <c r="M1136" s="25">
        <v>0</v>
      </c>
      <c r="N1136" s="25">
        <v>0</v>
      </c>
      <c r="O1136" s="25">
        <v>0</v>
      </c>
      <c r="P1136" s="25">
        <v>0</v>
      </c>
      <c r="Q1136" s="25">
        <v>0</v>
      </c>
      <c r="R1136" s="25">
        <v>0</v>
      </c>
      <c r="S1136" s="25">
        <v>0</v>
      </c>
      <c r="T1136" s="25">
        <v>0</v>
      </c>
      <c r="U1136" s="25">
        <v>0</v>
      </c>
      <c r="V1136" s="25">
        <v>0</v>
      </c>
      <c r="W1136" s="25">
        <v>0</v>
      </c>
      <c r="X1136" s="25">
        <v>0</v>
      </c>
      <c r="Y1136" s="25">
        <v>0</v>
      </c>
      <c r="Z1136" s="25">
        <v>0</v>
      </c>
      <c r="AA1136" s="25">
        <v>0</v>
      </c>
      <c r="AB1136" s="25">
        <v>0</v>
      </c>
      <c r="AC1136" s="25">
        <v>0</v>
      </c>
      <c r="AD1136" s="25">
        <v>0</v>
      </c>
      <c r="AE1136" s="25">
        <v>0</v>
      </c>
      <c r="AF1136" s="25">
        <v>0</v>
      </c>
    </row>
    <row r="1137" spans="1:32" x14ac:dyDescent="0.25">
      <c r="A1137" s="25" t="s">
        <v>1206</v>
      </c>
      <c r="B1137" s="25">
        <v>0</v>
      </c>
      <c r="C1137" s="25">
        <v>0</v>
      </c>
      <c r="D1137" s="25">
        <v>0</v>
      </c>
      <c r="E1137" s="25">
        <v>0</v>
      </c>
      <c r="F1137" s="25">
        <v>0</v>
      </c>
      <c r="G1137" s="25">
        <v>0</v>
      </c>
      <c r="H1137" s="25">
        <v>0</v>
      </c>
      <c r="I1137" s="25">
        <v>0</v>
      </c>
      <c r="J1137" s="25">
        <v>0</v>
      </c>
      <c r="K1137" s="25">
        <v>0</v>
      </c>
      <c r="L1137" s="25">
        <v>0</v>
      </c>
      <c r="M1137" s="25">
        <v>0</v>
      </c>
      <c r="N1137" s="25">
        <v>0</v>
      </c>
      <c r="O1137" s="25">
        <v>0</v>
      </c>
      <c r="P1137" s="25">
        <v>0</v>
      </c>
      <c r="Q1137" s="25">
        <v>0</v>
      </c>
      <c r="R1137" s="25">
        <v>0</v>
      </c>
      <c r="S1137" s="25">
        <v>0</v>
      </c>
      <c r="T1137" s="25">
        <v>0</v>
      </c>
      <c r="U1137" s="25">
        <v>0</v>
      </c>
      <c r="V1137" s="25">
        <v>0</v>
      </c>
      <c r="W1137" s="25">
        <v>0</v>
      </c>
      <c r="X1137" s="25">
        <v>0</v>
      </c>
      <c r="Y1137" s="25">
        <v>0</v>
      </c>
      <c r="Z1137" s="25">
        <v>0</v>
      </c>
      <c r="AA1137" s="25">
        <v>0</v>
      </c>
      <c r="AB1137" s="25">
        <v>0</v>
      </c>
      <c r="AC1137" s="25">
        <v>0</v>
      </c>
      <c r="AD1137" s="25">
        <v>0</v>
      </c>
      <c r="AE1137" s="25">
        <v>0</v>
      </c>
      <c r="AF1137" s="25">
        <v>0</v>
      </c>
    </row>
    <row r="1138" spans="1:32" x14ac:dyDescent="0.25">
      <c r="A1138" s="25" t="s">
        <v>1207</v>
      </c>
      <c r="B1138" s="25">
        <v>0</v>
      </c>
      <c r="C1138" s="25">
        <v>0</v>
      </c>
      <c r="D1138" s="25">
        <v>0</v>
      </c>
      <c r="E1138" s="25">
        <v>0</v>
      </c>
      <c r="F1138" s="25">
        <v>0</v>
      </c>
      <c r="G1138" s="25">
        <v>0</v>
      </c>
      <c r="H1138" s="25">
        <v>0</v>
      </c>
      <c r="I1138" s="25">
        <v>0</v>
      </c>
      <c r="J1138" s="25">
        <v>0</v>
      </c>
      <c r="K1138" s="25">
        <v>0</v>
      </c>
      <c r="L1138" s="25">
        <v>0</v>
      </c>
      <c r="M1138" s="25">
        <v>0</v>
      </c>
      <c r="N1138" s="25">
        <v>0</v>
      </c>
      <c r="O1138" s="25">
        <v>0</v>
      </c>
      <c r="P1138" s="25">
        <v>0</v>
      </c>
      <c r="Q1138" s="25">
        <v>0</v>
      </c>
      <c r="R1138" s="25">
        <v>0</v>
      </c>
      <c r="S1138" s="25">
        <v>0</v>
      </c>
      <c r="T1138" s="25">
        <v>0</v>
      </c>
      <c r="U1138" s="25">
        <v>0</v>
      </c>
      <c r="V1138" s="25">
        <v>0</v>
      </c>
      <c r="W1138" s="25">
        <v>0</v>
      </c>
      <c r="X1138" s="25">
        <v>0</v>
      </c>
      <c r="Y1138" s="25">
        <v>0</v>
      </c>
      <c r="Z1138" s="25">
        <v>0</v>
      </c>
      <c r="AA1138" s="25">
        <v>0</v>
      </c>
      <c r="AB1138" s="25">
        <v>0</v>
      </c>
      <c r="AC1138" s="25">
        <v>0</v>
      </c>
      <c r="AD1138" s="25">
        <v>0</v>
      </c>
      <c r="AE1138" s="25">
        <v>0</v>
      </c>
      <c r="AF1138" s="25">
        <v>0</v>
      </c>
    </row>
    <row r="1139" spans="1:32" x14ac:dyDescent="0.25">
      <c r="A1139" s="25" t="s">
        <v>1208</v>
      </c>
      <c r="B1139" s="25">
        <v>0</v>
      </c>
      <c r="C1139" s="25">
        <v>0</v>
      </c>
      <c r="D1139" s="25">
        <v>0</v>
      </c>
      <c r="E1139" s="25">
        <v>0</v>
      </c>
      <c r="F1139" s="25">
        <v>0</v>
      </c>
      <c r="G1139" s="25">
        <v>0</v>
      </c>
      <c r="H1139" s="25">
        <v>0</v>
      </c>
      <c r="I1139" s="25">
        <v>0</v>
      </c>
      <c r="J1139" s="25">
        <v>0</v>
      </c>
      <c r="K1139" s="25">
        <v>0</v>
      </c>
      <c r="L1139" s="25">
        <v>0</v>
      </c>
      <c r="M1139" s="25">
        <v>0</v>
      </c>
      <c r="N1139" s="25">
        <v>0</v>
      </c>
      <c r="O1139" s="25">
        <v>0</v>
      </c>
      <c r="P1139" s="25">
        <v>0</v>
      </c>
      <c r="Q1139" s="25">
        <v>0</v>
      </c>
      <c r="R1139" s="25">
        <v>0</v>
      </c>
      <c r="S1139" s="25">
        <v>0</v>
      </c>
      <c r="T1139" s="25">
        <v>0</v>
      </c>
      <c r="U1139" s="25">
        <v>0</v>
      </c>
      <c r="V1139" s="25">
        <v>0</v>
      </c>
      <c r="W1139" s="25">
        <v>0</v>
      </c>
      <c r="X1139" s="25">
        <v>0</v>
      </c>
      <c r="Y1139" s="25">
        <v>0</v>
      </c>
      <c r="Z1139" s="25">
        <v>0</v>
      </c>
      <c r="AA1139" s="25">
        <v>0</v>
      </c>
      <c r="AB1139" s="25">
        <v>0</v>
      </c>
      <c r="AC1139" s="25">
        <v>0</v>
      </c>
      <c r="AD1139" s="25">
        <v>0</v>
      </c>
      <c r="AE1139" s="25">
        <v>0</v>
      </c>
      <c r="AF1139" s="25">
        <v>0</v>
      </c>
    </row>
    <row r="1140" spans="1:32" x14ac:dyDescent="0.25">
      <c r="A1140" s="25" t="s">
        <v>1209</v>
      </c>
      <c r="B1140" s="12">
        <v>527700000000000</v>
      </c>
      <c r="C1140" s="12">
        <v>572900000000000</v>
      </c>
      <c r="D1140" s="12">
        <v>586200000000000</v>
      </c>
      <c r="E1140" s="12">
        <v>550500000000000</v>
      </c>
      <c r="F1140" s="12">
        <v>548400000000000</v>
      </c>
      <c r="G1140" s="12">
        <v>545800000000000</v>
      </c>
      <c r="H1140" s="12">
        <v>542200000000000</v>
      </c>
      <c r="I1140" s="12">
        <v>537300000000000</v>
      </c>
      <c r="J1140" s="12">
        <v>532200000000000</v>
      </c>
      <c r="K1140" s="12">
        <v>526800000000000</v>
      </c>
      <c r="L1140" s="12">
        <v>521400000000000</v>
      </c>
      <c r="M1140" s="12">
        <v>516200000000000</v>
      </c>
      <c r="N1140" s="12">
        <v>510900000000000</v>
      </c>
      <c r="O1140" s="12">
        <v>505500000000000</v>
      </c>
      <c r="P1140" s="12">
        <v>500400000000000</v>
      </c>
      <c r="Q1140" s="12">
        <v>495900000000000</v>
      </c>
      <c r="R1140" s="12">
        <v>491800000000000</v>
      </c>
      <c r="S1140" s="12">
        <v>488000000000000</v>
      </c>
      <c r="T1140" s="12">
        <v>484400000000000</v>
      </c>
      <c r="U1140" s="12">
        <v>480400000000000</v>
      </c>
      <c r="V1140" s="12">
        <v>476400000000000</v>
      </c>
      <c r="W1140" s="12">
        <v>472300000000000</v>
      </c>
      <c r="X1140" s="12">
        <v>468300000000000</v>
      </c>
      <c r="Y1140" s="12">
        <v>464400000000000</v>
      </c>
      <c r="Z1140" s="12">
        <v>460700000000000</v>
      </c>
      <c r="AA1140" s="12">
        <v>456800000000000</v>
      </c>
      <c r="AB1140" s="12">
        <v>452900000000000</v>
      </c>
      <c r="AC1140" s="12">
        <v>448900000000000</v>
      </c>
      <c r="AD1140" s="12">
        <v>444800000000000</v>
      </c>
      <c r="AE1140" s="12">
        <v>440800000000000</v>
      </c>
      <c r="AF1140" s="12">
        <v>437300000000000</v>
      </c>
    </row>
    <row r="1141" spans="1:32" x14ac:dyDescent="0.25">
      <c r="A1141" s="25" t="s">
        <v>1210</v>
      </c>
      <c r="B1141" s="12">
        <v>718400000000000</v>
      </c>
      <c r="C1141" s="12">
        <v>718900000000000</v>
      </c>
      <c r="D1141" s="12">
        <v>671200000000000</v>
      </c>
      <c r="E1141" s="12">
        <v>776800000000000</v>
      </c>
      <c r="F1141" s="12">
        <v>791700000000000</v>
      </c>
      <c r="G1141" s="12">
        <v>807100000000000</v>
      </c>
      <c r="H1141" s="12">
        <v>821500000000000</v>
      </c>
      <c r="I1141" s="12">
        <v>833800000000000</v>
      </c>
      <c r="J1141" s="12">
        <v>845200000000000</v>
      </c>
      <c r="K1141" s="12">
        <v>856300000000000</v>
      </c>
      <c r="L1141" s="12">
        <v>867900000000000</v>
      </c>
      <c r="M1141" s="12">
        <v>879900000000000</v>
      </c>
      <c r="N1141" s="12">
        <v>892600000000000</v>
      </c>
      <c r="O1141" s="12">
        <v>905400000000000</v>
      </c>
      <c r="P1141" s="12">
        <v>918500000000000</v>
      </c>
      <c r="Q1141" s="12">
        <v>933300000000000</v>
      </c>
      <c r="R1141" s="12">
        <v>949100000000000</v>
      </c>
      <c r="S1141" s="12">
        <v>966500000000000</v>
      </c>
      <c r="T1141" s="12">
        <v>984000000000000</v>
      </c>
      <c r="U1141" s="12">
        <v>1001000000000000</v>
      </c>
      <c r="V1141" s="12">
        <v>1018000000000000</v>
      </c>
      <c r="W1141" s="12">
        <v>1036000000000000</v>
      </c>
      <c r="X1141" s="12">
        <v>1053000000000000</v>
      </c>
      <c r="Y1141" s="12">
        <v>1072000000000000</v>
      </c>
      <c r="Z1141" s="12">
        <v>1091000000000000</v>
      </c>
      <c r="AA1141" s="12">
        <v>1111000000000000</v>
      </c>
      <c r="AB1141" s="12">
        <v>1130000000000000</v>
      </c>
      <c r="AC1141" s="12">
        <v>1150000000000000</v>
      </c>
      <c r="AD1141" s="12">
        <v>1170000000000000</v>
      </c>
      <c r="AE1141" s="12">
        <v>1190000000000000</v>
      </c>
      <c r="AF1141" s="12">
        <v>1211000000000000</v>
      </c>
    </row>
    <row r="1142" spans="1:32" x14ac:dyDescent="0.25">
      <c r="A1142" s="25" t="s">
        <v>1211</v>
      </c>
      <c r="B1142" s="25">
        <v>0</v>
      </c>
      <c r="C1142" s="25">
        <v>0</v>
      </c>
      <c r="D1142" s="25">
        <v>0</v>
      </c>
      <c r="E1142" s="25">
        <v>0</v>
      </c>
      <c r="F1142" s="25">
        <v>0</v>
      </c>
      <c r="G1142" s="25">
        <v>0</v>
      </c>
      <c r="H1142" s="25">
        <v>0</v>
      </c>
      <c r="I1142" s="25">
        <v>0</v>
      </c>
      <c r="J1142" s="25">
        <v>0</v>
      </c>
      <c r="K1142" s="25">
        <v>0</v>
      </c>
      <c r="L1142" s="25">
        <v>0</v>
      </c>
      <c r="M1142" s="25">
        <v>0</v>
      </c>
      <c r="N1142" s="25">
        <v>0</v>
      </c>
      <c r="O1142" s="25">
        <v>0</v>
      </c>
      <c r="P1142" s="25">
        <v>0</v>
      </c>
      <c r="Q1142" s="25">
        <v>0</v>
      </c>
      <c r="R1142" s="25">
        <v>0</v>
      </c>
      <c r="S1142" s="25">
        <v>0</v>
      </c>
      <c r="T1142" s="25">
        <v>0</v>
      </c>
      <c r="U1142" s="25">
        <v>0</v>
      </c>
      <c r="V1142" s="25">
        <v>0</v>
      </c>
      <c r="W1142" s="25">
        <v>0</v>
      </c>
      <c r="X1142" s="25">
        <v>0</v>
      </c>
      <c r="Y1142" s="25">
        <v>0</v>
      </c>
      <c r="Z1142" s="25">
        <v>0</v>
      </c>
      <c r="AA1142" s="25">
        <v>0</v>
      </c>
      <c r="AB1142" s="25">
        <v>0</v>
      </c>
      <c r="AC1142" s="25">
        <v>0</v>
      </c>
      <c r="AD1142" s="25">
        <v>0</v>
      </c>
      <c r="AE1142" s="25">
        <v>0</v>
      </c>
      <c r="AF1142" s="25">
        <v>0</v>
      </c>
    </row>
    <row r="1143" spans="1:32" x14ac:dyDescent="0.25">
      <c r="A1143" s="25" t="s">
        <v>1212</v>
      </c>
      <c r="B1143" s="12">
        <v>171800000000000</v>
      </c>
      <c r="C1143" s="12">
        <v>164700000000000</v>
      </c>
      <c r="D1143" s="12">
        <v>163600000000000</v>
      </c>
      <c r="E1143" s="12">
        <v>163500000000000</v>
      </c>
      <c r="F1143" s="12">
        <v>164100000000000</v>
      </c>
      <c r="G1143" s="12">
        <v>163500000000000</v>
      </c>
      <c r="H1143" s="12">
        <v>163000000000000</v>
      </c>
      <c r="I1143" s="12">
        <v>162700000000000</v>
      </c>
      <c r="J1143" s="12">
        <v>162900000000000</v>
      </c>
      <c r="K1143" s="12">
        <v>163300000000000</v>
      </c>
      <c r="L1143" s="12">
        <v>161700000000000</v>
      </c>
      <c r="M1143" s="12">
        <v>160600000000000</v>
      </c>
      <c r="N1143" s="12">
        <v>159800000000000</v>
      </c>
      <c r="O1143" s="12">
        <v>159200000000000</v>
      </c>
      <c r="P1143" s="12">
        <v>159000000000000</v>
      </c>
      <c r="Q1143" s="12">
        <v>159100000000000</v>
      </c>
      <c r="R1143" s="12">
        <v>159400000000000</v>
      </c>
      <c r="S1143" s="12">
        <v>159900000000000</v>
      </c>
      <c r="T1143" s="12">
        <v>160400000000000</v>
      </c>
      <c r="U1143" s="12">
        <v>160800000000000</v>
      </c>
      <c r="V1143" s="12">
        <v>158500000000000</v>
      </c>
      <c r="W1143" s="12">
        <v>156800000000000</v>
      </c>
      <c r="X1143" s="12">
        <v>155400000000000</v>
      </c>
      <c r="Y1143" s="12">
        <v>154400000000000</v>
      </c>
      <c r="Z1143" s="12">
        <v>153800000000000</v>
      </c>
      <c r="AA1143" s="12">
        <v>153300000000000</v>
      </c>
      <c r="AB1143" s="12">
        <v>152900000000000</v>
      </c>
      <c r="AC1143" s="12">
        <v>152600000000000</v>
      </c>
      <c r="AD1143" s="12">
        <v>152200000000000</v>
      </c>
      <c r="AE1143" s="12">
        <v>151900000000000</v>
      </c>
      <c r="AF1143" s="12">
        <v>151900000000000</v>
      </c>
    </row>
    <row r="1144" spans="1:32" x14ac:dyDescent="0.25">
      <c r="A1144" s="25" t="s">
        <v>1213</v>
      </c>
      <c r="B1144" s="12">
        <v>1064000000000000</v>
      </c>
      <c r="C1144" s="12">
        <v>1061000000000000</v>
      </c>
      <c r="D1144" s="12">
        <v>1066000000000000</v>
      </c>
      <c r="E1144" s="12">
        <v>1070000000000000</v>
      </c>
      <c r="F1144" s="12">
        <v>1075000000000000</v>
      </c>
      <c r="G1144" s="12">
        <v>1080000000000000</v>
      </c>
      <c r="H1144" s="12">
        <v>1083000000000000</v>
      </c>
      <c r="I1144" s="12">
        <v>1085000000000000</v>
      </c>
      <c r="J1144" s="12">
        <v>1087000000000000</v>
      </c>
      <c r="K1144" s="12">
        <v>1089000000000000</v>
      </c>
      <c r="L1144" s="12">
        <v>1091000000000000</v>
      </c>
      <c r="M1144" s="12">
        <v>1094000000000000</v>
      </c>
      <c r="N1144" s="12">
        <v>1098000000000000</v>
      </c>
      <c r="O1144" s="12">
        <v>1101000000000000</v>
      </c>
      <c r="P1144" s="12">
        <v>1106000000000000</v>
      </c>
      <c r="Q1144" s="12">
        <v>1112000000000000</v>
      </c>
      <c r="R1144" s="12">
        <v>1119000000000000</v>
      </c>
      <c r="S1144" s="12">
        <v>1127000000000000</v>
      </c>
      <c r="T1144" s="12">
        <v>1135000000000000</v>
      </c>
      <c r="U1144" s="12">
        <v>1143000000000000</v>
      </c>
      <c r="V1144" s="12">
        <v>1151000000000000</v>
      </c>
      <c r="W1144" s="12">
        <v>1159000000000000</v>
      </c>
      <c r="X1144" s="12">
        <v>1167000000000000</v>
      </c>
      <c r="Y1144" s="12">
        <v>1175000000000000</v>
      </c>
      <c r="Z1144" s="12">
        <v>1184000000000000</v>
      </c>
      <c r="AA1144" s="12">
        <v>1192000000000000</v>
      </c>
      <c r="AB1144" s="12">
        <v>1201000000000000</v>
      </c>
      <c r="AC1144" s="12">
        <v>1209000000000000</v>
      </c>
      <c r="AD1144" s="12">
        <v>1218000000000000</v>
      </c>
      <c r="AE1144" s="12">
        <v>1226000000000000</v>
      </c>
      <c r="AF1144" s="12">
        <v>1235000000000000</v>
      </c>
    </row>
    <row r="1145" spans="1:32" x14ac:dyDescent="0.25">
      <c r="A1145" s="25" t="s">
        <v>1214</v>
      </c>
      <c r="B1145" s="12">
        <v>1690000000000000</v>
      </c>
      <c r="C1145" s="12">
        <v>1696000000000000</v>
      </c>
      <c r="D1145" s="12">
        <v>1657000000000000</v>
      </c>
      <c r="E1145" s="12">
        <v>1708000000000000</v>
      </c>
      <c r="F1145" s="12">
        <v>1733000000000000</v>
      </c>
      <c r="G1145" s="12">
        <v>1757000000000000</v>
      </c>
      <c r="H1145" s="12">
        <v>1778000000000000</v>
      </c>
      <c r="I1145" s="12">
        <v>1795000000000000</v>
      </c>
      <c r="J1145" s="12">
        <v>1813000000000000</v>
      </c>
      <c r="K1145" s="12">
        <v>1831000000000000</v>
      </c>
      <c r="L1145" s="12">
        <v>1851000000000000</v>
      </c>
      <c r="M1145" s="12">
        <v>1871000000000000</v>
      </c>
      <c r="N1145" s="12">
        <v>1891000000000000</v>
      </c>
      <c r="O1145" s="12">
        <v>1911000000000000</v>
      </c>
      <c r="P1145" s="12">
        <v>1932000000000000</v>
      </c>
      <c r="Q1145" s="12">
        <v>1956000000000000</v>
      </c>
      <c r="R1145" s="12">
        <v>1981000000000000</v>
      </c>
      <c r="S1145" s="12">
        <v>2009000000000000</v>
      </c>
      <c r="T1145" s="12">
        <v>2037000000000000</v>
      </c>
      <c r="U1145" s="12">
        <v>2065000000000000</v>
      </c>
      <c r="V1145" s="12">
        <v>2094000000000000</v>
      </c>
      <c r="W1145" s="12">
        <v>2122000000000000</v>
      </c>
      <c r="X1145" s="12">
        <v>2152000000000000</v>
      </c>
      <c r="Y1145" s="12">
        <v>2182000000000000</v>
      </c>
      <c r="Z1145" s="12">
        <v>2214000000000000</v>
      </c>
      <c r="AA1145" s="12">
        <v>2248000000000000</v>
      </c>
      <c r="AB1145" s="12">
        <v>2283000000000000</v>
      </c>
      <c r="AC1145" s="12">
        <v>2318000000000000</v>
      </c>
      <c r="AD1145" s="12">
        <v>2354000000000000</v>
      </c>
      <c r="AE1145" s="12">
        <v>2392000000000000</v>
      </c>
      <c r="AF1145" s="12">
        <v>2432000000000000</v>
      </c>
    </row>
    <row r="1146" spans="1:32" x14ac:dyDescent="0.25">
      <c r="A1146" s="25" t="s">
        <v>1215</v>
      </c>
      <c r="B1146" s="25">
        <v>0</v>
      </c>
      <c r="C1146" s="25">
        <v>0</v>
      </c>
      <c r="D1146" s="25">
        <v>0</v>
      </c>
      <c r="E1146" s="25">
        <v>0</v>
      </c>
      <c r="F1146" s="25">
        <v>0</v>
      </c>
      <c r="G1146" s="25">
        <v>0</v>
      </c>
      <c r="H1146" s="25">
        <v>0</v>
      </c>
      <c r="I1146" s="25">
        <v>0</v>
      </c>
      <c r="J1146" s="25">
        <v>0</v>
      </c>
      <c r="K1146" s="25">
        <v>0</v>
      </c>
      <c r="L1146" s="25">
        <v>0</v>
      </c>
      <c r="M1146" s="25">
        <v>0</v>
      </c>
      <c r="N1146" s="25">
        <v>0</v>
      </c>
      <c r="O1146" s="25">
        <v>0</v>
      </c>
      <c r="P1146" s="25">
        <v>0</v>
      </c>
      <c r="Q1146" s="25">
        <v>0</v>
      </c>
      <c r="R1146" s="25">
        <v>0</v>
      </c>
      <c r="S1146" s="25">
        <v>0</v>
      </c>
      <c r="T1146" s="25">
        <v>0</v>
      </c>
      <c r="U1146" s="25">
        <v>0</v>
      </c>
      <c r="V1146" s="25">
        <v>0</v>
      </c>
      <c r="W1146" s="25">
        <v>0</v>
      </c>
      <c r="X1146" s="25">
        <v>0</v>
      </c>
      <c r="Y1146" s="25">
        <v>0</v>
      </c>
      <c r="Z1146" s="25">
        <v>0</v>
      </c>
      <c r="AA1146" s="25">
        <v>0</v>
      </c>
      <c r="AB1146" s="25">
        <v>0</v>
      </c>
      <c r="AC1146" s="25">
        <v>0</v>
      </c>
      <c r="AD1146" s="25">
        <v>0</v>
      </c>
      <c r="AE1146" s="25">
        <v>0</v>
      </c>
      <c r="AF1146" s="25">
        <v>0</v>
      </c>
    </row>
    <row r="1147" spans="1:32" x14ac:dyDescent="0.25">
      <c r="A1147" s="25" t="s">
        <v>1216</v>
      </c>
      <c r="B1147" s="25">
        <v>0</v>
      </c>
      <c r="C1147" s="25">
        <v>0</v>
      </c>
      <c r="D1147" s="25">
        <v>0</v>
      </c>
      <c r="E1147" s="25">
        <v>0</v>
      </c>
      <c r="F1147" s="25">
        <v>0</v>
      </c>
      <c r="G1147" s="25">
        <v>0</v>
      </c>
      <c r="H1147" s="25">
        <v>0</v>
      </c>
      <c r="I1147" s="25">
        <v>0</v>
      </c>
      <c r="J1147" s="25">
        <v>0</v>
      </c>
      <c r="K1147" s="25">
        <v>0</v>
      </c>
      <c r="L1147" s="25">
        <v>0</v>
      </c>
      <c r="M1147" s="25">
        <v>0</v>
      </c>
      <c r="N1147" s="25">
        <v>0</v>
      </c>
      <c r="O1147" s="25">
        <v>0</v>
      </c>
      <c r="P1147" s="25">
        <v>0</v>
      </c>
      <c r="Q1147" s="25">
        <v>0</v>
      </c>
      <c r="R1147" s="25">
        <v>0</v>
      </c>
      <c r="S1147" s="25">
        <v>0</v>
      </c>
      <c r="T1147" s="25">
        <v>0</v>
      </c>
      <c r="U1147" s="25">
        <v>0</v>
      </c>
      <c r="V1147" s="25">
        <v>0</v>
      </c>
      <c r="W1147" s="25">
        <v>0</v>
      </c>
      <c r="X1147" s="25">
        <v>0</v>
      </c>
      <c r="Y1147" s="25">
        <v>0</v>
      </c>
      <c r="Z1147" s="25">
        <v>0</v>
      </c>
      <c r="AA1147" s="25">
        <v>0</v>
      </c>
      <c r="AB1147" s="25">
        <v>0</v>
      </c>
      <c r="AC1147" s="25">
        <v>0</v>
      </c>
      <c r="AD1147" s="25">
        <v>0</v>
      </c>
      <c r="AE1147" s="25">
        <v>0</v>
      </c>
      <c r="AF1147" s="25">
        <v>0</v>
      </c>
    </row>
    <row r="1148" spans="1:32" x14ac:dyDescent="0.25">
      <c r="A1148" s="25" t="s">
        <v>1217</v>
      </c>
      <c r="B1148" s="25">
        <v>0</v>
      </c>
      <c r="C1148" s="25">
        <v>0</v>
      </c>
      <c r="D1148" s="25">
        <v>0</v>
      </c>
      <c r="E1148" s="25">
        <v>0</v>
      </c>
      <c r="F1148" s="25">
        <v>0</v>
      </c>
      <c r="G1148" s="25">
        <v>0</v>
      </c>
      <c r="H1148" s="25">
        <v>0</v>
      </c>
      <c r="I1148" s="25">
        <v>0</v>
      </c>
      <c r="J1148" s="25">
        <v>0</v>
      </c>
      <c r="K1148" s="25">
        <v>0</v>
      </c>
      <c r="L1148" s="25">
        <v>0</v>
      </c>
      <c r="M1148" s="25">
        <v>0</v>
      </c>
      <c r="N1148" s="25">
        <v>0</v>
      </c>
      <c r="O1148" s="25">
        <v>0</v>
      </c>
      <c r="P1148" s="25">
        <v>0</v>
      </c>
      <c r="Q1148" s="25">
        <v>0</v>
      </c>
      <c r="R1148" s="25">
        <v>0</v>
      </c>
      <c r="S1148" s="25">
        <v>0</v>
      </c>
      <c r="T1148" s="25">
        <v>0</v>
      </c>
      <c r="U1148" s="25">
        <v>0</v>
      </c>
      <c r="V1148" s="25">
        <v>0</v>
      </c>
      <c r="W1148" s="25">
        <v>0</v>
      </c>
      <c r="X1148" s="25">
        <v>0</v>
      </c>
      <c r="Y1148" s="25">
        <v>0</v>
      </c>
      <c r="Z1148" s="25">
        <v>0</v>
      </c>
      <c r="AA1148" s="25">
        <v>0</v>
      </c>
      <c r="AB1148" s="25">
        <v>0</v>
      </c>
      <c r="AC1148" s="25">
        <v>0</v>
      </c>
      <c r="AD1148" s="25">
        <v>0</v>
      </c>
      <c r="AE1148" s="25">
        <v>0</v>
      </c>
      <c r="AF1148" s="25">
        <v>0</v>
      </c>
    </row>
    <row r="1149" spans="1:32" x14ac:dyDescent="0.25">
      <c r="A1149" s="25" t="s">
        <v>1218</v>
      </c>
      <c r="B1149" s="25">
        <v>0</v>
      </c>
      <c r="C1149" s="25">
        <v>0</v>
      </c>
      <c r="D1149" s="25">
        <v>0</v>
      </c>
      <c r="E1149" s="25">
        <v>0</v>
      </c>
      <c r="F1149" s="25">
        <v>0</v>
      </c>
      <c r="G1149" s="25">
        <v>0</v>
      </c>
      <c r="H1149" s="25">
        <v>0</v>
      </c>
      <c r="I1149" s="25">
        <v>0</v>
      </c>
      <c r="J1149" s="25">
        <v>0</v>
      </c>
      <c r="K1149" s="25">
        <v>0</v>
      </c>
      <c r="L1149" s="25">
        <v>0</v>
      </c>
      <c r="M1149" s="25">
        <v>0</v>
      </c>
      <c r="N1149" s="25">
        <v>0</v>
      </c>
      <c r="O1149" s="25">
        <v>0</v>
      </c>
      <c r="P1149" s="25">
        <v>0</v>
      </c>
      <c r="Q1149" s="25">
        <v>0</v>
      </c>
      <c r="R1149" s="25">
        <v>0</v>
      </c>
      <c r="S1149" s="25">
        <v>0</v>
      </c>
      <c r="T1149" s="25">
        <v>0</v>
      </c>
      <c r="U1149" s="25">
        <v>0</v>
      </c>
      <c r="V1149" s="25">
        <v>0</v>
      </c>
      <c r="W1149" s="25">
        <v>0</v>
      </c>
      <c r="X1149" s="25">
        <v>0</v>
      </c>
      <c r="Y1149" s="25">
        <v>0</v>
      </c>
      <c r="Z1149" s="25">
        <v>0</v>
      </c>
      <c r="AA1149" s="25">
        <v>0</v>
      </c>
      <c r="AB1149" s="25">
        <v>0</v>
      </c>
      <c r="AC1149" s="25">
        <v>0</v>
      </c>
      <c r="AD1149" s="25">
        <v>0</v>
      </c>
      <c r="AE1149" s="25">
        <v>0</v>
      </c>
      <c r="AF1149" s="25">
        <v>0</v>
      </c>
    </row>
    <row r="1150" spans="1:32" x14ac:dyDescent="0.25">
      <c r="A1150" s="25" t="s">
        <v>1219</v>
      </c>
      <c r="B1150" s="25">
        <v>0</v>
      </c>
      <c r="C1150" s="25">
        <v>0</v>
      </c>
      <c r="D1150" s="25">
        <v>0</v>
      </c>
      <c r="E1150" s="25">
        <v>0</v>
      </c>
      <c r="F1150" s="25">
        <v>0</v>
      </c>
      <c r="G1150" s="25">
        <v>0</v>
      </c>
      <c r="H1150" s="25">
        <v>0</v>
      </c>
      <c r="I1150" s="25">
        <v>0</v>
      </c>
      <c r="J1150" s="25">
        <v>0</v>
      </c>
      <c r="K1150" s="25">
        <v>0</v>
      </c>
      <c r="L1150" s="25">
        <v>0</v>
      </c>
      <c r="M1150" s="25">
        <v>0</v>
      </c>
      <c r="N1150" s="25">
        <v>0</v>
      </c>
      <c r="O1150" s="25">
        <v>0</v>
      </c>
      <c r="P1150" s="25">
        <v>0</v>
      </c>
      <c r="Q1150" s="25">
        <v>0</v>
      </c>
      <c r="R1150" s="25">
        <v>0</v>
      </c>
      <c r="S1150" s="25">
        <v>0</v>
      </c>
      <c r="T1150" s="25">
        <v>0</v>
      </c>
      <c r="U1150" s="25">
        <v>0</v>
      </c>
      <c r="V1150" s="25">
        <v>0</v>
      </c>
      <c r="W1150" s="25">
        <v>0</v>
      </c>
      <c r="X1150" s="25">
        <v>0</v>
      </c>
      <c r="Y1150" s="25">
        <v>0</v>
      </c>
      <c r="Z1150" s="25">
        <v>0</v>
      </c>
      <c r="AA1150" s="25">
        <v>0</v>
      </c>
      <c r="AB1150" s="25">
        <v>0</v>
      </c>
      <c r="AC1150" s="25">
        <v>0</v>
      </c>
      <c r="AD1150" s="25">
        <v>0</v>
      </c>
      <c r="AE1150" s="25">
        <v>0</v>
      </c>
      <c r="AF1150" s="25">
        <v>0</v>
      </c>
    </row>
    <row r="1151" spans="1:32" x14ac:dyDescent="0.25">
      <c r="A1151" s="25" t="s">
        <v>1220</v>
      </c>
      <c r="B1151" s="25">
        <v>0</v>
      </c>
      <c r="C1151" s="25">
        <v>0</v>
      </c>
      <c r="D1151" s="25">
        <v>0</v>
      </c>
      <c r="E1151" s="25">
        <v>0</v>
      </c>
      <c r="F1151" s="25">
        <v>0</v>
      </c>
      <c r="G1151" s="25">
        <v>0</v>
      </c>
      <c r="H1151" s="25">
        <v>0</v>
      </c>
      <c r="I1151" s="25">
        <v>0</v>
      </c>
      <c r="J1151" s="25">
        <v>0</v>
      </c>
      <c r="K1151" s="25">
        <v>0</v>
      </c>
      <c r="L1151" s="25">
        <v>0</v>
      </c>
      <c r="M1151" s="25">
        <v>0</v>
      </c>
      <c r="N1151" s="25">
        <v>0</v>
      </c>
      <c r="O1151" s="25">
        <v>0</v>
      </c>
      <c r="P1151" s="25">
        <v>0</v>
      </c>
      <c r="Q1151" s="25">
        <v>0</v>
      </c>
      <c r="R1151" s="25">
        <v>0</v>
      </c>
      <c r="S1151" s="25">
        <v>0</v>
      </c>
      <c r="T1151" s="25">
        <v>0</v>
      </c>
      <c r="U1151" s="25">
        <v>0</v>
      </c>
      <c r="V1151" s="25">
        <v>0</v>
      </c>
      <c r="W1151" s="25">
        <v>0</v>
      </c>
      <c r="X1151" s="25">
        <v>0</v>
      </c>
      <c r="Y1151" s="25">
        <v>0</v>
      </c>
      <c r="Z1151" s="25">
        <v>0</v>
      </c>
      <c r="AA1151" s="25">
        <v>0</v>
      </c>
      <c r="AB1151" s="25">
        <v>0</v>
      </c>
      <c r="AC1151" s="25">
        <v>0</v>
      </c>
      <c r="AD1151" s="25">
        <v>0</v>
      </c>
      <c r="AE1151" s="25">
        <v>0</v>
      </c>
      <c r="AF1151" s="25">
        <v>0</v>
      </c>
    </row>
    <row r="1152" spans="1:32" x14ac:dyDescent="0.25">
      <c r="A1152" s="25" t="s">
        <v>1221</v>
      </c>
      <c r="B1152" s="12">
        <v>2868000000000000</v>
      </c>
      <c r="C1152" s="12">
        <v>2912000000000000</v>
      </c>
      <c r="D1152" s="12">
        <v>2968000000000000</v>
      </c>
      <c r="E1152" s="12">
        <v>2906000000000000</v>
      </c>
      <c r="F1152" s="12">
        <v>2910000000000000</v>
      </c>
      <c r="G1152" s="12">
        <v>2914000000000000</v>
      </c>
      <c r="H1152" s="12">
        <v>2911000000000000</v>
      </c>
      <c r="I1152" s="12">
        <v>2902000000000000</v>
      </c>
      <c r="J1152" s="12">
        <v>2888000000000000</v>
      </c>
      <c r="K1152" s="12">
        <v>2871000000000000</v>
      </c>
      <c r="L1152" s="12">
        <v>2854000000000000</v>
      </c>
      <c r="M1152" s="12">
        <v>2835000000000000</v>
      </c>
      <c r="N1152" s="12">
        <v>2819000000000000</v>
      </c>
      <c r="O1152" s="12">
        <v>2803000000000000</v>
      </c>
      <c r="P1152" s="12">
        <v>2789000000000000</v>
      </c>
      <c r="Q1152" s="12">
        <v>2777000000000000</v>
      </c>
      <c r="R1152" s="12">
        <v>2767000000000000</v>
      </c>
      <c r="S1152" s="12">
        <v>2756000000000000</v>
      </c>
      <c r="T1152" s="12">
        <v>2745000000000000</v>
      </c>
      <c r="U1152" s="12">
        <v>2734000000000000</v>
      </c>
      <c r="V1152" s="12">
        <v>2725000000000000</v>
      </c>
      <c r="W1152" s="12">
        <v>2716000000000000</v>
      </c>
      <c r="X1152" s="12">
        <v>2708000000000000</v>
      </c>
      <c r="Y1152" s="12">
        <v>2699000000000000</v>
      </c>
      <c r="Z1152" s="12">
        <v>2691000000000000</v>
      </c>
      <c r="AA1152" s="12">
        <v>2682000000000000</v>
      </c>
      <c r="AB1152" s="12">
        <v>2673000000000000</v>
      </c>
      <c r="AC1152" s="12">
        <v>2663000000000000</v>
      </c>
      <c r="AD1152" s="12">
        <v>2653000000000000</v>
      </c>
      <c r="AE1152" s="12">
        <v>2643000000000000</v>
      </c>
      <c r="AF1152" s="12">
        <v>2632000000000000</v>
      </c>
    </row>
    <row r="1153" spans="1:32" x14ac:dyDescent="0.25">
      <c r="A1153" s="25" t="s">
        <v>1222</v>
      </c>
      <c r="B1153" s="12">
        <v>47660000000000</v>
      </c>
      <c r="C1153" s="12">
        <v>45570000000000</v>
      </c>
      <c r="D1153" s="12">
        <v>42650000000000</v>
      </c>
      <c r="E1153" s="12">
        <v>48720000000000</v>
      </c>
      <c r="F1153" s="12">
        <v>48770000000000</v>
      </c>
      <c r="G1153" s="12">
        <v>48810000000000</v>
      </c>
      <c r="H1153" s="12">
        <v>48810000000000</v>
      </c>
      <c r="I1153" s="12">
        <v>48710000000000</v>
      </c>
      <c r="J1153" s="12">
        <v>48590000000000</v>
      </c>
      <c r="K1153" s="12">
        <v>48410000000000</v>
      </c>
      <c r="L1153" s="12">
        <v>48250000000000</v>
      </c>
      <c r="M1153" s="12">
        <v>48040000000000</v>
      </c>
      <c r="N1153" s="12">
        <v>47830000000000</v>
      </c>
      <c r="O1153" s="12">
        <v>47650000000000</v>
      </c>
      <c r="P1153" s="12">
        <v>47510000000000</v>
      </c>
      <c r="Q1153" s="12">
        <v>47450000000000</v>
      </c>
      <c r="R1153" s="12">
        <v>47490000000000</v>
      </c>
      <c r="S1153" s="12">
        <v>47630000000000</v>
      </c>
      <c r="T1153" s="12">
        <v>47790000000000</v>
      </c>
      <c r="U1153" s="12">
        <v>47960000000000</v>
      </c>
      <c r="V1153" s="12">
        <v>48120000000000</v>
      </c>
      <c r="W1153" s="12">
        <v>48290000000000</v>
      </c>
      <c r="X1153" s="12">
        <v>48470000000000</v>
      </c>
      <c r="Y1153" s="12">
        <v>48630000000000</v>
      </c>
      <c r="Z1153" s="12">
        <v>48820000000000</v>
      </c>
      <c r="AA1153" s="12">
        <v>49000000000000</v>
      </c>
      <c r="AB1153" s="12">
        <v>49180000000000</v>
      </c>
      <c r="AC1153" s="12">
        <v>49370000000000</v>
      </c>
      <c r="AD1153" s="12">
        <v>49560000000000</v>
      </c>
      <c r="AE1153" s="12">
        <v>49750000000000</v>
      </c>
      <c r="AF1153" s="12">
        <v>49930000000000</v>
      </c>
    </row>
    <row r="1154" spans="1:32" x14ac:dyDescent="0.25">
      <c r="A1154" s="25" t="s">
        <v>1223</v>
      </c>
      <c r="B1154" s="25">
        <v>0</v>
      </c>
      <c r="C1154" s="25">
        <v>0</v>
      </c>
      <c r="D1154" s="25">
        <v>0</v>
      </c>
      <c r="E1154" s="25">
        <v>0</v>
      </c>
      <c r="F1154" s="25">
        <v>0</v>
      </c>
      <c r="G1154" s="25">
        <v>0</v>
      </c>
      <c r="H1154" s="25">
        <v>0</v>
      </c>
      <c r="I1154" s="25">
        <v>0</v>
      </c>
      <c r="J1154" s="25">
        <v>0</v>
      </c>
      <c r="K1154" s="25">
        <v>0</v>
      </c>
      <c r="L1154" s="25">
        <v>0</v>
      </c>
      <c r="M1154" s="25">
        <v>0</v>
      </c>
      <c r="N1154" s="25">
        <v>0</v>
      </c>
      <c r="O1154" s="25">
        <v>0</v>
      </c>
      <c r="P1154" s="25">
        <v>0</v>
      </c>
      <c r="Q1154" s="25">
        <v>0</v>
      </c>
      <c r="R1154" s="25">
        <v>0</v>
      </c>
      <c r="S1154" s="25">
        <v>0</v>
      </c>
      <c r="T1154" s="25">
        <v>0</v>
      </c>
      <c r="U1154" s="25">
        <v>0</v>
      </c>
      <c r="V1154" s="25">
        <v>0</v>
      </c>
      <c r="W1154" s="25">
        <v>0</v>
      </c>
      <c r="X1154" s="25">
        <v>0</v>
      </c>
      <c r="Y1154" s="25">
        <v>0</v>
      </c>
      <c r="Z1154" s="25">
        <v>0</v>
      </c>
      <c r="AA1154" s="25">
        <v>0</v>
      </c>
      <c r="AB1154" s="25">
        <v>0</v>
      </c>
      <c r="AC1154" s="25">
        <v>0</v>
      </c>
      <c r="AD1154" s="25">
        <v>0</v>
      </c>
      <c r="AE1154" s="25">
        <v>0</v>
      </c>
      <c r="AF1154" s="25">
        <v>0</v>
      </c>
    </row>
    <row r="1155" spans="1:32" x14ac:dyDescent="0.25">
      <c r="A1155" s="25" t="s">
        <v>1224</v>
      </c>
      <c r="B1155" s="25">
        <v>0</v>
      </c>
      <c r="C1155" s="25">
        <v>0</v>
      </c>
      <c r="D1155" s="25">
        <v>0</v>
      </c>
      <c r="E1155" s="25">
        <v>0</v>
      </c>
      <c r="F1155" s="25">
        <v>0</v>
      </c>
      <c r="G1155" s="25">
        <v>0</v>
      </c>
      <c r="H1155" s="25">
        <v>0</v>
      </c>
      <c r="I1155" s="25">
        <v>0</v>
      </c>
      <c r="J1155" s="25">
        <v>0</v>
      </c>
      <c r="K1155" s="25">
        <v>0</v>
      </c>
      <c r="L1155" s="25">
        <v>0</v>
      </c>
      <c r="M1155" s="25">
        <v>0</v>
      </c>
      <c r="N1155" s="25">
        <v>0</v>
      </c>
      <c r="O1155" s="25">
        <v>0</v>
      </c>
      <c r="P1155" s="25">
        <v>0</v>
      </c>
      <c r="Q1155" s="25">
        <v>0</v>
      </c>
      <c r="R1155" s="25">
        <v>0</v>
      </c>
      <c r="S1155" s="25">
        <v>0</v>
      </c>
      <c r="T1155" s="25">
        <v>0</v>
      </c>
      <c r="U1155" s="25">
        <v>0</v>
      </c>
      <c r="V1155" s="25">
        <v>0</v>
      </c>
      <c r="W1155" s="25">
        <v>0</v>
      </c>
      <c r="X1155" s="25">
        <v>0</v>
      </c>
      <c r="Y1155" s="25">
        <v>0</v>
      </c>
      <c r="Z1155" s="25">
        <v>0</v>
      </c>
      <c r="AA1155" s="25">
        <v>0</v>
      </c>
      <c r="AB1155" s="25">
        <v>0</v>
      </c>
      <c r="AC1155" s="25">
        <v>0</v>
      </c>
      <c r="AD1155" s="25">
        <v>0</v>
      </c>
      <c r="AE1155" s="25">
        <v>0</v>
      </c>
      <c r="AF1155" s="25">
        <v>0</v>
      </c>
    </row>
    <row r="1156" spans="1:32" x14ac:dyDescent="0.25">
      <c r="A1156" s="25" t="s">
        <v>1225</v>
      </c>
      <c r="B1156" s="12">
        <v>935200000000000</v>
      </c>
      <c r="C1156" s="12">
        <v>925700000000000</v>
      </c>
      <c r="D1156" s="12">
        <v>925000000000000</v>
      </c>
      <c r="E1156" s="12">
        <v>930100000000000</v>
      </c>
      <c r="F1156" s="12">
        <v>940700000000000</v>
      </c>
      <c r="G1156" s="12">
        <v>953000000000000</v>
      </c>
      <c r="H1156" s="12">
        <v>964700000000000</v>
      </c>
      <c r="I1156" s="12">
        <v>975600000000000</v>
      </c>
      <c r="J1156" s="12">
        <v>985100000000000</v>
      </c>
      <c r="K1156" s="12">
        <v>993700000000000</v>
      </c>
      <c r="L1156" s="12">
        <v>1003000000000000</v>
      </c>
      <c r="M1156" s="12">
        <v>1009000000000000</v>
      </c>
      <c r="N1156" s="12">
        <v>1016000000000000</v>
      </c>
      <c r="O1156" s="12">
        <v>1023000000000000</v>
      </c>
      <c r="P1156" s="12">
        <v>1030000000000000</v>
      </c>
      <c r="Q1156" s="12">
        <v>1038000000000000</v>
      </c>
      <c r="R1156" s="12">
        <v>1046000000000000</v>
      </c>
      <c r="S1156" s="12">
        <v>1053000000000000</v>
      </c>
      <c r="T1156" s="12">
        <v>1059000000000000</v>
      </c>
      <c r="U1156" s="12">
        <v>1066000000000000</v>
      </c>
      <c r="V1156" s="12">
        <v>1072000000000000</v>
      </c>
      <c r="W1156" s="12">
        <v>1078000000000000</v>
      </c>
      <c r="X1156" s="12">
        <v>1084000000000000</v>
      </c>
      <c r="Y1156" s="12">
        <v>1090000000000000</v>
      </c>
      <c r="Z1156" s="12">
        <v>1097000000000000</v>
      </c>
      <c r="AA1156" s="12">
        <v>1103000000000000</v>
      </c>
      <c r="AB1156" s="12">
        <v>1110000000000000</v>
      </c>
      <c r="AC1156" s="12">
        <v>1117000000000000</v>
      </c>
      <c r="AD1156" s="12">
        <v>1124000000000000</v>
      </c>
      <c r="AE1156" s="12">
        <v>1131000000000000</v>
      </c>
      <c r="AF1156" s="12">
        <v>1138000000000000</v>
      </c>
    </row>
    <row r="1157" spans="1:32" x14ac:dyDescent="0.25">
      <c r="A1157" s="25" t="s">
        <v>1226</v>
      </c>
      <c r="B1157" s="12">
        <v>189800000000000</v>
      </c>
      <c r="C1157" s="12">
        <v>187700000000000</v>
      </c>
      <c r="D1157" s="12">
        <v>186400000000000</v>
      </c>
      <c r="E1157" s="12">
        <v>185900000000000</v>
      </c>
      <c r="F1157" s="12">
        <v>186400000000000</v>
      </c>
      <c r="G1157" s="12">
        <v>187100000000000</v>
      </c>
      <c r="H1157" s="12">
        <v>187700000000000</v>
      </c>
      <c r="I1157" s="12">
        <v>188000000000000</v>
      </c>
      <c r="J1157" s="12">
        <v>187900000000000</v>
      </c>
      <c r="K1157" s="12">
        <v>187500000000000</v>
      </c>
      <c r="L1157" s="12">
        <v>186900000000000</v>
      </c>
      <c r="M1157" s="12">
        <v>185900000000000</v>
      </c>
      <c r="N1157" s="12">
        <v>185000000000000</v>
      </c>
      <c r="O1157" s="12">
        <v>184300000000000</v>
      </c>
      <c r="P1157" s="12">
        <v>183900000000000</v>
      </c>
      <c r="Q1157" s="12">
        <v>183600000000000</v>
      </c>
      <c r="R1157" s="12">
        <v>183400000000000</v>
      </c>
      <c r="S1157" s="12">
        <v>183100000000000</v>
      </c>
      <c r="T1157" s="12">
        <v>182800000000000</v>
      </c>
      <c r="U1157" s="12">
        <v>182500000000000</v>
      </c>
      <c r="V1157" s="12">
        <v>182200000000000</v>
      </c>
      <c r="W1157" s="12">
        <v>182000000000000</v>
      </c>
      <c r="X1157" s="12">
        <v>181700000000000</v>
      </c>
      <c r="Y1157" s="12">
        <v>181500000000000</v>
      </c>
      <c r="Z1157" s="12">
        <v>181300000000000</v>
      </c>
      <c r="AA1157" s="12">
        <v>181000000000000</v>
      </c>
      <c r="AB1157" s="12">
        <v>180800000000000</v>
      </c>
      <c r="AC1157" s="12">
        <v>180500000000000</v>
      </c>
      <c r="AD1157" s="12">
        <v>180300000000000</v>
      </c>
      <c r="AE1157" s="12">
        <v>180100000000000</v>
      </c>
      <c r="AF1157" s="12">
        <v>179800000000000</v>
      </c>
    </row>
    <row r="1158" spans="1:32" x14ac:dyDescent="0.25">
      <c r="A1158" s="25" t="s">
        <v>1227</v>
      </c>
      <c r="B1158" s="12">
        <v>303000000000000</v>
      </c>
      <c r="C1158" s="12">
        <v>296800000000000</v>
      </c>
      <c r="D1158" s="12">
        <v>316400000000000</v>
      </c>
      <c r="E1158" s="12">
        <v>295800000000000</v>
      </c>
      <c r="F1158" s="12">
        <v>288800000000000</v>
      </c>
      <c r="G1158" s="12">
        <v>281800000000000</v>
      </c>
      <c r="H1158" s="12">
        <v>275100000000000</v>
      </c>
      <c r="I1158" s="12">
        <v>268700000000000</v>
      </c>
      <c r="J1158" s="12">
        <v>263000000000000</v>
      </c>
      <c r="K1158" s="12">
        <v>257900000000000</v>
      </c>
      <c r="L1158" s="12">
        <v>253200000000000</v>
      </c>
      <c r="M1158" s="12">
        <v>248500000000000</v>
      </c>
      <c r="N1158" s="12">
        <v>244000000000000</v>
      </c>
      <c r="O1158" s="12">
        <v>239700000000000</v>
      </c>
      <c r="P1158" s="12">
        <v>235600000000000</v>
      </c>
      <c r="Q1158" s="12">
        <v>231600000000000</v>
      </c>
      <c r="R1158" s="12">
        <v>227600000000000</v>
      </c>
      <c r="S1158" s="12">
        <v>223700000000000</v>
      </c>
      <c r="T1158" s="12">
        <v>219900000000000</v>
      </c>
      <c r="U1158" s="12">
        <v>216200000000000</v>
      </c>
      <c r="V1158" s="12">
        <v>212700000000000</v>
      </c>
      <c r="W1158" s="12">
        <v>209200000000000</v>
      </c>
      <c r="X1158" s="12">
        <v>205900000000000</v>
      </c>
      <c r="Y1158" s="12">
        <v>202400000000000</v>
      </c>
      <c r="Z1158" s="12">
        <v>198800000000000</v>
      </c>
      <c r="AA1158" s="12">
        <v>195300000000000</v>
      </c>
      <c r="AB1158" s="12">
        <v>191800000000000</v>
      </c>
      <c r="AC1158" s="12">
        <v>188400000000000</v>
      </c>
      <c r="AD1158" s="12">
        <v>185100000000000</v>
      </c>
      <c r="AE1158" s="12">
        <v>181800000000000</v>
      </c>
      <c r="AF1158" s="12">
        <v>178600000000000</v>
      </c>
    </row>
    <row r="1159" spans="1:32" x14ac:dyDescent="0.25">
      <c r="A1159" s="25" t="s">
        <v>1228</v>
      </c>
      <c r="B1159" s="25">
        <v>0</v>
      </c>
      <c r="C1159" s="25">
        <v>0</v>
      </c>
      <c r="D1159" s="25">
        <v>0</v>
      </c>
      <c r="E1159" s="25">
        <v>0</v>
      </c>
      <c r="F1159" s="25">
        <v>0</v>
      </c>
      <c r="G1159" s="25">
        <v>0</v>
      </c>
      <c r="H1159" s="25">
        <v>0</v>
      </c>
      <c r="I1159" s="25">
        <v>0</v>
      </c>
      <c r="J1159" s="25">
        <v>0</v>
      </c>
      <c r="K1159" s="25">
        <v>0</v>
      </c>
      <c r="L1159" s="25">
        <v>0</v>
      </c>
      <c r="M1159" s="25">
        <v>0</v>
      </c>
      <c r="N1159" s="25">
        <v>0</v>
      </c>
      <c r="O1159" s="25">
        <v>0</v>
      </c>
      <c r="P1159" s="25">
        <v>0</v>
      </c>
      <c r="Q1159" s="25">
        <v>0</v>
      </c>
      <c r="R1159" s="25">
        <v>0</v>
      </c>
      <c r="S1159" s="25">
        <v>0</v>
      </c>
      <c r="T1159" s="25">
        <v>0</v>
      </c>
      <c r="U1159" s="25">
        <v>0</v>
      </c>
      <c r="V1159" s="25">
        <v>0</v>
      </c>
      <c r="W1159" s="25">
        <v>0</v>
      </c>
      <c r="X1159" s="25">
        <v>0</v>
      </c>
      <c r="Y1159" s="25">
        <v>0</v>
      </c>
      <c r="Z1159" s="25">
        <v>0</v>
      </c>
      <c r="AA1159" s="25">
        <v>0</v>
      </c>
      <c r="AB1159" s="25">
        <v>0</v>
      </c>
      <c r="AC1159" s="25">
        <v>0</v>
      </c>
      <c r="AD1159" s="25">
        <v>0</v>
      </c>
      <c r="AE1159" s="25">
        <v>0</v>
      </c>
      <c r="AF1159" s="25">
        <v>0</v>
      </c>
    </row>
    <row r="1160" spans="1:32" x14ac:dyDescent="0.25">
      <c r="A1160" s="25" t="s">
        <v>1229</v>
      </c>
      <c r="B1160" s="25">
        <v>0</v>
      </c>
      <c r="C1160" s="25">
        <v>0</v>
      </c>
      <c r="D1160" s="25">
        <v>0</v>
      </c>
      <c r="E1160" s="25">
        <v>0</v>
      </c>
      <c r="F1160" s="25">
        <v>0</v>
      </c>
      <c r="G1160" s="25">
        <v>0</v>
      </c>
      <c r="H1160" s="25">
        <v>0</v>
      </c>
      <c r="I1160" s="25">
        <v>0</v>
      </c>
      <c r="J1160" s="25">
        <v>0</v>
      </c>
      <c r="K1160" s="25">
        <v>0</v>
      </c>
      <c r="L1160" s="25">
        <v>0</v>
      </c>
      <c r="M1160" s="25">
        <v>0</v>
      </c>
      <c r="N1160" s="25">
        <v>0</v>
      </c>
      <c r="O1160" s="25">
        <v>0</v>
      </c>
      <c r="P1160" s="25">
        <v>0</v>
      </c>
      <c r="Q1160" s="25">
        <v>0</v>
      </c>
      <c r="R1160" s="25">
        <v>0</v>
      </c>
      <c r="S1160" s="25">
        <v>0</v>
      </c>
      <c r="T1160" s="25">
        <v>0</v>
      </c>
      <c r="U1160" s="25">
        <v>0</v>
      </c>
      <c r="V1160" s="25">
        <v>0</v>
      </c>
      <c r="W1160" s="25">
        <v>0</v>
      </c>
      <c r="X1160" s="25">
        <v>0</v>
      </c>
      <c r="Y1160" s="25">
        <v>0</v>
      </c>
      <c r="Z1160" s="25">
        <v>0</v>
      </c>
      <c r="AA1160" s="25">
        <v>0</v>
      </c>
      <c r="AB1160" s="25">
        <v>0</v>
      </c>
      <c r="AC1160" s="25">
        <v>0</v>
      </c>
      <c r="AD1160" s="25">
        <v>0</v>
      </c>
      <c r="AE1160" s="25">
        <v>0</v>
      </c>
      <c r="AF1160" s="25">
        <v>0</v>
      </c>
    </row>
    <row r="1161" spans="1:32" x14ac:dyDescent="0.25">
      <c r="A1161" s="25" t="s">
        <v>1230</v>
      </c>
      <c r="B1161" s="25">
        <v>0</v>
      </c>
      <c r="C1161" s="25">
        <v>0</v>
      </c>
      <c r="D1161" s="25">
        <v>0</v>
      </c>
      <c r="E1161" s="25">
        <v>0</v>
      </c>
      <c r="F1161" s="25">
        <v>0</v>
      </c>
      <c r="G1161" s="25">
        <v>0</v>
      </c>
      <c r="H1161" s="25">
        <v>0</v>
      </c>
      <c r="I1161" s="25">
        <v>0</v>
      </c>
      <c r="J1161" s="25">
        <v>0</v>
      </c>
      <c r="K1161" s="25">
        <v>0</v>
      </c>
      <c r="L1161" s="25">
        <v>0</v>
      </c>
      <c r="M1161" s="25">
        <v>0</v>
      </c>
      <c r="N1161" s="25">
        <v>0</v>
      </c>
      <c r="O1161" s="25">
        <v>0</v>
      </c>
      <c r="P1161" s="25">
        <v>0</v>
      </c>
      <c r="Q1161" s="25">
        <v>0</v>
      </c>
      <c r="R1161" s="25">
        <v>0</v>
      </c>
      <c r="S1161" s="25">
        <v>0</v>
      </c>
      <c r="T1161" s="25">
        <v>0</v>
      </c>
      <c r="U1161" s="25">
        <v>0</v>
      </c>
      <c r="V1161" s="25">
        <v>0</v>
      </c>
      <c r="W1161" s="25">
        <v>0</v>
      </c>
      <c r="X1161" s="25">
        <v>0</v>
      </c>
      <c r="Y1161" s="25">
        <v>0</v>
      </c>
      <c r="Z1161" s="25">
        <v>0</v>
      </c>
      <c r="AA1161" s="25">
        <v>0</v>
      </c>
      <c r="AB1161" s="25">
        <v>0</v>
      </c>
      <c r="AC1161" s="25">
        <v>0</v>
      </c>
      <c r="AD1161" s="25">
        <v>0</v>
      </c>
      <c r="AE1161" s="25">
        <v>0</v>
      </c>
      <c r="AF1161" s="25">
        <v>0</v>
      </c>
    </row>
    <row r="1162" spans="1:32" x14ac:dyDescent="0.25">
      <c r="A1162" s="25" t="s">
        <v>1231</v>
      </c>
      <c r="B1162" s="12">
        <v>39650000000000</v>
      </c>
      <c r="C1162" s="12">
        <v>37950000000000</v>
      </c>
      <c r="D1162" s="12">
        <v>36180000000000</v>
      </c>
      <c r="E1162" s="12">
        <v>34640000000000</v>
      </c>
      <c r="F1162" s="12">
        <v>33230000000000</v>
      </c>
      <c r="G1162" s="12">
        <v>31990000000000</v>
      </c>
      <c r="H1162" s="12">
        <v>30920000000000</v>
      </c>
      <c r="I1162" s="12">
        <v>30020000000000</v>
      </c>
      <c r="J1162" s="12">
        <v>29310000000000</v>
      </c>
      <c r="K1162" s="12">
        <v>28800000000000</v>
      </c>
      <c r="L1162" s="12">
        <v>28480000000000</v>
      </c>
      <c r="M1162" s="12">
        <v>28090000000000</v>
      </c>
      <c r="N1162" s="12">
        <v>27690000000000</v>
      </c>
      <c r="O1162" s="12">
        <v>27270000000000</v>
      </c>
      <c r="P1162" s="12">
        <v>26850000000000</v>
      </c>
      <c r="Q1162" s="12">
        <v>26430000000000</v>
      </c>
      <c r="R1162" s="12">
        <v>25980000000000</v>
      </c>
      <c r="S1162" s="12">
        <v>25530000000000</v>
      </c>
      <c r="T1162" s="12">
        <v>25070000000000</v>
      </c>
      <c r="U1162" s="12">
        <v>24640000000000</v>
      </c>
      <c r="V1162" s="12">
        <v>24200000000000</v>
      </c>
      <c r="W1162" s="12">
        <v>23790000000000</v>
      </c>
      <c r="X1162" s="12">
        <v>23390000000000</v>
      </c>
      <c r="Y1162" s="12">
        <v>23010000000000</v>
      </c>
      <c r="Z1162" s="12">
        <v>22630000000000</v>
      </c>
      <c r="AA1162" s="12">
        <v>22280000000000</v>
      </c>
      <c r="AB1162" s="12">
        <v>21940000000000</v>
      </c>
      <c r="AC1162" s="12">
        <v>21620000000000</v>
      </c>
      <c r="AD1162" s="12">
        <v>21330000000000</v>
      </c>
      <c r="AE1162" s="12">
        <v>21060000000000</v>
      </c>
      <c r="AF1162" s="12">
        <v>20790000000000</v>
      </c>
    </row>
    <row r="1163" spans="1:32" x14ac:dyDescent="0.25">
      <c r="A1163" s="25" t="s">
        <v>1232</v>
      </c>
      <c r="B1163" s="12">
        <v>6384000000000</v>
      </c>
      <c r="C1163" s="12">
        <v>6354000000000</v>
      </c>
      <c r="D1163" s="12">
        <v>6310000000000</v>
      </c>
      <c r="E1163" s="12">
        <v>6278000000000</v>
      </c>
      <c r="F1163" s="12">
        <v>6238000000000</v>
      </c>
      <c r="G1163" s="12">
        <v>6196000000000</v>
      </c>
      <c r="H1163" s="12">
        <v>6157000000000</v>
      </c>
      <c r="I1163" s="12">
        <v>6122000000000</v>
      </c>
      <c r="J1163" s="12">
        <v>6094000000000</v>
      </c>
      <c r="K1163" s="12">
        <v>6072000000000</v>
      </c>
      <c r="L1163" s="12">
        <v>6057000000000</v>
      </c>
      <c r="M1163" s="12">
        <v>6039000000000</v>
      </c>
      <c r="N1163" s="12">
        <v>6021000000000</v>
      </c>
      <c r="O1163" s="12">
        <v>6004000000000</v>
      </c>
      <c r="P1163" s="12">
        <v>5989000000000</v>
      </c>
      <c r="Q1163" s="12">
        <v>5975000000000</v>
      </c>
      <c r="R1163" s="12">
        <v>5958000000000</v>
      </c>
      <c r="S1163" s="12">
        <v>5940000000000</v>
      </c>
      <c r="T1163" s="12">
        <v>5922000000000</v>
      </c>
      <c r="U1163" s="12">
        <v>5907000000000</v>
      </c>
      <c r="V1163" s="12">
        <v>5890000000000</v>
      </c>
      <c r="W1163" s="12">
        <v>5875000000000</v>
      </c>
      <c r="X1163" s="12">
        <v>5861000000000</v>
      </c>
      <c r="Y1163" s="12">
        <v>5845000000000</v>
      </c>
      <c r="Z1163" s="12">
        <v>5827000000000</v>
      </c>
      <c r="AA1163" s="12">
        <v>5810000000000</v>
      </c>
      <c r="AB1163" s="12">
        <v>5794000000000</v>
      </c>
      <c r="AC1163" s="12">
        <v>5780000000000</v>
      </c>
      <c r="AD1163" s="12">
        <v>5769000000000</v>
      </c>
      <c r="AE1163" s="12">
        <v>5760000000000</v>
      </c>
      <c r="AF1163" s="12">
        <v>5751000000000</v>
      </c>
    </row>
    <row r="1164" spans="1:32" x14ac:dyDescent="0.25">
      <c r="A1164" s="25" t="s">
        <v>1233</v>
      </c>
      <c r="B1164" s="25">
        <v>0</v>
      </c>
      <c r="C1164" s="25">
        <v>0</v>
      </c>
      <c r="D1164" s="25">
        <v>0</v>
      </c>
      <c r="E1164" s="25">
        <v>0</v>
      </c>
      <c r="F1164" s="25">
        <v>0</v>
      </c>
      <c r="G1164" s="25">
        <v>0</v>
      </c>
      <c r="H1164" s="25">
        <v>0</v>
      </c>
      <c r="I1164" s="25">
        <v>0</v>
      </c>
      <c r="J1164" s="25">
        <v>0</v>
      </c>
      <c r="K1164" s="25">
        <v>0</v>
      </c>
      <c r="L1164" s="25">
        <v>0</v>
      </c>
      <c r="M1164" s="25">
        <v>0</v>
      </c>
      <c r="N1164" s="25">
        <v>0</v>
      </c>
      <c r="O1164" s="25">
        <v>0</v>
      </c>
      <c r="P1164" s="25">
        <v>0</v>
      </c>
      <c r="Q1164" s="25">
        <v>0</v>
      </c>
      <c r="R1164" s="25">
        <v>0</v>
      </c>
      <c r="S1164" s="25">
        <v>0</v>
      </c>
      <c r="T1164" s="25">
        <v>0</v>
      </c>
      <c r="U1164" s="25">
        <v>0</v>
      </c>
      <c r="V1164" s="25">
        <v>0</v>
      </c>
      <c r="W1164" s="25">
        <v>0</v>
      </c>
      <c r="X1164" s="25">
        <v>0</v>
      </c>
      <c r="Y1164" s="25">
        <v>0</v>
      </c>
      <c r="Z1164" s="25">
        <v>0</v>
      </c>
      <c r="AA1164" s="25">
        <v>0</v>
      </c>
      <c r="AB1164" s="25">
        <v>0</v>
      </c>
      <c r="AC1164" s="25">
        <v>0</v>
      </c>
      <c r="AD1164" s="25">
        <v>0</v>
      </c>
      <c r="AE1164" s="25">
        <v>0</v>
      </c>
      <c r="AF1164" s="25">
        <v>0</v>
      </c>
    </row>
    <row r="1165" spans="1:32" x14ac:dyDescent="0.25">
      <c r="A1165" s="25" t="s">
        <v>1234</v>
      </c>
      <c r="B1165" s="25">
        <v>0</v>
      </c>
      <c r="C1165" s="25">
        <v>0</v>
      </c>
      <c r="D1165" s="25">
        <v>0</v>
      </c>
      <c r="E1165" s="25">
        <v>0</v>
      </c>
      <c r="F1165" s="25">
        <v>0</v>
      </c>
      <c r="G1165" s="25">
        <v>0</v>
      </c>
      <c r="H1165" s="25">
        <v>0</v>
      </c>
      <c r="I1165" s="25">
        <v>0</v>
      </c>
      <c r="J1165" s="25">
        <v>0</v>
      </c>
      <c r="K1165" s="25">
        <v>0</v>
      </c>
      <c r="L1165" s="25">
        <v>0</v>
      </c>
      <c r="M1165" s="25">
        <v>0</v>
      </c>
      <c r="N1165" s="25">
        <v>0</v>
      </c>
      <c r="O1165" s="25">
        <v>0</v>
      </c>
      <c r="P1165" s="25">
        <v>0</v>
      </c>
      <c r="Q1165" s="25">
        <v>0</v>
      </c>
      <c r="R1165" s="25">
        <v>0</v>
      </c>
      <c r="S1165" s="25">
        <v>0</v>
      </c>
      <c r="T1165" s="25">
        <v>0</v>
      </c>
      <c r="U1165" s="25">
        <v>0</v>
      </c>
      <c r="V1165" s="25">
        <v>0</v>
      </c>
      <c r="W1165" s="25">
        <v>0</v>
      </c>
      <c r="X1165" s="25">
        <v>0</v>
      </c>
      <c r="Y1165" s="25">
        <v>0</v>
      </c>
      <c r="Z1165" s="25">
        <v>0</v>
      </c>
      <c r="AA1165" s="25">
        <v>0</v>
      </c>
      <c r="AB1165" s="25">
        <v>0</v>
      </c>
      <c r="AC1165" s="25">
        <v>0</v>
      </c>
      <c r="AD1165" s="25">
        <v>0</v>
      </c>
      <c r="AE1165" s="25">
        <v>0</v>
      </c>
      <c r="AF1165" s="25">
        <v>0</v>
      </c>
    </row>
    <row r="1166" spans="1:32" x14ac:dyDescent="0.25">
      <c r="A1166" s="25" t="s">
        <v>1235</v>
      </c>
      <c r="B1166" s="25">
        <v>0</v>
      </c>
      <c r="C1166" s="25">
        <v>0</v>
      </c>
      <c r="D1166" s="25">
        <v>0</v>
      </c>
      <c r="E1166" s="25">
        <v>0</v>
      </c>
      <c r="F1166" s="25">
        <v>0</v>
      </c>
      <c r="G1166" s="25">
        <v>0</v>
      </c>
      <c r="H1166" s="25">
        <v>0</v>
      </c>
      <c r="I1166" s="25">
        <v>0</v>
      </c>
      <c r="J1166" s="25">
        <v>0</v>
      </c>
      <c r="K1166" s="25">
        <v>0</v>
      </c>
      <c r="L1166" s="25">
        <v>0</v>
      </c>
      <c r="M1166" s="25">
        <v>0</v>
      </c>
      <c r="N1166" s="25">
        <v>0</v>
      </c>
      <c r="O1166" s="25">
        <v>0</v>
      </c>
      <c r="P1166" s="25">
        <v>0</v>
      </c>
      <c r="Q1166" s="25">
        <v>0</v>
      </c>
      <c r="R1166" s="25">
        <v>0</v>
      </c>
      <c r="S1166" s="25">
        <v>0</v>
      </c>
      <c r="T1166" s="25">
        <v>0</v>
      </c>
      <c r="U1166" s="25">
        <v>0</v>
      </c>
      <c r="V1166" s="25">
        <v>0</v>
      </c>
      <c r="W1166" s="25">
        <v>0</v>
      </c>
      <c r="X1166" s="25">
        <v>0</v>
      </c>
      <c r="Y1166" s="25">
        <v>0</v>
      </c>
      <c r="Z1166" s="25">
        <v>0</v>
      </c>
      <c r="AA1166" s="25">
        <v>0</v>
      </c>
      <c r="AB1166" s="25">
        <v>0</v>
      </c>
      <c r="AC1166" s="25">
        <v>0</v>
      </c>
      <c r="AD1166" s="25">
        <v>0</v>
      </c>
      <c r="AE1166" s="25">
        <v>0</v>
      </c>
      <c r="AF1166" s="25">
        <v>0</v>
      </c>
    </row>
    <row r="1167" spans="1:32" x14ac:dyDescent="0.25">
      <c r="A1167" s="25" t="s">
        <v>1236</v>
      </c>
      <c r="B1167" s="25">
        <v>0</v>
      </c>
      <c r="C1167" s="25">
        <v>0</v>
      </c>
      <c r="D1167" s="25">
        <v>0</v>
      </c>
      <c r="E1167" s="25">
        <v>0</v>
      </c>
      <c r="F1167" s="25">
        <v>0</v>
      </c>
      <c r="G1167" s="25">
        <v>0</v>
      </c>
      <c r="H1167" s="25">
        <v>0</v>
      </c>
      <c r="I1167" s="25">
        <v>0</v>
      </c>
      <c r="J1167" s="25">
        <v>0</v>
      </c>
      <c r="K1167" s="25">
        <v>0</v>
      </c>
      <c r="L1167" s="25">
        <v>0</v>
      </c>
      <c r="M1167" s="25">
        <v>0</v>
      </c>
      <c r="N1167" s="25">
        <v>0</v>
      </c>
      <c r="O1167" s="25">
        <v>0</v>
      </c>
      <c r="P1167" s="25">
        <v>0</v>
      </c>
      <c r="Q1167" s="25">
        <v>0</v>
      </c>
      <c r="R1167" s="25">
        <v>0</v>
      </c>
      <c r="S1167" s="25">
        <v>0</v>
      </c>
      <c r="T1167" s="25">
        <v>0</v>
      </c>
      <c r="U1167" s="25">
        <v>0</v>
      </c>
      <c r="V1167" s="25">
        <v>0</v>
      </c>
      <c r="W1167" s="25">
        <v>0</v>
      </c>
      <c r="X1167" s="25">
        <v>0</v>
      </c>
      <c r="Y1167" s="25">
        <v>0</v>
      </c>
      <c r="Z1167" s="25">
        <v>0</v>
      </c>
      <c r="AA1167" s="25">
        <v>0</v>
      </c>
      <c r="AB1167" s="25">
        <v>0</v>
      </c>
      <c r="AC1167" s="25">
        <v>0</v>
      </c>
      <c r="AD1167" s="25">
        <v>0</v>
      </c>
      <c r="AE1167" s="25">
        <v>0</v>
      </c>
      <c r="AF1167" s="25">
        <v>0</v>
      </c>
    </row>
    <row r="1168" spans="1:32" x14ac:dyDescent="0.25">
      <c r="A1168" s="25" t="s">
        <v>1237</v>
      </c>
      <c r="B1168" s="25">
        <v>0</v>
      </c>
      <c r="C1168" s="25">
        <v>0</v>
      </c>
      <c r="D1168" s="25">
        <v>0</v>
      </c>
      <c r="E1168" s="25">
        <v>0</v>
      </c>
      <c r="F1168" s="25">
        <v>0</v>
      </c>
      <c r="G1168" s="25">
        <v>0</v>
      </c>
      <c r="H1168" s="25">
        <v>0</v>
      </c>
      <c r="I1168" s="25">
        <v>0</v>
      </c>
      <c r="J1168" s="25">
        <v>0</v>
      </c>
      <c r="K1168" s="25">
        <v>0</v>
      </c>
      <c r="L1168" s="25">
        <v>0</v>
      </c>
      <c r="M1168" s="25">
        <v>0</v>
      </c>
      <c r="N1168" s="25">
        <v>0</v>
      </c>
      <c r="O1168" s="25">
        <v>0</v>
      </c>
      <c r="P1168" s="25">
        <v>0</v>
      </c>
      <c r="Q1168" s="25">
        <v>0</v>
      </c>
      <c r="R1168" s="25">
        <v>0</v>
      </c>
      <c r="S1168" s="25">
        <v>0</v>
      </c>
      <c r="T1168" s="25">
        <v>0</v>
      </c>
      <c r="U1168" s="25">
        <v>0</v>
      </c>
      <c r="V1168" s="25">
        <v>0</v>
      </c>
      <c r="W1168" s="25">
        <v>0</v>
      </c>
      <c r="X1168" s="25">
        <v>0</v>
      </c>
      <c r="Y1168" s="25">
        <v>0</v>
      </c>
      <c r="Z1168" s="25">
        <v>0</v>
      </c>
      <c r="AA1168" s="25">
        <v>0</v>
      </c>
      <c r="AB1168" s="25">
        <v>0</v>
      </c>
      <c r="AC1168" s="25">
        <v>0</v>
      </c>
      <c r="AD1168" s="25">
        <v>0</v>
      </c>
      <c r="AE1168" s="25">
        <v>0</v>
      </c>
      <c r="AF1168" s="25">
        <v>0</v>
      </c>
    </row>
    <row r="1169" spans="1:32" x14ac:dyDescent="0.25">
      <c r="A1169" s="25" t="s">
        <v>1238</v>
      </c>
      <c r="B1169" s="25">
        <v>0</v>
      </c>
      <c r="C1169" s="25">
        <v>0</v>
      </c>
      <c r="D1169" s="25">
        <v>0</v>
      </c>
      <c r="E1169" s="25">
        <v>0</v>
      </c>
      <c r="F1169" s="25">
        <v>0</v>
      </c>
      <c r="G1169" s="25">
        <v>0</v>
      </c>
      <c r="H1169" s="25">
        <v>0</v>
      </c>
      <c r="I1169" s="25">
        <v>0</v>
      </c>
      <c r="J1169" s="25">
        <v>0</v>
      </c>
      <c r="K1169" s="25">
        <v>0</v>
      </c>
      <c r="L1169" s="25">
        <v>0</v>
      </c>
      <c r="M1169" s="25">
        <v>0</v>
      </c>
      <c r="N1169" s="25">
        <v>0</v>
      </c>
      <c r="O1169" s="25">
        <v>0</v>
      </c>
      <c r="P1169" s="25">
        <v>0</v>
      </c>
      <c r="Q1169" s="25">
        <v>0</v>
      </c>
      <c r="R1169" s="25">
        <v>0</v>
      </c>
      <c r="S1169" s="25">
        <v>0</v>
      </c>
      <c r="T1169" s="25">
        <v>0</v>
      </c>
      <c r="U1169" s="25">
        <v>0</v>
      </c>
      <c r="V1169" s="25">
        <v>0</v>
      </c>
      <c r="W1169" s="25">
        <v>0</v>
      </c>
      <c r="X1169" s="25">
        <v>0</v>
      </c>
      <c r="Y1169" s="25">
        <v>0</v>
      </c>
      <c r="Z1169" s="25">
        <v>0</v>
      </c>
      <c r="AA1169" s="25">
        <v>0</v>
      </c>
      <c r="AB1169" s="25">
        <v>0</v>
      </c>
      <c r="AC1169" s="25">
        <v>0</v>
      </c>
      <c r="AD1169" s="25">
        <v>0</v>
      </c>
      <c r="AE1169" s="25">
        <v>0</v>
      </c>
      <c r="AF1169" s="25">
        <v>0</v>
      </c>
    </row>
    <row r="1170" spans="1:32" x14ac:dyDescent="0.25">
      <c r="A1170" s="25" t="s">
        <v>1239</v>
      </c>
      <c r="B1170" s="12">
        <v>372000000000000</v>
      </c>
      <c r="C1170" s="12">
        <v>377100000000000</v>
      </c>
      <c r="D1170" s="12">
        <v>393300000000000</v>
      </c>
      <c r="E1170" s="12">
        <v>368700000000000</v>
      </c>
      <c r="F1170" s="12">
        <v>366600000000000</v>
      </c>
      <c r="G1170" s="12">
        <v>364900000000000</v>
      </c>
      <c r="H1170" s="12">
        <v>362800000000000</v>
      </c>
      <c r="I1170" s="12">
        <v>359800000000000</v>
      </c>
      <c r="J1170" s="12">
        <v>356100000000000</v>
      </c>
      <c r="K1170" s="12">
        <v>351300000000000</v>
      </c>
      <c r="L1170" s="12">
        <v>345200000000000</v>
      </c>
      <c r="M1170" s="12">
        <v>339800000000000</v>
      </c>
      <c r="N1170" s="12">
        <v>334400000000000</v>
      </c>
      <c r="O1170" s="12">
        <v>328700000000000</v>
      </c>
      <c r="P1170" s="12">
        <v>322600000000000</v>
      </c>
      <c r="Q1170" s="12">
        <v>316600000000000</v>
      </c>
      <c r="R1170" s="12">
        <v>310800000000000</v>
      </c>
      <c r="S1170" s="12">
        <v>305700000000000</v>
      </c>
      <c r="T1170" s="12">
        <v>300800000000000</v>
      </c>
      <c r="U1170" s="12">
        <v>295700000000000</v>
      </c>
      <c r="V1170" s="12">
        <v>291000000000000</v>
      </c>
      <c r="W1170" s="12">
        <v>286500000000000</v>
      </c>
      <c r="X1170" s="12">
        <v>282000000000000</v>
      </c>
      <c r="Y1170" s="12">
        <v>278200000000000</v>
      </c>
      <c r="Z1170" s="12">
        <v>275200000000000</v>
      </c>
      <c r="AA1170" s="12">
        <v>272200000000000</v>
      </c>
      <c r="AB1170" s="12">
        <v>269500000000000</v>
      </c>
      <c r="AC1170" s="12">
        <v>266400000000000</v>
      </c>
      <c r="AD1170" s="12">
        <v>262900000000000</v>
      </c>
      <c r="AE1170" s="12">
        <v>259100000000000</v>
      </c>
      <c r="AF1170" s="12">
        <v>255200000000000</v>
      </c>
    </row>
    <row r="1171" spans="1:32" x14ac:dyDescent="0.25">
      <c r="A1171" s="25" t="s">
        <v>1240</v>
      </c>
      <c r="B1171" s="25">
        <v>0</v>
      </c>
      <c r="C1171" s="25">
        <v>0</v>
      </c>
      <c r="D1171" s="25">
        <v>0</v>
      </c>
      <c r="E1171" s="25">
        <v>0</v>
      </c>
      <c r="F1171" s="25">
        <v>0</v>
      </c>
      <c r="G1171" s="25">
        <v>0</v>
      </c>
      <c r="H1171" s="25">
        <v>0</v>
      </c>
      <c r="I1171" s="25">
        <v>0</v>
      </c>
      <c r="J1171" s="25">
        <v>0</v>
      </c>
      <c r="K1171" s="25">
        <v>0</v>
      </c>
      <c r="L1171" s="25">
        <v>0</v>
      </c>
      <c r="M1171" s="25">
        <v>0</v>
      </c>
      <c r="N1171" s="25">
        <v>0</v>
      </c>
      <c r="O1171" s="25">
        <v>0</v>
      </c>
      <c r="P1171" s="25">
        <v>0</v>
      </c>
      <c r="Q1171" s="25">
        <v>0</v>
      </c>
      <c r="R1171" s="25">
        <v>0</v>
      </c>
      <c r="S1171" s="25">
        <v>0</v>
      </c>
      <c r="T1171" s="25">
        <v>0</v>
      </c>
      <c r="U1171" s="25">
        <v>0</v>
      </c>
      <c r="V1171" s="25">
        <v>0</v>
      </c>
      <c r="W1171" s="25">
        <v>0</v>
      </c>
      <c r="X1171" s="25">
        <v>0</v>
      </c>
      <c r="Y1171" s="25">
        <v>0</v>
      </c>
      <c r="Z1171" s="25">
        <v>0</v>
      </c>
      <c r="AA1171" s="25">
        <v>0</v>
      </c>
      <c r="AB1171" s="25">
        <v>0</v>
      </c>
      <c r="AC1171" s="25">
        <v>0</v>
      </c>
      <c r="AD1171" s="25">
        <v>0</v>
      </c>
      <c r="AE1171" s="25">
        <v>0</v>
      </c>
      <c r="AF1171" s="25">
        <v>0</v>
      </c>
    </row>
    <row r="1172" spans="1:32" x14ac:dyDescent="0.25">
      <c r="A1172" s="25" t="s">
        <v>1241</v>
      </c>
      <c r="B1172" s="25">
        <v>0</v>
      </c>
      <c r="C1172" s="25">
        <v>0</v>
      </c>
      <c r="D1172" s="25">
        <v>0</v>
      </c>
      <c r="E1172" s="25">
        <v>0</v>
      </c>
      <c r="F1172" s="25">
        <v>0</v>
      </c>
      <c r="G1172" s="25">
        <v>0</v>
      </c>
      <c r="H1172" s="25">
        <v>0</v>
      </c>
      <c r="I1172" s="25">
        <v>0</v>
      </c>
      <c r="J1172" s="25">
        <v>0</v>
      </c>
      <c r="K1172" s="25">
        <v>0</v>
      </c>
      <c r="L1172" s="25">
        <v>0</v>
      </c>
      <c r="M1172" s="25">
        <v>0</v>
      </c>
      <c r="N1172" s="25">
        <v>0</v>
      </c>
      <c r="O1172" s="25">
        <v>0</v>
      </c>
      <c r="P1172" s="25">
        <v>0</v>
      </c>
      <c r="Q1172" s="25">
        <v>0</v>
      </c>
      <c r="R1172" s="25">
        <v>0</v>
      </c>
      <c r="S1172" s="25">
        <v>0</v>
      </c>
      <c r="T1172" s="25">
        <v>0</v>
      </c>
      <c r="U1172" s="25">
        <v>0</v>
      </c>
      <c r="V1172" s="25">
        <v>0</v>
      </c>
      <c r="W1172" s="25">
        <v>0</v>
      </c>
      <c r="X1172" s="25">
        <v>0</v>
      </c>
      <c r="Y1172" s="25">
        <v>0</v>
      </c>
      <c r="Z1172" s="25">
        <v>0</v>
      </c>
      <c r="AA1172" s="25">
        <v>0</v>
      </c>
      <c r="AB1172" s="25">
        <v>0</v>
      </c>
      <c r="AC1172" s="25">
        <v>0</v>
      </c>
      <c r="AD1172" s="25">
        <v>0</v>
      </c>
      <c r="AE1172" s="25">
        <v>0</v>
      </c>
      <c r="AF1172" s="25">
        <v>0</v>
      </c>
    </row>
    <row r="1173" spans="1:32" x14ac:dyDescent="0.25">
      <c r="A1173" s="25" t="s">
        <v>1242</v>
      </c>
      <c r="B1173" s="25">
        <v>0</v>
      </c>
      <c r="C1173" s="25">
        <v>0</v>
      </c>
      <c r="D1173" s="25">
        <v>0</v>
      </c>
      <c r="E1173" s="25">
        <v>0</v>
      </c>
      <c r="F1173" s="25">
        <v>0</v>
      </c>
      <c r="G1173" s="25">
        <v>0</v>
      </c>
      <c r="H1173" s="25">
        <v>0</v>
      </c>
      <c r="I1173" s="25">
        <v>0</v>
      </c>
      <c r="J1173" s="25">
        <v>0</v>
      </c>
      <c r="K1173" s="25">
        <v>0</v>
      </c>
      <c r="L1173" s="25">
        <v>0</v>
      </c>
      <c r="M1173" s="25">
        <v>0</v>
      </c>
      <c r="N1173" s="25">
        <v>0</v>
      </c>
      <c r="O1173" s="25">
        <v>0</v>
      </c>
      <c r="P1173" s="25">
        <v>0</v>
      </c>
      <c r="Q1173" s="25">
        <v>0</v>
      </c>
      <c r="R1173" s="25">
        <v>0</v>
      </c>
      <c r="S1173" s="25">
        <v>0</v>
      </c>
      <c r="T1173" s="25">
        <v>0</v>
      </c>
      <c r="U1173" s="25">
        <v>0</v>
      </c>
      <c r="V1173" s="25">
        <v>0</v>
      </c>
      <c r="W1173" s="25">
        <v>0</v>
      </c>
      <c r="X1173" s="25">
        <v>0</v>
      </c>
      <c r="Y1173" s="25">
        <v>0</v>
      </c>
      <c r="Z1173" s="25">
        <v>0</v>
      </c>
      <c r="AA1173" s="25">
        <v>0</v>
      </c>
      <c r="AB1173" s="25">
        <v>0</v>
      </c>
      <c r="AC1173" s="25">
        <v>0</v>
      </c>
      <c r="AD1173" s="25">
        <v>0</v>
      </c>
      <c r="AE1173" s="25">
        <v>0</v>
      </c>
      <c r="AF1173" s="25">
        <v>0</v>
      </c>
    </row>
    <row r="1174" spans="1:32" x14ac:dyDescent="0.25">
      <c r="A1174" s="25" t="s">
        <v>1243</v>
      </c>
      <c r="B1174" s="25">
        <v>0</v>
      </c>
      <c r="C1174" s="25">
        <v>0</v>
      </c>
      <c r="D1174" s="25">
        <v>0</v>
      </c>
      <c r="E1174" s="25">
        <v>0</v>
      </c>
      <c r="F1174" s="25">
        <v>0</v>
      </c>
      <c r="G1174" s="25">
        <v>0</v>
      </c>
      <c r="H1174" s="25">
        <v>0</v>
      </c>
      <c r="I1174" s="25">
        <v>0</v>
      </c>
      <c r="J1174" s="25">
        <v>0</v>
      </c>
      <c r="K1174" s="25">
        <v>0</v>
      </c>
      <c r="L1174" s="25">
        <v>0</v>
      </c>
      <c r="M1174" s="25">
        <v>0</v>
      </c>
      <c r="N1174" s="25">
        <v>0</v>
      </c>
      <c r="O1174" s="25">
        <v>0</v>
      </c>
      <c r="P1174" s="25">
        <v>0</v>
      </c>
      <c r="Q1174" s="25">
        <v>0</v>
      </c>
      <c r="R1174" s="25">
        <v>0</v>
      </c>
      <c r="S1174" s="25">
        <v>0</v>
      </c>
      <c r="T1174" s="25">
        <v>0</v>
      </c>
      <c r="U1174" s="25">
        <v>0</v>
      </c>
      <c r="V1174" s="25">
        <v>0</v>
      </c>
      <c r="W1174" s="25">
        <v>0</v>
      </c>
      <c r="X1174" s="25">
        <v>0</v>
      </c>
      <c r="Y1174" s="25">
        <v>0</v>
      </c>
      <c r="Z1174" s="25">
        <v>0</v>
      </c>
      <c r="AA1174" s="25">
        <v>0</v>
      </c>
      <c r="AB1174" s="25">
        <v>0</v>
      </c>
      <c r="AC1174" s="25">
        <v>0</v>
      </c>
      <c r="AD1174" s="25">
        <v>0</v>
      </c>
      <c r="AE1174" s="25">
        <v>0</v>
      </c>
      <c r="AF1174" s="25">
        <v>0</v>
      </c>
    </row>
    <row r="1175" spans="1:32" x14ac:dyDescent="0.25">
      <c r="A1175" s="25" t="s">
        <v>1244</v>
      </c>
      <c r="B1175" s="25">
        <v>0</v>
      </c>
      <c r="C1175" s="25">
        <v>0</v>
      </c>
      <c r="D1175" s="25">
        <v>0</v>
      </c>
      <c r="E1175" s="25">
        <v>0</v>
      </c>
      <c r="F1175" s="25">
        <v>0</v>
      </c>
      <c r="G1175" s="25">
        <v>0</v>
      </c>
      <c r="H1175" s="25">
        <v>0</v>
      </c>
      <c r="I1175" s="25">
        <v>0</v>
      </c>
      <c r="J1175" s="25">
        <v>0</v>
      </c>
      <c r="K1175" s="25">
        <v>0</v>
      </c>
      <c r="L1175" s="25">
        <v>0</v>
      </c>
      <c r="M1175" s="25">
        <v>0</v>
      </c>
      <c r="N1175" s="25">
        <v>0</v>
      </c>
      <c r="O1175" s="25">
        <v>0</v>
      </c>
      <c r="P1175" s="25">
        <v>0</v>
      </c>
      <c r="Q1175" s="25">
        <v>0</v>
      </c>
      <c r="R1175" s="25">
        <v>0</v>
      </c>
      <c r="S1175" s="25">
        <v>0</v>
      </c>
      <c r="T1175" s="25">
        <v>0</v>
      </c>
      <c r="U1175" s="25">
        <v>0</v>
      </c>
      <c r="V1175" s="25">
        <v>0</v>
      </c>
      <c r="W1175" s="25">
        <v>0</v>
      </c>
      <c r="X1175" s="25">
        <v>0</v>
      </c>
      <c r="Y1175" s="25">
        <v>0</v>
      </c>
      <c r="Z1175" s="25">
        <v>0</v>
      </c>
      <c r="AA1175" s="25">
        <v>0</v>
      </c>
      <c r="AB1175" s="25">
        <v>0</v>
      </c>
      <c r="AC1175" s="25">
        <v>0</v>
      </c>
      <c r="AD1175" s="25">
        <v>0</v>
      </c>
      <c r="AE1175" s="25">
        <v>0</v>
      </c>
      <c r="AF1175" s="25">
        <v>0</v>
      </c>
    </row>
    <row r="1176" spans="1:32" x14ac:dyDescent="0.25">
      <c r="A1176" s="25" t="s">
        <v>1245</v>
      </c>
      <c r="B1176" s="25">
        <v>0</v>
      </c>
      <c r="C1176" s="25">
        <v>0</v>
      </c>
      <c r="D1176" s="25">
        <v>0</v>
      </c>
      <c r="E1176" s="25">
        <v>0</v>
      </c>
      <c r="F1176" s="25">
        <v>0</v>
      </c>
      <c r="G1176" s="25">
        <v>0</v>
      </c>
      <c r="H1176" s="25">
        <v>0</v>
      </c>
      <c r="I1176" s="25">
        <v>0</v>
      </c>
      <c r="J1176" s="25">
        <v>0</v>
      </c>
      <c r="K1176" s="25">
        <v>0</v>
      </c>
      <c r="L1176" s="25">
        <v>0</v>
      </c>
      <c r="M1176" s="25">
        <v>0</v>
      </c>
      <c r="N1176" s="25">
        <v>0</v>
      </c>
      <c r="O1176" s="25">
        <v>0</v>
      </c>
      <c r="P1176" s="25">
        <v>0</v>
      </c>
      <c r="Q1176" s="25">
        <v>0</v>
      </c>
      <c r="R1176" s="25">
        <v>0</v>
      </c>
      <c r="S1176" s="25">
        <v>0</v>
      </c>
      <c r="T1176" s="25">
        <v>0</v>
      </c>
      <c r="U1176" s="25">
        <v>0</v>
      </c>
      <c r="V1176" s="25">
        <v>0</v>
      </c>
      <c r="W1176" s="25">
        <v>0</v>
      </c>
      <c r="X1176" s="25">
        <v>0</v>
      </c>
      <c r="Y1176" s="25">
        <v>0</v>
      </c>
      <c r="Z1176" s="25">
        <v>0</v>
      </c>
      <c r="AA1176" s="25">
        <v>0</v>
      </c>
      <c r="AB1176" s="25">
        <v>0</v>
      </c>
      <c r="AC1176" s="25">
        <v>0</v>
      </c>
      <c r="AD1176" s="25">
        <v>0</v>
      </c>
      <c r="AE1176" s="25">
        <v>0</v>
      </c>
      <c r="AF1176" s="25">
        <v>0</v>
      </c>
    </row>
    <row r="1177" spans="1:32" x14ac:dyDescent="0.25">
      <c r="A1177" s="25" t="s">
        <v>1246</v>
      </c>
      <c r="B1177" s="25">
        <v>0</v>
      </c>
      <c r="C1177" s="25">
        <v>0</v>
      </c>
      <c r="D1177" s="25">
        <v>0</v>
      </c>
      <c r="E1177" s="25">
        <v>0</v>
      </c>
      <c r="F1177" s="25">
        <v>0</v>
      </c>
      <c r="G1177" s="25">
        <v>0</v>
      </c>
      <c r="H1177" s="25">
        <v>0</v>
      </c>
      <c r="I1177" s="25">
        <v>0</v>
      </c>
      <c r="J1177" s="25">
        <v>0</v>
      </c>
      <c r="K1177" s="25">
        <v>0</v>
      </c>
      <c r="L1177" s="25">
        <v>0</v>
      </c>
      <c r="M1177" s="25">
        <v>0</v>
      </c>
      <c r="N1177" s="25">
        <v>0</v>
      </c>
      <c r="O1177" s="25">
        <v>0</v>
      </c>
      <c r="P1177" s="25">
        <v>0</v>
      </c>
      <c r="Q1177" s="25">
        <v>0</v>
      </c>
      <c r="R1177" s="25">
        <v>0</v>
      </c>
      <c r="S1177" s="25">
        <v>0</v>
      </c>
      <c r="T1177" s="25">
        <v>0</v>
      </c>
      <c r="U1177" s="25">
        <v>0</v>
      </c>
      <c r="V1177" s="25">
        <v>0</v>
      </c>
      <c r="W1177" s="25">
        <v>0</v>
      </c>
      <c r="X1177" s="25">
        <v>0</v>
      </c>
      <c r="Y1177" s="25">
        <v>0</v>
      </c>
      <c r="Z1177" s="25">
        <v>0</v>
      </c>
      <c r="AA1177" s="25">
        <v>0</v>
      </c>
      <c r="AB1177" s="25">
        <v>0</v>
      </c>
      <c r="AC1177" s="25">
        <v>0</v>
      </c>
      <c r="AD1177" s="25">
        <v>0</v>
      </c>
      <c r="AE1177" s="25">
        <v>0</v>
      </c>
      <c r="AF1177" s="25">
        <v>0</v>
      </c>
    </row>
    <row r="1178" spans="1:32" x14ac:dyDescent="0.25">
      <c r="A1178" s="25" t="s">
        <v>1247</v>
      </c>
      <c r="B1178" s="25">
        <v>0</v>
      </c>
      <c r="C1178" s="25">
        <v>0</v>
      </c>
      <c r="D1178" s="25">
        <v>0</v>
      </c>
      <c r="E1178" s="25">
        <v>0</v>
      </c>
      <c r="F1178" s="25">
        <v>0</v>
      </c>
      <c r="G1178" s="25">
        <v>0</v>
      </c>
      <c r="H1178" s="25">
        <v>0</v>
      </c>
      <c r="I1178" s="25">
        <v>0</v>
      </c>
      <c r="J1178" s="25">
        <v>0</v>
      </c>
      <c r="K1178" s="25">
        <v>0</v>
      </c>
      <c r="L1178" s="25">
        <v>0</v>
      </c>
      <c r="M1178" s="25">
        <v>0</v>
      </c>
      <c r="N1178" s="25">
        <v>0</v>
      </c>
      <c r="O1178" s="25">
        <v>0</v>
      </c>
      <c r="P1178" s="25">
        <v>0</v>
      </c>
      <c r="Q1178" s="25">
        <v>0</v>
      </c>
      <c r="R1178" s="25">
        <v>0</v>
      </c>
      <c r="S1178" s="25">
        <v>0</v>
      </c>
      <c r="T1178" s="25">
        <v>0</v>
      </c>
      <c r="U1178" s="25">
        <v>0</v>
      </c>
      <c r="V1178" s="25">
        <v>0</v>
      </c>
      <c r="W1178" s="25">
        <v>0</v>
      </c>
      <c r="X1178" s="25">
        <v>0</v>
      </c>
      <c r="Y1178" s="25">
        <v>0</v>
      </c>
      <c r="Z1178" s="25">
        <v>0</v>
      </c>
      <c r="AA1178" s="25">
        <v>0</v>
      </c>
      <c r="AB1178" s="25">
        <v>0</v>
      </c>
      <c r="AC1178" s="25">
        <v>0</v>
      </c>
      <c r="AD1178" s="25">
        <v>0</v>
      </c>
      <c r="AE1178" s="25">
        <v>0</v>
      </c>
      <c r="AF1178" s="25">
        <v>0</v>
      </c>
    </row>
    <row r="1179" spans="1:32" x14ac:dyDescent="0.25">
      <c r="A1179" s="25" t="s">
        <v>1248</v>
      </c>
      <c r="B1179" s="25">
        <v>0</v>
      </c>
      <c r="C1179" s="25">
        <v>0</v>
      </c>
      <c r="D1179" s="25">
        <v>0</v>
      </c>
      <c r="E1179" s="25">
        <v>0</v>
      </c>
      <c r="F1179" s="25">
        <v>0</v>
      </c>
      <c r="G1179" s="25">
        <v>0</v>
      </c>
      <c r="H1179" s="25">
        <v>0</v>
      </c>
      <c r="I1179" s="25">
        <v>0</v>
      </c>
      <c r="J1179" s="25">
        <v>0</v>
      </c>
      <c r="K1179" s="25">
        <v>0</v>
      </c>
      <c r="L1179" s="25">
        <v>0</v>
      </c>
      <c r="M1179" s="25">
        <v>0</v>
      </c>
      <c r="N1179" s="25">
        <v>0</v>
      </c>
      <c r="O1179" s="25">
        <v>0</v>
      </c>
      <c r="P1179" s="25">
        <v>0</v>
      </c>
      <c r="Q1179" s="25">
        <v>0</v>
      </c>
      <c r="R1179" s="25">
        <v>0</v>
      </c>
      <c r="S1179" s="25">
        <v>0</v>
      </c>
      <c r="T1179" s="25">
        <v>0</v>
      </c>
      <c r="U1179" s="25">
        <v>0</v>
      </c>
      <c r="V1179" s="25">
        <v>0</v>
      </c>
      <c r="W1179" s="25">
        <v>0</v>
      </c>
      <c r="X1179" s="25">
        <v>0</v>
      </c>
      <c r="Y1179" s="25">
        <v>0</v>
      </c>
      <c r="Z1179" s="25">
        <v>0</v>
      </c>
      <c r="AA1179" s="25">
        <v>0</v>
      </c>
      <c r="AB1179" s="25">
        <v>0</v>
      </c>
      <c r="AC1179" s="25">
        <v>0</v>
      </c>
      <c r="AD1179" s="25">
        <v>0</v>
      </c>
      <c r="AE1179" s="25">
        <v>0</v>
      </c>
      <c r="AF1179" s="25">
        <v>0</v>
      </c>
    </row>
    <row r="1180" spans="1:32" x14ac:dyDescent="0.25">
      <c r="A1180" s="25" t="s">
        <v>1249</v>
      </c>
      <c r="B1180" s="25">
        <v>0</v>
      </c>
      <c r="C1180" s="25">
        <v>0</v>
      </c>
      <c r="D1180" s="25">
        <v>0</v>
      </c>
      <c r="E1180" s="25">
        <v>0</v>
      </c>
      <c r="F1180" s="25">
        <v>0</v>
      </c>
      <c r="G1180" s="25">
        <v>0</v>
      </c>
      <c r="H1180" s="25">
        <v>0</v>
      </c>
      <c r="I1180" s="25">
        <v>0</v>
      </c>
      <c r="J1180" s="25">
        <v>0</v>
      </c>
      <c r="K1180" s="25">
        <v>0</v>
      </c>
      <c r="L1180" s="25">
        <v>0</v>
      </c>
      <c r="M1180" s="25">
        <v>0</v>
      </c>
      <c r="N1180" s="25">
        <v>0</v>
      </c>
      <c r="O1180" s="25">
        <v>0</v>
      </c>
      <c r="P1180" s="25">
        <v>0</v>
      </c>
      <c r="Q1180" s="25">
        <v>0</v>
      </c>
      <c r="R1180" s="25">
        <v>0</v>
      </c>
      <c r="S1180" s="25">
        <v>0</v>
      </c>
      <c r="T1180" s="25">
        <v>0</v>
      </c>
      <c r="U1180" s="25">
        <v>0</v>
      </c>
      <c r="V1180" s="25">
        <v>0</v>
      </c>
      <c r="W1180" s="25">
        <v>0</v>
      </c>
      <c r="X1180" s="25">
        <v>0</v>
      </c>
      <c r="Y1180" s="25">
        <v>0</v>
      </c>
      <c r="Z1180" s="25">
        <v>0</v>
      </c>
      <c r="AA1180" s="25">
        <v>0</v>
      </c>
      <c r="AB1180" s="25">
        <v>0</v>
      </c>
      <c r="AC1180" s="25">
        <v>0</v>
      </c>
      <c r="AD1180" s="25">
        <v>0</v>
      </c>
      <c r="AE1180" s="25">
        <v>0</v>
      </c>
      <c r="AF1180" s="25">
        <v>0</v>
      </c>
    </row>
    <row r="1181" spans="1:32" x14ac:dyDescent="0.25">
      <c r="A1181" s="25" t="s">
        <v>1250</v>
      </c>
      <c r="B1181" s="25">
        <v>0</v>
      </c>
      <c r="C1181" s="25">
        <v>0</v>
      </c>
      <c r="D1181" s="25">
        <v>0</v>
      </c>
      <c r="E1181" s="25">
        <v>0</v>
      </c>
      <c r="F1181" s="25">
        <v>0</v>
      </c>
      <c r="G1181" s="25">
        <v>0</v>
      </c>
      <c r="H1181" s="25">
        <v>0</v>
      </c>
      <c r="I1181" s="25">
        <v>0</v>
      </c>
      <c r="J1181" s="25">
        <v>0</v>
      </c>
      <c r="K1181" s="25">
        <v>0</v>
      </c>
      <c r="L1181" s="25">
        <v>0</v>
      </c>
      <c r="M1181" s="25">
        <v>0</v>
      </c>
      <c r="N1181" s="25">
        <v>0</v>
      </c>
      <c r="O1181" s="25">
        <v>0</v>
      </c>
      <c r="P1181" s="25">
        <v>0</v>
      </c>
      <c r="Q1181" s="25">
        <v>0</v>
      </c>
      <c r="R1181" s="25">
        <v>0</v>
      </c>
      <c r="S1181" s="25">
        <v>0</v>
      </c>
      <c r="T1181" s="25">
        <v>0</v>
      </c>
      <c r="U1181" s="25">
        <v>0</v>
      </c>
      <c r="V1181" s="25">
        <v>0</v>
      </c>
      <c r="W1181" s="25">
        <v>0</v>
      </c>
      <c r="X1181" s="25">
        <v>0</v>
      </c>
      <c r="Y1181" s="25">
        <v>0</v>
      </c>
      <c r="Z1181" s="25">
        <v>0</v>
      </c>
      <c r="AA1181" s="25">
        <v>0</v>
      </c>
      <c r="AB1181" s="25">
        <v>0</v>
      </c>
      <c r="AC1181" s="25">
        <v>0</v>
      </c>
      <c r="AD1181" s="25">
        <v>0</v>
      </c>
      <c r="AE1181" s="25">
        <v>0</v>
      </c>
      <c r="AF1181" s="25">
        <v>0</v>
      </c>
    </row>
    <row r="1182" spans="1:32" x14ac:dyDescent="0.25">
      <c r="A1182" s="25" t="s">
        <v>1251</v>
      </c>
      <c r="B1182" s="25">
        <v>0</v>
      </c>
      <c r="C1182" s="25">
        <v>0</v>
      </c>
      <c r="D1182" s="25">
        <v>0</v>
      </c>
      <c r="E1182" s="25">
        <v>0</v>
      </c>
      <c r="F1182" s="25">
        <v>0</v>
      </c>
      <c r="G1182" s="25">
        <v>0</v>
      </c>
      <c r="H1182" s="25">
        <v>0</v>
      </c>
      <c r="I1182" s="25">
        <v>0</v>
      </c>
      <c r="J1182" s="25">
        <v>0</v>
      </c>
      <c r="K1182" s="25">
        <v>0</v>
      </c>
      <c r="L1182" s="25">
        <v>0</v>
      </c>
      <c r="M1182" s="25">
        <v>0</v>
      </c>
      <c r="N1182" s="25">
        <v>0</v>
      </c>
      <c r="O1182" s="25">
        <v>0</v>
      </c>
      <c r="P1182" s="25">
        <v>0</v>
      </c>
      <c r="Q1182" s="25">
        <v>0</v>
      </c>
      <c r="R1182" s="25">
        <v>0</v>
      </c>
      <c r="S1182" s="25">
        <v>0</v>
      </c>
      <c r="T1182" s="25">
        <v>0</v>
      </c>
      <c r="U1182" s="25">
        <v>0</v>
      </c>
      <c r="V1182" s="25">
        <v>0</v>
      </c>
      <c r="W1182" s="25">
        <v>0</v>
      </c>
      <c r="X1182" s="25">
        <v>0</v>
      </c>
      <c r="Y1182" s="25">
        <v>0</v>
      </c>
      <c r="Z1182" s="25">
        <v>0</v>
      </c>
      <c r="AA1182" s="25">
        <v>0</v>
      </c>
      <c r="AB1182" s="25">
        <v>0</v>
      </c>
      <c r="AC1182" s="25">
        <v>0</v>
      </c>
      <c r="AD1182" s="25">
        <v>0</v>
      </c>
      <c r="AE1182" s="25">
        <v>0</v>
      </c>
      <c r="AF1182" s="25">
        <v>0</v>
      </c>
    </row>
    <row r="1183" spans="1:32" x14ac:dyDescent="0.25">
      <c r="A1183" s="25" t="s">
        <v>1252</v>
      </c>
      <c r="B1183" s="25">
        <v>0</v>
      </c>
      <c r="C1183" s="25">
        <v>0</v>
      </c>
      <c r="D1183" s="25">
        <v>0</v>
      </c>
      <c r="E1183" s="25">
        <v>0</v>
      </c>
      <c r="F1183" s="25">
        <v>0</v>
      </c>
      <c r="G1183" s="25">
        <v>0</v>
      </c>
      <c r="H1183" s="25">
        <v>0</v>
      </c>
      <c r="I1183" s="25">
        <v>0</v>
      </c>
      <c r="J1183" s="25">
        <v>0</v>
      </c>
      <c r="K1183" s="25">
        <v>0</v>
      </c>
      <c r="L1183" s="25">
        <v>0</v>
      </c>
      <c r="M1183" s="25">
        <v>0</v>
      </c>
      <c r="N1183" s="25">
        <v>0</v>
      </c>
      <c r="O1183" s="25">
        <v>0</v>
      </c>
      <c r="P1183" s="25">
        <v>0</v>
      </c>
      <c r="Q1183" s="25">
        <v>0</v>
      </c>
      <c r="R1183" s="25">
        <v>0</v>
      </c>
      <c r="S1183" s="25">
        <v>0</v>
      </c>
      <c r="T1183" s="25">
        <v>0</v>
      </c>
      <c r="U1183" s="25">
        <v>0</v>
      </c>
      <c r="V1183" s="25">
        <v>0</v>
      </c>
      <c r="W1183" s="25">
        <v>0</v>
      </c>
      <c r="X1183" s="25">
        <v>0</v>
      </c>
      <c r="Y1183" s="25">
        <v>0</v>
      </c>
      <c r="Z1183" s="25">
        <v>0</v>
      </c>
      <c r="AA1183" s="25">
        <v>0</v>
      </c>
      <c r="AB1183" s="25">
        <v>0</v>
      </c>
      <c r="AC1183" s="25">
        <v>0</v>
      </c>
      <c r="AD1183" s="25">
        <v>0</v>
      </c>
      <c r="AE1183" s="25">
        <v>0</v>
      </c>
      <c r="AF1183" s="25">
        <v>0</v>
      </c>
    </row>
    <row r="1184" spans="1:32" x14ac:dyDescent="0.25">
      <c r="A1184" s="25" t="s">
        <v>1253</v>
      </c>
      <c r="B1184" s="25">
        <v>0</v>
      </c>
      <c r="C1184" s="25">
        <v>0</v>
      </c>
      <c r="D1184" s="25">
        <v>0</v>
      </c>
      <c r="E1184" s="25">
        <v>0</v>
      </c>
      <c r="F1184" s="25">
        <v>0</v>
      </c>
      <c r="G1184" s="25">
        <v>0</v>
      </c>
      <c r="H1184" s="25">
        <v>0</v>
      </c>
      <c r="I1184" s="25">
        <v>0</v>
      </c>
      <c r="J1184" s="25">
        <v>0</v>
      </c>
      <c r="K1184" s="25">
        <v>0</v>
      </c>
      <c r="L1184" s="25">
        <v>0</v>
      </c>
      <c r="M1184" s="25">
        <v>0</v>
      </c>
      <c r="N1184" s="25">
        <v>0</v>
      </c>
      <c r="O1184" s="25">
        <v>0</v>
      </c>
      <c r="P1184" s="25">
        <v>0</v>
      </c>
      <c r="Q1184" s="25">
        <v>0</v>
      </c>
      <c r="R1184" s="25">
        <v>0</v>
      </c>
      <c r="S1184" s="25">
        <v>0</v>
      </c>
      <c r="T1184" s="25">
        <v>0</v>
      </c>
      <c r="U1184" s="25">
        <v>0</v>
      </c>
      <c r="V1184" s="25">
        <v>0</v>
      </c>
      <c r="W1184" s="25">
        <v>0</v>
      </c>
      <c r="X1184" s="25">
        <v>0</v>
      </c>
      <c r="Y1184" s="25">
        <v>0</v>
      </c>
      <c r="Z1184" s="25">
        <v>0</v>
      </c>
      <c r="AA1184" s="25">
        <v>0</v>
      </c>
      <c r="AB1184" s="25">
        <v>0</v>
      </c>
      <c r="AC1184" s="25">
        <v>0</v>
      </c>
      <c r="AD1184" s="25">
        <v>0</v>
      </c>
      <c r="AE1184" s="25">
        <v>0</v>
      </c>
      <c r="AF1184" s="25">
        <v>0</v>
      </c>
    </row>
    <row r="1185" spans="1:32" x14ac:dyDescent="0.25">
      <c r="A1185" s="25" t="s">
        <v>1254</v>
      </c>
      <c r="B1185" s="25">
        <v>0</v>
      </c>
      <c r="C1185" s="25">
        <v>0</v>
      </c>
      <c r="D1185" s="25">
        <v>0</v>
      </c>
      <c r="E1185" s="25">
        <v>0</v>
      </c>
      <c r="F1185" s="25">
        <v>0</v>
      </c>
      <c r="G1185" s="25">
        <v>0</v>
      </c>
      <c r="H1185" s="25">
        <v>0</v>
      </c>
      <c r="I1185" s="25">
        <v>0</v>
      </c>
      <c r="J1185" s="25">
        <v>0</v>
      </c>
      <c r="K1185" s="25">
        <v>0</v>
      </c>
      <c r="L1185" s="25">
        <v>0</v>
      </c>
      <c r="M1185" s="25">
        <v>0</v>
      </c>
      <c r="N1185" s="25">
        <v>0</v>
      </c>
      <c r="O1185" s="25">
        <v>0</v>
      </c>
      <c r="P1185" s="25">
        <v>0</v>
      </c>
      <c r="Q1185" s="25">
        <v>0</v>
      </c>
      <c r="R1185" s="25">
        <v>0</v>
      </c>
      <c r="S1185" s="25">
        <v>0</v>
      </c>
      <c r="T1185" s="25">
        <v>0</v>
      </c>
      <c r="U1185" s="25">
        <v>0</v>
      </c>
      <c r="V1185" s="25">
        <v>0</v>
      </c>
      <c r="W1185" s="25">
        <v>0</v>
      </c>
      <c r="X1185" s="25">
        <v>0</v>
      </c>
      <c r="Y1185" s="25">
        <v>0</v>
      </c>
      <c r="Z1185" s="25">
        <v>0</v>
      </c>
      <c r="AA1185" s="25">
        <v>0</v>
      </c>
      <c r="AB1185" s="25">
        <v>0</v>
      </c>
      <c r="AC1185" s="25">
        <v>0</v>
      </c>
      <c r="AD1185" s="25">
        <v>0</v>
      </c>
      <c r="AE1185" s="25">
        <v>0</v>
      </c>
      <c r="AF1185" s="25">
        <v>0</v>
      </c>
    </row>
    <row r="1186" spans="1:32" x14ac:dyDescent="0.25">
      <c r="A1186" s="25" t="s">
        <v>1255</v>
      </c>
      <c r="B1186" s="25">
        <v>0</v>
      </c>
      <c r="C1186" s="25">
        <v>0</v>
      </c>
      <c r="D1186" s="25">
        <v>0</v>
      </c>
      <c r="E1186" s="25">
        <v>0</v>
      </c>
      <c r="F1186" s="25">
        <v>0</v>
      </c>
      <c r="G1186" s="25">
        <v>0</v>
      </c>
      <c r="H1186" s="25">
        <v>0</v>
      </c>
      <c r="I1186" s="25">
        <v>0</v>
      </c>
      <c r="J1186" s="25">
        <v>0</v>
      </c>
      <c r="K1186" s="25">
        <v>0</v>
      </c>
      <c r="L1186" s="25">
        <v>0</v>
      </c>
      <c r="M1186" s="25">
        <v>0</v>
      </c>
      <c r="N1186" s="25">
        <v>0</v>
      </c>
      <c r="O1186" s="25">
        <v>0</v>
      </c>
      <c r="P1186" s="25">
        <v>0</v>
      </c>
      <c r="Q1186" s="25">
        <v>0</v>
      </c>
      <c r="R1186" s="25">
        <v>0</v>
      </c>
      <c r="S1186" s="25">
        <v>0</v>
      </c>
      <c r="T1186" s="25">
        <v>0</v>
      </c>
      <c r="U1186" s="25">
        <v>0</v>
      </c>
      <c r="V1186" s="25">
        <v>0</v>
      </c>
      <c r="W1186" s="25">
        <v>0</v>
      </c>
      <c r="X1186" s="25">
        <v>0</v>
      </c>
      <c r="Y1186" s="25">
        <v>0</v>
      </c>
      <c r="Z1186" s="25">
        <v>0</v>
      </c>
      <c r="AA1186" s="25">
        <v>0</v>
      </c>
      <c r="AB1186" s="25">
        <v>0</v>
      </c>
      <c r="AC1186" s="25">
        <v>0</v>
      </c>
      <c r="AD1186" s="25">
        <v>0</v>
      </c>
      <c r="AE1186" s="25">
        <v>0</v>
      </c>
      <c r="AF1186" s="25">
        <v>0</v>
      </c>
    </row>
    <row r="1187" spans="1:32" x14ac:dyDescent="0.25">
      <c r="A1187" s="25" t="s">
        <v>1256</v>
      </c>
      <c r="B1187" s="25">
        <v>0</v>
      </c>
      <c r="C1187" s="25">
        <v>0</v>
      </c>
      <c r="D1187" s="25">
        <v>0</v>
      </c>
      <c r="E1187" s="25">
        <v>0</v>
      </c>
      <c r="F1187" s="25">
        <v>0</v>
      </c>
      <c r="G1187" s="25">
        <v>0</v>
      </c>
      <c r="H1187" s="25">
        <v>0</v>
      </c>
      <c r="I1187" s="25">
        <v>0</v>
      </c>
      <c r="J1187" s="25">
        <v>0</v>
      </c>
      <c r="K1187" s="25">
        <v>0</v>
      </c>
      <c r="L1187" s="25">
        <v>0</v>
      </c>
      <c r="M1187" s="25">
        <v>0</v>
      </c>
      <c r="N1187" s="25">
        <v>0</v>
      </c>
      <c r="O1187" s="25">
        <v>0</v>
      </c>
      <c r="P1187" s="25">
        <v>0</v>
      </c>
      <c r="Q1187" s="25">
        <v>0</v>
      </c>
      <c r="R1187" s="25">
        <v>0</v>
      </c>
      <c r="S1187" s="25">
        <v>0</v>
      </c>
      <c r="T1187" s="25">
        <v>0</v>
      </c>
      <c r="U1187" s="25">
        <v>0</v>
      </c>
      <c r="V1187" s="25">
        <v>0</v>
      </c>
      <c r="W1187" s="25">
        <v>0</v>
      </c>
      <c r="X1187" s="25">
        <v>0</v>
      </c>
      <c r="Y1187" s="25">
        <v>0</v>
      </c>
      <c r="Z1187" s="25">
        <v>0</v>
      </c>
      <c r="AA1187" s="25">
        <v>0</v>
      </c>
      <c r="AB1187" s="25">
        <v>0</v>
      </c>
      <c r="AC1187" s="25">
        <v>0</v>
      </c>
      <c r="AD1187" s="25">
        <v>0</v>
      </c>
      <c r="AE1187" s="25">
        <v>0</v>
      </c>
      <c r="AF1187" s="25">
        <v>0</v>
      </c>
    </row>
    <row r="1188" spans="1:32" x14ac:dyDescent="0.25">
      <c r="A1188" s="25" t="s">
        <v>1257</v>
      </c>
      <c r="B1188" s="12">
        <v>244600000000000</v>
      </c>
      <c r="C1188" s="12">
        <v>264400000000000</v>
      </c>
      <c r="D1188" s="12">
        <v>269100000000000</v>
      </c>
      <c r="E1188" s="12">
        <v>255200000000000</v>
      </c>
      <c r="F1188" s="12">
        <v>252300000000000</v>
      </c>
      <c r="G1188" s="12">
        <v>249800000000000</v>
      </c>
      <c r="H1188" s="12">
        <v>247100000000000</v>
      </c>
      <c r="I1188" s="12">
        <v>244300000000000</v>
      </c>
      <c r="J1188" s="12">
        <v>241200000000000</v>
      </c>
      <c r="K1188" s="12">
        <v>238100000000000</v>
      </c>
      <c r="L1188" s="12">
        <v>235100000000000</v>
      </c>
      <c r="M1188" s="12">
        <v>232100000000000</v>
      </c>
      <c r="N1188" s="12">
        <v>229300000000000</v>
      </c>
      <c r="O1188" s="12">
        <v>226700000000000</v>
      </c>
      <c r="P1188" s="12">
        <v>224200000000000</v>
      </c>
      <c r="Q1188" s="12">
        <v>222000000000000</v>
      </c>
      <c r="R1188" s="12">
        <v>219900000000000</v>
      </c>
      <c r="S1188" s="12">
        <v>217800000000000</v>
      </c>
      <c r="T1188" s="12">
        <v>215800000000000</v>
      </c>
      <c r="U1188" s="12">
        <v>213900000000000</v>
      </c>
      <c r="V1188" s="12">
        <v>212100000000000</v>
      </c>
      <c r="W1188" s="12">
        <v>210300000000000</v>
      </c>
      <c r="X1188" s="12">
        <v>208500000000000</v>
      </c>
      <c r="Y1188" s="12">
        <v>206700000000000</v>
      </c>
      <c r="Z1188" s="12">
        <v>205000000000000</v>
      </c>
      <c r="AA1188" s="12">
        <v>203200000000000</v>
      </c>
      <c r="AB1188" s="12">
        <v>201500000000000</v>
      </c>
      <c r="AC1188" s="12">
        <v>199800000000000</v>
      </c>
      <c r="AD1188" s="12">
        <v>198200000000000</v>
      </c>
      <c r="AE1188" s="12">
        <v>196600000000000</v>
      </c>
      <c r="AF1188" s="12">
        <v>195100000000000</v>
      </c>
    </row>
    <row r="1189" spans="1:32" x14ac:dyDescent="0.25">
      <c r="A1189" s="25" t="s">
        <v>1258</v>
      </c>
      <c r="B1189" s="25">
        <v>0</v>
      </c>
      <c r="C1189" s="25">
        <v>0</v>
      </c>
      <c r="D1189" s="25">
        <v>0</v>
      </c>
      <c r="E1189" s="25">
        <v>0</v>
      </c>
      <c r="F1189" s="25">
        <v>0</v>
      </c>
      <c r="G1189" s="25">
        <v>0</v>
      </c>
      <c r="H1189" s="25">
        <v>0</v>
      </c>
      <c r="I1189" s="25">
        <v>0</v>
      </c>
      <c r="J1189" s="25">
        <v>0</v>
      </c>
      <c r="K1189" s="25">
        <v>0</v>
      </c>
      <c r="L1189" s="25">
        <v>0</v>
      </c>
      <c r="M1189" s="25">
        <v>0</v>
      </c>
      <c r="N1189" s="25">
        <v>0</v>
      </c>
      <c r="O1189" s="25">
        <v>0</v>
      </c>
      <c r="P1189" s="25">
        <v>0</v>
      </c>
      <c r="Q1189" s="25">
        <v>0</v>
      </c>
      <c r="R1189" s="25">
        <v>0</v>
      </c>
      <c r="S1189" s="25">
        <v>0</v>
      </c>
      <c r="T1189" s="25">
        <v>0</v>
      </c>
      <c r="U1189" s="25">
        <v>0</v>
      </c>
      <c r="V1189" s="25">
        <v>0</v>
      </c>
      <c r="W1189" s="25">
        <v>0</v>
      </c>
      <c r="X1189" s="25">
        <v>0</v>
      </c>
      <c r="Y1189" s="25">
        <v>0</v>
      </c>
      <c r="Z1189" s="25">
        <v>0</v>
      </c>
      <c r="AA1189" s="25">
        <v>0</v>
      </c>
      <c r="AB1189" s="25">
        <v>0</v>
      </c>
      <c r="AC1189" s="25">
        <v>0</v>
      </c>
      <c r="AD1189" s="25">
        <v>0</v>
      </c>
      <c r="AE1189" s="25">
        <v>0</v>
      </c>
      <c r="AF1189" s="25">
        <v>0</v>
      </c>
    </row>
    <row r="1190" spans="1:32" x14ac:dyDescent="0.25">
      <c r="A1190" s="25" t="s">
        <v>1259</v>
      </c>
      <c r="B1190" s="25">
        <v>0</v>
      </c>
      <c r="C1190" s="25">
        <v>0</v>
      </c>
      <c r="D1190" s="25">
        <v>0</v>
      </c>
      <c r="E1190" s="25">
        <v>0</v>
      </c>
      <c r="F1190" s="25">
        <v>0</v>
      </c>
      <c r="G1190" s="25">
        <v>0</v>
      </c>
      <c r="H1190" s="25">
        <v>0</v>
      </c>
      <c r="I1190" s="25">
        <v>0</v>
      </c>
      <c r="J1190" s="25">
        <v>0</v>
      </c>
      <c r="K1190" s="25">
        <v>0</v>
      </c>
      <c r="L1190" s="25">
        <v>0</v>
      </c>
      <c r="M1190" s="25">
        <v>0</v>
      </c>
      <c r="N1190" s="25">
        <v>0</v>
      </c>
      <c r="O1190" s="25">
        <v>0</v>
      </c>
      <c r="P1190" s="25">
        <v>0</v>
      </c>
      <c r="Q1190" s="25">
        <v>0</v>
      </c>
      <c r="R1190" s="25">
        <v>0</v>
      </c>
      <c r="S1190" s="25">
        <v>0</v>
      </c>
      <c r="T1190" s="25">
        <v>0</v>
      </c>
      <c r="U1190" s="25">
        <v>0</v>
      </c>
      <c r="V1190" s="25">
        <v>0</v>
      </c>
      <c r="W1190" s="25">
        <v>0</v>
      </c>
      <c r="X1190" s="25">
        <v>0</v>
      </c>
      <c r="Y1190" s="25">
        <v>0</v>
      </c>
      <c r="Z1190" s="25">
        <v>0</v>
      </c>
      <c r="AA1190" s="25">
        <v>0</v>
      </c>
      <c r="AB1190" s="25">
        <v>0</v>
      </c>
      <c r="AC1190" s="25">
        <v>0</v>
      </c>
      <c r="AD1190" s="25">
        <v>0</v>
      </c>
      <c r="AE1190" s="25">
        <v>0</v>
      </c>
      <c r="AF1190" s="25">
        <v>0</v>
      </c>
    </row>
    <row r="1191" spans="1:32" x14ac:dyDescent="0.25">
      <c r="A1191" s="25" t="s">
        <v>1260</v>
      </c>
      <c r="B1191" s="25">
        <v>0</v>
      </c>
      <c r="C1191" s="25">
        <v>0</v>
      </c>
      <c r="D1191" s="25">
        <v>0</v>
      </c>
      <c r="E1191" s="25">
        <v>0</v>
      </c>
      <c r="F1191" s="25">
        <v>0</v>
      </c>
      <c r="G1191" s="25">
        <v>0</v>
      </c>
      <c r="H1191" s="25">
        <v>0</v>
      </c>
      <c r="I1191" s="25">
        <v>0</v>
      </c>
      <c r="J1191" s="25">
        <v>0</v>
      </c>
      <c r="K1191" s="25">
        <v>0</v>
      </c>
      <c r="L1191" s="25">
        <v>0</v>
      </c>
      <c r="M1191" s="25">
        <v>0</v>
      </c>
      <c r="N1191" s="25">
        <v>0</v>
      </c>
      <c r="O1191" s="25">
        <v>0</v>
      </c>
      <c r="P1191" s="25">
        <v>0</v>
      </c>
      <c r="Q1191" s="25">
        <v>0</v>
      </c>
      <c r="R1191" s="25">
        <v>0</v>
      </c>
      <c r="S1191" s="25">
        <v>0</v>
      </c>
      <c r="T1191" s="25">
        <v>0</v>
      </c>
      <c r="U1191" s="25">
        <v>0</v>
      </c>
      <c r="V1191" s="25">
        <v>0</v>
      </c>
      <c r="W1191" s="25">
        <v>0</v>
      </c>
      <c r="X1191" s="25">
        <v>0</v>
      </c>
      <c r="Y1191" s="25">
        <v>0</v>
      </c>
      <c r="Z1191" s="25">
        <v>0</v>
      </c>
      <c r="AA1191" s="25">
        <v>0</v>
      </c>
      <c r="AB1191" s="25">
        <v>0</v>
      </c>
      <c r="AC1191" s="25">
        <v>0</v>
      </c>
      <c r="AD1191" s="25">
        <v>0</v>
      </c>
      <c r="AE1191" s="25">
        <v>0</v>
      </c>
      <c r="AF1191" s="25">
        <v>0</v>
      </c>
    </row>
    <row r="1192" spans="1:32" x14ac:dyDescent="0.25">
      <c r="A1192" s="25" t="s">
        <v>1261</v>
      </c>
      <c r="B1192" s="12">
        <v>67010000000000</v>
      </c>
      <c r="C1192" s="12">
        <v>65180000000000</v>
      </c>
      <c r="D1192" s="12">
        <v>62870000000000</v>
      </c>
      <c r="E1192" s="12">
        <v>60990000000000</v>
      </c>
      <c r="F1192" s="12">
        <v>59530000000000</v>
      </c>
      <c r="G1192" s="12">
        <v>58310000000000</v>
      </c>
      <c r="H1192" s="12">
        <v>57180000000000</v>
      </c>
      <c r="I1192" s="12">
        <v>56110000000000</v>
      </c>
      <c r="J1192" s="12">
        <v>55090000000000</v>
      </c>
      <c r="K1192" s="12">
        <v>54180000000000</v>
      </c>
      <c r="L1192" s="12">
        <v>53380000000000</v>
      </c>
      <c r="M1192" s="12">
        <v>52470000000000</v>
      </c>
      <c r="N1192" s="12">
        <v>51530000000000</v>
      </c>
      <c r="O1192" s="12">
        <v>50600000000000</v>
      </c>
      <c r="P1192" s="12">
        <v>49720000000000</v>
      </c>
      <c r="Q1192" s="12">
        <v>48870000000000</v>
      </c>
      <c r="R1192" s="12">
        <v>48070000000000</v>
      </c>
      <c r="S1192" s="12">
        <v>47300000000000</v>
      </c>
      <c r="T1192" s="12">
        <v>46540000000000</v>
      </c>
      <c r="U1192" s="12">
        <v>45800000000000</v>
      </c>
      <c r="V1192" s="12">
        <v>45090000000000</v>
      </c>
      <c r="W1192" s="12">
        <v>44390000000000</v>
      </c>
      <c r="X1192" s="12">
        <v>43740000000000</v>
      </c>
      <c r="Y1192" s="12">
        <v>43130000000000</v>
      </c>
      <c r="Z1192" s="12">
        <v>42540000000000</v>
      </c>
      <c r="AA1192" s="12">
        <v>42010000000000</v>
      </c>
      <c r="AB1192" s="12">
        <v>41510000000000</v>
      </c>
      <c r="AC1192" s="12">
        <v>41050000000000</v>
      </c>
      <c r="AD1192" s="12">
        <v>40620000000000</v>
      </c>
      <c r="AE1192" s="12">
        <v>40220000000000</v>
      </c>
      <c r="AF1192" s="12">
        <v>39840000000000</v>
      </c>
    </row>
    <row r="1193" spans="1:32" x14ac:dyDescent="0.25">
      <c r="A1193" s="25" t="s">
        <v>1262</v>
      </c>
      <c r="B1193" s="12">
        <v>58490000000000</v>
      </c>
      <c r="C1193" s="12">
        <v>59620000000000</v>
      </c>
      <c r="D1193" s="12">
        <v>60520000000000</v>
      </c>
      <c r="E1193" s="12">
        <v>61650000000000</v>
      </c>
      <c r="F1193" s="12">
        <v>63120000000000</v>
      </c>
      <c r="G1193" s="12">
        <v>64710000000000</v>
      </c>
      <c r="H1193" s="12">
        <v>66280000000000</v>
      </c>
      <c r="I1193" s="12">
        <v>67770000000000</v>
      </c>
      <c r="J1193" s="12">
        <v>69170000000000</v>
      </c>
      <c r="K1193" s="12">
        <v>70530000000000</v>
      </c>
      <c r="L1193" s="12">
        <v>71900000000000</v>
      </c>
      <c r="M1193" s="12">
        <v>73200000000000</v>
      </c>
      <c r="N1193" s="12">
        <v>74530000000000</v>
      </c>
      <c r="O1193" s="12">
        <v>75900000000000</v>
      </c>
      <c r="P1193" s="12">
        <v>77320000000000</v>
      </c>
      <c r="Q1193" s="12">
        <v>78790000000000</v>
      </c>
      <c r="R1193" s="12">
        <v>80290000000000</v>
      </c>
      <c r="S1193" s="12">
        <v>81790000000000</v>
      </c>
      <c r="T1193" s="12">
        <v>83290000000000</v>
      </c>
      <c r="U1193" s="12">
        <v>84810000000000</v>
      </c>
      <c r="V1193" s="12">
        <v>86340000000000</v>
      </c>
      <c r="W1193" s="12">
        <v>87860000000000</v>
      </c>
      <c r="X1193" s="12">
        <v>89410000000000</v>
      </c>
      <c r="Y1193" s="12">
        <v>90970000000000</v>
      </c>
      <c r="Z1193" s="12">
        <v>92530000000000</v>
      </c>
      <c r="AA1193" s="12">
        <v>94120000000000</v>
      </c>
      <c r="AB1193" s="12">
        <v>95730000000000</v>
      </c>
      <c r="AC1193" s="12">
        <v>97360000000000</v>
      </c>
      <c r="AD1193" s="12">
        <v>99010000000000</v>
      </c>
      <c r="AE1193" s="12">
        <v>100700000000000</v>
      </c>
      <c r="AF1193" s="12">
        <v>102400000000000</v>
      </c>
    </row>
    <row r="1194" spans="1:32" x14ac:dyDescent="0.25">
      <c r="A1194" s="25" t="s">
        <v>1263</v>
      </c>
      <c r="B1194" s="25">
        <v>0</v>
      </c>
      <c r="C1194" s="25">
        <v>0</v>
      </c>
      <c r="D1194" s="25">
        <v>0</v>
      </c>
      <c r="E1194" s="25">
        <v>0</v>
      </c>
      <c r="F1194" s="25">
        <v>0</v>
      </c>
      <c r="G1194" s="25">
        <v>0</v>
      </c>
      <c r="H1194" s="25">
        <v>0</v>
      </c>
      <c r="I1194" s="25">
        <v>0</v>
      </c>
      <c r="J1194" s="25">
        <v>0</v>
      </c>
      <c r="K1194" s="25">
        <v>0</v>
      </c>
      <c r="L1194" s="25">
        <v>0</v>
      </c>
      <c r="M1194" s="25">
        <v>0</v>
      </c>
      <c r="N1194" s="25">
        <v>0</v>
      </c>
      <c r="O1194" s="25">
        <v>0</v>
      </c>
      <c r="P1194" s="25">
        <v>0</v>
      </c>
      <c r="Q1194" s="25">
        <v>0</v>
      </c>
      <c r="R1194" s="25">
        <v>0</v>
      </c>
      <c r="S1194" s="25">
        <v>0</v>
      </c>
      <c r="T1194" s="25">
        <v>0</v>
      </c>
      <c r="U1194" s="25">
        <v>0</v>
      </c>
      <c r="V1194" s="25">
        <v>0</v>
      </c>
      <c r="W1194" s="25">
        <v>0</v>
      </c>
      <c r="X1194" s="25">
        <v>0</v>
      </c>
      <c r="Y1194" s="25">
        <v>0</v>
      </c>
      <c r="Z1194" s="25">
        <v>0</v>
      </c>
      <c r="AA1194" s="25">
        <v>0</v>
      </c>
      <c r="AB1194" s="25">
        <v>0</v>
      </c>
      <c r="AC1194" s="25">
        <v>0</v>
      </c>
      <c r="AD1194" s="25">
        <v>0</v>
      </c>
      <c r="AE1194" s="25">
        <v>0</v>
      </c>
      <c r="AF1194" s="25">
        <v>0</v>
      </c>
    </row>
    <row r="1195" spans="1:32" x14ac:dyDescent="0.25">
      <c r="A1195" s="25" t="s">
        <v>1264</v>
      </c>
      <c r="B1195" s="25">
        <v>0</v>
      </c>
      <c r="C1195" s="25">
        <v>0</v>
      </c>
      <c r="D1195" s="25">
        <v>0</v>
      </c>
      <c r="E1195" s="25">
        <v>0</v>
      </c>
      <c r="F1195" s="25">
        <v>0</v>
      </c>
      <c r="G1195" s="25">
        <v>0</v>
      </c>
      <c r="H1195" s="25">
        <v>0</v>
      </c>
      <c r="I1195" s="25">
        <v>0</v>
      </c>
      <c r="J1195" s="25">
        <v>0</v>
      </c>
      <c r="K1195" s="25">
        <v>0</v>
      </c>
      <c r="L1195" s="25">
        <v>0</v>
      </c>
      <c r="M1195" s="25">
        <v>0</v>
      </c>
      <c r="N1195" s="25">
        <v>0</v>
      </c>
      <c r="O1195" s="25">
        <v>0</v>
      </c>
      <c r="P1195" s="25">
        <v>0</v>
      </c>
      <c r="Q1195" s="25">
        <v>0</v>
      </c>
      <c r="R1195" s="25">
        <v>0</v>
      </c>
      <c r="S1195" s="25">
        <v>0</v>
      </c>
      <c r="T1195" s="25">
        <v>0</v>
      </c>
      <c r="U1195" s="25">
        <v>0</v>
      </c>
      <c r="V1195" s="25">
        <v>0</v>
      </c>
      <c r="W1195" s="25">
        <v>0</v>
      </c>
      <c r="X1195" s="25">
        <v>0</v>
      </c>
      <c r="Y1195" s="25">
        <v>0</v>
      </c>
      <c r="Z1195" s="25">
        <v>0</v>
      </c>
      <c r="AA1195" s="25">
        <v>0</v>
      </c>
      <c r="AB1195" s="25">
        <v>0</v>
      </c>
      <c r="AC1195" s="25">
        <v>0</v>
      </c>
      <c r="AD1195" s="25">
        <v>0</v>
      </c>
      <c r="AE1195" s="25">
        <v>0</v>
      </c>
      <c r="AF1195" s="25">
        <v>0</v>
      </c>
    </row>
    <row r="1196" spans="1:32" x14ac:dyDescent="0.25">
      <c r="A1196" s="25" t="s">
        <v>1265</v>
      </c>
      <c r="B1196" s="25">
        <v>0</v>
      </c>
      <c r="C1196" s="25">
        <v>0</v>
      </c>
      <c r="D1196" s="25">
        <v>0</v>
      </c>
      <c r="E1196" s="25">
        <v>0</v>
      </c>
      <c r="F1196" s="25">
        <v>0</v>
      </c>
      <c r="G1196" s="25">
        <v>0</v>
      </c>
      <c r="H1196" s="25">
        <v>0</v>
      </c>
      <c r="I1196" s="25">
        <v>0</v>
      </c>
      <c r="J1196" s="25">
        <v>0</v>
      </c>
      <c r="K1196" s="25">
        <v>0</v>
      </c>
      <c r="L1196" s="25">
        <v>0</v>
      </c>
      <c r="M1196" s="25">
        <v>0</v>
      </c>
      <c r="N1196" s="25">
        <v>0</v>
      </c>
      <c r="O1196" s="25">
        <v>0</v>
      </c>
      <c r="P1196" s="25">
        <v>0</v>
      </c>
      <c r="Q1196" s="25">
        <v>0</v>
      </c>
      <c r="R1196" s="25">
        <v>0</v>
      </c>
      <c r="S1196" s="25">
        <v>0</v>
      </c>
      <c r="T1196" s="25">
        <v>0</v>
      </c>
      <c r="U1196" s="25">
        <v>0</v>
      </c>
      <c r="V1196" s="25">
        <v>0</v>
      </c>
      <c r="W1196" s="25">
        <v>0</v>
      </c>
      <c r="X1196" s="25">
        <v>0</v>
      </c>
      <c r="Y1196" s="25">
        <v>0</v>
      </c>
      <c r="Z1196" s="25">
        <v>0</v>
      </c>
      <c r="AA1196" s="25">
        <v>0</v>
      </c>
      <c r="AB1196" s="25">
        <v>0</v>
      </c>
      <c r="AC1196" s="25">
        <v>0</v>
      </c>
      <c r="AD1196" s="25">
        <v>0</v>
      </c>
      <c r="AE1196" s="25">
        <v>0</v>
      </c>
      <c r="AF1196" s="25">
        <v>0</v>
      </c>
    </row>
    <row r="1197" spans="1:32" x14ac:dyDescent="0.25">
      <c r="A1197" s="25" t="s">
        <v>1266</v>
      </c>
      <c r="B1197" s="25">
        <v>0</v>
      </c>
      <c r="C1197" s="25">
        <v>0</v>
      </c>
      <c r="D1197" s="25">
        <v>0</v>
      </c>
      <c r="E1197" s="25">
        <v>0</v>
      </c>
      <c r="F1197" s="25">
        <v>0</v>
      </c>
      <c r="G1197" s="25">
        <v>0</v>
      </c>
      <c r="H1197" s="25">
        <v>0</v>
      </c>
      <c r="I1197" s="25">
        <v>0</v>
      </c>
      <c r="J1197" s="25">
        <v>0</v>
      </c>
      <c r="K1197" s="25">
        <v>0</v>
      </c>
      <c r="L1197" s="25">
        <v>0</v>
      </c>
      <c r="M1197" s="25">
        <v>0</v>
      </c>
      <c r="N1197" s="25">
        <v>0</v>
      </c>
      <c r="O1197" s="25">
        <v>0</v>
      </c>
      <c r="P1197" s="25">
        <v>0</v>
      </c>
      <c r="Q1197" s="25">
        <v>0</v>
      </c>
      <c r="R1197" s="25">
        <v>0</v>
      </c>
      <c r="S1197" s="25">
        <v>0</v>
      </c>
      <c r="T1197" s="25">
        <v>0</v>
      </c>
      <c r="U1197" s="25">
        <v>0</v>
      </c>
      <c r="V1197" s="25">
        <v>0</v>
      </c>
      <c r="W1197" s="25">
        <v>0</v>
      </c>
      <c r="X1197" s="25">
        <v>0</v>
      </c>
      <c r="Y1197" s="25">
        <v>0</v>
      </c>
      <c r="Z1197" s="25">
        <v>0</v>
      </c>
      <c r="AA1197" s="25">
        <v>0</v>
      </c>
      <c r="AB1197" s="25">
        <v>0</v>
      </c>
      <c r="AC1197" s="25">
        <v>0</v>
      </c>
      <c r="AD1197" s="25">
        <v>0</v>
      </c>
      <c r="AE1197" s="25">
        <v>0</v>
      </c>
      <c r="AF1197" s="25">
        <v>0</v>
      </c>
    </row>
    <row r="1198" spans="1:32" x14ac:dyDescent="0.25">
      <c r="A1198" s="25" t="s">
        <v>1267</v>
      </c>
      <c r="B1198" s="25">
        <v>0</v>
      </c>
      <c r="C1198" s="25">
        <v>0</v>
      </c>
      <c r="D1198" s="25">
        <v>0</v>
      </c>
      <c r="E1198" s="25">
        <v>0</v>
      </c>
      <c r="F1198" s="25">
        <v>0</v>
      </c>
      <c r="G1198" s="25">
        <v>0</v>
      </c>
      <c r="H1198" s="25">
        <v>0</v>
      </c>
      <c r="I1198" s="25">
        <v>0</v>
      </c>
      <c r="J1198" s="25">
        <v>0</v>
      </c>
      <c r="K1198" s="25">
        <v>0</v>
      </c>
      <c r="L1198" s="25">
        <v>0</v>
      </c>
      <c r="M1198" s="25">
        <v>0</v>
      </c>
      <c r="N1198" s="25">
        <v>0</v>
      </c>
      <c r="O1198" s="25">
        <v>0</v>
      </c>
      <c r="P1198" s="25">
        <v>0</v>
      </c>
      <c r="Q1198" s="25">
        <v>0</v>
      </c>
      <c r="R1198" s="25">
        <v>0</v>
      </c>
      <c r="S1198" s="25">
        <v>0</v>
      </c>
      <c r="T1198" s="25">
        <v>0</v>
      </c>
      <c r="U1198" s="25">
        <v>0</v>
      </c>
      <c r="V1198" s="25">
        <v>0</v>
      </c>
      <c r="W1198" s="25">
        <v>0</v>
      </c>
      <c r="X1198" s="25">
        <v>0</v>
      </c>
      <c r="Y1198" s="25">
        <v>0</v>
      </c>
      <c r="Z1198" s="25">
        <v>0</v>
      </c>
      <c r="AA1198" s="25">
        <v>0</v>
      </c>
      <c r="AB1198" s="25">
        <v>0</v>
      </c>
      <c r="AC1198" s="25">
        <v>0</v>
      </c>
      <c r="AD1198" s="25">
        <v>0</v>
      </c>
      <c r="AE1198" s="25">
        <v>0</v>
      </c>
      <c r="AF1198" s="25">
        <v>0</v>
      </c>
    </row>
    <row r="1199" spans="1:32" x14ac:dyDescent="0.25">
      <c r="A1199" s="25" t="s">
        <v>1268</v>
      </c>
      <c r="B1199" s="25">
        <v>0</v>
      </c>
      <c r="C1199" s="25">
        <v>0</v>
      </c>
      <c r="D1199" s="25">
        <v>0</v>
      </c>
      <c r="E1199" s="25">
        <v>0</v>
      </c>
      <c r="F1199" s="25">
        <v>0</v>
      </c>
      <c r="G1199" s="25">
        <v>0</v>
      </c>
      <c r="H1199" s="25">
        <v>0</v>
      </c>
      <c r="I1199" s="25">
        <v>0</v>
      </c>
      <c r="J1199" s="25">
        <v>0</v>
      </c>
      <c r="K1199" s="25">
        <v>0</v>
      </c>
      <c r="L1199" s="25">
        <v>0</v>
      </c>
      <c r="M1199" s="25">
        <v>0</v>
      </c>
      <c r="N1199" s="25">
        <v>0</v>
      </c>
      <c r="O1199" s="25">
        <v>0</v>
      </c>
      <c r="P1199" s="25">
        <v>0</v>
      </c>
      <c r="Q1199" s="25">
        <v>0</v>
      </c>
      <c r="R1199" s="25">
        <v>0</v>
      </c>
      <c r="S1199" s="25">
        <v>0</v>
      </c>
      <c r="T1199" s="25">
        <v>0</v>
      </c>
      <c r="U1199" s="25">
        <v>0</v>
      </c>
      <c r="V1199" s="25">
        <v>0</v>
      </c>
      <c r="W1199" s="25">
        <v>0</v>
      </c>
      <c r="X1199" s="25">
        <v>0</v>
      </c>
      <c r="Y1199" s="25">
        <v>0</v>
      </c>
      <c r="Z1199" s="25">
        <v>0</v>
      </c>
      <c r="AA1199" s="25">
        <v>0</v>
      </c>
      <c r="AB1199" s="25">
        <v>0</v>
      </c>
      <c r="AC1199" s="25">
        <v>0</v>
      </c>
      <c r="AD1199" s="25">
        <v>0</v>
      </c>
      <c r="AE1199" s="25">
        <v>0</v>
      </c>
      <c r="AF1199" s="25">
        <v>0</v>
      </c>
    </row>
    <row r="1200" spans="1:32" x14ac:dyDescent="0.25">
      <c r="A1200" s="25" t="s">
        <v>1269</v>
      </c>
      <c r="B1200" s="12">
        <v>121300000000000</v>
      </c>
      <c r="C1200" s="12">
        <v>131700000000000</v>
      </c>
      <c r="D1200" s="12">
        <v>134800000000000</v>
      </c>
      <c r="E1200" s="12">
        <v>126500000000000</v>
      </c>
      <c r="F1200" s="12">
        <v>126100000000000</v>
      </c>
      <c r="G1200" s="12">
        <v>125500000000000</v>
      </c>
      <c r="H1200" s="12">
        <v>124600000000000</v>
      </c>
      <c r="I1200" s="12">
        <v>123500000000000</v>
      </c>
      <c r="J1200" s="12">
        <v>122300000000000</v>
      </c>
      <c r="K1200" s="12">
        <v>121100000000000</v>
      </c>
      <c r="L1200" s="12">
        <v>119900000000000</v>
      </c>
      <c r="M1200" s="12">
        <v>118700000000000</v>
      </c>
      <c r="N1200" s="12">
        <v>117500000000000</v>
      </c>
      <c r="O1200" s="12">
        <v>116200000000000</v>
      </c>
      <c r="P1200" s="12">
        <v>115000000000000</v>
      </c>
      <c r="Q1200" s="12">
        <v>114000000000000</v>
      </c>
      <c r="R1200" s="12">
        <v>113100000000000</v>
      </c>
      <c r="S1200" s="12">
        <v>112200000000000</v>
      </c>
      <c r="T1200" s="12">
        <v>111400000000000</v>
      </c>
      <c r="U1200" s="12">
        <v>110400000000000</v>
      </c>
      <c r="V1200" s="12">
        <v>109500000000000</v>
      </c>
      <c r="W1200" s="12">
        <v>108600000000000</v>
      </c>
      <c r="X1200" s="12">
        <v>107700000000000</v>
      </c>
      <c r="Y1200" s="12">
        <v>106800000000000</v>
      </c>
      <c r="Z1200" s="12">
        <v>105900000000000</v>
      </c>
      <c r="AA1200" s="12">
        <v>105000000000000</v>
      </c>
      <c r="AB1200" s="12">
        <v>104100000000000</v>
      </c>
      <c r="AC1200" s="12">
        <v>103200000000000</v>
      </c>
      <c r="AD1200" s="12">
        <v>102300000000000</v>
      </c>
      <c r="AE1200" s="12">
        <v>101300000000000</v>
      </c>
      <c r="AF1200" s="12">
        <v>100500000000000</v>
      </c>
    </row>
    <row r="1201" spans="1:32" x14ac:dyDescent="0.25">
      <c r="A1201" s="25" t="s">
        <v>1270</v>
      </c>
      <c r="B1201" s="12">
        <v>165200000000000</v>
      </c>
      <c r="C1201" s="12">
        <v>165300000000000</v>
      </c>
      <c r="D1201" s="12">
        <v>154300000000000</v>
      </c>
      <c r="E1201" s="12">
        <v>178600000000000</v>
      </c>
      <c r="F1201" s="12">
        <v>182000000000000</v>
      </c>
      <c r="G1201" s="12">
        <v>185500000000000</v>
      </c>
      <c r="H1201" s="12">
        <v>188900000000000</v>
      </c>
      <c r="I1201" s="12">
        <v>191700000000000</v>
      </c>
      <c r="J1201" s="12">
        <v>194300000000000</v>
      </c>
      <c r="K1201" s="12">
        <v>196800000000000</v>
      </c>
      <c r="L1201" s="12">
        <v>199500000000000</v>
      </c>
      <c r="M1201" s="12">
        <v>202300000000000</v>
      </c>
      <c r="N1201" s="12">
        <v>205200000000000</v>
      </c>
      <c r="O1201" s="12">
        <v>208100000000000</v>
      </c>
      <c r="P1201" s="12">
        <v>211100000000000</v>
      </c>
      <c r="Q1201" s="12">
        <v>214600000000000</v>
      </c>
      <c r="R1201" s="12">
        <v>218200000000000</v>
      </c>
      <c r="S1201" s="12">
        <v>222200000000000</v>
      </c>
      <c r="T1201" s="12">
        <v>226200000000000</v>
      </c>
      <c r="U1201" s="12">
        <v>230200000000000</v>
      </c>
      <c r="V1201" s="12">
        <v>234100000000000</v>
      </c>
      <c r="W1201" s="12">
        <v>238100000000000</v>
      </c>
      <c r="X1201" s="12">
        <v>242200000000000</v>
      </c>
      <c r="Y1201" s="12">
        <v>246400000000000</v>
      </c>
      <c r="Z1201" s="12">
        <v>250900000000000</v>
      </c>
      <c r="AA1201" s="12">
        <v>255400000000000</v>
      </c>
      <c r="AB1201" s="12">
        <v>259800000000000</v>
      </c>
      <c r="AC1201" s="12">
        <v>264300000000000</v>
      </c>
      <c r="AD1201" s="12">
        <v>268900000000000</v>
      </c>
      <c r="AE1201" s="12">
        <v>273500000000000</v>
      </c>
      <c r="AF1201" s="12">
        <v>278500000000000</v>
      </c>
    </row>
    <row r="1202" spans="1:32" x14ac:dyDescent="0.25">
      <c r="A1202" s="25" t="s">
        <v>1271</v>
      </c>
      <c r="B1202" s="25">
        <v>0</v>
      </c>
      <c r="C1202" s="25">
        <v>0</v>
      </c>
      <c r="D1202" s="25">
        <v>0</v>
      </c>
      <c r="E1202" s="25">
        <v>0</v>
      </c>
      <c r="F1202" s="25">
        <v>0</v>
      </c>
      <c r="G1202" s="25">
        <v>0</v>
      </c>
      <c r="H1202" s="25">
        <v>0</v>
      </c>
      <c r="I1202" s="25">
        <v>0</v>
      </c>
      <c r="J1202" s="25">
        <v>0</v>
      </c>
      <c r="K1202" s="25">
        <v>0</v>
      </c>
      <c r="L1202" s="25">
        <v>0</v>
      </c>
      <c r="M1202" s="25">
        <v>0</v>
      </c>
      <c r="N1202" s="25">
        <v>0</v>
      </c>
      <c r="O1202" s="25">
        <v>0</v>
      </c>
      <c r="P1202" s="25">
        <v>0</v>
      </c>
      <c r="Q1202" s="25">
        <v>0</v>
      </c>
      <c r="R1202" s="25">
        <v>0</v>
      </c>
      <c r="S1202" s="25">
        <v>0</v>
      </c>
      <c r="T1202" s="25">
        <v>0</v>
      </c>
      <c r="U1202" s="25">
        <v>0</v>
      </c>
      <c r="V1202" s="25">
        <v>0</v>
      </c>
      <c r="W1202" s="25">
        <v>0</v>
      </c>
      <c r="X1202" s="25">
        <v>0</v>
      </c>
      <c r="Y1202" s="25">
        <v>0</v>
      </c>
      <c r="Z1202" s="25">
        <v>0</v>
      </c>
      <c r="AA1202" s="25">
        <v>0</v>
      </c>
      <c r="AB1202" s="25">
        <v>0</v>
      </c>
      <c r="AC1202" s="25">
        <v>0</v>
      </c>
      <c r="AD1202" s="25">
        <v>0</v>
      </c>
      <c r="AE1202" s="25">
        <v>0</v>
      </c>
      <c r="AF1202" s="25">
        <v>0</v>
      </c>
    </row>
    <row r="1203" spans="1:32" x14ac:dyDescent="0.25">
      <c r="A1203" s="25" t="s">
        <v>1272</v>
      </c>
      <c r="B1203" s="12">
        <v>39490000000000</v>
      </c>
      <c r="C1203" s="12">
        <v>37860000000000</v>
      </c>
      <c r="D1203" s="12">
        <v>37610000000000</v>
      </c>
      <c r="E1203" s="12">
        <v>37590000000000</v>
      </c>
      <c r="F1203" s="12">
        <v>37730000000000</v>
      </c>
      <c r="G1203" s="12">
        <v>37600000000000</v>
      </c>
      <c r="H1203" s="12">
        <v>37460000000000</v>
      </c>
      <c r="I1203" s="12">
        <v>37410000000000</v>
      </c>
      <c r="J1203" s="12">
        <v>37450000000000</v>
      </c>
      <c r="K1203" s="12">
        <v>37540000000000</v>
      </c>
      <c r="L1203" s="12">
        <v>37180000000000</v>
      </c>
      <c r="M1203" s="12">
        <v>36920000000000</v>
      </c>
      <c r="N1203" s="12">
        <v>36740000000000</v>
      </c>
      <c r="O1203" s="12">
        <v>36610000000000</v>
      </c>
      <c r="P1203" s="12">
        <v>36540000000000</v>
      </c>
      <c r="Q1203" s="12">
        <v>36580000000000</v>
      </c>
      <c r="R1203" s="12">
        <v>36650000000000</v>
      </c>
      <c r="S1203" s="12">
        <v>36750000000000</v>
      </c>
      <c r="T1203" s="12">
        <v>36860000000000</v>
      </c>
      <c r="U1203" s="12">
        <v>36960000000000</v>
      </c>
      <c r="V1203" s="12">
        <v>36440000000000</v>
      </c>
      <c r="W1203" s="12">
        <v>36040000000000</v>
      </c>
      <c r="X1203" s="12">
        <v>35730000000000</v>
      </c>
      <c r="Y1203" s="12">
        <v>35490000000000</v>
      </c>
      <c r="Z1203" s="12">
        <v>35350000000000</v>
      </c>
      <c r="AA1203" s="12">
        <v>35250000000000</v>
      </c>
      <c r="AB1203" s="12">
        <v>35160000000000</v>
      </c>
      <c r="AC1203" s="12">
        <v>35070000000000</v>
      </c>
      <c r="AD1203" s="12">
        <v>34990000000000</v>
      </c>
      <c r="AE1203" s="12">
        <v>34920000000000</v>
      </c>
      <c r="AF1203" s="12">
        <v>34920000000000</v>
      </c>
    </row>
    <row r="1204" spans="1:32" x14ac:dyDescent="0.25">
      <c r="A1204" s="25" t="s">
        <v>1273</v>
      </c>
      <c r="B1204" s="12">
        <v>244700000000000</v>
      </c>
      <c r="C1204" s="12">
        <v>243900000000000</v>
      </c>
      <c r="D1204" s="12">
        <v>245100000000000</v>
      </c>
      <c r="E1204" s="12">
        <v>246000000000000</v>
      </c>
      <c r="F1204" s="12">
        <v>247200000000000</v>
      </c>
      <c r="G1204" s="12">
        <v>248300000000000</v>
      </c>
      <c r="H1204" s="12">
        <v>249000000000000</v>
      </c>
      <c r="I1204" s="12">
        <v>249500000000000</v>
      </c>
      <c r="J1204" s="12">
        <v>249900000000000</v>
      </c>
      <c r="K1204" s="12">
        <v>250300000000000</v>
      </c>
      <c r="L1204" s="12">
        <v>250900000000000</v>
      </c>
      <c r="M1204" s="12">
        <v>251500000000000</v>
      </c>
      <c r="N1204" s="12">
        <v>252300000000000</v>
      </c>
      <c r="O1204" s="12">
        <v>253200000000000</v>
      </c>
      <c r="P1204" s="12">
        <v>254200000000000</v>
      </c>
      <c r="Q1204" s="12">
        <v>255600000000000</v>
      </c>
      <c r="R1204" s="12">
        <v>257200000000000</v>
      </c>
      <c r="S1204" s="12">
        <v>259000000000000</v>
      </c>
      <c r="T1204" s="12">
        <v>260900000000000</v>
      </c>
      <c r="U1204" s="12">
        <v>262700000000000</v>
      </c>
      <c r="V1204" s="12">
        <v>264500000000000</v>
      </c>
      <c r="W1204" s="12">
        <v>266400000000000</v>
      </c>
      <c r="X1204" s="12">
        <v>268200000000000</v>
      </c>
      <c r="Y1204" s="12">
        <v>270100000000000</v>
      </c>
      <c r="Z1204" s="12">
        <v>272100000000000</v>
      </c>
      <c r="AA1204" s="12">
        <v>274100000000000</v>
      </c>
      <c r="AB1204" s="12">
        <v>276000000000000</v>
      </c>
      <c r="AC1204" s="12">
        <v>278000000000000</v>
      </c>
      <c r="AD1204" s="12">
        <v>279900000000000</v>
      </c>
      <c r="AE1204" s="12">
        <v>281800000000000</v>
      </c>
      <c r="AF1204" s="12">
        <v>283900000000000</v>
      </c>
    </row>
    <row r="1205" spans="1:32" x14ac:dyDescent="0.25">
      <c r="A1205" s="25" t="s">
        <v>1274</v>
      </c>
      <c r="B1205" s="12">
        <v>388400000000000</v>
      </c>
      <c r="C1205" s="12">
        <v>389900000000000</v>
      </c>
      <c r="D1205" s="12">
        <v>380900000000000</v>
      </c>
      <c r="E1205" s="12">
        <v>392700000000000</v>
      </c>
      <c r="F1205" s="12">
        <v>398300000000000</v>
      </c>
      <c r="G1205" s="12">
        <v>403800000000000</v>
      </c>
      <c r="H1205" s="12">
        <v>408700000000000</v>
      </c>
      <c r="I1205" s="12">
        <v>412700000000000</v>
      </c>
      <c r="J1205" s="12">
        <v>416800000000000</v>
      </c>
      <c r="K1205" s="12">
        <v>421000000000000</v>
      </c>
      <c r="L1205" s="12">
        <v>425600000000000</v>
      </c>
      <c r="M1205" s="12">
        <v>430000000000000</v>
      </c>
      <c r="N1205" s="12">
        <v>434600000000000</v>
      </c>
      <c r="O1205" s="12">
        <v>439300000000000</v>
      </c>
      <c r="P1205" s="12">
        <v>444200000000000</v>
      </c>
      <c r="Q1205" s="12">
        <v>449600000000000</v>
      </c>
      <c r="R1205" s="12">
        <v>455400000000000</v>
      </c>
      <c r="S1205" s="12">
        <v>461800000000000</v>
      </c>
      <c r="T1205" s="12">
        <v>468400000000000</v>
      </c>
      <c r="U1205" s="12">
        <v>474800000000000</v>
      </c>
      <c r="V1205" s="12">
        <v>481300000000000</v>
      </c>
      <c r="W1205" s="12">
        <v>487800000000000</v>
      </c>
      <c r="X1205" s="12">
        <v>494600000000000</v>
      </c>
      <c r="Y1205" s="12">
        <v>501600000000000</v>
      </c>
      <c r="Z1205" s="12">
        <v>509000000000000</v>
      </c>
      <c r="AA1205" s="12">
        <v>516800000000000</v>
      </c>
      <c r="AB1205" s="12">
        <v>524700000000000</v>
      </c>
      <c r="AC1205" s="12">
        <v>532900000000000</v>
      </c>
      <c r="AD1205" s="12">
        <v>541100000000000</v>
      </c>
      <c r="AE1205" s="12">
        <v>549800000000000</v>
      </c>
      <c r="AF1205" s="12">
        <v>559200000000000</v>
      </c>
    </row>
    <row r="1206" spans="1:32" x14ac:dyDescent="0.25">
      <c r="A1206" s="25" t="s">
        <v>1275</v>
      </c>
      <c r="B1206" s="25">
        <v>0</v>
      </c>
      <c r="C1206" s="25">
        <v>0</v>
      </c>
      <c r="D1206" s="25">
        <v>0</v>
      </c>
      <c r="E1206" s="25">
        <v>0</v>
      </c>
      <c r="F1206" s="25">
        <v>0</v>
      </c>
      <c r="G1206" s="25">
        <v>0</v>
      </c>
      <c r="H1206" s="25">
        <v>0</v>
      </c>
      <c r="I1206" s="25">
        <v>0</v>
      </c>
      <c r="J1206" s="25">
        <v>0</v>
      </c>
      <c r="K1206" s="25">
        <v>0</v>
      </c>
      <c r="L1206" s="25">
        <v>0</v>
      </c>
      <c r="M1206" s="25">
        <v>0</v>
      </c>
      <c r="N1206" s="25">
        <v>0</v>
      </c>
      <c r="O1206" s="25">
        <v>0</v>
      </c>
      <c r="P1206" s="25">
        <v>0</v>
      </c>
      <c r="Q1206" s="25">
        <v>0</v>
      </c>
      <c r="R1206" s="25">
        <v>0</v>
      </c>
      <c r="S1206" s="25">
        <v>0</v>
      </c>
      <c r="T1206" s="25">
        <v>0</v>
      </c>
      <c r="U1206" s="25">
        <v>0</v>
      </c>
      <c r="V1206" s="25">
        <v>0</v>
      </c>
      <c r="W1206" s="25">
        <v>0</v>
      </c>
      <c r="X1206" s="25">
        <v>0</v>
      </c>
      <c r="Y1206" s="25">
        <v>0</v>
      </c>
      <c r="Z1206" s="25">
        <v>0</v>
      </c>
      <c r="AA1206" s="25">
        <v>0</v>
      </c>
      <c r="AB1206" s="25">
        <v>0</v>
      </c>
      <c r="AC1206" s="25">
        <v>0</v>
      </c>
      <c r="AD1206" s="25">
        <v>0</v>
      </c>
      <c r="AE1206" s="25">
        <v>0</v>
      </c>
      <c r="AF1206" s="25">
        <v>0</v>
      </c>
    </row>
    <row r="1207" spans="1:32" x14ac:dyDescent="0.25">
      <c r="A1207" s="25" t="s">
        <v>1276</v>
      </c>
      <c r="B1207" s="25">
        <v>0</v>
      </c>
      <c r="C1207" s="25">
        <v>0</v>
      </c>
      <c r="D1207" s="25">
        <v>0</v>
      </c>
      <c r="E1207" s="25">
        <v>0</v>
      </c>
      <c r="F1207" s="25">
        <v>0</v>
      </c>
      <c r="G1207" s="25">
        <v>0</v>
      </c>
      <c r="H1207" s="25">
        <v>0</v>
      </c>
      <c r="I1207" s="25">
        <v>0</v>
      </c>
      <c r="J1207" s="25">
        <v>0</v>
      </c>
      <c r="K1207" s="25">
        <v>0</v>
      </c>
      <c r="L1207" s="25">
        <v>0</v>
      </c>
      <c r="M1207" s="25">
        <v>0</v>
      </c>
      <c r="N1207" s="25">
        <v>0</v>
      </c>
      <c r="O1207" s="25">
        <v>0</v>
      </c>
      <c r="P1207" s="25">
        <v>0</v>
      </c>
      <c r="Q1207" s="25">
        <v>0</v>
      </c>
      <c r="R1207" s="25">
        <v>0</v>
      </c>
      <c r="S1207" s="25">
        <v>0</v>
      </c>
      <c r="T1207" s="25">
        <v>0</v>
      </c>
      <c r="U1207" s="25">
        <v>0</v>
      </c>
      <c r="V1207" s="25">
        <v>0</v>
      </c>
      <c r="W1207" s="25">
        <v>0</v>
      </c>
      <c r="X1207" s="25">
        <v>0</v>
      </c>
      <c r="Y1207" s="25">
        <v>0</v>
      </c>
      <c r="Z1207" s="25">
        <v>0</v>
      </c>
      <c r="AA1207" s="25">
        <v>0</v>
      </c>
      <c r="AB1207" s="25">
        <v>0</v>
      </c>
      <c r="AC1207" s="25">
        <v>0</v>
      </c>
      <c r="AD1207" s="25">
        <v>0</v>
      </c>
      <c r="AE1207" s="25">
        <v>0</v>
      </c>
      <c r="AF1207" s="25">
        <v>0</v>
      </c>
    </row>
    <row r="1208" spans="1:32" x14ac:dyDescent="0.25">
      <c r="A1208" s="25" t="s">
        <v>1277</v>
      </c>
      <c r="B1208" s="25">
        <v>0</v>
      </c>
      <c r="C1208" s="25">
        <v>0</v>
      </c>
      <c r="D1208" s="25">
        <v>0</v>
      </c>
      <c r="E1208" s="25">
        <v>0</v>
      </c>
      <c r="F1208" s="25">
        <v>0</v>
      </c>
      <c r="G1208" s="25">
        <v>0</v>
      </c>
      <c r="H1208" s="25">
        <v>0</v>
      </c>
      <c r="I1208" s="25">
        <v>0</v>
      </c>
      <c r="J1208" s="25">
        <v>0</v>
      </c>
      <c r="K1208" s="25">
        <v>0</v>
      </c>
      <c r="L1208" s="25">
        <v>0</v>
      </c>
      <c r="M1208" s="25">
        <v>0</v>
      </c>
      <c r="N1208" s="25">
        <v>0</v>
      </c>
      <c r="O1208" s="25">
        <v>0</v>
      </c>
      <c r="P1208" s="25">
        <v>0</v>
      </c>
      <c r="Q1208" s="25">
        <v>0</v>
      </c>
      <c r="R1208" s="25">
        <v>0</v>
      </c>
      <c r="S1208" s="25">
        <v>0</v>
      </c>
      <c r="T1208" s="25">
        <v>0</v>
      </c>
      <c r="U1208" s="25">
        <v>0</v>
      </c>
      <c r="V1208" s="25">
        <v>0</v>
      </c>
      <c r="W1208" s="25">
        <v>0</v>
      </c>
      <c r="X1208" s="25">
        <v>0</v>
      </c>
      <c r="Y1208" s="25">
        <v>0</v>
      </c>
      <c r="Z1208" s="25">
        <v>0</v>
      </c>
      <c r="AA1208" s="25">
        <v>0</v>
      </c>
      <c r="AB1208" s="25">
        <v>0</v>
      </c>
      <c r="AC1208" s="25">
        <v>0</v>
      </c>
      <c r="AD1208" s="25">
        <v>0</v>
      </c>
      <c r="AE1208" s="25">
        <v>0</v>
      </c>
      <c r="AF1208" s="25">
        <v>0</v>
      </c>
    </row>
    <row r="1209" spans="1:32" x14ac:dyDescent="0.25">
      <c r="A1209" s="25" t="s">
        <v>1278</v>
      </c>
      <c r="B1209" s="25">
        <v>0</v>
      </c>
      <c r="C1209" s="25">
        <v>0</v>
      </c>
      <c r="D1209" s="25">
        <v>0</v>
      </c>
      <c r="E1209" s="25">
        <v>0</v>
      </c>
      <c r="F1209" s="25">
        <v>0</v>
      </c>
      <c r="G1209" s="25">
        <v>0</v>
      </c>
      <c r="H1209" s="25">
        <v>0</v>
      </c>
      <c r="I1209" s="25">
        <v>0</v>
      </c>
      <c r="J1209" s="25">
        <v>0</v>
      </c>
      <c r="K1209" s="25">
        <v>0</v>
      </c>
      <c r="L1209" s="25">
        <v>0</v>
      </c>
      <c r="M1209" s="25">
        <v>0</v>
      </c>
      <c r="N1209" s="25">
        <v>0</v>
      </c>
      <c r="O1209" s="25">
        <v>0</v>
      </c>
      <c r="P1209" s="25">
        <v>0</v>
      </c>
      <c r="Q1209" s="25">
        <v>0</v>
      </c>
      <c r="R1209" s="25">
        <v>0</v>
      </c>
      <c r="S1209" s="25">
        <v>0</v>
      </c>
      <c r="T1209" s="25">
        <v>0</v>
      </c>
      <c r="U1209" s="25">
        <v>0</v>
      </c>
      <c r="V1209" s="25">
        <v>0</v>
      </c>
      <c r="W1209" s="25">
        <v>0</v>
      </c>
      <c r="X1209" s="25">
        <v>0</v>
      </c>
      <c r="Y1209" s="25">
        <v>0</v>
      </c>
      <c r="Z1209" s="25">
        <v>0</v>
      </c>
      <c r="AA1209" s="25">
        <v>0</v>
      </c>
      <c r="AB1209" s="25">
        <v>0</v>
      </c>
      <c r="AC1209" s="25">
        <v>0</v>
      </c>
      <c r="AD1209" s="25">
        <v>0</v>
      </c>
      <c r="AE1209" s="25">
        <v>0</v>
      </c>
      <c r="AF1209" s="25">
        <v>0</v>
      </c>
    </row>
    <row r="1210" spans="1:32" x14ac:dyDescent="0.25">
      <c r="A1210" s="25" t="s">
        <v>1279</v>
      </c>
      <c r="B1210" s="25">
        <v>0</v>
      </c>
      <c r="C1210" s="25">
        <v>0</v>
      </c>
      <c r="D1210" s="25">
        <v>0</v>
      </c>
      <c r="E1210" s="25">
        <v>0</v>
      </c>
      <c r="F1210" s="25">
        <v>0</v>
      </c>
      <c r="G1210" s="25">
        <v>0</v>
      </c>
      <c r="H1210" s="25">
        <v>0</v>
      </c>
      <c r="I1210" s="25">
        <v>0</v>
      </c>
      <c r="J1210" s="25">
        <v>0</v>
      </c>
      <c r="K1210" s="25">
        <v>0</v>
      </c>
      <c r="L1210" s="25">
        <v>0</v>
      </c>
      <c r="M1210" s="25">
        <v>0</v>
      </c>
      <c r="N1210" s="25">
        <v>0</v>
      </c>
      <c r="O1210" s="25">
        <v>0</v>
      </c>
      <c r="P1210" s="25">
        <v>0</v>
      </c>
      <c r="Q1210" s="25">
        <v>0</v>
      </c>
      <c r="R1210" s="25">
        <v>0</v>
      </c>
      <c r="S1210" s="25">
        <v>0</v>
      </c>
      <c r="T1210" s="25">
        <v>0</v>
      </c>
      <c r="U1210" s="25">
        <v>0</v>
      </c>
      <c r="V1210" s="25">
        <v>0</v>
      </c>
      <c r="W1210" s="25">
        <v>0</v>
      </c>
      <c r="X1210" s="25">
        <v>0</v>
      </c>
      <c r="Y1210" s="25">
        <v>0</v>
      </c>
      <c r="Z1210" s="25">
        <v>0</v>
      </c>
      <c r="AA1210" s="25">
        <v>0</v>
      </c>
      <c r="AB1210" s="25">
        <v>0</v>
      </c>
      <c r="AC1210" s="25">
        <v>0</v>
      </c>
      <c r="AD1210" s="25">
        <v>0</v>
      </c>
      <c r="AE1210" s="25">
        <v>0</v>
      </c>
      <c r="AF1210" s="25">
        <v>0</v>
      </c>
    </row>
    <row r="1211" spans="1:32" x14ac:dyDescent="0.25">
      <c r="A1211" s="25" t="s">
        <v>1280</v>
      </c>
      <c r="B1211" s="25">
        <v>0</v>
      </c>
      <c r="C1211" s="25">
        <v>0</v>
      </c>
      <c r="D1211" s="25">
        <v>0</v>
      </c>
      <c r="E1211" s="25">
        <v>0</v>
      </c>
      <c r="F1211" s="25">
        <v>0</v>
      </c>
      <c r="G1211" s="25">
        <v>0</v>
      </c>
      <c r="H1211" s="25">
        <v>0</v>
      </c>
      <c r="I1211" s="25">
        <v>0</v>
      </c>
      <c r="J1211" s="25">
        <v>0</v>
      </c>
      <c r="K1211" s="25">
        <v>0</v>
      </c>
      <c r="L1211" s="25">
        <v>0</v>
      </c>
      <c r="M1211" s="25">
        <v>0</v>
      </c>
      <c r="N1211" s="25">
        <v>0</v>
      </c>
      <c r="O1211" s="25">
        <v>0</v>
      </c>
      <c r="P1211" s="25">
        <v>0</v>
      </c>
      <c r="Q1211" s="25">
        <v>0</v>
      </c>
      <c r="R1211" s="25">
        <v>0</v>
      </c>
      <c r="S1211" s="25">
        <v>0</v>
      </c>
      <c r="T1211" s="25">
        <v>0</v>
      </c>
      <c r="U1211" s="25">
        <v>0</v>
      </c>
      <c r="V1211" s="25">
        <v>0</v>
      </c>
      <c r="W1211" s="25">
        <v>0</v>
      </c>
      <c r="X1211" s="25">
        <v>0</v>
      </c>
      <c r="Y1211" s="25">
        <v>0</v>
      </c>
      <c r="Z1211" s="25">
        <v>0</v>
      </c>
      <c r="AA1211" s="25">
        <v>0</v>
      </c>
      <c r="AB1211" s="25">
        <v>0</v>
      </c>
      <c r="AC1211" s="25">
        <v>0</v>
      </c>
      <c r="AD1211" s="25">
        <v>0</v>
      </c>
      <c r="AE1211" s="25">
        <v>0</v>
      </c>
      <c r="AF1211" s="25">
        <v>0</v>
      </c>
    </row>
    <row r="1212" spans="1:32" x14ac:dyDescent="0.25">
      <c r="A1212" s="25" t="s">
        <v>1281</v>
      </c>
      <c r="B1212" s="12">
        <v>659300000000000</v>
      </c>
      <c r="C1212" s="12">
        <v>669500000000000</v>
      </c>
      <c r="D1212" s="12">
        <v>682400000000000</v>
      </c>
      <c r="E1212" s="12">
        <v>668000000000000</v>
      </c>
      <c r="F1212" s="12">
        <v>669100000000000</v>
      </c>
      <c r="G1212" s="12">
        <v>669900000000000</v>
      </c>
      <c r="H1212" s="12">
        <v>669100000000000</v>
      </c>
      <c r="I1212" s="12">
        <v>667000000000000</v>
      </c>
      <c r="J1212" s="12">
        <v>663900000000000</v>
      </c>
      <c r="K1212" s="12">
        <v>660000000000000</v>
      </c>
      <c r="L1212" s="12">
        <v>656200000000000</v>
      </c>
      <c r="M1212" s="12">
        <v>651800000000000</v>
      </c>
      <c r="N1212" s="12">
        <v>648000000000000</v>
      </c>
      <c r="O1212" s="12">
        <v>644300000000000</v>
      </c>
      <c r="P1212" s="12">
        <v>641100000000000</v>
      </c>
      <c r="Q1212" s="12">
        <v>638500000000000</v>
      </c>
      <c r="R1212" s="12">
        <v>636100000000000</v>
      </c>
      <c r="S1212" s="12">
        <v>633500000000000</v>
      </c>
      <c r="T1212" s="12">
        <v>631000000000000</v>
      </c>
      <c r="U1212" s="12">
        <v>628600000000000</v>
      </c>
      <c r="V1212" s="12">
        <v>626500000000000</v>
      </c>
      <c r="W1212" s="12">
        <v>624400000000000</v>
      </c>
      <c r="X1212" s="12">
        <v>622400000000000</v>
      </c>
      <c r="Y1212" s="12">
        <v>620400000000000</v>
      </c>
      <c r="Z1212" s="12">
        <v>618500000000000</v>
      </c>
      <c r="AA1212" s="12">
        <v>616500000000000</v>
      </c>
      <c r="AB1212" s="12">
        <v>614400000000000</v>
      </c>
      <c r="AC1212" s="12">
        <v>612200000000000</v>
      </c>
      <c r="AD1212" s="12">
        <v>609900000000000</v>
      </c>
      <c r="AE1212" s="12">
        <v>607500000000000</v>
      </c>
      <c r="AF1212" s="12">
        <v>605000000000000</v>
      </c>
    </row>
    <row r="1213" spans="1:32" x14ac:dyDescent="0.25">
      <c r="A1213" s="25" t="s">
        <v>1282</v>
      </c>
      <c r="B1213" s="12">
        <v>10960000000000</v>
      </c>
      <c r="C1213" s="12">
        <v>10480000000000</v>
      </c>
      <c r="D1213" s="12">
        <v>9804000000000</v>
      </c>
      <c r="E1213" s="12">
        <v>11200000000000</v>
      </c>
      <c r="F1213" s="12">
        <v>11210000000000</v>
      </c>
      <c r="G1213" s="12">
        <v>11220000000000</v>
      </c>
      <c r="H1213" s="12">
        <v>11220000000000</v>
      </c>
      <c r="I1213" s="12">
        <v>11200000000000</v>
      </c>
      <c r="J1213" s="12">
        <v>11170000000000</v>
      </c>
      <c r="K1213" s="12">
        <v>11130000000000</v>
      </c>
      <c r="L1213" s="12">
        <v>11090000000000</v>
      </c>
      <c r="M1213" s="12">
        <v>11040000000000</v>
      </c>
      <c r="N1213" s="12">
        <v>11000000000000</v>
      </c>
      <c r="O1213" s="12">
        <v>10950000000000</v>
      </c>
      <c r="P1213" s="12">
        <v>10920000000000</v>
      </c>
      <c r="Q1213" s="12">
        <v>10910000000000</v>
      </c>
      <c r="R1213" s="12">
        <v>10920000000000</v>
      </c>
      <c r="S1213" s="12">
        <v>10950000000000</v>
      </c>
      <c r="T1213" s="12">
        <v>10990000000000</v>
      </c>
      <c r="U1213" s="12">
        <v>11030000000000</v>
      </c>
      <c r="V1213" s="12">
        <v>11060000000000</v>
      </c>
      <c r="W1213" s="12">
        <v>11100000000000</v>
      </c>
      <c r="X1213" s="12">
        <v>11140000000000</v>
      </c>
      <c r="Y1213" s="12">
        <v>11180000000000</v>
      </c>
      <c r="Z1213" s="12">
        <v>11220000000000</v>
      </c>
      <c r="AA1213" s="12">
        <v>11270000000000</v>
      </c>
      <c r="AB1213" s="12">
        <v>11310000000000</v>
      </c>
      <c r="AC1213" s="12">
        <v>11350000000000</v>
      </c>
      <c r="AD1213" s="12">
        <v>11390000000000</v>
      </c>
      <c r="AE1213" s="12">
        <v>11440000000000</v>
      </c>
      <c r="AF1213" s="12">
        <v>11480000000000</v>
      </c>
    </row>
    <row r="1214" spans="1:32" x14ac:dyDescent="0.25">
      <c r="A1214" s="25" t="s">
        <v>1283</v>
      </c>
      <c r="B1214" s="25">
        <v>0</v>
      </c>
      <c r="C1214" s="25">
        <v>0</v>
      </c>
      <c r="D1214" s="25">
        <v>0</v>
      </c>
      <c r="E1214" s="25">
        <v>0</v>
      </c>
      <c r="F1214" s="25">
        <v>0</v>
      </c>
      <c r="G1214" s="25">
        <v>0</v>
      </c>
      <c r="H1214" s="25">
        <v>0</v>
      </c>
      <c r="I1214" s="25">
        <v>0</v>
      </c>
      <c r="J1214" s="25">
        <v>0</v>
      </c>
      <c r="K1214" s="25">
        <v>0</v>
      </c>
      <c r="L1214" s="25">
        <v>0</v>
      </c>
      <c r="M1214" s="25">
        <v>0</v>
      </c>
      <c r="N1214" s="25">
        <v>0</v>
      </c>
      <c r="O1214" s="25">
        <v>0</v>
      </c>
      <c r="P1214" s="25">
        <v>0</v>
      </c>
      <c r="Q1214" s="25">
        <v>0</v>
      </c>
      <c r="R1214" s="25">
        <v>0</v>
      </c>
      <c r="S1214" s="25">
        <v>0</v>
      </c>
      <c r="T1214" s="25">
        <v>0</v>
      </c>
      <c r="U1214" s="25">
        <v>0</v>
      </c>
      <c r="V1214" s="25">
        <v>0</v>
      </c>
      <c r="W1214" s="25">
        <v>0</v>
      </c>
      <c r="X1214" s="25">
        <v>0</v>
      </c>
      <c r="Y1214" s="25">
        <v>0</v>
      </c>
      <c r="Z1214" s="25">
        <v>0</v>
      </c>
      <c r="AA1214" s="25">
        <v>0</v>
      </c>
      <c r="AB1214" s="25">
        <v>0</v>
      </c>
      <c r="AC1214" s="25">
        <v>0</v>
      </c>
      <c r="AD1214" s="25">
        <v>0</v>
      </c>
      <c r="AE1214" s="25">
        <v>0</v>
      </c>
      <c r="AF1214" s="25">
        <v>0</v>
      </c>
    </row>
    <row r="1215" spans="1:32" x14ac:dyDescent="0.25">
      <c r="A1215" s="25" t="s">
        <v>1284</v>
      </c>
      <c r="B1215" s="25">
        <v>0</v>
      </c>
      <c r="C1215" s="25">
        <v>0</v>
      </c>
      <c r="D1215" s="25">
        <v>0</v>
      </c>
      <c r="E1215" s="25">
        <v>0</v>
      </c>
      <c r="F1215" s="25">
        <v>0</v>
      </c>
      <c r="G1215" s="25">
        <v>0</v>
      </c>
      <c r="H1215" s="25">
        <v>0</v>
      </c>
      <c r="I1215" s="25">
        <v>0</v>
      </c>
      <c r="J1215" s="25">
        <v>0</v>
      </c>
      <c r="K1215" s="25">
        <v>0</v>
      </c>
      <c r="L1215" s="25">
        <v>0</v>
      </c>
      <c r="M1215" s="25">
        <v>0</v>
      </c>
      <c r="N1215" s="25">
        <v>0</v>
      </c>
      <c r="O1215" s="25">
        <v>0</v>
      </c>
      <c r="P1215" s="25">
        <v>0</v>
      </c>
      <c r="Q1215" s="25">
        <v>0</v>
      </c>
      <c r="R1215" s="25">
        <v>0</v>
      </c>
      <c r="S1215" s="25">
        <v>0</v>
      </c>
      <c r="T1215" s="25">
        <v>0</v>
      </c>
      <c r="U1215" s="25">
        <v>0</v>
      </c>
      <c r="V1215" s="25">
        <v>0</v>
      </c>
      <c r="W1215" s="25">
        <v>0</v>
      </c>
      <c r="X1215" s="25">
        <v>0</v>
      </c>
      <c r="Y1215" s="25">
        <v>0</v>
      </c>
      <c r="Z1215" s="25">
        <v>0</v>
      </c>
      <c r="AA1215" s="25">
        <v>0</v>
      </c>
      <c r="AB1215" s="25">
        <v>0</v>
      </c>
      <c r="AC1215" s="25">
        <v>0</v>
      </c>
      <c r="AD1215" s="25">
        <v>0</v>
      </c>
      <c r="AE1215" s="25">
        <v>0</v>
      </c>
      <c r="AF1215" s="25">
        <v>0</v>
      </c>
    </row>
    <row r="1216" spans="1:32" x14ac:dyDescent="0.25">
      <c r="A1216" s="25" t="s">
        <v>1285</v>
      </c>
      <c r="B1216" s="12">
        <v>215000000000000</v>
      </c>
      <c r="C1216" s="12">
        <v>212800000000000</v>
      </c>
      <c r="D1216" s="12">
        <v>212700000000000</v>
      </c>
      <c r="E1216" s="12">
        <v>213800000000000</v>
      </c>
      <c r="F1216" s="12">
        <v>216300000000000</v>
      </c>
      <c r="G1216" s="12">
        <v>219100000000000</v>
      </c>
      <c r="H1216" s="12">
        <v>221800000000000</v>
      </c>
      <c r="I1216" s="12">
        <v>224300000000000</v>
      </c>
      <c r="J1216" s="12">
        <v>226500000000000</v>
      </c>
      <c r="K1216" s="12">
        <v>228400000000000</v>
      </c>
      <c r="L1216" s="12">
        <v>230500000000000</v>
      </c>
      <c r="M1216" s="12">
        <v>231900000000000</v>
      </c>
      <c r="N1216" s="12">
        <v>233500000000000</v>
      </c>
      <c r="O1216" s="12">
        <v>235100000000000</v>
      </c>
      <c r="P1216" s="12">
        <v>236800000000000</v>
      </c>
      <c r="Q1216" s="12">
        <v>238700000000000</v>
      </c>
      <c r="R1216" s="12">
        <v>240500000000000</v>
      </c>
      <c r="S1216" s="12">
        <v>242100000000000</v>
      </c>
      <c r="T1216" s="12">
        <v>243600000000000</v>
      </c>
      <c r="U1216" s="12">
        <v>245000000000000</v>
      </c>
      <c r="V1216" s="12">
        <v>246400000000000</v>
      </c>
      <c r="W1216" s="12">
        <v>247800000000000</v>
      </c>
      <c r="X1216" s="12">
        <v>249200000000000</v>
      </c>
      <c r="Y1216" s="12">
        <v>250600000000000</v>
      </c>
      <c r="Z1216" s="12">
        <v>252100000000000</v>
      </c>
      <c r="AA1216" s="12">
        <v>253700000000000</v>
      </c>
      <c r="AB1216" s="12">
        <v>255200000000000</v>
      </c>
      <c r="AC1216" s="12">
        <v>256800000000000</v>
      </c>
      <c r="AD1216" s="12">
        <v>258500000000000</v>
      </c>
      <c r="AE1216" s="12">
        <v>260100000000000</v>
      </c>
      <c r="AF1216" s="12">
        <v>261700000000000</v>
      </c>
    </row>
    <row r="1217" spans="1:32" x14ac:dyDescent="0.25">
      <c r="A1217" s="25" t="s">
        <v>1286</v>
      </c>
      <c r="B1217" s="12">
        <v>43620000000000</v>
      </c>
      <c r="C1217" s="12">
        <v>43160000000000</v>
      </c>
      <c r="D1217" s="12">
        <v>42850000000000</v>
      </c>
      <c r="E1217" s="12">
        <v>42740000000000</v>
      </c>
      <c r="F1217" s="12">
        <v>42850000000000</v>
      </c>
      <c r="G1217" s="12">
        <v>43010000000000</v>
      </c>
      <c r="H1217" s="12">
        <v>43140000000000</v>
      </c>
      <c r="I1217" s="12">
        <v>43230000000000</v>
      </c>
      <c r="J1217" s="12">
        <v>43210000000000</v>
      </c>
      <c r="K1217" s="12">
        <v>43100000000000</v>
      </c>
      <c r="L1217" s="12">
        <v>42980000000000</v>
      </c>
      <c r="M1217" s="12">
        <v>42730000000000</v>
      </c>
      <c r="N1217" s="12">
        <v>42540000000000</v>
      </c>
      <c r="O1217" s="12">
        <v>42380000000000</v>
      </c>
      <c r="P1217" s="12">
        <v>42270000000000</v>
      </c>
      <c r="Q1217" s="12">
        <v>42210000000000</v>
      </c>
      <c r="R1217" s="12">
        <v>42160000000000</v>
      </c>
      <c r="S1217" s="12">
        <v>42090000000000</v>
      </c>
      <c r="T1217" s="12">
        <v>42030000000000</v>
      </c>
      <c r="U1217" s="12">
        <v>41960000000000</v>
      </c>
      <c r="V1217" s="12">
        <v>41890000000000</v>
      </c>
      <c r="W1217" s="12">
        <v>41830000000000</v>
      </c>
      <c r="X1217" s="12">
        <v>41770000000000</v>
      </c>
      <c r="Y1217" s="12">
        <v>41720000000000</v>
      </c>
      <c r="Z1217" s="12">
        <v>41670000000000</v>
      </c>
      <c r="AA1217" s="12">
        <v>41620000000000</v>
      </c>
      <c r="AB1217" s="12">
        <v>41560000000000</v>
      </c>
      <c r="AC1217" s="12">
        <v>41500000000000</v>
      </c>
      <c r="AD1217" s="12">
        <v>41450000000000</v>
      </c>
      <c r="AE1217" s="12">
        <v>41390000000000</v>
      </c>
      <c r="AF1217" s="12">
        <v>41340000000000</v>
      </c>
    </row>
    <row r="1218" spans="1:32" x14ac:dyDescent="0.25">
      <c r="A1218" s="25" t="s">
        <v>1287</v>
      </c>
      <c r="B1218" s="12">
        <v>69660000000000</v>
      </c>
      <c r="C1218" s="12">
        <v>68240000000000</v>
      </c>
      <c r="D1218" s="12">
        <v>72730000000000</v>
      </c>
      <c r="E1218" s="12">
        <v>68010000000000</v>
      </c>
      <c r="F1218" s="12">
        <v>66390000000000</v>
      </c>
      <c r="G1218" s="12">
        <v>64790000000000</v>
      </c>
      <c r="H1218" s="12">
        <v>63240000000000</v>
      </c>
      <c r="I1218" s="12">
        <v>61780000000000</v>
      </c>
      <c r="J1218" s="12">
        <v>60470000000000</v>
      </c>
      <c r="K1218" s="12">
        <v>59280000000000</v>
      </c>
      <c r="L1218" s="12">
        <v>58210000000000</v>
      </c>
      <c r="M1218" s="12">
        <v>57140000000000</v>
      </c>
      <c r="N1218" s="12">
        <v>56100000000000</v>
      </c>
      <c r="O1218" s="12">
        <v>55110000000000</v>
      </c>
      <c r="P1218" s="12">
        <v>54160000000000</v>
      </c>
      <c r="Q1218" s="12">
        <v>53240000000000</v>
      </c>
      <c r="R1218" s="12">
        <v>52330000000000</v>
      </c>
      <c r="S1218" s="12">
        <v>51420000000000</v>
      </c>
      <c r="T1218" s="12">
        <v>50550000000000</v>
      </c>
      <c r="U1218" s="12">
        <v>49710000000000</v>
      </c>
      <c r="V1218" s="12">
        <v>48890000000000</v>
      </c>
      <c r="W1218" s="12">
        <v>48100000000000</v>
      </c>
      <c r="X1218" s="12">
        <v>47320000000000</v>
      </c>
      <c r="Y1218" s="12">
        <v>46520000000000</v>
      </c>
      <c r="Z1218" s="12">
        <v>45700000000000</v>
      </c>
      <c r="AA1218" s="12">
        <v>44890000000000</v>
      </c>
      <c r="AB1218" s="12">
        <v>44090000000000</v>
      </c>
      <c r="AC1218" s="12">
        <v>43310000000000</v>
      </c>
      <c r="AD1218" s="12">
        <v>42550000000000</v>
      </c>
      <c r="AE1218" s="12">
        <v>41800000000000</v>
      </c>
      <c r="AF1218" s="12">
        <v>41070000000000</v>
      </c>
    </row>
    <row r="1219" spans="1:32" x14ac:dyDescent="0.25">
      <c r="A1219" s="25" t="s">
        <v>1288</v>
      </c>
      <c r="B1219" s="25">
        <v>0</v>
      </c>
      <c r="C1219" s="25">
        <v>0</v>
      </c>
      <c r="D1219" s="25">
        <v>0</v>
      </c>
      <c r="E1219" s="25">
        <v>0</v>
      </c>
      <c r="F1219" s="25">
        <v>0</v>
      </c>
      <c r="G1219" s="25">
        <v>0</v>
      </c>
      <c r="H1219" s="25">
        <v>0</v>
      </c>
      <c r="I1219" s="25">
        <v>0</v>
      </c>
      <c r="J1219" s="25">
        <v>0</v>
      </c>
      <c r="K1219" s="25">
        <v>0</v>
      </c>
      <c r="L1219" s="25">
        <v>0</v>
      </c>
      <c r="M1219" s="25">
        <v>0</v>
      </c>
      <c r="N1219" s="25">
        <v>0</v>
      </c>
      <c r="O1219" s="25">
        <v>0</v>
      </c>
      <c r="P1219" s="25">
        <v>0</v>
      </c>
      <c r="Q1219" s="25">
        <v>0</v>
      </c>
      <c r="R1219" s="25">
        <v>0</v>
      </c>
      <c r="S1219" s="25">
        <v>0</v>
      </c>
      <c r="T1219" s="25">
        <v>0</v>
      </c>
      <c r="U1219" s="25">
        <v>0</v>
      </c>
      <c r="V1219" s="25">
        <v>0</v>
      </c>
      <c r="W1219" s="25">
        <v>0</v>
      </c>
      <c r="X1219" s="25">
        <v>0</v>
      </c>
      <c r="Y1219" s="25">
        <v>0</v>
      </c>
      <c r="Z1219" s="25">
        <v>0</v>
      </c>
      <c r="AA1219" s="25">
        <v>0</v>
      </c>
      <c r="AB1219" s="25">
        <v>0</v>
      </c>
      <c r="AC1219" s="25">
        <v>0</v>
      </c>
      <c r="AD1219" s="25">
        <v>0</v>
      </c>
      <c r="AE1219" s="25">
        <v>0</v>
      </c>
      <c r="AF1219" s="25">
        <v>0</v>
      </c>
    </row>
    <row r="1220" spans="1:32" x14ac:dyDescent="0.25">
      <c r="A1220" s="25" t="s">
        <v>1289</v>
      </c>
      <c r="B1220" s="25">
        <v>0</v>
      </c>
      <c r="C1220" s="25">
        <v>0</v>
      </c>
      <c r="D1220" s="25">
        <v>0</v>
      </c>
      <c r="E1220" s="25">
        <v>0</v>
      </c>
      <c r="F1220" s="25">
        <v>0</v>
      </c>
      <c r="G1220" s="25">
        <v>0</v>
      </c>
      <c r="H1220" s="25">
        <v>0</v>
      </c>
      <c r="I1220" s="25">
        <v>0</v>
      </c>
      <c r="J1220" s="25">
        <v>0</v>
      </c>
      <c r="K1220" s="25">
        <v>0</v>
      </c>
      <c r="L1220" s="25">
        <v>0</v>
      </c>
      <c r="M1220" s="25">
        <v>0</v>
      </c>
      <c r="N1220" s="25">
        <v>0</v>
      </c>
      <c r="O1220" s="25">
        <v>0</v>
      </c>
      <c r="P1220" s="25">
        <v>0</v>
      </c>
      <c r="Q1220" s="25">
        <v>0</v>
      </c>
      <c r="R1220" s="25">
        <v>0</v>
      </c>
      <c r="S1220" s="25">
        <v>0</v>
      </c>
      <c r="T1220" s="25">
        <v>0</v>
      </c>
      <c r="U1220" s="25">
        <v>0</v>
      </c>
      <c r="V1220" s="25">
        <v>0</v>
      </c>
      <c r="W1220" s="25">
        <v>0</v>
      </c>
      <c r="X1220" s="25">
        <v>0</v>
      </c>
      <c r="Y1220" s="25">
        <v>0</v>
      </c>
      <c r="Z1220" s="25">
        <v>0</v>
      </c>
      <c r="AA1220" s="25">
        <v>0</v>
      </c>
      <c r="AB1220" s="25">
        <v>0</v>
      </c>
      <c r="AC1220" s="25">
        <v>0</v>
      </c>
      <c r="AD1220" s="25">
        <v>0</v>
      </c>
      <c r="AE1220" s="25">
        <v>0</v>
      </c>
      <c r="AF1220" s="25">
        <v>0</v>
      </c>
    </row>
    <row r="1221" spans="1:32" x14ac:dyDescent="0.25">
      <c r="A1221" s="25" t="s">
        <v>1290</v>
      </c>
      <c r="B1221" s="25">
        <v>0</v>
      </c>
      <c r="C1221" s="25">
        <v>0</v>
      </c>
      <c r="D1221" s="25">
        <v>0</v>
      </c>
      <c r="E1221" s="25">
        <v>0</v>
      </c>
      <c r="F1221" s="25">
        <v>0</v>
      </c>
      <c r="G1221" s="25">
        <v>0</v>
      </c>
      <c r="H1221" s="25">
        <v>0</v>
      </c>
      <c r="I1221" s="25">
        <v>0</v>
      </c>
      <c r="J1221" s="25">
        <v>0</v>
      </c>
      <c r="K1221" s="25">
        <v>0</v>
      </c>
      <c r="L1221" s="25">
        <v>0</v>
      </c>
      <c r="M1221" s="25">
        <v>0</v>
      </c>
      <c r="N1221" s="25">
        <v>0</v>
      </c>
      <c r="O1221" s="25">
        <v>0</v>
      </c>
      <c r="P1221" s="25">
        <v>0</v>
      </c>
      <c r="Q1221" s="25">
        <v>0</v>
      </c>
      <c r="R1221" s="25">
        <v>0</v>
      </c>
      <c r="S1221" s="25">
        <v>0</v>
      </c>
      <c r="T1221" s="25">
        <v>0</v>
      </c>
      <c r="U1221" s="25">
        <v>0</v>
      </c>
      <c r="V1221" s="25">
        <v>0</v>
      </c>
      <c r="W1221" s="25">
        <v>0</v>
      </c>
      <c r="X1221" s="25">
        <v>0</v>
      </c>
      <c r="Y1221" s="25">
        <v>0</v>
      </c>
      <c r="Z1221" s="25">
        <v>0</v>
      </c>
      <c r="AA1221" s="25">
        <v>0</v>
      </c>
      <c r="AB1221" s="25">
        <v>0</v>
      </c>
      <c r="AC1221" s="25">
        <v>0</v>
      </c>
      <c r="AD1221" s="25">
        <v>0</v>
      </c>
      <c r="AE1221" s="25">
        <v>0</v>
      </c>
      <c r="AF1221" s="25">
        <v>0</v>
      </c>
    </row>
    <row r="1222" spans="1:32" x14ac:dyDescent="0.25">
      <c r="A1222" s="25" t="s">
        <v>1291</v>
      </c>
      <c r="B1222" s="12">
        <v>9114000000000</v>
      </c>
      <c r="C1222" s="12">
        <v>8724000000000</v>
      </c>
      <c r="D1222" s="12">
        <v>8317000000000</v>
      </c>
      <c r="E1222" s="12">
        <v>7964000000000</v>
      </c>
      <c r="F1222" s="12">
        <v>7640000000000</v>
      </c>
      <c r="G1222" s="12">
        <v>7355000000000</v>
      </c>
      <c r="H1222" s="12">
        <v>7108000000000</v>
      </c>
      <c r="I1222" s="12">
        <v>6901000000000</v>
      </c>
      <c r="J1222" s="12">
        <v>6739000000000</v>
      </c>
      <c r="K1222" s="12">
        <v>6622000000000</v>
      </c>
      <c r="L1222" s="12">
        <v>6546000000000</v>
      </c>
      <c r="M1222" s="12">
        <v>6458000000000</v>
      </c>
      <c r="N1222" s="12">
        <v>6365000000000</v>
      </c>
      <c r="O1222" s="12">
        <v>6269000000000</v>
      </c>
      <c r="P1222" s="12">
        <v>6173000000000</v>
      </c>
      <c r="Q1222" s="12">
        <v>6075000000000</v>
      </c>
      <c r="R1222" s="12">
        <v>5974000000000</v>
      </c>
      <c r="S1222" s="12">
        <v>5869000000000</v>
      </c>
      <c r="T1222" s="12">
        <v>5764000000000</v>
      </c>
      <c r="U1222" s="12">
        <v>5664000000000</v>
      </c>
      <c r="V1222" s="12">
        <v>5564000000000</v>
      </c>
      <c r="W1222" s="12">
        <v>5468000000000</v>
      </c>
      <c r="X1222" s="12">
        <v>5378000000000</v>
      </c>
      <c r="Y1222" s="12">
        <v>5290000000000</v>
      </c>
      <c r="Z1222" s="12">
        <v>5203000000000</v>
      </c>
      <c r="AA1222" s="12">
        <v>5122000000000</v>
      </c>
      <c r="AB1222" s="12">
        <v>5044000000000</v>
      </c>
      <c r="AC1222" s="12">
        <v>4971000000000</v>
      </c>
      <c r="AD1222" s="12">
        <v>4904000000000</v>
      </c>
      <c r="AE1222" s="12">
        <v>4841000000000</v>
      </c>
      <c r="AF1222" s="12">
        <v>4779000000000</v>
      </c>
    </row>
    <row r="1223" spans="1:32" x14ac:dyDescent="0.25">
      <c r="A1223" s="25" t="s">
        <v>1292</v>
      </c>
      <c r="B1223" s="12">
        <v>1467000000000</v>
      </c>
      <c r="C1223" s="12">
        <v>1461000000000</v>
      </c>
      <c r="D1223" s="12">
        <v>1451000000000</v>
      </c>
      <c r="E1223" s="12">
        <v>1443000000000</v>
      </c>
      <c r="F1223" s="12">
        <v>1434000000000</v>
      </c>
      <c r="G1223" s="12">
        <v>1425000000000</v>
      </c>
      <c r="H1223" s="12">
        <v>1416000000000</v>
      </c>
      <c r="I1223" s="12">
        <v>1407000000000</v>
      </c>
      <c r="J1223" s="12">
        <v>1401000000000</v>
      </c>
      <c r="K1223" s="12">
        <v>1396000000000</v>
      </c>
      <c r="L1223" s="12">
        <v>1393000000000</v>
      </c>
      <c r="M1223" s="12">
        <v>1388000000000</v>
      </c>
      <c r="N1223" s="12">
        <v>1384000000000</v>
      </c>
      <c r="O1223" s="12">
        <v>1380000000000</v>
      </c>
      <c r="P1223" s="12">
        <v>1377000000000</v>
      </c>
      <c r="Q1223" s="12">
        <v>1373000000000</v>
      </c>
      <c r="R1223" s="12">
        <v>1370000000000</v>
      </c>
      <c r="S1223" s="12">
        <v>1365000000000</v>
      </c>
      <c r="T1223" s="12">
        <v>1361000000000</v>
      </c>
      <c r="U1223" s="12">
        <v>1358000000000</v>
      </c>
      <c r="V1223" s="12">
        <v>1354000000000</v>
      </c>
      <c r="W1223" s="12">
        <v>1350000000000</v>
      </c>
      <c r="X1223" s="12">
        <v>1347000000000</v>
      </c>
      <c r="Y1223" s="12">
        <v>1344000000000</v>
      </c>
      <c r="Z1223" s="12">
        <v>1340000000000</v>
      </c>
      <c r="AA1223" s="12">
        <v>1336000000000</v>
      </c>
      <c r="AB1223" s="12">
        <v>1332000000000</v>
      </c>
      <c r="AC1223" s="12">
        <v>1329000000000</v>
      </c>
      <c r="AD1223" s="12">
        <v>1326000000000</v>
      </c>
      <c r="AE1223" s="12">
        <v>1324000000000</v>
      </c>
      <c r="AF1223" s="12">
        <v>1322000000000</v>
      </c>
    </row>
    <row r="1224" spans="1:32" x14ac:dyDescent="0.25">
      <c r="A1224" s="25" t="s">
        <v>1293</v>
      </c>
      <c r="B1224" s="25">
        <v>0</v>
      </c>
      <c r="C1224" s="25">
        <v>0</v>
      </c>
      <c r="D1224" s="25">
        <v>0</v>
      </c>
      <c r="E1224" s="25">
        <v>0</v>
      </c>
      <c r="F1224" s="25">
        <v>0</v>
      </c>
      <c r="G1224" s="25">
        <v>0</v>
      </c>
      <c r="H1224" s="25">
        <v>0</v>
      </c>
      <c r="I1224" s="25">
        <v>0</v>
      </c>
      <c r="J1224" s="25">
        <v>0</v>
      </c>
      <c r="K1224" s="25">
        <v>0</v>
      </c>
      <c r="L1224" s="25">
        <v>0</v>
      </c>
      <c r="M1224" s="25">
        <v>0</v>
      </c>
      <c r="N1224" s="25">
        <v>0</v>
      </c>
      <c r="O1224" s="25">
        <v>0</v>
      </c>
      <c r="P1224" s="25">
        <v>0</v>
      </c>
      <c r="Q1224" s="25">
        <v>0</v>
      </c>
      <c r="R1224" s="25">
        <v>0</v>
      </c>
      <c r="S1224" s="25">
        <v>0</v>
      </c>
      <c r="T1224" s="25">
        <v>0</v>
      </c>
      <c r="U1224" s="25">
        <v>0</v>
      </c>
      <c r="V1224" s="25">
        <v>0</v>
      </c>
      <c r="W1224" s="25">
        <v>0</v>
      </c>
      <c r="X1224" s="25">
        <v>0</v>
      </c>
      <c r="Y1224" s="25">
        <v>0</v>
      </c>
      <c r="Z1224" s="25">
        <v>0</v>
      </c>
      <c r="AA1224" s="25">
        <v>0</v>
      </c>
      <c r="AB1224" s="25">
        <v>0</v>
      </c>
      <c r="AC1224" s="25">
        <v>0</v>
      </c>
      <c r="AD1224" s="25">
        <v>0</v>
      </c>
      <c r="AE1224" s="25">
        <v>0</v>
      </c>
      <c r="AF1224" s="25">
        <v>0</v>
      </c>
    </row>
    <row r="1225" spans="1:32" x14ac:dyDescent="0.25">
      <c r="A1225" s="25" t="s">
        <v>1294</v>
      </c>
      <c r="B1225" s="25">
        <v>0</v>
      </c>
      <c r="C1225" s="25">
        <v>0</v>
      </c>
      <c r="D1225" s="25">
        <v>0</v>
      </c>
      <c r="E1225" s="25">
        <v>0</v>
      </c>
      <c r="F1225" s="25">
        <v>0</v>
      </c>
      <c r="G1225" s="25">
        <v>0</v>
      </c>
      <c r="H1225" s="25">
        <v>0</v>
      </c>
      <c r="I1225" s="25">
        <v>0</v>
      </c>
      <c r="J1225" s="25">
        <v>0</v>
      </c>
      <c r="K1225" s="25">
        <v>0</v>
      </c>
      <c r="L1225" s="25">
        <v>0</v>
      </c>
      <c r="M1225" s="25">
        <v>0</v>
      </c>
      <c r="N1225" s="25">
        <v>0</v>
      </c>
      <c r="O1225" s="25">
        <v>0</v>
      </c>
      <c r="P1225" s="25">
        <v>0</v>
      </c>
      <c r="Q1225" s="25">
        <v>0</v>
      </c>
      <c r="R1225" s="25">
        <v>0</v>
      </c>
      <c r="S1225" s="25">
        <v>0</v>
      </c>
      <c r="T1225" s="25">
        <v>0</v>
      </c>
      <c r="U1225" s="25">
        <v>0</v>
      </c>
      <c r="V1225" s="25">
        <v>0</v>
      </c>
      <c r="W1225" s="25">
        <v>0</v>
      </c>
      <c r="X1225" s="25">
        <v>0</v>
      </c>
      <c r="Y1225" s="25">
        <v>0</v>
      </c>
      <c r="Z1225" s="25">
        <v>0</v>
      </c>
      <c r="AA1225" s="25">
        <v>0</v>
      </c>
      <c r="AB1225" s="25">
        <v>0</v>
      </c>
      <c r="AC1225" s="25">
        <v>0</v>
      </c>
      <c r="AD1225" s="25">
        <v>0</v>
      </c>
      <c r="AE1225" s="25">
        <v>0</v>
      </c>
      <c r="AF1225" s="25">
        <v>0</v>
      </c>
    </row>
    <row r="1226" spans="1:32" x14ac:dyDescent="0.25">
      <c r="A1226" s="25" t="s">
        <v>1295</v>
      </c>
      <c r="B1226" s="25">
        <v>0</v>
      </c>
      <c r="C1226" s="25">
        <v>0</v>
      </c>
      <c r="D1226" s="25">
        <v>0</v>
      </c>
      <c r="E1226" s="25">
        <v>0</v>
      </c>
      <c r="F1226" s="25">
        <v>0</v>
      </c>
      <c r="G1226" s="25">
        <v>0</v>
      </c>
      <c r="H1226" s="25">
        <v>0</v>
      </c>
      <c r="I1226" s="25">
        <v>0</v>
      </c>
      <c r="J1226" s="25">
        <v>0</v>
      </c>
      <c r="K1226" s="25">
        <v>0</v>
      </c>
      <c r="L1226" s="25">
        <v>0</v>
      </c>
      <c r="M1226" s="25">
        <v>0</v>
      </c>
      <c r="N1226" s="25">
        <v>0</v>
      </c>
      <c r="O1226" s="25">
        <v>0</v>
      </c>
      <c r="P1226" s="25">
        <v>0</v>
      </c>
      <c r="Q1226" s="25">
        <v>0</v>
      </c>
      <c r="R1226" s="25">
        <v>0</v>
      </c>
      <c r="S1226" s="25">
        <v>0</v>
      </c>
      <c r="T1226" s="25">
        <v>0</v>
      </c>
      <c r="U1226" s="25">
        <v>0</v>
      </c>
      <c r="V1226" s="25">
        <v>0</v>
      </c>
      <c r="W1226" s="25">
        <v>0</v>
      </c>
      <c r="X1226" s="25">
        <v>0</v>
      </c>
      <c r="Y1226" s="25">
        <v>0</v>
      </c>
      <c r="Z1226" s="25">
        <v>0</v>
      </c>
      <c r="AA1226" s="25">
        <v>0</v>
      </c>
      <c r="AB1226" s="25">
        <v>0</v>
      </c>
      <c r="AC1226" s="25">
        <v>0</v>
      </c>
      <c r="AD1226" s="25">
        <v>0</v>
      </c>
      <c r="AE1226" s="25">
        <v>0</v>
      </c>
      <c r="AF1226" s="25">
        <v>0</v>
      </c>
    </row>
    <row r="1227" spans="1:32" x14ac:dyDescent="0.25">
      <c r="A1227" s="25" t="s">
        <v>1296</v>
      </c>
      <c r="B1227" s="25">
        <v>0</v>
      </c>
      <c r="C1227" s="25">
        <v>0</v>
      </c>
      <c r="D1227" s="25">
        <v>0</v>
      </c>
      <c r="E1227" s="25">
        <v>0</v>
      </c>
      <c r="F1227" s="25">
        <v>0</v>
      </c>
      <c r="G1227" s="25">
        <v>0</v>
      </c>
      <c r="H1227" s="25">
        <v>0</v>
      </c>
      <c r="I1227" s="25">
        <v>0</v>
      </c>
      <c r="J1227" s="25">
        <v>0</v>
      </c>
      <c r="K1227" s="25">
        <v>0</v>
      </c>
      <c r="L1227" s="25">
        <v>0</v>
      </c>
      <c r="M1227" s="25">
        <v>0</v>
      </c>
      <c r="N1227" s="25">
        <v>0</v>
      </c>
      <c r="O1227" s="25">
        <v>0</v>
      </c>
      <c r="P1227" s="25">
        <v>0</v>
      </c>
      <c r="Q1227" s="25">
        <v>0</v>
      </c>
      <c r="R1227" s="25">
        <v>0</v>
      </c>
      <c r="S1227" s="25">
        <v>0</v>
      </c>
      <c r="T1227" s="25">
        <v>0</v>
      </c>
      <c r="U1227" s="25">
        <v>0</v>
      </c>
      <c r="V1227" s="25">
        <v>0</v>
      </c>
      <c r="W1227" s="25">
        <v>0</v>
      </c>
      <c r="X1227" s="25">
        <v>0</v>
      </c>
      <c r="Y1227" s="25">
        <v>0</v>
      </c>
      <c r="Z1227" s="25">
        <v>0</v>
      </c>
      <c r="AA1227" s="25">
        <v>0</v>
      </c>
      <c r="AB1227" s="25">
        <v>0</v>
      </c>
      <c r="AC1227" s="25">
        <v>0</v>
      </c>
      <c r="AD1227" s="25">
        <v>0</v>
      </c>
      <c r="AE1227" s="25">
        <v>0</v>
      </c>
      <c r="AF1227" s="25">
        <v>0</v>
      </c>
    </row>
    <row r="1228" spans="1:32" x14ac:dyDescent="0.25">
      <c r="A1228" s="25" t="s">
        <v>1297</v>
      </c>
      <c r="B1228" s="25">
        <v>0</v>
      </c>
      <c r="C1228" s="25">
        <v>0</v>
      </c>
      <c r="D1228" s="25">
        <v>0</v>
      </c>
      <c r="E1228" s="25">
        <v>0</v>
      </c>
      <c r="F1228" s="25">
        <v>0</v>
      </c>
      <c r="G1228" s="25">
        <v>0</v>
      </c>
      <c r="H1228" s="25">
        <v>0</v>
      </c>
      <c r="I1228" s="25">
        <v>0</v>
      </c>
      <c r="J1228" s="25">
        <v>0</v>
      </c>
      <c r="K1228" s="25">
        <v>0</v>
      </c>
      <c r="L1228" s="25">
        <v>0</v>
      </c>
      <c r="M1228" s="25">
        <v>0</v>
      </c>
      <c r="N1228" s="25">
        <v>0</v>
      </c>
      <c r="O1228" s="25">
        <v>0</v>
      </c>
      <c r="P1228" s="25">
        <v>0</v>
      </c>
      <c r="Q1228" s="25">
        <v>0</v>
      </c>
      <c r="R1228" s="25">
        <v>0</v>
      </c>
      <c r="S1228" s="25">
        <v>0</v>
      </c>
      <c r="T1228" s="25">
        <v>0</v>
      </c>
      <c r="U1228" s="25">
        <v>0</v>
      </c>
      <c r="V1228" s="25">
        <v>0</v>
      </c>
      <c r="W1228" s="25">
        <v>0</v>
      </c>
      <c r="X1228" s="25">
        <v>0</v>
      </c>
      <c r="Y1228" s="25">
        <v>0</v>
      </c>
      <c r="Z1228" s="25">
        <v>0</v>
      </c>
      <c r="AA1228" s="25">
        <v>0</v>
      </c>
      <c r="AB1228" s="25">
        <v>0</v>
      </c>
      <c r="AC1228" s="25">
        <v>0</v>
      </c>
      <c r="AD1228" s="25">
        <v>0</v>
      </c>
      <c r="AE1228" s="25">
        <v>0</v>
      </c>
      <c r="AF1228" s="25">
        <v>0</v>
      </c>
    </row>
    <row r="1229" spans="1:32" x14ac:dyDescent="0.25">
      <c r="A1229" s="25" t="s">
        <v>1298</v>
      </c>
      <c r="B1229" s="25">
        <v>0</v>
      </c>
      <c r="C1229" s="25">
        <v>0</v>
      </c>
      <c r="D1229" s="25">
        <v>0</v>
      </c>
      <c r="E1229" s="25">
        <v>0</v>
      </c>
      <c r="F1229" s="25">
        <v>0</v>
      </c>
      <c r="G1229" s="25">
        <v>0</v>
      </c>
      <c r="H1229" s="25">
        <v>0</v>
      </c>
      <c r="I1229" s="25">
        <v>0</v>
      </c>
      <c r="J1229" s="25">
        <v>0</v>
      </c>
      <c r="K1229" s="25">
        <v>0</v>
      </c>
      <c r="L1229" s="25">
        <v>0</v>
      </c>
      <c r="M1229" s="25">
        <v>0</v>
      </c>
      <c r="N1229" s="25">
        <v>0</v>
      </c>
      <c r="O1229" s="25">
        <v>0</v>
      </c>
      <c r="P1229" s="25">
        <v>0</v>
      </c>
      <c r="Q1229" s="25">
        <v>0</v>
      </c>
      <c r="R1229" s="25">
        <v>0</v>
      </c>
      <c r="S1229" s="25">
        <v>0</v>
      </c>
      <c r="T1229" s="25">
        <v>0</v>
      </c>
      <c r="U1229" s="25">
        <v>0</v>
      </c>
      <c r="V1229" s="25">
        <v>0</v>
      </c>
      <c r="W1229" s="25">
        <v>0</v>
      </c>
      <c r="X1229" s="25">
        <v>0</v>
      </c>
      <c r="Y1229" s="25">
        <v>0</v>
      </c>
      <c r="Z1229" s="25">
        <v>0</v>
      </c>
      <c r="AA1229" s="25">
        <v>0</v>
      </c>
      <c r="AB1229" s="25">
        <v>0</v>
      </c>
      <c r="AC1229" s="25">
        <v>0</v>
      </c>
      <c r="AD1229" s="25">
        <v>0</v>
      </c>
      <c r="AE1229" s="25">
        <v>0</v>
      </c>
      <c r="AF1229" s="25">
        <v>0</v>
      </c>
    </row>
    <row r="1230" spans="1:32" x14ac:dyDescent="0.25">
      <c r="A1230" s="25" t="s">
        <v>1299</v>
      </c>
      <c r="B1230" s="12">
        <v>85520000000000</v>
      </c>
      <c r="C1230" s="12">
        <v>86690000000000</v>
      </c>
      <c r="D1230" s="12">
        <v>90420000000000</v>
      </c>
      <c r="E1230" s="12">
        <v>84770000000000</v>
      </c>
      <c r="F1230" s="12">
        <v>84280000000000</v>
      </c>
      <c r="G1230" s="12">
        <v>83880000000000</v>
      </c>
      <c r="H1230" s="12">
        <v>83400000000000</v>
      </c>
      <c r="I1230" s="12">
        <v>82710000000000</v>
      </c>
      <c r="J1230" s="12">
        <v>81860000000000</v>
      </c>
      <c r="K1230" s="12">
        <v>80770000000000</v>
      </c>
      <c r="L1230" s="12">
        <v>79370000000000</v>
      </c>
      <c r="M1230" s="12">
        <v>78120000000000</v>
      </c>
      <c r="N1230" s="12">
        <v>76890000000000</v>
      </c>
      <c r="O1230" s="12">
        <v>75560000000000</v>
      </c>
      <c r="P1230" s="12">
        <v>74170000000000</v>
      </c>
      <c r="Q1230" s="12">
        <v>72790000000000</v>
      </c>
      <c r="R1230" s="12">
        <v>71450000000000</v>
      </c>
      <c r="S1230" s="12">
        <v>70280000000000</v>
      </c>
      <c r="T1230" s="12">
        <v>69160000000000</v>
      </c>
      <c r="U1230" s="12">
        <v>67990000000000</v>
      </c>
      <c r="V1230" s="12">
        <v>66900000000000</v>
      </c>
      <c r="W1230" s="12">
        <v>65860000000000</v>
      </c>
      <c r="X1230" s="12">
        <v>64830000000000</v>
      </c>
      <c r="Y1230" s="12">
        <v>63960000000000</v>
      </c>
      <c r="Z1230" s="12">
        <v>63260000000000</v>
      </c>
      <c r="AA1230" s="12">
        <v>62570000000000</v>
      </c>
      <c r="AB1230" s="12">
        <v>61960000000000</v>
      </c>
      <c r="AC1230" s="12">
        <v>61250000000000</v>
      </c>
      <c r="AD1230" s="12">
        <v>60430000000000</v>
      </c>
      <c r="AE1230" s="12">
        <v>59560000000000</v>
      </c>
      <c r="AF1230" s="12">
        <v>58680000000000</v>
      </c>
    </row>
    <row r="1231" spans="1:32" x14ac:dyDescent="0.25">
      <c r="A1231" s="25" t="s">
        <v>1300</v>
      </c>
      <c r="B1231" s="25">
        <v>0</v>
      </c>
      <c r="C1231" s="25">
        <v>0</v>
      </c>
      <c r="D1231" s="25">
        <v>0</v>
      </c>
      <c r="E1231" s="25">
        <v>0</v>
      </c>
      <c r="F1231" s="25">
        <v>0</v>
      </c>
      <c r="G1231" s="25">
        <v>0</v>
      </c>
      <c r="H1231" s="25">
        <v>0</v>
      </c>
      <c r="I1231" s="25">
        <v>0</v>
      </c>
      <c r="J1231" s="25">
        <v>0</v>
      </c>
      <c r="K1231" s="25">
        <v>0</v>
      </c>
      <c r="L1231" s="25">
        <v>0</v>
      </c>
      <c r="M1231" s="25">
        <v>0</v>
      </c>
      <c r="N1231" s="25">
        <v>0</v>
      </c>
      <c r="O1231" s="25">
        <v>0</v>
      </c>
      <c r="P1231" s="25">
        <v>0</v>
      </c>
      <c r="Q1231" s="25">
        <v>0</v>
      </c>
      <c r="R1231" s="25">
        <v>0</v>
      </c>
      <c r="S1231" s="25">
        <v>0</v>
      </c>
      <c r="T1231" s="25">
        <v>0</v>
      </c>
      <c r="U1231" s="25">
        <v>0</v>
      </c>
      <c r="V1231" s="25">
        <v>0</v>
      </c>
      <c r="W1231" s="25">
        <v>0</v>
      </c>
      <c r="X1231" s="25">
        <v>0</v>
      </c>
      <c r="Y1231" s="25">
        <v>0</v>
      </c>
      <c r="Z1231" s="25">
        <v>0</v>
      </c>
      <c r="AA1231" s="25">
        <v>0</v>
      </c>
      <c r="AB1231" s="25">
        <v>0</v>
      </c>
      <c r="AC1231" s="25">
        <v>0</v>
      </c>
      <c r="AD1231" s="25">
        <v>0</v>
      </c>
      <c r="AE1231" s="25">
        <v>0</v>
      </c>
      <c r="AF1231" s="25">
        <v>0</v>
      </c>
    </row>
    <row r="1232" spans="1:32" x14ac:dyDescent="0.25">
      <c r="A1232" s="25" t="s">
        <v>1301</v>
      </c>
      <c r="B1232" s="25">
        <v>0</v>
      </c>
      <c r="C1232" s="25">
        <v>0</v>
      </c>
      <c r="D1232" s="25">
        <v>0</v>
      </c>
      <c r="E1232" s="25">
        <v>0</v>
      </c>
      <c r="F1232" s="25">
        <v>0</v>
      </c>
      <c r="G1232" s="25">
        <v>0</v>
      </c>
      <c r="H1232" s="25">
        <v>0</v>
      </c>
      <c r="I1232" s="25">
        <v>0</v>
      </c>
      <c r="J1232" s="25">
        <v>0</v>
      </c>
      <c r="K1232" s="25">
        <v>0</v>
      </c>
      <c r="L1232" s="25">
        <v>0</v>
      </c>
      <c r="M1232" s="25">
        <v>0</v>
      </c>
      <c r="N1232" s="25">
        <v>0</v>
      </c>
      <c r="O1232" s="25">
        <v>0</v>
      </c>
      <c r="P1232" s="25">
        <v>0</v>
      </c>
      <c r="Q1232" s="25">
        <v>0</v>
      </c>
      <c r="R1232" s="25">
        <v>0</v>
      </c>
      <c r="S1232" s="25">
        <v>0</v>
      </c>
      <c r="T1232" s="25">
        <v>0</v>
      </c>
      <c r="U1232" s="25">
        <v>0</v>
      </c>
      <c r="V1232" s="25">
        <v>0</v>
      </c>
      <c r="W1232" s="25">
        <v>0</v>
      </c>
      <c r="X1232" s="25">
        <v>0</v>
      </c>
      <c r="Y1232" s="25">
        <v>0</v>
      </c>
      <c r="Z1232" s="25">
        <v>0</v>
      </c>
      <c r="AA1232" s="25">
        <v>0</v>
      </c>
      <c r="AB1232" s="25">
        <v>0</v>
      </c>
      <c r="AC1232" s="25">
        <v>0</v>
      </c>
      <c r="AD1232" s="25">
        <v>0</v>
      </c>
      <c r="AE1232" s="25">
        <v>0</v>
      </c>
      <c r="AF1232" s="25">
        <v>0</v>
      </c>
    </row>
    <row r="1233" spans="1:32" x14ac:dyDescent="0.25">
      <c r="A1233" s="25" t="s">
        <v>1302</v>
      </c>
      <c r="B1233" s="25">
        <v>0</v>
      </c>
      <c r="C1233" s="25">
        <v>0</v>
      </c>
      <c r="D1233" s="25">
        <v>0</v>
      </c>
      <c r="E1233" s="25">
        <v>0</v>
      </c>
      <c r="F1233" s="25">
        <v>0</v>
      </c>
      <c r="G1233" s="25">
        <v>0</v>
      </c>
      <c r="H1233" s="25">
        <v>0</v>
      </c>
      <c r="I1233" s="25">
        <v>0</v>
      </c>
      <c r="J1233" s="25">
        <v>0</v>
      </c>
      <c r="K1233" s="25">
        <v>0</v>
      </c>
      <c r="L1233" s="25">
        <v>0</v>
      </c>
      <c r="M1233" s="25">
        <v>0</v>
      </c>
      <c r="N1233" s="25">
        <v>0</v>
      </c>
      <c r="O1233" s="25">
        <v>0</v>
      </c>
      <c r="P1233" s="25">
        <v>0</v>
      </c>
      <c r="Q1233" s="25">
        <v>0</v>
      </c>
      <c r="R1233" s="25">
        <v>0</v>
      </c>
      <c r="S1233" s="25">
        <v>0</v>
      </c>
      <c r="T1233" s="25">
        <v>0</v>
      </c>
      <c r="U1233" s="25">
        <v>0</v>
      </c>
      <c r="V1233" s="25">
        <v>0</v>
      </c>
      <c r="W1233" s="25">
        <v>0</v>
      </c>
      <c r="X1233" s="25">
        <v>0</v>
      </c>
      <c r="Y1233" s="25">
        <v>0</v>
      </c>
      <c r="Z1233" s="25">
        <v>0</v>
      </c>
      <c r="AA1233" s="25">
        <v>0</v>
      </c>
      <c r="AB1233" s="25">
        <v>0</v>
      </c>
      <c r="AC1233" s="25">
        <v>0</v>
      </c>
      <c r="AD1233" s="25">
        <v>0</v>
      </c>
      <c r="AE1233" s="25">
        <v>0</v>
      </c>
      <c r="AF1233" s="25">
        <v>0</v>
      </c>
    </row>
    <row r="1234" spans="1:32" x14ac:dyDescent="0.25">
      <c r="A1234" s="25" t="s">
        <v>1303</v>
      </c>
      <c r="B1234" s="25">
        <v>0</v>
      </c>
      <c r="C1234" s="25">
        <v>0</v>
      </c>
      <c r="D1234" s="25">
        <v>0</v>
      </c>
      <c r="E1234" s="25">
        <v>0</v>
      </c>
      <c r="F1234" s="25">
        <v>0</v>
      </c>
      <c r="G1234" s="25">
        <v>0</v>
      </c>
      <c r="H1234" s="25">
        <v>0</v>
      </c>
      <c r="I1234" s="25">
        <v>0</v>
      </c>
      <c r="J1234" s="25">
        <v>0</v>
      </c>
      <c r="K1234" s="25">
        <v>0</v>
      </c>
      <c r="L1234" s="25">
        <v>0</v>
      </c>
      <c r="M1234" s="25">
        <v>0</v>
      </c>
      <c r="N1234" s="25">
        <v>0</v>
      </c>
      <c r="O1234" s="25">
        <v>0</v>
      </c>
      <c r="P1234" s="25">
        <v>0</v>
      </c>
      <c r="Q1234" s="25">
        <v>0</v>
      </c>
      <c r="R1234" s="25">
        <v>0</v>
      </c>
      <c r="S1234" s="25">
        <v>0</v>
      </c>
      <c r="T1234" s="25">
        <v>0</v>
      </c>
      <c r="U1234" s="25">
        <v>0</v>
      </c>
      <c r="V1234" s="25">
        <v>0</v>
      </c>
      <c r="W1234" s="25">
        <v>0</v>
      </c>
      <c r="X1234" s="25">
        <v>0</v>
      </c>
      <c r="Y1234" s="25">
        <v>0</v>
      </c>
      <c r="Z1234" s="25">
        <v>0</v>
      </c>
      <c r="AA1234" s="25">
        <v>0</v>
      </c>
      <c r="AB1234" s="25">
        <v>0</v>
      </c>
      <c r="AC1234" s="25">
        <v>0</v>
      </c>
      <c r="AD1234" s="25">
        <v>0</v>
      </c>
      <c r="AE1234" s="25">
        <v>0</v>
      </c>
      <c r="AF1234" s="25">
        <v>0</v>
      </c>
    </row>
    <row r="1235" spans="1:32" x14ac:dyDescent="0.25">
      <c r="A1235" s="25" t="s">
        <v>1304</v>
      </c>
      <c r="B1235" s="25">
        <v>0</v>
      </c>
      <c r="C1235" s="25">
        <v>0</v>
      </c>
      <c r="D1235" s="25">
        <v>0</v>
      </c>
      <c r="E1235" s="25">
        <v>0</v>
      </c>
      <c r="F1235" s="25">
        <v>0</v>
      </c>
      <c r="G1235" s="25">
        <v>0</v>
      </c>
      <c r="H1235" s="25">
        <v>0</v>
      </c>
      <c r="I1235" s="25">
        <v>0</v>
      </c>
      <c r="J1235" s="25">
        <v>0</v>
      </c>
      <c r="K1235" s="25">
        <v>0</v>
      </c>
      <c r="L1235" s="25">
        <v>0</v>
      </c>
      <c r="M1235" s="25">
        <v>0</v>
      </c>
      <c r="N1235" s="25">
        <v>0</v>
      </c>
      <c r="O1235" s="25">
        <v>0</v>
      </c>
      <c r="P1235" s="25">
        <v>0</v>
      </c>
      <c r="Q1235" s="25">
        <v>0</v>
      </c>
      <c r="R1235" s="25">
        <v>0</v>
      </c>
      <c r="S1235" s="25">
        <v>0</v>
      </c>
      <c r="T1235" s="25">
        <v>0</v>
      </c>
      <c r="U1235" s="25">
        <v>0</v>
      </c>
      <c r="V1235" s="25">
        <v>0</v>
      </c>
      <c r="W1235" s="25">
        <v>0</v>
      </c>
      <c r="X1235" s="25">
        <v>0</v>
      </c>
      <c r="Y1235" s="25">
        <v>0</v>
      </c>
      <c r="Z1235" s="25">
        <v>0</v>
      </c>
      <c r="AA1235" s="25">
        <v>0</v>
      </c>
      <c r="AB1235" s="25">
        <v>0</v>
      </c>
      <c r="AC1235" s="25">
        <v>0</v>
      </c>
      <c r="AD1235" s="25">
        <v>0</v>
      </c>
      <c r="AE1235" s="25">
        <v>0</v>
      </c>
      <c r="AF1235" s="25">
        <v>0</v>
      </c>
    </row>
    <row r="1236" spans="1:32" x14ac:dyDescent="0.25">
      <c r="A1236" s="25" t="s">
        <v>1305</v>
      </c>
      <c r="B1236" s="25">
        <v>0</v>
      </c>
      <c r="C1236" s="25">
        <v>0</v>
      </c>
      <c r="D1236" s="25">
        <v>0</v>
      </c>
      <c r="E1236" s="25">
        <v>0</v>
      </c>
      <c r="F1236" s="25">
        <v>0</v>
      </c>
      <c r="G1236" s="25">
        <v>0</v>
      </c>
      <c r="H1236" s="25">
        <v>0</v>
      </c>
      <c r="I1236" s="25">
        <v>0</v>
      </c>
      <c r="J1236" s="25">
        <v>0</v>
      </c>
      <c r="K1236" s="25">
        <v>0</v>
      </c>
      <c r="L1236" s="25">
        <v>0</v>
      </c>
      <c r="M1236" s="25">
        <v>0</v>
      </c>
      <c r="N1236" s="25">
        <v>0</v>
      </c>
      <c r="O1236" s="25">
        <v>0</v>
      </c>
      <c r="P1236" s="25">
        <v>0</v>
      </c>
      <c r="Q1236" s="25">
        <v>0</v>
      </c>
      <c r="R1236" s="25">
        <v>0</v>
      </c>
      <c r="S1236" s="25">
        <v>0</v>
      </c>
      <c r="T1236" s="25">
        <v>0</v>
      </c>
      <c r="U1236" s="25">
        <v>0</v>
      </c>
      <c r="V1236" s="25">
        <v>0</v>
      </c>
      <c r="W1236" s="25">
        <v>0</v>
      </c>
      <c r="X1236" s="25">
        <v>0</v>
      </c>
      <c r="Y1236" s="25">
        <v>0</v>
      </c>
      <c r="Z1236" s="25">
        <v>0</v>
      </c>
      <c r="AA1236" s="25">
        <v>0</v>
      </c>
      <c r="AB1236" s="25">
        <v>0</v>
      </c>
      <c r="AC1236" s="25">
        <v>0</v>
      </c>
      <c r="AD1236" s="25">
        <v>0</v>
      </c>
      <c r="AE1236" s="25">
        <v>0</v>
      </c>
      <c r="AF1236" s="25">
        <v>0</v>
      </c>
    </row>
    <row r="1237" spans="1:32" x14ac:dyDescent="0.25">
      <c r="A1237" s="25" t="s">
        <v>1306</v>
      </c>
      <c r="B1237" s="25">
        <v>0</v>
      </c>
      <c r="C1237" s="25">
        <v>0</v>
      </c>
      <c r="D1237" s="25">
        <v>0</v>
      </c>
      <c r="E1237" s="25">
        <v>0</v>
      </c>
      <c r="F1237" s="25">
        <v>0</v>
      </c>
      <c r="G1237" s="25">
        <v>0</v>
      </c>
      <c r="H1237" s="25">
        <v>0</v>
      </c>
      <c r="I1237" s="25">
        <v>0</v>
      </c>
      <c r="J1237" s="25">
        <v>0</v>
      </c>
      <c r="K1237" s="25">
        <v>0</v>
      </c>
      <c r="L1237" s="25">
        <v>0</v>
      </c>
      <c r="M1237" s="25">
        <v>0</v>
      </c>
      <c r="N1237" s="25">
        <v>0</v>
      </c>
      <c r="O1237" s="25">
        <v>0</v>
      </c>
      <c r="P1237" s="25">
        <v>0</v>
      </c>
      <c r="Q1237" s="25">
        <v>0</v>
      </c>
      <c r="R1237" s="25">
        <v>0</v>
      </c>
      <c r="S1237" s="25">
        <v>0</v>
      </c>
      <c r="T1237" s="25">
        <v>0</v>
      </c>
      <c r="U1237" s="25">
        <v>0</v>
      </c>
      <c r="V1237" s="25">
        <v>0</v>
      </c>
      <c r="W1237" s="25">
        <v>0</v>
      </c>
      <c r="X1237" s="25">
        <v>0</v>
      </c>
      <c r="Y1237" s="25">
        <v>0</v>
      </c>
      <c r="Z1237" s="25">
        <v>0</v>
      </c>
      <c r="AA1237" s="25">
        <v>0</v>
      </c>
      <c r="AB1237" s="25">
        <v>0</v>
      </c>
      <c r="AC1237" s="25">
        <v>0</v>
      </c>
      <c r="AD1237" s="25">
        <v>0</v>
      </c>
      <c r="AE1237" s="25">
        <v>0</v>
      </c>
      <c r="AF1237" s="25">
        <v>0</v>
      </c>
    </row>
    <row r="1238" spans="1:32" x14ac:dyDescent="0.25">
      <c r="A1238" s="25" t="s">
        <v>1307</v>
      </c>
      <c r="B1238" s="25">
        <v>0</v>
      </c>
      <c r="C1238" s="25">
        <v>0</v>
      </c>
      <c r="D1238" s="25">
        <v>0</v>
      </c>
      <c r="E1238" s="25">
        <v>0</v>
      </c>
      <c r="F1238" s="25">
        <v>0</v>
      </c>
      <c r="G1238" s="25">
        <v>0</v>
      </c>
      <c r="H1238" s="25">
        <v>0</v>
      </c>
      <c r="I1238" s="25">
        <v>0</v>
      </c>
      <c r="J1238" s="25">
        <v>0</v>
      </c>
      <c r="K1238" s="25">
        <v>0</v>
      </c>
      <c r="L1238" s="25">
        <v>0</v>
      </c>
      <c r="M1238" s="25">
        <v>0</v>
      </c>
      <c r="N1238" s="25">
        <v>0</v>
      </c>
      <c r="O1238" s="25">
        <v>0</v>
      </c>
      <c r="P1238" s="25">
        <v>0</v>
      </c>
      <c r="Q1238" s="25">
        <v>0</v>
      </c>
      <c r="R1238" s="25">
        <v>0</v>
      </c>
      <c r="S1238" s="25">
        <v>0</v>
      </c>
      <c r="T1238" s="25">
        <v>0</v>
      </c>
      <c r="U1238" s="25">
        <v>0</v>
      </c>
      <c r="V1238" s="25">
        <v>0</v>
      </c>
      <c r="W1238" s="25">
        <v>0</v>
      </c>
      <c r="X1238" s="25">
        <v>0</v>
      </c>
      <c r="Y1238" s="25">
        <v>0</v>
      </c>
      <c r="Z1238" s="25">
        <v>0</v>
      </c>
      <c r="AA1238" s="25">
        <v>0</v>
      </c>
      <c r="AB1238" s="25">
        <v>0</v>
      </c>
      <c r="AC1238" s="25">
        <v>0</v>
      </c>
      <c r="AD1238" s="25">
        <v>0</v>
      </c>
      <c r="AE1238" s="25">
        <v>0</v>
      </c>
      <c r="AF1238" s="25">
        <v>0</v>
      </c>
    </row>
    <row r="1239" spans="1:32" x14ac:dyDescent="0.25">
      <c r="A1239" s="25" t="s">
        <v>1308</v>
      </c>
      <c r="B1239" s="25">
        <v>0</v>
      </c>
      <c r="C1239" s="25">
        <v>0</v>
      </c>
      <c r="D1239" s="25">
        <v>0</v>
      </c>
      <c r="E1239" s="25">
        <v>0</v>
      </c>
      <c r="F1239" s="25">
        <v>0</v>
      </c>
      <c r="G1239" s="25">
        <v>0</v>
      </c>
      <c r="H1239" s="25">
        <v>0</v>
      </c>
      <c r="I1239" s="25">
        <v>0</v>
      </c>
      <c r="J1239" s="25">
        <v>0</v>
      </c>
      <c r="K1239" s="25">
        <v>0</v>
      </c>
      <c r="L1239" s="25">
        <v>0</v>
      </c>
      <c r="M1239" s="25">
        <v>0</v>
      </c>
      <c r="N1239" s="25">
        <v>0</v>
      </c>
      <c r="O1239" s="25">
        <v>0</v>
      </c>
      <c r="P1239" s="25">
        <v>0</v>
      </c>
      <c r="Q1239" s="25">
        <v>0</v>
      </c>
      <c r="R1239" s="25">
        <v>0</v>
      </c>
      <c r="S1239" s="25">
        <v>0</v>
      </c>
      <c r="T1239" s="25">
        <v>0</v>
      </c>
      <c r="U1239" s="25">
        <v>0</v>
      </c>
      <c r="V1239" s="25">
        <v>0</v>
      </c>
      <c r="W1239" s="25">
        <v>0</v>
      </c>
      <c r="X1239" s="25">
        <v>0</v>
      </c>
      <c r="Y1239" s="25">
        <v>0</v>
      </c>
      <c r="Z1239" s="25">
        <v>0</v>
      </c>
      <c r="AA1239" s="25">
        <v>0</v>
      </c>
      <c r="AB1239" s="25">
        <v>0</v>
      </c>
      <c r="AC1239" s="25">
        <v>0</v>
      </c>
      <c r="AD1239" s="25">
        <v>0</v>
      </c>
      <c r="AE1239" s="25">
        <v>0</v>
      </c>
      <c r="AF1239" s="25">
        <v>0</v>
      </c>
    </row>
    <row r="1240" spans="1:32" x14ac:dyDescent="0.25">
      <c r="A1240" s="25" t="s">
        <v>1309</v>
      </c>
      <c r="B1240" s="25">
        <v>0</v>
      </c>
      <c r="C1240" s="25">
        <v>0</v>
      </c>
      <c r="D1240" s="25">
        <v>0</v>
      </c>
      <c r="E1240" s="25">
        <v>0</v>
      </c>
      <c r="F1240" s="25">
        <v>0</v>
      </c>
      <c r="G1240" s="25">
        <v>0</v>
      </c>
      <c r="H1240" s="25">
        <v>0</v>
      </c>
      <c r="I1240" s="25">
        <v>0</v>
      </c>
      <c r="J1240" s="25">
        <v>0</v>
      </c>
      <c r="K1240" s="25">
        <v>0</v>
      </c>
      <c r="L1240" s="25">
        <v>0</v>
      </c>
      <c r="M1240" s="25">
        <v>0</v>
      </c>
      <c r="N1240" s="25">
        <v>0</v>
      </c>
      <c r="O1240" s="25">
        <v>0</v>
      </c>
      <c r="P1240" s="25">
        <v>0</v>
      </c>
      <c r="Q1240" s="25">
        <v>0</v>
      </c>
      <c r="R1240" s="25">
        <v>0</v>
      </c>
      <c r="S1240" s="25">
        <v>0</v>
      </c>
      <c r="T1240" s="25">
        <v>0</v>
      </c>
      <c r="U1240" s="25">
        <v>0</v>
      </c>
      <c r="V1240" s="25">
        <v>0</v>
      </c>
      <c r="W1240" s="25">
        <v>0</v>
      </c>
      <c r="X1240" s="25">
        <v>0</v>
      </c>
      <c r="Y1240" s="25">
        <v>0</v>
      </c>
      <c r="Z1240" s="25">
        <v>0</v>
      </c>
      <c r="AA1240" s="25">
        <v>0</v>
      </c>
      <c r="AB1240" s="25">
        <v>0</v>
      </c>
      <c r="AC1240" s="25">
        <v>0</v>
      </c>
      <c r="AD1240" s="25">
        <v>0</v>
      </c>
      <c r="AE1240" s="25">
        <v>0</v>
      </c>
      <c r="AF1240" s="25">
        <v>0</v>
      </c>
    </row>
    <row r="1241" spans="1:32" x14ac:dyDescent="0.25">
      <c r="A1241" s="25" t="s">
        <v>1310</v>
      </c>
      <c r="B1241" s="25">
        <v>0</v>
      </c>
      <c r="C1241" s="25">
        <v>0</v>
      </c>
      <c r="D1241" s="25">
        <v>0</v>
      </c>
      <c r="E1241" s="25">
        <v>0</v>
      </c>
      <c r="F1241" s="25">
        <v>0</v>
      </c>
      <c r="G1241" s="25">
        <v>0</v>
      </c>
      <c r="H1241" s="25">
        <v>0</v>
      </c>
      <c r="I1241" s="25">
        <v>0</v>
      </c>
      <c r="J1241" s="25">
        <v>0</v>
      </c>
      <c r="K1241" s="25">
        <v>0</v>
      </c>
      <c r="L1241" s="25">
        <v>0</v>
      </c>
      <c r="M1241" s="25">
        <v>0</v>
      </c>
      <c r="N1241" s="25">
        <v>0</v>
      </c>
      <c r="O1241" s="25">
        <v>0</v>
      </c>
      <c r="P1241" s="25">
        <v>0</v>
      </c>
      <c r="Q1241" s="25">
        <v>0</v>
      </c>
      <c r="R1241" s="25">
        <v>0</v>
      </c>
      <c r="S1241" s="25">
        <v>0</v>
      </c>
      <c r="T1241" s="25">
        <v>0</v>
      </c>
      <c r="U1241" s="25">
        <v>0</v>
      </c>
      <c r="V1241" s="25">
        <v>0</v>
      </c>
      <c r="W1241" s="25">
        <v>0</v>
      </c>
      <c r="X1241" s="25">
        <v>0</v>
      </c>
      <c r="Y1241" s="25">
        <v>0</v>
      </c>
      <c r="Z1241" s="25">
        <v>0</v>
      </c>
      <c r="AA1241" s="25">
        <v>0</v>
      </c>
      <c r="AB1241" s="25">
        <v>0</v>
      </c>
      <c r="AC1241" s="25">
        <v>0</v>
      </c>
      <c r="AD1241" s="25">
        <v>0</v>
      </c>
      <c r="AE1241" s="25">
        <v>0</v>
      </c>
      <c r="AF1241" s="25">
        <v>0</v>
      </c>
    </row>
    <row r="1242" spans="1:32" x14ac:dyDescent="0.25">
      <c r="A1242" s="25" t="s">
        <v>1311</v>
      </c>
      <c r="B1242" s="25">
        <v>0</v>
      </c>
      <c r="C1242" s="25">
        <v>0</v>
      </c>
      <c r="D1242" s="25">
        <v>0</v>
      </c>
      <c r="E1242" s="25">
        <v>0</v>
      </c>
      <c r="F1242" s="25">
        <v>0</v>
      </c>
      <c r="G1242" s="25">
        <v>0</v>
      </c>
      <c r="H1242" s="25">
        <v>0</v>
      </c>
      <c r="I1242" s="25">
        <v>0</v>
      </c>
      <c r="J1242" s="25">
        <v>0</v>
      </c>
      <c r="K1242" s="25">
        <v>0</v>
      </c>
      <c r="L1242" s="25">
        <v>0</v>
      </c>
      <c r="M1242" s="25">
        <v>0</v>
      </c>
      <c r="N1242" s="25">
        <v>0</v>
      </c>
      <c r="O1242" s="25">
        <v>0</v>
      </c>
      <c r="P1242" s="25">
        <v>0</v>
      </c>
      <c r="Q1242" s="25">
        <v>0</v>
      </c>
      <c r="R1242" s="25">
        <v>0</v>
      </c>
      <c r="S1242" s="25">
        <v>0</v>
      </c>
      <c r="T1242" s="25">
        <v>0</v>
      </c>
      <c r="U1242" s="25">
        <v>0</v>
      </c>
      <c r="V1242" s="25">
        <v>0</v>
      </c>
      <c r="W1242" s="25">
        <v>0</v>
      </c>
      <c r="X1242" s="25">
        <v>0</v>
      </c>
      <c r="Y1242" s="25">
        <v>0</v>
      </c>
      <c r="Z1242" s="25">
        <v>0</v>
      </c>
      <c r="AA1242" s="25">
        <v>0</v>
      </c>
      <c r="AB1242" s="25">
        <v>0</v>
      </c>
      <c r="AC1242" s="25">
        <v>0</v>
      </c>
      <c r="AD1242" s="25">
        <v>0</v>
      </c>
      <c r="AE1242" s="25">
        <v>0</v>
      </c>
      <c r="AF1242" s="25">
        <v>0</v>
      </c>
    </row>
    <row r="1243" spans="1:32" x14ac:dyDescent="0.25">
      <c r="A1243" s="25" t="s">
        <v>1312</v>
      </c>
      <c r="B1243" s="25">
        <v>0</v>
      </c>
      <c r="C1243" s="25">
        <v>0</v>
      </c>
      <c r="D1243" s="25">
        <v>0</v>
      </c>
      <c r="E1243" s="25">
        <v>0</v>
      </c>
      <c r="F1243" s="25">
        <v>0</v>
      </c>
      <c r="G1243" s="25">
        <v>0</v>
      </c>
      <c r="H1243" s="25">
        <v>0</v>
      </c>
      <c r="I1243" s="25">
        <v>0</v>
      </c>
      <c r="J1243" s="25">
        <v>0</v>
      </c>
      <c r="K1243" s="25">
        <v>0</v>
      </c>
      <c r="L1243" s="25">
        <v>0</v>
      </c>
      <c r="M1243" s="25">
        <v>0</v>
      </c>
      <c r="N1243" s="25">
        <v>0</v>
      </c>
      <c r="O1243" s="25">
        <v>0</v>
      </c>
      <c r="P1243" s="25">
        <v>0</v>
      </c>
      <c r="Q1243" s="25">
        <v>0</v>
      </c>
      <c r="R1243" s="25">
        <v>0</v>
      </c>
      <c r="S1243" s="25">
        <v>0</v>
      </c>
      <c r="T1243" s="25">
        <v>0</v>
      </c>
      <c r="U1243" s="25">
        <v>0</v>
      </c>
      <c r="V1243" s="25">
        <v>0</v>
      </c>
      <c r="W1243" s="25">
        <v>0</v>
      </c>
      <c r="X1243" s="25">
        <v>0</v>
      </c>
      <c r="Y1243" s="25">
        <v>0</v>
      </c>
      <c r="Z1243" s="25">
        <v>0</v>
      </c>
      <c r="AA1243" s="25">
        <v>0</v>
      </c>
      <c r="AB1243" s="25">
        <v>0</v>
      </c>
      <c r="AC1243" s="25">
        <v>0</v>
      </c>
      <c r="AD1243" s="25">
        <v>0</v>
      </c>
      <c r="AE1243" s="25">
        <v>0</v>
      </c>
      <c r="AF1243" s="25">
        <v>0</v>
      </c>
    </row>
    <row r="1244" spans="1:32" x14ac:dyDescent="0.25">
      <c r="A1244" s="25" t="s">
        <v>1313</v>
      </c>
      <c r="B1244" s="25">
        <v>0</v>
      </c>
      <c r="C1244" s="25">
        <v>0</v>
      </c>
      <c r="D1244" s="25">
        <v>0</v>
      </c>
      <c r="E1244" s="25">
        <v>0</v>
      </c>
      <c r="F1244" s="25">
        <v>0</v>
      </c>
      <c r="G1244" s="25">
        <v>0</v>
      </c>
      <c r="H1244" s="25">
        <v>0</v>
      </c>
      <c r="I1244" s="25">
        <v>0</v>
      </c>
      <c r="J1244" s="25">
        <v>0</v>
      </c>
      <c r="K1244" s="25">
        <v>0</v>
      </c>
      <c r="L1244" s="25">
        <v>0</v>
      </c>
      <c r="M1244" s="25">
        <v>0</v>
      </c>
      <c r="N1244" s="25">
        <v>0</v>
      </c>
      <c r="O1244" s="25">
        <v>0</v>
      </c>
      <c r="P1244" s="25">
        <v>0</v>
      </c>
      <c r="Q1244" s="25">
        <v>0</v>
      </c>
      <c r="R1244" s="25">
        <v>0</v>
      </c>
      <c r="S1244" s="25">
        <v>0</v>
      </c>
      <c r="T1244" s="25">
        <v>0</v>
      </c>
      <c r="U1244" s="25">
        <v>0</v>
      </c>
      <c r="V1244" s="25">
        <v>0</v>
      </c>
      <c r="W1244" s="25">
        <v>0</v>
      </c>
      <c r="X1244" s="25">
        <v>0</v>
      </c>
      <c r="Y1244" s="25">
        <v>0</v>
      </c>
      <c r="Z1244" s="25">
        <v>0</v>
      </c>
      <c r="AA1244" s="25">
        <v>0</v>
      </c>
      <c r="AB1244" s="25">
        <v>0</v>
      </c>
      <c r="AC1244" s="25">
        <v>0</v>
      </c>
      <c r="AD1244" s="25">
        <v>0</v>
      </c>
      <c r="AE1244" s="25">
        <v>0</v>
      </c>
      <c r="AF1244" s="25">
        <v>0</v>
      </c>
    </row>
    <row r="1245" spans="1:32" x14ac:dyDescent="0.25">
      <c r="A1245" s="25" t="s">
        <v>1314</v>
      </c>
      <c r="B1245" s="25">
        <v>0</v>
      </c>
      <c r="C1245" s="25">
        <v>0</v>
      </c>
      <c r="D1245" s="25">
        <v>0</v>
      </c>
      <c r="E1245" s="25">
        <v>0</v>
      </c>
      <c r="F1245" s="25">
        <v>0</v>
      </c>
      <c r="G1245" s="25">
        <v>0</v>
      </c>
      <c r="H1245" s="25">
        <v>0</v>
      </c>
      <c r="I1245" s="25">
        <v>0</v>
      </c>
      <c r="J1245" s="25">
        <v>0</v>
      </c>
      <c r="K1245" s="25">
        <v>0</v>
      </c>
      <c r="L1245" s="25">
        <v>0</v>
      </c>
      <c r="M1245" s="25">
        <v>0</v>
      </c>
      <c r="N1245" s="25">
        <v>0</v>
      </c>
      <c r="O1245" s="25">
        <v>0</v>
      </c>
      <c r="P1245" s="25">
        <v>0</v>
      </c>
      <c r="Q1245" s="25">
        <v>0</v>
      </c>
      <c r="R1245" s="25">
        <v>0</v>
      </c>
      <c r="S1245" s="25">
        <v>0</v>
      </c>
      <c r="T1245" s="25">
        <v>0</v>
      </c>
      <c r="U1245" s="25">
        <v>0</v>
      </c>
      <c r="V1245" s="25">
        <v>0</v>
      </c>
      <c r="W1245" s="25">
        <v>0</v>
      </c>
      <c r="X1245" s="25">
        <v>0</v>
      </c>
      <c r="Y1245" s="25">
        <v>0</v>
      </c>
      <c r="Z1245" s="25">
        <v>0</v>
      </c>
      <c r="AA1245" s="25">
        <v>0</v>
      </c>
      <c r="AB1245" s="25">
        <v>0</v>
      </c>
      <c r="AC1245" s="25">
        <v>0</v>
      </c>
      <c r="AD1245" s="25">
        <v>0</v>
      </c>
      <c r="AE1245" s="25">
        <v>0</v>
      </c>
      <c r="AF1245" s="25">
        <v>0</v>
      </c>
    </row>
    <row r="1246" spans="1:32" x14ac:dyDescent="0.25">
      <c r="A1246" s="25" t="s">
        <v>1315</v>
      </c>
      <c r="B1246" s="25">
        <v>0</v>
      </c>
      <c r="C1246" s="25">
        <v>0</v>
      </c>
      <c r="D1246" s="25">
        <v>0</v>
      </c>
      <c r="E1246" s="25">
        <v>0</v>
      </c>
      <c r="F1246" s="25">
        <v>0</v>
      </c>
      <c r="G1246" s="25">
        <v>0</v>
      </c>
      <c r="H1246" s="25">
        <v>0</v>
      </c>
      <c r="I1246" s="25">
        <v>0</v>
      </c>
      <c r="J1246" s="25">
        <v>0</v>
      </c>
      <c r="K1246" s="25">
        <v>0</v>
      </c>
      <c r="L1246" s="25">
        <v>0</v>
      </c>
      <c r="M1246" s="25">
        <v>0</v>
      </c>
      <c r="N1246" s="25">
        <v>0</v>
      </c>
      <c r="O1246" s="25">
        <v>0</v>
      </c>
      <c r="P1246" s="25">
        <v>0</v>
      </c>
      <c r="Q1246" s="25">
        <v>0</v>
      </c>
      <c r="R1246" s="25">
        <v>0</v>
      </c>
      <c r="S1246" s="25">
        <v>0</v>
      </c>
      <c r="T1246" s="25">
        <v>0</v>
      </c>
      <c r="U1246" s="25">
        <v>0</v>
      </c>
      <c r="V1246" s="25">
        <v>0</v>
      </c>
      <c r="W1246" s="25">
        <v>0</v>
      </c>
      <c r="X1246" s="25">
        <v>0</v>
      </c>
      <c r="Y1246" s="25">
        <v>0</v>
      </c>
      <c r="Z1246" s="25">
        <v>0</v>
      </c>
      <c r="AA1246" s="25">
        <v>0</v>
      </c>
      <c r="AB1246" s="25">
        <v>0</v>
      </c>
      <c r="AC1246" s="25">
        <v>0</v>
      </c>
      <c r="AD1246" s="25">
        <v>0</v>
      </c>
      <c r="AE1246" s="25">
        <v>0</v>
      </c>
      <c r="AF1246" s="25">
        <v>0</v>
      </c>
    </row>
    <row r="1247" spans="1:32" x14ac:dyDescent="0.25">
      <c r="A1247" s="25" t="s">
        <v>1316</v>
      </c>
      <c r="B1247" s="25">
        <v>0</v>
      </c>
      <c r="C1247" s="25">
        <v>0</v>
      </c>
      <c r="D1247" s="25">
        <v>0</v>
      </c>
      <c r="E1247" s="25">
        <v>0</v>
      </c>
      <c r="F1247" s="25">
        <v>0</v>
      </c>
      <c r="G1247" s="25">
        <v>0</v>
      </c>
      <c r="H1247" s="25">
        <v>0</v>
      </c>
      <c r="I1247" s="25">
        <v>0</v>
      </c>
      <c r="J1247" s="25">
        <v>0</v>
      </c>
      <c r="K1247" s="25">
        <v>0</v>
      </c>
      <c r="L1247" s="25">
        <v>0</v>
      </c>
      <c r="M1247" s="25">
        <v>0</v>
      </c>
      <c r="N1247" s="25">
        <v>0</v>
      </c>
      <c r="O1247" s="25">
        <v>0</v>
      </c>
      <c r="P1247" s="25">
        <v>0</v>
      </c>
      <c r="Q1247" s="25">
        <v>0</v>
      </c>
      <c r="R1247" s="25">
        <v>0</v>
      </c>
      <c r="S1247" s="25">
        <v>0</v>
      </c>
      <c r="T1247" s="25">
        <v>0</v>
      </c>
      <c r="U1247" s="25">
        <v>0</v>
      </c>
      <c r="V1247" s="25">
        <v>0</v>
      </c>
      <c r="W1247" s="25">
        <v>0</v>
      </c>
      <c r="X1247" s="25">
        <v>0</v>
      </c>
      <c r="Y1247" s="25">
        <v>0</v>
      </c>
      <c r="Z1247" s="25">
        <v>0</v>
      </c>
      <c r="AA1247" s="25">
        <v>0</v>
      </c>
      <c r="AB1247" s="25">
        <v>0</v>
      </c>
      <c r="AC1247" s="25">
        <v>0</v>
      </c>
      <c r="AD1247" s="25">
        <v>0</v>
      </c>
      <c r="AE1247" s="25">
        <v>0</v>
      </c>
      <c r="AF1247" s="25">
        <v>0</v>
      </c>
    </row>
    <row r="1248" spans="1:32" x14ac:dyDescent="0.25">
      <c r="A1248" s="25" t="s">
        <v>1317</v>
      </c>
      <c r="B1248" s="12">
        <v>56230000000000</v>
      </c>
      <c r="C1248" s="12">
        <v>60780000000000</v>
      </c>
      <c r="D1248" s="12">
        <v>61860000000000</v>
      </c>
      <c r="E1248" s="12">
        <v>58660000000000</v>
      </c>
      <c r="F1248" s="12">
        <v>57990000000000</v>
      </c>
      <c r="G1248" s="12">
        <v>57420000000000</v>
      </c>
      <c r="H1248" s="12">
        <v>56810000000000</v>
      </c>
      <c r="I1248" s="12">
        <v>56160000000000</v>
      </c>
      <c r="J1248" s="12">
        <v>55460000000000</v>
      </c>
      <c r="K1248" s="12">
        <v>54750000000000</v>
      </c>
      <c r="L1248" s="12">
        <v>54050000000000</v>
      </c>
      <c r="M1248" s="12">
        <v>53360000000000</v>
      </c>
      <c r="N1248" s="12">
        <v>52720000000000</v>
      </c>
      <c r="O1248" s="12">
        <v>52110000000000</v>
      </c>
      <c r="P1248" s="12">
        <v>51540000000000</v>
      </c>
      <c r="Q1248" s="12">
        <v>51030000000000</v>
      </c>
      <c r="R1248" s="12">
        <v>50550000000000</v>
      </c>
      <c r="S1248" s="12">
        <v>50070000000000</v>
      </c>
      <c r="T1248" s="12">
        <v>49620000000000</v>
      </c>
      <c r="U1248" s="12">
        <v>49180000000000</v>
      </c>
      <c r="V1248" s="12">
        <v>48760000000000</v>
      </c>
      <c r="W1248" s="12">
        <v>48340000000000</v>
      </c>
      <c r="X1248" s="12">
        <v>47930000000000</v>
      </c>
      <c r="Y1248" s="12">
        <v>47530000000000</v>
      </c>
      <c r="Z1248" s="12">
        <v>47120000000000</v>
      </c>
      <c r="AA1248" s="12">
        <v>46720000000000</v>
      </c>
      <c r="AB1248" s="12">
        <v>46320000000000</v>
      </c>
      <c r="AC1248" s="12">
        <v>45940000000000</v>
      </c>
      <c r="AD1248" s="12">
        <v>45560000000000</v>
      </c>
      <c r="AE1248" s="12">
        <v>45190000000000</v>
      </c>
      <c r="AF1248" s="12">
        <v>44850000000000</v>
      </c>
    </row>
    <row r="1249" spans="1:32" x14ac:dyDescent="0.25">
      <c r="A1249" s="25" t="s">
        <v>1318</v>
      </c>
      <c r="B1249" s="25">
        <v>0</v>
      </c>
      <c r="C1249" s="25">
        <v>0</v>
      </c>
      <c r="D1249" s="25">
        <v>0</v>
      </c>
      <c r="E1249" s="25">
        <v>0</v>
      </c>
      <c r="F1249" s="25">
        <v>0</v>
      </c>
      <c r="G1249" s="25">
        <v>0</v>
      </c>
      <c r="H1249" s="25">
        <v>0</v>
      </c>
      <c r="I1249" s="25">
        <v>0</v>
      </c>
      <c r="J1249" s="25">
        <v>0</v>
      </c>
      <c r="K1249" s="25">
        <v>0</v>
      </c>
      <c r="L1249" s="25">
        <v>0</v>
      </c>
      <c r="M1249" s="25">
        <v>0</v>
      </c>
      <c r="N1249" s="25">
        <v>0</v>
      </c>
      <c r="O1249" s="25">
        <v>0</v>
      </c>
      <c r="P1249" s="25">
        <v>0</v>
      </c>
      <c r="Q1249" s="25">
        <v>0</v>
      </c>
      <c r="R1249" s="25">
        <v>0</v>
      </c>
      <c r="S1249" s="25">
        <v>0</v>
      </c>
      <c r="T1249" s="25">
        <v>0</v>
      </c>
      <c r="U1249" s="25">
        <v>0</v>
      </c>
      <c r="V1249" s="25">
        <v>0</v>
      </c>
      <c r="W1249" s="25">
        <v>0</v>
      </c>
      <c r="X1249" s="25">
        <v>0</v>
      </c>
      <c r="Y1249" s="25">
        <v>0</v>
      </c>
      <c r="Z1249" s="25">
        <v>0</v>
      </c>
      <c r="AA1249" s="25">
        <v>0</v>
      </c>
      <c r="AB1249" s="25">
        <v>0</v>
      </c>
      <c r="AC1249" s="25">
        <v>0</v>
      </c>
      <c r="AD1249" s="25">
        <v>0</v>
      </c>
      <c r="AE1249" s="25">
        <v>0</v>
      </c>
      <c r="AF1249" s="25">
        <v>0</v>
      </c>
    </row>
    <row r="1250" spans="1:32" x14ac:dyDescent="0.25">
      <c r="A1250" s="25" t="s">
        <v>1319</v>
      </c>
      <c r="B1250" s="25">
        <v>0</v>
      </c>
      <c r="C1250" s="25">
        <v>0</v>
      </c>
      <c r="D1250" s="25">
        <v>0</v>
      </c>
      <c r="E1250" s="25">
        <v>0</v>
      </c>
      <c r="F1250" s="25">
        <v>0</v>
      </c>
      <c r="G1250" s="25">
        <v>0</v>
      </c>
      <c r="H1250" s="25">
        <v>0</v>
      </c>
      <c r="I1250" s="25">
        <v>0</v>
      </c>
      <c r="J1250" s="25">
        <v>0</v>
      </c>
      <c r="K1250" s="25">
        <v>0</v>
      </c>
      <c r="L1250" s="25">
        <v>0</v>
      </c>
      <c r="M1250" s="25">
        <v>0</v>
      </c>
      <c r="N1250" s="25">
        <v>0</v>
      </c>
      <c r="O1250" s="25">
        <v>0</v>
      </c>
      <c r="P1250" s="25">
        <v>0</v>
      </c>
      <c r="Q1250" s="25">
        <v>0</v>
      </c>
      <c r="R1250" s="25">
        <v>0</v>
      </c>
      <c r="S1250" s="25">
        <v>0</v>
      </c>
      <c r="T1250" s="25">
        <v>0</v>
      </c>
      <c r="U1250" s="25">
        <v>0</v>
      </c>
      <c r="V1250" s="25">
        <v>0</v>
      </c>
      <c r="W1250" s="25">
        <v>0</v>
      </c>
      <c r="X1250" s="25">
        <v>0</v>
      </c>
      <c r="Y1250" s="25">
        <v>0</v>
      </c>
      <c r="Z1250" s="25">
        <v>0</v>
      </c>
      <c r="AA1250" s="25">
        <v>0</v>
      </c>
      <c r="AB1250" s="25">
        <v>0</v>
      </c>
      <c r="AC1250" s="25">
        <v>0</v>
      </c>
      <c r="AD1250" s="25">
        <v>0</v>
      </c>
      <c r="AE1250" s="25">
        <v>0</v>
      </c>
      <c r="AF1250" s="25">
        <v>0</v>
      </c>
    </row>
    <row r="1251" spans="1:32" x14ac:dyDescent="0.25">
      <c r="A1251" s="25" t="s">
        <v>1320</v>
      </c>
      <c r="B1251" s="25">
        <v>0</v>
      </c>
      <c r="C1251" s="25">
        <v>0</v>
      </c>
      <c r="D1251" s="25">
        <v>0</v>
      </c>
      <c r="E1251" s="25">
        <v>0</v>
      </c>
      <c r="F1251" s="25">
        <v>0</v>
      </c>
      <c r="G1251" s="25">
        <v>0</v>
      </c>
      <c r="H1251" s="25">
        <v>0</v>
      </c>
      <c r="I1251" s="25">
        <v>0</v>
      </c>
      <c r="J1251" s="25">
        <v>0</v>
      </c>
      <c r="K1251" s="25">
        <v>0</v>
      </c>
      <c r="L1251" s="25">
        <v>0</v>
      </c>
      <c r="M1251" s="25">
        <v>0</v>
      </c>
      <c r="N1251" s="25">
        <v>0</v>
      </c>
      <c r="O1251" s="25">
        <v>0</v>
      </c>
      <c r="P1251" s="25">
        <v>0</v>
      </c>
      <c r="Q1251" s="25">
        <v>0</v>
      </c>
      <c r="R1251" s="25">
        <v>0</v>
      </c>
      <c r="S1251" s="25">
        <v>0</v>
      </c>
      <c r="T1251" s="25">
        <v>0</v>
      </c>
      <c r="U1251" s="25">
        <v>0</v>
      </c>
      <c r="V1251" s="25">
        <v>0</v>
      </c>
      <c r="W1251" s="25">
        <v>0</v>
      </c>
      <c r="X1251" s="25">
        <v>0</v>
      </c>
      <c r="Y1251" s="25">
        <v>0</v>
      </c>
      <c r="Z1251" s="25">
        <v>0</v>
      </c>
      <c r="AA1251" s="25">
        <v>0</v>
      </c>
      <c r="AB1251" s="25">
        <v>0</v>
      </c>
      <c r="AC1251" s="25">
        <v>0</v>
      </c>
      <c r="AD1251" s="25">
        <v>0</v>
      </c>
      <c r="AE1251" s="25">
        <v>0</v>
      </c>
      <c r="AF1251" s="25">
        <v>0</v>
      </c>
    </row>
    <row r="1252" spans="1:32" x14ac:dyDescent="0.25">
      <c r="A1252" s="25" t="s">
        <v>1321</v>
      </c>
      <c r="B1252" s="12">
        <v>15400000000000</v>
      </c>
      <c r="C1252" s="12">
        <v>14980000000000</v>
      </c>
      <c r="D1252" s="12">
        <v>14450000000000</v>
      </c>
      <c r="E1252" s="12">
        <v>14020000000000</v>
      </c>
      <c r="F1252" s="12">
        <v>13690000000000</v>
      </c>
      <c r="G1252" s="12">
        <v>13400000000000</v>
      </c>
      <c r="H1252" s="12">
        <v>13150000000000</v>
      </c>
      <c r="I1252" s="12">
        <v>12900000000000</v>
      </c>
      <c r="J1252" s="12">
        <v>12670000000000</v>
      </c>
      <c r="K1252" s="12">
        <v>12450000000000</v>
      </c>
      <c r="L1252" s="12">
        <v>12270000000000</v>
      </c>
      <c r="M1252" s="12">
        <v>12060000000000</v>
      </c>
      <c r="N1252" s="12">
        <v>11850000000000</v>
      </c>
      <c r="O1252" s="12">
        <v>11630000000000</v>
      </c>
      <c r="P1252" s="12">
        <v>11430000000000</v>
      </c>
      <c r="Q1252" s="12">
        <v>11230000000000</v>
      </c>
      <c r="R1252" s="12">
        <v>11050000000000</v>
      </c>
      <c r="S1252" s="12">
        <v>10870000000000</v>
      </c>
      <c r="T1252" s="12">
        <v>10700000000000</v>
      </c>
      <c r="U1252" s="12">
        <v>10530000000000</v>
      </c>
      <c r="V1252" s="12">
        <v>10360000000000</v>
      </c>
      <c r="W1252" s="12">
        <v>10210000000000</v>
      </c>
      <c r="X1252" s="12">
        <v>10060000000000</v>
      </c>
      <c r="Y1252" s="12">
        <v>9914000000000</v>
      </c>
      <c r="Z1252" s="12">
        <v>9780000000000</v>
      </c>
      <c r="AA1252" s="12">
        <v>9657000000000</v>
      </c>
      <c r="AB1252" s="12">
        <v>9542000000000</v>
      </c>
      <c r="AC1252" s="12">
        <v>9436000000000</v>
      </c>
      <c r="AD1252" s="12">
        <v>9337000000000</v>
      </c>
      <c r="AE1252" s="12">
        <v>9245000000000</v>
      </c>
      <c r="AF1252" s="12">
        <v>9159000000000</v>
      </c>
    </row>
    <row r="1253" spans="1:32" x14ac:dyDescent="0.25">
      <c r="A1253" s="25" t="s">
        <v>1322</v>
      </c>
      <c r="B1253" s="12">
        <v>13450000000000</v>
      </c>
      <c r="C1253" s="12">
        <v>13710000000000</v>
      </c>
      <c r="D1253" s="12">
        <v>13910000000000</v>
      </c>
      <c r="E1253" s="12">
        <v>14170000000000</v>
      </c>
      <c r="F1253" s="12">
        <v>14510000000000</v>
      </c>
      <c r="G1253" s="12">
        <v>14880000000000</v>
      </c>
      <c r="H1253" s="12">
        <v>15240000000000</v>
      </c>
      <c r="I1253" s="12">
        <v>15580000000000</v>
      </c>
      <c r="J1253" s="12">
        <v>15900000000000</v>
      </c>
      <c r="K1253" s="12">
        <v>16220000000000</v>
      </c>
      <c r="L1253" s="12">
        <v>16530000000000</v>
      </c>
      <c r="M1253" s="12">
        <v>16830000000000</v>
      </c>
      <c r="N1253" s="12">
        <v>17130000000000</v>
      </c>
      <c r="O1253" s="12">
        <v>17450000000000</v>
      </c>
      <c r="P1253" s="12">
        <v>17780000000000</v>
      </c>
      <c r="Q1253" s="12">
        <v>18110000000000</v>
      </c>
      <c r="R1253" s="12">
        <v>18460000000000</v>
      </c>
      <c r="S1253" s="12">
        <v>18800000000000</v>
      </c>
      <c r="T1253" s="12">
        <v>19150000000000</v>
      </c>
      <c r="U1253" s="12">
        <v>19500000000000</v>
      </c>
      <c r="V1253" s="12">
        <v>19850000000000</v>
      </c>
      <c r="W1253" s="12">
        <v>20200000000000</v>
      </c>
      <c r="X1253" s="12">
        <v>20550000000000</v>
      </c>
      <c r="Y1253" s="12">
        <v>20910000000000</v>
      </c>
      <c r="Z1253" s="12">
        <v>21270000000000</v>
      </c>
      <c r="AA1253" s="12">
        <v>21640000000000</v>
      </c>
      <c r="AB1253" s="12">
        <v>22010000000000</v>
      </c>
      <c r="AC1253" s="12">
        <v>22380000000000</v>
      </c>
      <c r="AD1253" s="12">
        <v>22760000000000</v>
      </c>
      <c r="AE1253" s="12">
        <v>23140000000000</v>
      </c>
      <c r="AF1253" s="12">
        <v>23540000000000</v>
      </c>
    </row>
    <row r="1254" spans="1:32" x14ac:dyDescent="0.25">
      <c r="A1254" s="25" t="s">
        <v>1323</v>
      </c>
      <c r="B1254" s="25">
        <v>0</v>
      </c>
      <c r="C1254" s="25">
        <v>0</v>
      </c>
      <c r="D1254" s="25">
        <v>0</v>
      </c>
      <c r="E1254" s="25">
        <v>0</v>
      </c>
      <c r="F1254" s="25">
        <v>0</v>
      </c>
      <c r="G1254" s="25">
        <v>0</v>
      </c>
      <c r="H1254" s="25">
        <v>0</v>
      </c>
      <c r="I1254" s="25">
        <v>0</v>
      </c>
      <c r="J1254" s="25">
        <v>0</v>
      </c>
      <c r="K1254" s="25">
        <v>0</v>
      </c>
      <c r="L1254" s="25">
        <v>0</v>
      </c>
      <c r="M1254" s="25">
        <v>0</v>
      </c>
      <c r="N1254" s="25">
        <v>0</v>
      </c>
      <c r="O1254" s="25">
        <v>0</v>
      </c>
      <c r="P1254" s="25">
        <v>0</v>
      </c>
      <c r="Q1254" s="25">
        <v>0</v>
      </c>
      <c r="R1254" s="25">
        <v>0</v>
      </c>
      <c r="S1254" s="25">
        <v>0</v>
      </c>
      <c r="T1254" s="25">
        <v>0</v>
      </c>
      <c r="U1254" s="25">
        <v>0</v>
      </c>
      <c r="V1254" s="25">
        <v>0</v>
      </c>
      <c r="W1254" s="25">
        <v>0</v>
      </c>
      <c r="X1254" s="25">
        <v>0</v>
      </c>
      <c r="Y1254" s="25">
        <v>0</v>
      </c>
      <c r="Z1254" s="25">
        <v>0</v>
      </c>
      <c r="AA1254" s="25">
        <v>0</v>
      </c>
      <c r="AB1254" s="25">
        <v>0</v>
      </c>
      <c r="AC1254" s="25">
        <v>0</v>
      </c>
      <c r="AD1254" s="25">
        <v>0</v>
      </c>
      <c r="AE1254" s="25">
        <v>0</v>
      </c>
      <c r="AF1254" s="25">
        <v>0</v>
      </c>
    </row>
    <row r="1255" spans="1:32" x14ac:dyDescent="0.25">
      <c r="A1255" s="25" t="s">
        <v>1324</v>
      </c>
      <c r="B1255" s="25">
        <v>0</v>
      </c>
      <c r="C1255" s="25">
        <v>0</v>
      </c>
      <c r="D1255" s="25">
        <v>0</v>
      </c>
      <c r="E1255" s="25">
        <v>0</v>
      </c>
      <c r="F1255" s="25">
        <v>0</v>
      </c>
      <c r="G1255" s="25">
        <v>0</v>
      </c>
      <c r="H1255" s="25">
        <v>0</v>
      </c>
      <c r="I1255" s="25">
        <v>0</v>
      </c>
      <c r="J1255" s="25">
        <v>0</v>
      </c>
      <c r="K1255" s="25">
        <v>0</v>
      </c>
      <c r="L1255" s="25">
        <v>0</v>
      </c>
      <c r="M1255" s="25">
        <v>0</v>
      </c>
      <c r="N1255" s="25">
        <v>0</v>
      </c>
      <c r="O1255" s="25">
        <v>0</v>
      </c>
      <c r="P1255" s="25">
        <v>0</v>
      </c>
      <c r="Q1255" s="25">
        <v>0</v>
      </c>
      <c r="R1255" s="25">
        <v>0</v>
      </c>
      <c r="S1255" s="25">
        <v>0</v>
      </c>
      <c r="T1255" s="25">
        <v>0</v>
      </c>
      <c r="U1255" s="25">
        <v>0</v>
      </c>
      <c r="V1255" s="25">
        <v>0</v>
      </c>
      <c r="W1255" s="25">
        <v>0</v>
      </c>
      <c r="X1255" s="25">
        <v>0</v>
      </c>
      <c r="Y1255" s="25">
        <v>0</v>
      </c>
      <c r="Z1255" s="25">
        <v>0</v>
      </c>
      <c r="AA1255" s="25">
        <v>0</v>
      </c>
      <c r="AB1255" s="25">
        <v>0</v>
      </c>
      <c r="AC1255" s="25">
        <v>0</v>
      </c>
      <c r="AD1255" s="25">
        <v>0</v>
      </c>
      <c r="AE1255" s="25">
        <v>0</v>
      </c>
      <c r="AF1255" s="25">
        <v>0</v>
      </c>
    </row>
    <row r="1256" spans="1:32" x14ac:dyDescent="0.25">
      <c r="A1256" s="25" t="s">
        <v>1325</v>
      </c>
      <c r="B1256" s="25">
        <v>0</v>
      </c>
      <c r="C1256" s="25">
        <v>0</v>
      </c>
      <c r="D1256" s="25">
        <v>0</v>
      </c>
      <c r="E1256" s="25">
        <v>0</v>
      </c>
      <c r="F1256" s="25">
        <v>0</v>
      </c>
      <c r="G1256" s="25">
        <v>0</v>
      </c>
      <c r="H1256" s="25">
        <v>0</v>
      </c>
      <c r="I1256" s="25">
        <v>0</v>
      </c>
      <c r="J1256" s="25">
        <v>0</v>
      </c>
      <c r="K1256" s="25">
        <v>0</v>
      </c>
      <c r="L1256" s="25">
        <v>0</v>
      </c>
      <c r="M1256" s="25">
        <v>0</v>
      </c>
      <c r="N1256" s="25">
        <v>0</v>
      </c>
      <c r="O1256" s="25">
        <v>0</v>
      </c>
      <c r="P1256" s="25">
        <v>0</v>
      </c>
      <c r="Q1256" s="25">
        <v>0</v>
      </c>
      <c r="R1256" s="25">
        <v>0</v>
      </c>
      <c r="S1256" s="25">
        <v>0</v>
      </c>
      <c r="T1256" s="25">
        <v>0</v>
      </c>
      <c r="U1256" s="25">
        <v>0</v>
      </c>
      <c r="V1256" s="25">
        <v>0</v>
      </c>
      <c r="W1256" s="25">
        <v>0</v>
      </c>
      <c r="X1256" s="25">
        <v>0</v>
      </c>
      <c r="Y1256" s="25">
        <v>0</v>
      </c>
      <c r="Z1256" s="25">
        <v>0</v>
      </c>
      <c r="AA1256" s="25">
        <v>0</v>
      </c>
      <c r="AB1256" s="25">
        <v>0</v>
      </c>
      <c r="AC1256" s="25">
        <v>0</v>
      </c>
      <c r="AD1256" s="25">
        <v>0</v>
      </c>
      <c r="AE1256" s="25">
        <v>0</v>
      </c>
      <c r="AF1256" s="25">
        <v>0</v>
      </c>
    </row>
    <row r="1257" spans="1:32" x14ac:dyDescent="0.25">
      <c r="A1257" s="25" t="s">
        <v>1326</v>
      </c>
      <c r="B1257" s="25">
        <v>0</v>
      </c>
      <c r="C1257" s="25">
        <v>0</v>
      </c>
      <c r="D1257" s="25">
        <v>0</v>
      </c>
      <c r="E1257" s="25">
        <v>0</v>
      </c>
      <c r="F1257" s="25">
        <v>0</v>
      </c>
      <c r="G1257" s="25">
        <v>0</v>
      </c>
      <c r="H1257" s="25">
        <v>0</v>
      </c>
      <c r="I1257" s="25">
        <v>0</v>
      </c>
      <c r="J1257" s="25">
        <v>0</v>
      </c>
      <c r="K1257" s="25">
        <v>0</v>
      </c>
      <c r="L1257" s="25">
        <v>0</v>
      </c>
      <c r="M1257" s="25">
        <v>0</v>
      </c>
      <c r="N1257" s="25">
        <v>0</v>
      </c>
      <c r="O1257" s="25">
        <v>0</v>
      </c>
      <c r="P1257" s="25">
        <v>0</v>
      </c>
      <c r="Q1257" s="25">
        <v>0</v>
      </c>
      <c r="R1257" s="25">
        <v>0</v>
      </c>
      <c r="S1257" s="25">
        <v>0</v>
      </c>
      <c r="T1257" s="25">
        <v>0</v>
      </c>
      <c r="U1257" s="25">
        <v>0</v>
      </c>
      <c r="V1257" s="25">
        <v>0</v>
      </c>
      <c r="W1257" s="25">
        <v>0</v>
      </c>
      <c r="X1257" s="25">
        <v>0</v>
      </c>
      <c r="Y1257" s="25">
        <v>0</v>
      </c>
      <c r="Z1257" s="25">
        <v>0</v>
      </c>
      <c r="AA1257" s="25">
        <v>0</v>
      </c>
      <c r="AB1257" s="25">
        <v>0</v>
      </c>
      <c r="AC1257" s="25">
        <v>0</v>
      </c>
      <c r="AD1257" s="25">
        <v>0</v>
      </c>
      <c r="AE1257" s="25">
        <v>0</v>
      </c>
      <c r="AF1257" s="25">
        <v>0</v>
      </c>
    </row>
    <row r="1258" spans="1:32" x14ac:dyDescent="0.25">
      <c r="A1258" s="25" t="s">
        <v>1327</v>
      </c>
      <c r="B1258" s="25">
        <v>0</v>
      </c>
      <c r="C1258" s="25">
        <v>0</v>
      </c>
      <c r="D1258" s="25">
        <v>0</v>
      </c>
      <c r="E1258" s="25">
        <v>0</v>
      </c>
      <c r="F1258" s="25">
        <v>0</v>
      </c>
      <c r="G1258" s="25">
        <v>0</v>
      </c>
      <c r="H1258" s="25">
        <v>0</v>
      </c>
      <c r="I1258" s="25">
        <v>0</v>
      </c>
      <c r="J1258" s="25">
        <v>0</v>
      </c>
      <c r="K1258" s="25">
        <v>0</v>
      </c>
      <c r="L1258" s="25">
        <v>0</v>
      </c>
      <c r="M1258" s="25">
        <v>0</v>
      </c>
      <c r="N1258" s="25">
        <v>0</v>
      </c>
      <c r="O1258" s="25">
        <v>0</v>
      </c>
      <c r="P1258" s="25">
        <v>0</v>
      </c>
      <c r="Q1258" s="25">
        <v>0</v>
      </c>
      <c r="R1258" s="25">
        <v>0</v>
      </c>
      <c r="S1258" s="25">
        <v>0</v>
      </c>
      <c r="T1258" s="25">
        <v>0</v>
      </c>
      <c r="U1258" s="25">
        <v>0</v>
      </c>
      <c r="V1258" s="25">
        <v>0</v>
      </c>
      <c r="W1258" s="25">
        <v>0</v>
      </c>
      <c r="X1258" s="25">
        <v>0</v>
      </c>
      <c r="Y1258" s="25">
        <v>0</v>
      </c>
      <c r="Z1258" s="25">
        <v>0</v>
      </c>
      <c r="AA1258" s="25">
        <v>0</v>
      </c>
      <c r="AB1258" s="25">
        <v>0</v>
      </c>
      <c r="AC1258" s="25">
        <v>0</v>
      </c>
      <c r="AD1258" s="25">
        <v>0</v>
      </c>
      <c r="AE1258" s="25">
        <v>0</v>
      </c>
      <c r="AF1258" s="25">
        <v>0</v>
      </c>
    </row>
    <row r="1259" spans="1:32" x14ac:dyDescent="0.25">
      <c r="A1259" s="25" t="s">
        <v>1328</v>
      </c>
      <c r="B1259" s="25">
        <v>0</v>
      </c>
      <c r="C1259" s="25">
        <v>0</v>
      </c>
      <c r="D1259" s="25">
        <v>0</v>
      </c>
      <c r="E1259" s="25">
        <v>0</v>
      </c>
      <c r="F1259" s="25">
        <v>0</v>
      </c>
      <c r="G1259" s="25">
        <v>0</v>
      </c>
      <c r="H1259" s="25">
        <v>0</v>
      </c>
      <c r="I1259" s="25">
        <v>0</v>
      </c>
      <c r="J1259" s="25">
        <v>0</v>
      </c>
      <c r="K1259" s="25">
        <v>0</v>
      </c>
      <c r="L1259" s="25">
        <v>0</v>
      </c>
      <c r="M1259" s="25">
        <v>0</v>
      </c>
      <c r="N1259" s="25">
        <v>0</v>
      </c>
      <c r="O1259" s="25">
        <v>0</v>
      </c>
      <c r="P1259" s="25">
        <v>0</v>
      </c>
      <c r="Q1259" s="25">
        <v>0</v>
      </c>
      <c r="R1259" s="25">
        <v>0</v>
      </c>
      <c r="S1259" s="25">
        <v>0</v>
      </c>
      <c r="T1259" s="25">
        <v>0</v>
      </c>
      <c r="U1259" s="25">
        <v>0</v>
      </c>
      <c r="V1259" s="25">
        <v>0</v>
      </c>
      <c r="W1259" s="25">
        <v>0</v>
      </c>
      <c r="X1259" s="25">
        <v>0</v>
      </c>
      <c r="Y1259" s="25">
        <v>0</v>
      </c>
      <c r="Z1259" s="25">
        <v>0</v>
      </c>
      <c r="AA1259" s="25">
        <v>0</v>
      </c>
      <c r="AB1259" s="25">
        <v>0</v>
      </c>
      <c r="AC1259" s="25">
        <v>0</v>
      </c>
      <c r="AD1259" s="25">
        <v>0</v>
      </c>
      <c r="AE1259" s="25">
        <v>0</v>
      </c>
      <c r="AF1259" s="25">
        <v>0</v>
      </c>
    </row>
    <row r="1260" spans="1:32" x14ac:dyDescent="0.25">
      <c r="A1260" s="25" t="s">
        <v>1329</v>
      </c>
      <c r="B1260" s="12">
        <v>113100000000000</v>
      </c>
      <c r="C1260" s="12">
        <v>115400000000000</v>
      </c>
      <c r="D1260" s="12">
        <v>116900000000000</v>
      </c>
      <c r="E1260" s="12">
        <v>112700000000000</v>
      </c>
      <c r="F1260" s="12">
        <v>112500000000000</v>
      </c>
      <c r="G1260" s="12">
        <v>111900000000000</v>
      </c>
      <c r="H1260" s="12">
        <v>111100000000000</v>
      </c>
      <c r="I1260" s="12">
        <v>110100000000000</v>
      </c>
      <c r="J1260" s="12">
        <v>109000000000000</v>
      </c>
      <c r="K1260" s="12">
        <v>107800000000000</v>
      </c>
      <c r="L1260" s="12">
        <v>106400000000000</v>
      </c>
      <c r="M1260" s="12">
        <v>105200000000000</v>
      </c>
      <c r="N1260" s="12">
        <v>104000000000000</v>
      </c>
      <c r="O1260" s="12">
        <v>102700000000000</v>
      </c>
      <c r="P1260" s="12">
        <v>101300000000000</v>
      </c>
      <c r="Q1260" s="12">
        <v>100100000000000</v>
      </c>
      <c r="R1260" s="12">
        <v>98830000000000</v>
      </c>
      <c r="S1260" s="12">
        <v>97540000000000</v>
      </c>
      <c r="T1260" s="12">
        <v>96230000000000</v>
      </c>
      <c r="U1260" s="12">
        <v>94810000000000</v>
      </c>
      <c r="V1260" s="12">
        <v>93340000000000</v>
      </c>
      <c r="W1260" s="12">
        <v>91960000000000</v>
      </c>
      <c r="X1260" s="12">
        <v>90550000000000</v>
      </c>
      <c r="Y1260" s="12">
        <v>89120000000000</v>
      </c>
      <c r="Z1260" s="12">
        <v>87770000000000</v>
      </c>
      <c r="AA1260" s="12">
        <v>86360000000000</v>
      </c>
      <c r="AB1260" s="12">
        <v>84940000000000</v>
      </c>
      <c r="AC1260" s="12">
        <v>83540000000000</v>
      </c>
      <c r="AD1260" s="12">
        <v>82080000000000</v>
      </c>
      <c r="AE1260" s="12">
        <v>80630000000000</v>
      </c>
      <c r="AF1260" s="12">
        <v>79220000000000</v>
      </c>
    </row>
    <row r="1261" spans="1:32" x14ac:dyDescent="0.25">
      <c r="A1261" s="25" t="s">
        <v>1330</v>
      </c>
      <c r="B1261" s="12">
        <v>1036000000000000</v>
      </c>
      <c r="C1261" s="12">
        <v>1026000000000000</v>
      </c>
      <c r="D1261" s="12">
        <v>983300000000000</v>
      </c>
      <c r="E1261" s="12">
        <v>1044000000000000</v>
      </c>
      <c r="F1261" s="12">
        <v>1053000000000000</v>
      </c>
      <c r="G1261" s="12">
        <v>1060000000000000</v>
      </c>
      <c r="H1261" s="12">
        <v>1058000000000000</v>
      </c>
      <c r="I1261" s="12">
        <v>1053000000000000</v>
      </c>
      <c r="J1261" s="12">
        <v>1049000000000000</v>
      </c>
      <c r="K1261" s="12">
        <v>1045000000000000</v>
      </c>
      <c r="L1261" s="12">
        <v>1041000000000000</v>
      </c>
      <c r="M1261" s="12">
        <v>1039000000000000</v>
      </c>
      <c r="N1261" s="12">
        <v>1039000000000000</v>
      </c>
      <c r="O1261" s="12">
        <v>1038000000000000</v>
      </c>
      <c r="P1261" s="12">
        <v>1038000000000000</v>
      </c>
      <c r="Q1261" s="12">
        <v>1040000000000000</v>
      </c>
      <c r="R1261" s="12">
        <v>1043000000000000</v>
      </c>
      <c r="S1261" s="12">
        <v>1047000000000000</v>
      </c>
      <c r="T1261" s="12">
        <v>1052000000000000</v>
      </c>
      <c r="U1261" s="12">
        <v>1056000000000000</v>
      </c>
      <c r="V1261" s="12">
        <v>1059000000000000</v>
      </c>
      <c r="W1261" s="12">
        <v>1064000000000000</v>
      </c>
      <c r="X1261" s="12">
        <v>1070000000000000</v>
      </c>
      <c r="Y1261" s="12">
        <v>1076000000000000</v>
      </c>
      <c r="Z1261" s="12">
        <v>1083000000000000</v>
      </c>
      <c r="AA1261" s="12">
        <v>1091000000000000</v>
      </c>
      <c r="AB1261" s="12">
        <v>1098000000000000</v>
      </c>
      <c r="AC1261" s="12">
        <v>1107000000000000</v>
      </c>
      <c r="AD1261" s="12">
        <v>1115000000000000</v>
      </c>
      <c r="AE1261" s="12">
        <v>1124000000000000</v>
      </c>
      <c r="AF1261" s="12">
        <v>1135000000000000</v>
      </c>
    </row>
    <row r="1262" spans="1:32" x14ac:dyDescent="0.25">
      <c r="A1262" s="25" t="s">
        <v>1331</v>
      </c>
      <c r="B1262" s="25">
        <v>0</v>
      </c>
      <c r="C1262" s="25">
        <v>0</v>
      </c>
      <c r="D1262" s="25">
        <v>0</v>
      </c>
      <c r="E1262" s="25">
        <v>0</v>
      </c>
      <c r="F1262" s="25">
        <v>0</v>
      </c>
      <c r="G1262" s="25">
        <v>0</v>
      </c>
      <c r="H1262" s="25">
        <v>0</v>
      </c>
      <c r="I1262" s="25">
        <v>0</v>
      </c>
      <c r="J1262" s="25">
        <v>0</v>
      </c>
      <c r="K1262" s="25">
        <v>0</v>
      </c>
      <c r="L1262" s="25">
        <v>0</v>
      </c>
      <c r="M1262" s="25">
        <v>0</v>
      </c>
      <c r="N1262" s="25">
        <v>0</v>
      </c>
      <c r="O1262" s="25">
        <v>0</v>
      </c>
      <c r="P1262" s="25">
        <v>0</v>
      </c>
      <c r="Q1262" s="25">
        <v>0</v>
      </c>
      <c r="R1262" s="25">
        <v>0</v>
      </c>
      <c r="S1262" s="25">
        <v>0</v>
      </c>
      <c r="T1262" s="25">
        <v>0</v>
      </c>
      <c r="U1262" s="25">
        <v>0</v>
      </c>
      <c r="V1262" s="25">
        <v>0</v>
      </c>
      <c r="W1262" s="25">
        <v>0</v>
      </c>
      <c r="X1262" s="25">
        <v>0</v>
      </c>
      <c r="Y1262" s="25">
        <v>0</v>
      </c>
      <c r="Z1262" s="25">
        <v>0</v>
      </c>
      <c r="AA1262" s="25">
        <v>0</v>
      </c>
      <c r="AB1262" s="25">
        <v>0</v>
      </c>
      <c r="AC1262" s="25">
        <v>0</v>
      </c>
      <c r="AD1262" s="25">
        <v>0</v>
      </c>
      <c r="AE1262" s="25">
        <v>0</v>
      </c>
      <c r="AF1262" s="25">
        <v>0</v>
      </c>
    </row>
    <row r="1263" spans="1:32" x14ac:dyDescent="0.25">
      <c r="A1263" s="25" t="s">
        <v>1332</v>
      </c>
      <c r="B1263" s="12">
        <v>534800000000000</v>
      </c>
      <c r="C1263" s="12">
        <v>518300000000000</v>
      </c>
      <c r="D1263" s="12">
        <v>504900000000000</v>
      </c>
      <c r="E1263" s="12">
        <v>494900000000000</v>
      </c>
      <c r="F1263" s="12">
        <v>488000000000000</v>
      </c>
      <c r="G1263" s="12">
        <v>481900000000000</v>
      </c>
      <c r="H1263" s="12">
        <v>476200000000000</v>
      </c>
      <c r="I1263" s="12">
        <v>470800000000000</v>
      </c>
      <c r="J1263" s="12">
        <v>462800000000000</v>
      </c>
      <c r="K1263" s="12">
        <v>455700000000000</v>
      </c>
      <c r="L1263" s="12">
        <v>441500000000000</v>
      </c>
      <c r="M1263" s="12">
        <v>429500000000000</v>
      </c>
      <c r="N1263" s="12">
        <v>419100000000000</v>
      </c>
      <c r="O1263" s="12">
        <v>409900000000000</v>
      </c>
      <c r="P1263" s="12">
        <v>401800000000000</v>
      </c>
      <c r="Q1263" s="12">
        <v>395300000000000</v>
      </c>
      <c r="R1263" s="12">
        <v>389800000000000</v>
      </c>
      <c r="S1263" s="12">
        <v>385300000000000</v>
      </c>
      <c r="T1263" s="12">
        <v>381500000000000</v>
      </c>
      <c r="U1263" s="12">
        <v>377900000000000</v>
      </c>
      <c r="V1263" s="12">
        <v>372400000000000</v>
      </c>
      <c r="W1263" s="12">
        <v>368300000000000</v>
      </c>
      <c r="X1263" s="12">
        <v>364600000000000</v>
      </c>
      <c r="Y1263" s="12">
        <v>361200000000000</v>
      </c>
      <c r="Z1263" s="12">
        <v>358800000000000</v>
      </c>
      <c r="AA1263" s="12">
        <v>356600000000000</v>
      </c>
      <c r="AB1263" s="12">
        <v>354900000000000</v>
      </c>
      <c r="AC1263" s="12">
        <v>353600000000000</v>
      </c>
      <c r="AD1263" s="12">
        <v>352600000000000</v>
      </c>
      <c r="AE1263" s="12">
        <v>351900000000000</v>
      </c>
      <c r="AF1263" s="12">
        <v>351900000000000</v>
      </c>
    </row>
    <row r="1264" spans="1:32" x14ac:dyDescent="0.25">
      <c r="A1264" s="25" t="s">
        <v>1333</v>
      </c>
      <c r="B1264" s="12">
        <v>762700000000000</v>
      </c>
      <c r="C1264" s="12">
        <v>758600000000000</v>
      </c>
      <c r="D1264" s="12">
        <v>754500000000000</v>
      </c>
      <c r="E1264" s="12">
        <v>753400000000000</v>
      </c>
      <c r="F1264" s="12">
        <v>754600000000000</v>
      </c>
      <c r="G1264" s="12">
        <v>756000000000000</v>
      </c>
      <c r="H1264" s="12">
        <v>757200000000000</v>
      </c>
      <c r="I1264" s="12">
        <v>758300000000000</v>
      </c>
      <c r="J1264" s="12">
        <v>759400000000000</v>
      </c>
      <c r="K1264" s="12">
        <v>760600000000000</v>
      </c>
      <c r="L1264" s="12">
        <v>760300000000000</v>
      </c>
      <c r="M1264" s="12">
        <v>761200000000000</v>
      </c>
      <c r="N1264" s="12">
        <v>762700000000000</v>
      </c>
      <c r="O1264" s="12">
        <v>764200000000000</v>
      </c>
      <c r="P1264" s="12">
        <v>766000000000000</v>
      </c>
      <c r="Q1264" s="12">
        <v>768300000000000</v>
      </c>
      <c r="R1264" s="12">
        <v>770800000000000</v>
      </c>
      <c r="S1264" s="12">
        <v>773600000000000</v>
      </c>
      <c r="T1264" s="12">
        <v>776500000000000</v>
      </c>
      <c r="U1264" s="12">
        <v>779200000000000</v>
      </c>
      <c r="V1264" s="12">
        <v>781400000000000</v>
      </c>
      <c r="W1264" s="12">
        <v>784800000000000</v>
      </c>
      <c r="X1264" s="12">
        <v>788200000000000</v>
      </c>
      <c r="Y1264" s="12">
        <v>791600000000000</v>
      </c>
      <c r="Z1264" s="12">
        <v>795400000000000</v>
      </c>
      <c r="AA1264" s="12">
        <v>799200000000000</v>
      </c>
      <c r="AB1264" s="12">
        <v>803000000000000</v>
      </c>
      <c r="AC1264" s="12">
        <v>807000000000000</v>
      </c>
      <c r="AD1264" s="12">
        <v>810800000000000</v>
      </c>
      <c r="AE1264" s="12">
        <v>814600000000000</v>
      </c>
      <c r="AF1264" s="12">
        <v>818900000000000</v>
      </c>
    </row>
    <row r="1265" spans="1:32" x14ac:dyDescent="0.25">
      <c r="A1265" s="25" t="s">
        <v>1334</v>
      </c>
      <c r="B1265" s="12">
        <v>1773000000000000</v>
      </c>
      <c r="C1265" s="12">
        <v>1972000000000000</v>
      </c>
      <c r="D1265" s="12">
        <v>2081000000000000</v>
      </c>
      <c r="E1265" s="12">
        <v>2083000000000000</v>
      </c>
      <c r="F1265" s="12">
        <v>2088000000000000</v>
      </c>
      <c r="G1265" s="12">
        <v>2093000000000000</v>
      </c>
      <c r="H1265" s="12">
        <v>2100000000000000</v>
      </c>
      <c r="I1265" s="12">
        <v>2125000000000000</v>
      </c>
      <c r="J1265" s="12">
        <v>2151000000000000</v>
      </c>
      <c r="K1265" s="12">
        <v>2178000000000000</v>
      </c>
      <c r="L1265" s="12">
        <v>2206000000000000</v>
      </c>
      <c r="M1265" s="12">
        <v>2234000000000000</v>
      </c>
      <c r="N1265" s="12">
        <v>2264000000000000</v>
      </c>
      <c r="O1265" s="12">
        <v>2295000000000000</v>
      </c>
      <c r="P1265" s="12">
        <v>2326000000000000</v>
      </c>
      <c r="Q1265" s="12">
        <v>2359000000000000</v>
      </c>
      <c r="R1265" s="12">
        <v>2393000000000000</v>
      </c>
      <c r="S1265" s="12">
        <v>2427000000000000</v>
      </c>
      <c r="T1265" s="12">
        <v>2464000000000000</v>
      </c>
      <c r="U1265" s="12">
        <v>2501000000000000</v>
      </c>
      <c r="V1265" s="12">
        <v>2538000000000000</v>
      </c>
      <c r="W1265" s="12">
        <v>2576000000000000</v>
      </c>
      <c r="X1265" s="12">
        <v>2616000000000000</v>
      </c>
      <c r="Y1265" s="12">
        <v>2656000000000000</v>
      </c>
      <c r="Z1265" s="12">
        <v>2697000000000000</v>
      </c>
      <c r="AA1265" s="12">
        <v>2739000000000000</v>
      </c>
      <c r="AB1265" s="12">
        <v>2782000000000000</v>
      </c>
      <c r="AC1265" s="12">
        <v>2825000000000000</v>
      </c>
      <c r="AD1265" s="12">
        <v>2869000000000000</v>
      </c>
      <c r="AE1265" s="12">
        <v>2914000000000000</v>
      </c>
      <c r="AF1265" s="12">
        <v>2959000000000000</v>
      </c>
    </row>
    <row r="1266" spans="1:32" x14ac:dyDescent="0.25">
      <c r="A1266" s="25" t="s">
        <v>1335</v>
      </c>
      <c r="B1266" s="25">
        <v>0</v>
      </c>
      <c r="C1266" s="25">
        <v>0</v>
      </c>
      <c r="D1266" s="25">
        <v>0</v>
      </c>
      <c r="E1266" s="25">
        <v>0</v>
      </c>
      <c r="F1266" s="25">
        <v>0</v>
      </c>
      <c r="G1266" s="25">
        <v>0</v>
      </c>
      <c r="H1266" s="25">
        <v>0</v>
      </c>
      <c r="I1266" s="25">
        <v>0</v>
      </c>
      <c r="J1266" s="25">
        <v>0</v>
      </c>
      <c r="K1266" s="25">
        <v>0</v>
      </c>
      <c r="L1266" s="25">
        <v>0</v>
      </c>
      <c r="M1266" s="25">
        <v>0</v>
      </c>
      <c r="N1266" s="25">
        <v>0</v>
      </c>
      <c r="O1266" s="25">
        <v>0</v>
      </c>
      <c r="P1266" s="25">
        <v>0</v>
      </c>
      <c r="Q1266" s="25">
        <v>0</v>
      </c>
      <c r="R1266" s="25">
        <v>0</v>
      </c>
      <c r="S1266" s="25">
        <v>0</v>
      </c>
      <c r="T1266" s="25">
        <v>0</v>
      </c>
      <c r="U1266" s="25">
        <v>0</v>
      </c>
      <c r="V1266" s="25">
        <v>0</v>
      </c>
      <c r="W1266" s="25">
        <v>0</v>
      </c>
      <c r="X1266" s="25">
        <v>0</v>
      </c>
      <c r="Y1266" s="25">
        <v>0</v>
      </c>
      <c r="Z1266" s="25">
        <v>0</v>
      </c>
      <c r="AA1266" s="25">
        <v>0</v>
      </c>
      <c r="AB1266" s="25">
        <v>0</v>
      </c>
      <c r="AC1266" s="25">
        <v>0</v>
      </c>
      <c r="AD1266" s="25">
        <v>0</v>
      </c>
      <c r="AE1266" s="25">
        <v>0</v>
      </c>
      <c r="AF1266" s="25">
        <v>0</v>
      </c>
    </row>
    <row r="1267" spans="1:32" x14ac:dyDescent="0.25">
      <c r="A1267" s="25" t="s">
        <v>1336</v>
      </c>
      <c r="B1267" s="25">
        <v>0</v>
      </c>
      <c r="C1267" s="25">
        <v>0</v>
      </c>
      <c r="D1267" s="25">
        <v>0</v>
      </c>
      <c r="E1267" s="25">
        <v>0</v>
      </c>
      <c r="F1267" s="25">
        <v>0</v>
      </c>
      <c r="G1267" s="25">
        <v>0</v>
      </c>
      <c r="H1267" s="25">
        <v>0</v>
      </c>
      <c r="I1267" s="25">
        <v>0</v>
      </c>
      <c r="J1267" s="25">
        <v>0</v>
      </c>
      <c r="K1267" s="25">
        <v>0</v>
      </c>
      <c r="L1267" s="25">
        <v>0</v>
      </c>
      <c r="M1267" s="25">
        <v>0</v>
      </c>
      <c r="N1267" s="25">
        <v>0</v>
      </c>
      <c r="O1267" s="25">
        <v>0</v>
      </c>
      <c r="P1267" s="25">
        <v>0</v>
      </c>
      <c r="Q1267" s="25">
        <v>0</v>
      </c>
      <c r="R1267" s="25">
        <v>0</v>
      </c>
      <c r="S1267" s="25">
        <v>0</v>
      </c>
      <c r="T1267" s="25">
        <v>0</v>
      </c>
      <c r="U1267" s="25">
        <v>0</v>
      </c>
      <c r="V1267" s="25">
        <v>0</v>
      </c>
      <c r="W1267" s="25">
        <v>0</v>
      </c>
      <c r="X1267" s="25">
        <v>0</v>
      </c>
      <c r="Y1267" s="25">
        <v>0</v>
      </c>
      <c r="Z1267" s="25">
        <v>0</v>
      </c>
      <c r="AA1267" s="25">
        <v>0</v>
      </c>
      <c r="AB1267" s="25">
        <v>0</v>
      </c>
      <c r="AC1267" s="25">
        <v>0</v>
      </c>
      <c r="AD1267" s="25">
        <v>0</v>
      </c>
      <c r="AE1267" s="25">
        <v>0</v>
      </c>
      <c r="AF1267" s="25">
        <v>0</v>
      </c>
    </row>
    <row r="1268" spans="1:32" x14ac:dyDescent="0.25">
      <c r="A1268" s="25" t="s">
        <v>1337</v>
      </c>
      <c r="B1268" s="25">
        <v>0</v>
      </c>
      <c r="C1268" s="25">
        <v>0</v>
      </c>
      <c r="D1268" s="25">
        <v>0</v>
      </c>
      <c r="E1268" s="25">
        <v>0</v>
      </c>
      <c r="F1268" s="25">
        <v>0</v>
      </c>
      <c r="G1268" s="25">
        <v>0</v>
      </c>
      <c r="H1268" s="25">
        <v>0</v>
      </c>
      <c r="I1268" s="25">
        <v>0</v>
      </c>
      <c r="J1268" s="25">
        <v>0</v>
      </c>
      <c r="K1268" s="25">
        <v>0</v>
      </c>
      <c r="L1268" s="25">
        <v>0</v>
      </c>
      <c r="M1268" s="25">
        <v>0</v>
      </c>
      <c r="N1268" s="25">
        <v>0</v>
      </c>
      <c r="O1268" s="25">
        <v>0</v>
      </c>
      <c r="P1268" s="25">
        <v>0</v>
      </c>
      <c r="Q1268" s="25">
        <v>0</v>
      </c>
      <c r="R1268" s="25">
        <v>0</v>
      </c>
      <c r="S1268" s="25">
        <v>0</v>
      </c>
      <c r="T1268" s="25">
        <v>0</v>
      </c>
      <c r="U1268" s="25">
        <v>0</v>
      </c>
      <c r="V1268" s="25">
        <v>0</v>
      </c>
      <c r="W1268" s="25">
        <v>0</v>
      </c>
      <c r="X1268" s="25">
        <v>0</v>
      </c>
      <c r="Y1268" s="25">
        <v>0</v>
      </c>
      <c r="Z1268" s="25">
        <v>0</v>
      </c>
      <c r="AA1268" s="25">
        <v>0</v>
      </c>
      <c r="AB1268" s="25">
        <v>0</v>
      </c>
      <c r="AC1268" s="25">
        <v>0</v>
      </c>
      <c r="AD1268" s="25">
        <v>0</v>
      </c>
      <c r="AE1268" s="25">
        <v>0</v>
      </c>
      <c r="AF1268" s="25">
        <v>0</v>
      </c>
    </row>
    <row r="1269" spans="1:32" x14ac:dyDescent="0.25">
      <c r="A1269" s="25" t="s">
        <v>1338</v>
      </c>
      <c r="B1269" s="25">
        <v>0</v>
      </c>
      <c r="C1269" s="25">
        <v>0</v>
      </c>
      <c r="D1269" s="25">
        <v>0</v>
      </c>
      <c r="E1269" s="25">
        <v>0</v>
      </c>
      <c r="F1269" s="25">
        <v>0</v>
      </c>
      <c r="G1269" s="25">
        <v>0</v>
      </c>
      <c r="H1269" s="25">
        <v>0</v>
      </c>
      <c r="I1269" s="25">
        <v>0</v>
      </c>
      <c r="J1269" s="25">
        <v>0</v>
      </c>
      <c r="K1269" s="25">
        <v>0</v>
      </c>
      <c r="L1269" s="25">
        <v>0</v>
      </c>
      <c r="M1269" s="25">
        <v>0</v>
      </c>
      <c r="N1269" s="25">
        <v>0</v>
      </c>
      <c r="O1269" s="25">
        <v>0</v>
      </c>
      <c r="P1269" s="25">
        <v>0</v>
      </c>
      <c r="Q1269" s="25">
        <v>0</v>
      </c>
      <c r="R1269" s="25">
        <v>0</v>
      </c>
      <c r="S1269" s="25">
        <v>0</v>
      </c>
      <c r="T1269" s="25">
        <v>0</v>
      </c>
      <c r="U1269" s="25">
        <v>0</v>
      </c>
      <c r="V1269" s="25">
        <v>0</v>
      </c>
      <c r="W1269" s="25">
        <v>0</v>
      </c>
      <c r="X1269" s="25">
        <v>0</v>
      </c>
      <c r="Y1269" s="25">
        <v>0</v>
      </c>
      <c r="Z1269" s="25">
        <v>0</v>
      </c>
      <c r="AA1269" s="25">
        <v>0</v>
      </c>
      <c r="AB1269" s="25">
        <v>0</v>
      </c>
      <c r="AC1269" s="25">
        <v>0</v>
      </c>
      <c r="AD1269" s="25">
        <v>0</v>
      </c>
      <c r="AE1269" s="25">
        <v>0</v>
      </c>
      <c r="AF1269" s="25">
        <v>0</v>
      </c>
    </row>
    <row r="1270" spans="1:32" x14ac:dyDescent="0.25">
      <c r="A1270" s="25" t="s">
        <v>1339</v>
      </c>
      <c r="B1270" s="25">
        <v>0</v>
      </c>
      <c r="C1270" s="25">
        <v>0</v>
      </c>
      <c r="D1270" s="25">
        <v>0</v>
      </c>
      <c r="E1270" s="25">
        <v>0</v>
      </c>
      <c r="F1270" s="25">
        <v>0</v>
      </c>
      <c r="G1270" s="25">
        <v>0</v>
      </c>
      <c r="H1270" s="25">
        <v>0</v>
      </c>
      <c r="I1270" s="25">
        <v>0</v>
      </c>
      <c r="J1270" s="25">
        <v>0</v>
      </c>
      <c r="K1270" s="25">
        <v>0</v>
      </c>
      <c r="L1270" s="25">
        <v>0</v>
      </c>
      <c r="M1270" s="25">
        <v>0</v>
      </c>
      <c r="N1270" s="25">
        <v>0</v>
      </c>
      <c r="O1270" s="25">
        <v>0</v>
      </c>
      <c r="P1270" s="25">
        <v>0</v>
      </c>
      <c r="Q1270" s="25">
        <v>0</v>
      </c>
      <c r="R1270" s="25">
        <v>0</v>
      </c>
      <c r="S1270" s="25">
        <v>0</v>
      </c>
      <c r="T1270" s="25">
        <v>0</v>
      </c>
      <c r="U1270" s="25">
        <v>0</v>
      </c>
      <c r="V1270" s="25">
        <v>0</v>
      </c>
      <c r="W1270" s="25">
        <v>0</v>
      </c>
      <c r="X1270" s="25">
        <v>0</v>
      </c>
      <c r="Y1270" s="25">
        <v>0</v>
      </c>
      <c r="Z1270" s="25">
        <v>0</v>
      </c>
      <c r="AA1270" s="25">
        <v>0</v>
      </c>
      <c r="AB1270" s="25">
        <v>0</v>
      </c>
      <c r="AC1270" s="25">
        <v>0</v>
      </c>
      <c r="AD1270" s="25">
        <v>0</v>
      </c>
      <c r="AE1270" s="25">
        <v>0</v>
      </c>
      <c r="AF1270" s="25">
        <v>0</v>
      </c>
    </row>
    <row r="1271" spans="1:32" x14ac:dyDescent="0.25">
      <c r="A1271" s="25" t="s">
        <v>1340</v>
      </c>
      <c r="B1271" s="12">
        <v>20540000000000</v>
      </c>
      <c r="C1271" s="12">
        <v>21950000000000</v>
      </c>
      <c r="D1271" s="12">
        <v>22300000000000</v>
      </c>
      <c r="E1271" s="12">
        <v>22440000000000</v>
      </c>
      <c r="F1271" s="12">
        <v>22380000000000</v>
      </c>
      <c r="G1271" s="12">
        <v>22330000000000</v>
      </c>
      <c r="H1271" s="12">
        <v>22280000000000</v>
      </c>
      <c r="I1271" s="12">
        <v>22370000000000</v>
      </c>
      <c r="J1271" s="12">
        <v>22450000000000</v>
      </c>
      <c r="K1271" s="12">
        <v>22530000000000</v>
      </c>
      <c r="L1271" s="12">
        <v>22610000000000</v>
      </c>
      <c r="M1271" s="12">
        <v>22690000000000</v>
      </c>
      <c r="N1271" s="12">
        <v>22780000000000</v>
      </c>
      <c r="O1271" s="12">
        <v>22880000000000</v>
      </c>
      <c r="P1271" s="12">
        <v>22990000000000</v>
      </c>
      <c r="Q1271" s="12">
        <v>23100000000000</v>
      </c>
      <c r="R1271" s="12">
        <v>23200000000000</v>
      </c>
      <c r="S1271" s="12">
        <v>23300000000000</v>
      </c>
      <c r="T1271" s="12">
        <v>23400000000000</v>
      </c>
      <c r="U1271" s="12">
        <v>23500000000000</v>
      </c>
      <c r="V1271" s="12">
        <v>23590000000000</v>
      </c>
      <c r="W1271" s="12">
        <v>23730000000000</v>
      </c>
      <c r="X1271" s="12">
        <v>23850000000000</v>
      </c>
      <c r="Y1271" s="12">
        <v>23950000000000</v>
      </c>
      <c r="Z1271" s="12">
        <v>24040000000000</v>
      </c>
      <c r="AA1271" s="12">
        <v>24150000000000</v>
      </c>
      <c r="AB1271" s="12">
        <v>24240000000000</v>
      </c>
      <c r="AC1271" s="12">
        <v>24350000000000</v>
      </c>
      <c r="AD1271" s="12">
        <v>24460000000000</v>
      </c>
      <c r="AE1271" s="12">
        <v>24580000000000</v>
      </c>
      <c r="AF1271" s="12">
        <v>24690000000000</v>
      </c>
    </row>
    <row r="1272" spans="1:32" x14ac:dyDescent="0.25">
      <c r="A1272" s="25" t="s">
        <v>1341</v>
      </c>
      <c r="B1272" s="12">
        <v>1622000000000000</v>
      </c>
      <c r="C1272" s="12">
        <v>1648000000000000</v>
      </c>
      <c r="D1272" s="12">
        <v>1676000000000000</v>
      </c>
      <c r="E1272" s="12">
        <v>1617000000000000</v>
      </c>
      <c r="F1272" s="12">
        <v>1628000000000000</v>
      </c>
      <c r="G1272" s="12">
        <v>1641000000000000</v>
      </c>
      <c r="H1272" s="12">
        <v>1649000000000000</v>
      </c>
      <c r="I1272" s="12">
        <v>1651000000000000</v>
      </c>
      <c r="J1272" s="12">
        <v>1649000000000000</v>
      </c>
      <c r="K1272" s="12">
        <v>1642000000000000</v>
      </c>
      <c r="L1272" s="12">
        <v>1635000000000000</v>
      </c>
      <c r="M1272" s="12">
        <v>1628000000000000</v>
      </c>
      <c r="N1272" s="12">
        <v>1624000000000000</v>
      </c>
      <c r="O1272" s="12">
        <v>1618000000000000</v>
      </c>
      <c r="P1272" s="12">
        <v>1614000000000000</v>
      </c>
      <c r="Q1272" s="12">
        <v>1612000000000000</v>
      </c>
      <c r="R1272" s="12">
        <v>1610000000000000</v>
      </c>
      <c r="S1272" s="12">
        <v>1607000000000000</v>
      </c>
      <c r="T1272" s="12">
        <v>1602000000000000</v>
      </c>
      <c r="U1272" s="12">
        <v>1596000000000000</v>
      </c>
      <c r="V1272" s="12">
        <v>1591000000000000</v>
      </c>
      <c r="W1272" s="12">
        <v>1586000000000000</v>
      </c>
      <c r="X1272" s="12">
        <v>1582000000000000</v>
      </c>
      <c r="Y1272" s="12">
        <v>1578000000000000</v>
      </c>
      <c r="Z1272" s="12">
        <v>1573000000000000</v>
      </c>
      <c r="AA1272" s="12">
        <v>1568000000000000</v>
      </c>
      <c r="AB1272" s="12">
        <v>1562000000000000</v>
      </c>
      <c r="AC1272" s="12">
        <v>1556000000000000</v>
      </c>
      <c r="AD1272" s="12">
        <v>1549000000000000</v>
      </c>
      <c r="AE1272" s="12">
        <v>1541000000000000</v>
      </c>
      <c r="AF1272" s="12">
        <v>1534000000000000</v>
      </c>
    </row>
    <row r="1273" spans="1:32" x14ac:dyDescent="0.25">
      <c r="A1273" s="25" t="s">
        <v>1342</v>
      </c>
      <c r="B1273" s="12">
        <v>27620000000000</v>
      </c>
      <c r="C1273" s="12">
        <v>24750000000000</v>
      </c>
      <c r="D1273" s="12">
        <v>21660000000000</v>
      </c>
      <c r="E1273" s="12">
        <v>26110000000000</v>
      </c>
      <c r="F1273" s="12">
        <v>26110000000000</v>
      </c>
      <c r="G1273" s="12">
        <v>26140000000000</v>
      </c>
      <c r="H1273" s="12">
        <v>26100000000000</v>
      </c>
      <c r="I1273" s="12">
        <v>25990000000000</v>
      </c>
      <c r="J1273" s="12">
        <v>25840000000000</v>
      </c>
      <c r="K1273" s="12">
        <v>25650000000000</v>
      </c>
      <c r="L1273" s="12">
        <v>25480000000000</v>
      </c>
      <c r="M1273" s="12">
        <v>25320000000000</v>
      </c>
      <c r="N1273" s="12">
        <v>25200000000000</v>
      </c>
      <c r="O1273" s="12">
        <v>25090000000000</v>
      </c>
      <c r="P1273" s="12">
        <v>25000000000000</v>
      </c>
      <c r="Q1273" s="12">
        <v>24950000000000</v>
      </c>
      <c r="R1273" s="12">
        <v>24910000000000</v>
      </c>
      <c r="S1273" s="12">
        <v>24870000000000</v>
      </c>
      <c r="T1273" s="12">
        <v>24810000000000</v>
      </c>
      <c r="U1273" s="12">
        <v>24760000000000</v>
      </c>
      <c r="V1273" s="12">
        <v>24720000000000</v>
      </c>
      <c r="W1273" s="12">
        <v>24710000000000</v>
      </c>
      <c r="X1273" s="12">
        <v>24720000000000</v>
      </c>
      <c r="Y1273" s="12">
        <v>24720000000000</v>
      </c>
      <c r="Z1273" s="12">
        <v>24730000000000</v>
      </c>
      <c r="AA1273" s="12">
        <v>24760000000000</v>
      </c>
      <c r="AB1273" s="12">
        <v>24770000000000</v>
      </c>
      <c r="AC1273" s="12">
        <v>24790000000000</v>
      </c>
      <c r="AD1273" s="12">
        <v>24820000000000</v>
      </c>
      <c r="AE1273" s="12">
        <v>24840000000000</v>
      </c>
      <c r="AF1273" s="12">
        <v>24860000000000</v>
      </c>
    </row>
    <row r="1274" spans="1:32" x14ac:dyDescent="0.25">
      <c r="A1274" s="25" t="s">
        <v>1343</v>
      </c>
      <c r="B1274" s="25">
        <v>0</v>
      </c>
      <c r="C1274" s="25">
        <v>0</v>
      </c>
      <c r="D1274" s="25">
        <v>0</v>
      </c>
      <c r="E1274" s="25">
        <v>0</v>
      </c>
      <c r="F1274" s="25">
        <v>0</v>
      </c>
      <c r="G1274" s="25">
        <v>0</v>
      </c>
      <c r="H1274" s="25">
        <v>0</v>
      </c>
      <c r="I1274" s="25">
        <v>0</v>
      </c>
      <c r="J1274" s="25">
        <v>0</v>
      </c>
      <c r="K1274" s="25">
        <v>0</v>
      </c>
      <c r="L1274" s="25">
        <v>0</v>
      </c>
      <c r="M1274" s="25">
        <v>0</v>
      </c>
      <c r="N1274" s="25">
        <v>0</v>
      </c>
      <c r="O1274" s="25">
        <v>0</v>
      </c>
      <c r="P1274" s="25">
        <v>0</v>
      </c>
      <c r="Q1274" s="25">
        <v>0</v>
      </c>
      <c r="R1274" s="25">
        <v>0</v>
      </c>
      <c r="S1274" s="25">
        <v>0</v>
      </c>
      <c r="T1274" s="25">
        <v>0</v>
      </c>
      <c r="U1274" s="25">
        <v>0</v>
      </c>
      <c r="V1274" s="25">
        <v>0</v>
      </c>
      <c r="W1274" s="25">
        <v>0</v>
      </c>
      <c r="X1274" s="25">
        <v>0</v>
      </c>
      <c r="Y1274" s="25">
        <v>0</v>
      </c>
      <c r="Z1274" s="25">
        <v>0</v>
      </c>
      <c r="AA1274" s="25">
        <v>0</v>
      </c>
      <c r="AB1274" s="25">
        <v>0</v>
      </c>
      <c r="AC1274" s="25">
        <v>0</v>
      </c>
      <c r="AD1274" s="25">
        <v>0</v>
      </c>
      <c r="AE1274" s="25">
        <v>0</v>
      </c>
      <c r="AF1274" s="25">
        <v>0</v>
      </c>
    </row>
    <row r="1275" spans="1:32" x14ac:dyDescent="0.25">
      <c r="A1275" s="25" t="s">
        <v>1344</v>
      </c>
      <c r="B1275" s="25">
        <v>0</v>
      </c>
      <c r="C1275" s="25">
        <v>0</v>
      </c>
      <c r="D1275" s="25">
        <v>0</v>
      </c>
      <c r="E1275" s="25">
        <v>0</v>
      </c>
      <c r="F1275" s="25">
        <v>0</v>
      </c>
      <c r="G1275" s="25">
        <v>0</v>
      </c>
      <c r="H1275" s="25">
        <v>0</v>
      </c>
      <c r="I1275" s="25">
        <v>0</v>
      </c>
      <c r="J1275" s="25">
        <v>0</v>
      </c>
      <c r="K1275" s="25">
        <v>0</v>
      </c>
      <c r="L1275" s="25">
        <v>0</v>
      </c>
      <c r="M1275" s="25">
        <v>0</v>
      </c>
      <c r="N1275" s="25">
        <v>0</v>
      </c>
      <c r="O1275" s="25">
        <v>0</v>
      </c>
      <c r="P1275" s="25">
        <v>0</v>
      </c>
      <c r="Q1275" s="25">
        <v>0</v>
      </c>
      <c r="R1275" s="25">
        <v>0</v>
      </c>
      <c r="S1275" s="25">
        <v>0</v>
      </c>
      <c r="T1275" s="25">
        <v>0</v>
      </c>
      <c r="U1275" s="25">
        <v>0</v>
      </c>
      <c r="V1275" s="25">
        <v>0</v>
      </c>
      <c r="W1275" s="25">
        <v>0</v>
      </c>
      <c r="X1275" s="25">
        <v>0</v>
      </c>
      <c r="Y1275" s="25">
        <v>0</v>
      </c>
      <c r="Z1275" s="25">
        <v>0</v>
      </c>
      <c r="AA1275" s="25">
        <v>0</v>
      </c>
      <c r="AB1275" s="25">
        <v>0</v>
      </c>
      <c r="AC1275" s="25">
        <v>0</v>
      </c>
      <c r="AD1275" s="25">
        <v>0</v>
      </c>
      <c r="AE1275" s="25">
        <v>0</v>
      </c>
      <c r="AF1275" s="25">
        <v>0</v>
      </c>
    </row>
    <row r="1276" spans="1:32" x14ac:dyDescent="0.25">
      <c r="A1276" s="25" t="s">
        <v>1345</v>
      </c>
      <c r="B1276" s="12">
        <v>956900000000000</v>
      </c>
      <c r="C1276" s="12">
        <v>956300000000000</v>
      </c>
      <c r="D1276" s="12">
        <v>953000000000000</v>
      </c>
      <c r="E1276" s="12">
        <v>959800000000000</v>
      </c>
      <c r="F1276" s="12">
        <v>975600000000000</v>
      </c>
      <c r="G1276" s="12">
        <v>992100000000000</v>
      </c>
      <c r="H1276" s="12">
        <v>1006000000000000</v>
      </c>
      <c r="I1276" s="12">
        <v>1016000000000000</v>
      </c>
      <c r="J1276" s="12">
        <v>1025000000000000</v>
      </c>
      <c r="K1276" s="12">
        <v>1031000000000000</v>
      </c>
      <c r="L1276" s="12">
        <v>1038000000000000</v>
      </c>
      <c r="M1276" s="12">
        <v>1043000000000000</v>
      </c>
      <c r="N1276" s="12">
        <v>1050000000000000</v>
      </c>
      <c r="O1276" s="12">
        <v>1057000000000000</v>
      </c>
      <c r="P1276" s="12">
        <v>1066000000000000</v>
      </c>
      <c r="Q1276" s="12">
        <v>1076000000000000</v>
      </c>
      <c r="R1276" s="12">
        <v>1087000000000000</v>
      </c>
      <c r="S1276" s="12">
        <v>1096000000000000</v>
      </c>
      <c r="T1276" s="12">
        <v>1105000000000000</v>
      </c>
      <c r="U1276" s="12">
        <v>1114000000000000</v>
      </c>
      <c r="V1276" s="12">
        <v>1123000000000000</v>
      </c>
      <c r="W1276" s="12">
        <v>1133000000000000</v>
      </c>
      <c r="X1276" s="12">
        <v>1144000000000000</v>
      </c>
      <c r="Y1276" s="12">
        <v>1154000000000000</v>
      </c>
      <c r="Z1276" s="12">
        <v>1165000000000000</v>
      </c>
      <c r="AA1276" s="12">
        <v>1175000000000000</v>
      </c>
      <c r="AB1276" s="12">
        <v>1185000000000000</v>
      </c>
      <c r="AC1276" s="12">
        <v>1195000000000000</v>
      </c>
      <c r="AD1276" s="12">
        <v>1205000000000000</v>
      </c>
      <c r="AE1276" s="12">
        <v>1215000000000000</v>
      </c>
      <c r="AF1276" s="12">
        <v>1225000000000000</v>
      </c>
    </row>
    <row r="1277" spans="1:32" x14ac:dyDescent="0.25">
      <c r="A1277" s="25" t="s">
        <v>1346</v>
      </c>
      <c r="B1277" s="12">
        <v>555700000000000</v>
      </c>
      <c r="C1277" s="12">
        <v>695800000000000</v>
      </c>
      <c r="D1277" s="12">
        <v>811600000000000</v>
      </c>
      <c r="E1277" s="12">
        <v>807200000000000</v>
      </c>
      <c r="F1277" s="12">
        <v>787900000000000</v>
      </c>
      <c r="G1277" s="12">
        <v>769900000000000</v>
      </c>
      <c r="H1277" s="12">
        <v>749800000000000</v>
      </c>
      <c r="I1277" s="12">
        <v>751800000000000</v>
      </c>
      <c r="J1277" s="12">
        <v>752200000000000</v>
      </c>
      <c r="K1277" s="12">
        <v>751500000000000</v>
      </c>
      <c r="L1277" s="12">
        <v>751300000000000</v>
      </c>
      <c r="M1277" s="12">
        <v>751100000000000</v>
      </c>
      <c r="N1277" s="12">
        <v>751600000000000</v>
      </c>
      <c r="O1277" s="12">
        <v>752200000000000</v>
      </c>
      <c r="P1277" s="12">
        <v>753300000000000</v>
      </c>
      <c r="Q1277" s="12">
        <v>755000000000000</v>
      </c>
      <c r="R1277" s="12">
        <v>756800000000000</v>
      </c>
      <c r="S1277" s="12">
        <v>758200000000000</v>
      </c>
      <c r="T1277" s="12">
        <v>759400000000000</v>
      </c>
      <c r="U1277" s="12">
        <v>761000000000000</v>
      </c>
      <c r="V1277" s="12">
        <v>762500000000000</v>
      </c>
      <c r="W1277" s="12">
        <v>763800000000000</v>
      </c>
      <c r="X1277" s="12">
        <v>765700000000000</v>
      </c>
      <c r="Y1277" s="12">
        <v>767700000000000</v>
      </c>
      <c r="Z1277" s="12">
        <v>769500000000000</v>
      </c>
      <c r="AA1277" s="12">
        <v>771500000000000</v>
      </c>
      <c r="AB1277" s="12">
        <v>773200000000000</v>
      </c>
      <c r="AC1277" s="12">
        <v>774700000000000</v>
      </c>
      <c r="AD1277" s="12">
        <v>776600000000000</v>
      </c>
      <c r="AE1277" s="12">
        <v>778000000000000</v>
      </c>
      <c r="AF1277" s="12">
        <v>779500000000000</v>
      </c>
    </row>
    <row r="1278" spans="1:32" x14ac:dyDescent="0.25">
      <c r="A1278" s="25" t="s">
        <v>1347</v>
      </c>
      <c r="B1278" s="12">
        <v>208500000000000</v>
      </c>
      <c r="C1278" s="12">
        <v>206200000000000</v>
      </c>
      <c r="D1278" s="12">
        <v>214300000000000</v>
      </c>
      <c r="E1278" s="12">
        <v>206500000000000</v>
      </c>
      <c r="F1278" s="12">
        <v>205100000000000</v>
      </c>
      <c r="G1278" s="12">
        <v>204000000000000</v>
      </c>
      <c r="H1278" s="12">
        <v>203000000000000</v>
      </c>
      <c r="I1278" s="12">
        <v>202200000000000</v>
      </c>
      <c r="J1278" s="12">
        <v>200500000000000</v>
      </c>
      <c r="K1278" s="12">
        <v>198400000000000</v>
      </c>
      <c r="L1278" s="12">
        <v>196300000000000</v>
      </c>
      <c r="M1278" s="12">
        <v>194200000000000</v>
      </c>
      <c r="N1278" s="12">
        <v>192000000000000</v>
      </c>
      <c r="O1278" s="12">
        <v>189900000000000</v>
      </c>
      <c r="P1278" s="12">
        <v>187900000000000</v>
      </c>
      <c r="Q1278" s="12">
        <v>185900000000000</v>
      </c>
      <c r="R1278" s="12">
        <v>183700000000000</v>
      </c>
      <c r="S1278" s="12">
        <v>181300000000000</v>
      </c>
      <c r="T1278" s="12">
        <v>179000000000000</v>
      </c>
      <c r="U1278" s="12">
        <v>176800000000000</v>
      </c>
      <c r="V1278" s="12">
        <v>174500000000000</v>
      </c>
      <c r="W1278" s="12">
        <v>172200000000000</v>
      </c>
      <c r="X1278" s="12">
        <v>170200000000000</v>
      </c>
      <c r="Y1278" s="12">
        <v>167900000000000</v>
      </c>
      <c r="Z1278" s="12">
        <v>165600000000000</v>
      </c>
      <c r="AA1278" s="12">
        <v>163300000000000</v>
      </c>
      <c r="AB1278" s="12">
        <v>161000000000000</v>
      </c>
      <c r="AC1278" s="12">
        <v>158900000000000</v>
      </c>
      <c r="AD1278" s="12">
        <v>156900000000000</v>
      </c>
      <c r="AE1278" s="12">
        <v>155000000000000</v>
      </c>
      <c r="AF1278" s="12">
        <v>153100000000000</v>
      </c>
    </row>
    <row r="1279" spans="1:32" x14ac:dyDescent="0.25">
      <c r="A1279" s="25" t="s">
        <v>1348</v>
      </c>
      <c r="B1279" s="25">
        <v>0</v>
      </c>
      <c r="C1279" s="25">
        <v>0</v>
      </c>
      <c r="D1279" s="25">
        <v>0</v>
      </c>
      <c r="E1279" s="25">
        <v>0</v>
      </c>
      <c r="F1279" s="25">
        <v>0</v>
      </c>
      <c r="G1279" s="25">
        <v>0</v>
      </c>
      <c r="H1279" s="25">
        <v>0</v>
      </c>
      <c r="I1279" s="25">
        <v>0</v>
      </c>
      <c r="J1279" s="25">
        <v>0</v>
      </c>
      <c r="K1279" s="25">
        <v>0</v>
      </c>
      <c r="L1279" s="25">
        <v>0</v>
      </c>
      <c r="M1279" s="25">
        <v>0</v>
      </c>
      <c r="N1279" s="25">
        <v>0</v>
      </c>
      <c r="O1279" s="25">
        <v>0</v>
      </c>
      <c r="P1279" s="25">
        <v>0</v>
      </c>
      <c r="Q1279" s="25">
        <v>0</v>
      </c>
      <c r="R1279" s="25">
        <v>0</v>
      </c>
      <c r="S1279" s="25">
        <v>0</v>
      </c>
      <c r="T1279" s="25">
        <v>0</v>
      </c>
      <c r="U1279" s="25">
        <v>0</v>
      </c>
      <c r="V1279" s="25">
        <v>0</v>
      </c>
      <c r="W1279" s="25">
        <v>0</v>
      </c>
      <c r="X1279" s="25">
        <v>0</v>
      </c>
      <c r="Y1279" s="25">
        <v>0</v>
      </c>
      <c r="Z1279" s="25">
        <v>0</v>
      </c>
      <c r="AA1279" s="25">
        <v>0</v>
      </c>
      <c r="AB1279" s="25">
        <v>0</v>
      </c>
      <c r="AC1279" s="25">
        <v>0</v>
      </c>
      <c r="AD1279" s="25">
        <v>0</v>
      </c>
      <c r="AE1279" s="25">
        <v>0</v>
      </c>
      <c r="AF1279" s="25">
        <v>0</v>
      </c>
    </row>
    <row r="1280" spans="1:32" x14ac:dyDescent="0.25">
      <c r="A1280" s="25" t="s">
        <v>1349</v>
      </c>
      <c r="B1280" s="25">
        <v>0</v>
      </c>
      <c r="C1280" s="25">
        <v>0</v>
      </c>
      <c r="D1280" s="25">
        <v>0</v>
      </c>
      <c r="E1280" s="25">
        <v>0</v>
      </c>
      <c r="F1280" s="25">
        <v>0</v>
      </c>
      <c r="G1280" s="25">
        <v>0</v>
      </c>
      <c r="H1280" s="25">
        <v>0</v>
      </c>
      <c r="I1280" s="25">
        <v>0</v>
      </c>
      <c r="J1280" s="25">
        <v>0</v>
      </c>
      <c r="K1280" s="25">
        <v>0</v>
      </c>
      <c r="L1280" s="25">
        <v>0</v>
      </c>
      <c r="M1280" s="25">
        <v>0</v>
      </c>
      <c r="N1280" s="25">
        <v>0</v>
      </c>
      <c r="O1280" s="25">
        <v>0</v>
      </c>
      <c r="P1280" s="25">
        <v>0</v>
      </c>
      <c r="Q1280" s="25">
        <v>0</v>
      </c>
      <c r="R1280" s="25">
        <v>0</v>
      </c>
      <c r="S1280" s="25">
        <v>0</v>
      </c>
      <c r="T1280" s="25">
        <v>0</v>
      </c>
      <c r="U1280" s="25">
        <v>0</v>
      </c>
      <c r="V1280" s="25">
        <v>0</v>
      </c>
      <c r="W1280" s="25">
        <v>0</v>
      </c>
      <c r="X1280" s="25">
        <v>0</v>
      </c>
      <c r="Y1280" s="25">
        <v>0</v>
      </c>
      <c r="Z1280" s="25">
        <v>0</v>
      </c>
      <c r="AA1280" s="25">
        <v>0</v>
      </c>
      <c r="AB1280" s="25">
        <v>0</v>
      </c>
      <c r="AC1280" s="25">
        <v>0</v>
      </c>
      <c r="AD1280" s="25">
        <v>0</v>
      </c>
      <c r="AE1280" s="25">
        <v>0</v>
      </c>
      <c r="AF1280" s="25">
        <v>0</v>
      </c>
    </row>
    <row r="1281" spans="1:32" x14ac:dyDescent="0.25">
      <c r="A1281" s="25" t="s">
        <v>1350</v>
      </c>
      <c r="B1281" s="25">
        <v>0</v>
      </c>
      <c r="C1281" s="25">
        <v>0</v>
      </c>
      <c r="D1281" s="25">
        <v>0</v>
      </c>
      <c r="E1281" s="25">
        <v>0</v>
      </c>
      <c r="F1281" s="25">
        <v>0</v>
      </c>
      <c r="G1281" s="25">
        <v>0</v>
      </c>
      <c r="H1281" s="25">
        <v>0</v>
      </c>
      <c r="I1281" s="25">
        <v>0</v>
      </c>
      <c r="J1281" s="25">
        <v>0</v>
      </c>
      <c r="K1281" s="25">
        <v>0</v>
      </c>
      <c r="L1281" s="25">
        <v>0</v>
      </c>
      <c r="M1281" s="25">
        <v>0</v>
      </c>
      <c r="N1281" s="25">
        <v>0</v>
      </c>
      <c r="O1281" s="25">
        <v>0</v>
      </c>
      <c r="P1281" s="25">
        <v>0</v>
      </c>
      <c r="Q1281" s="25">
        <v>0</v>
      </c>
      <c r="R1281" s="25">
        <v>0</v>
      </c>
      <c r="S1281" s="25">
        <v>0</v>
      </c>
      <c r="T1281" s="25">
        <v>0</v>
      </c>
      <c r="U1281" s="25">
        <v>0</v>
      </c>
      <c r="V1281" s="25">
        <v>0</v>
      </c>
      <c r="W1281" s="25">
        <v>0</v>
      </c>
      <c r="X1281" s="25">
        <v>0</v>
      </c>
      <c r="Y1281" s="25">
        <v>0</v>
      </c>
      <c r="Z1281" s="25">
        <v>0</v>
      </c>
      <c r="AA1281" s="25">
        <v>0</v>
      </c>
      <c r="AB1281" s="25">
        <v>0</v>
      </c>
      <c r="AC1281" s="25">
        <v>0</v>
      </c>
      <c r="AD1281" s="25">
        <v>0</v>
      </c>
      <c r="AE1281" s="25">
        <v>0</v>
      </c>
      <c r="AF1281" s="25">
        <v>0</v>
      </c>
    </row>
    <row r="1282" spans="1:32" x14ac:dyDescent="0.25">
      <c r="A1282" s="25" t="s">
        <v>1351</v>
      </c>
      <c r="B1282" s="12">
        <v>6524000000000</v>
      </c>
      <c r="C1282" s="12">
        <v>6482000000000</v>
      </c>
      <c r="D1282" s="12">
        <v>6397000000000</v>
      </c>
      <c r="E1282" s="12">
        <v>6385000000000</v>
      </c>
      <c r="F1282" s="12">
        <v>6394000000000</v>
      </c>
      <c r="G1282" s="12">
        <v>6408000000000</v>
      </c>
      <c r="H1282" s="12">
        <v>6420000000000</v>
      </c>
      <c r="I1282" s="12">
        <v>6431000000000</v>
      </c>
      <c r="J1282" s="12">
        <v>6414000000000</v>
      </c>
      <c r="K1282" s="12">
        <v>6382000000000</v>
      </c>
      <c r="L1282" s="12">
        <v>6354000000000</v>
      </c>
      <c r="M1282" s="12">
        <v>6324000000000</v>
      </c>
      <c r="N1282" s="12">
        <v>6296000000000</v>
      </c>
      <c r="O1282" s="12">
        <v>6271000000000</v>
      </c>
      <c r="P1282" s="12">
        <v>6248000000000</v>
      </c>
      <c r="Q1282" s="12">
        <v>6222000000000</v>
      </c>
      <c r="R1282" s="12">
        <v>6191000000000</v>
      </c>
      <c r="S1282" s="12">
        <v>6154000000000</v>
      </c>
      <c r="T1282" s="12">
        <v>6118000000000</v>
      </c>
      <c r="U1282" s="12">
        <v>6088000000000</v>
      </c>
      <c r="V1282" s="12">
        <v>6056000000000</v>
      </c>
      <c r="W1282" s="12">
        <v>6028000000000</v>
      </c>
      <c r="X1282" s="12">
        <v>6003000000000</v>
      </c>
      <c r="Y1282" s="12">
        <v>5974000000000</v>
      </c>
      <c r="Z1282" s="12">
        <v>5939000000000</v>
      </c>
      <c r="AA1282" s="12">
        <v>5907000000000</v>
      </c>
      <c r="AB1282" s="12">
        <v>5877000000000</v>
      </c>
      <c r="AC1282" s="12">
        <v>5852000000000</v>
      </c>
      <c r="AD1282" s="12">
        <v>5832000000000</v>
      </c>
      <c r="AE1282" s="12">
        <v>5815000000000</v>
      </c>
      <c r="AF1282" s="12">
        <v>5798000000000</v>
      </c>
    </row>
    <row r="1283" spans="1:32" x14ac:dyDescent="0.25">
      <c r="A1283" s="25" t="s">
        <v>1352</v>
      </c>
      <c r="B1283" s="12">
        <v>86300000000000</v>
      </c>
      <c r="C1283" s="12">
        <v>93370000000000</v>
      </c>
      <c r="D1283" s="12">
        <v>95400000000000</v>
      </c>
      <c r="E1283" s="12">
        <v>100900000000000</v>
      </c>
      <c r="F1283" s="12">
        <v>99530000000000</v>
      </c>
      <c r="G1283" s="12">
        <v>98310000000000</v>
      </c>
      <c r="H1283" s="12">
        <v>97180000000000</v>
      </c>
      <c r="I1283" s="12">
        <v>98380000000000</v>
      </c>
      <c r="J1283" s="12">
        <v>99070000000000</v>
      </c>
      <c r="K1283" s="12">
        <v>99450000000000</v>
      </c>
      <c r="L1283" s="12">
        <v>99830000000000</v>
      </c>
      <c r="M1283" s="12">
        <v>99540000000000</v>
      </c>
      <c r="N1283" s="12">
        <v>99420000000000</v>
      </c>
      <c r="O1283" s="12">
        <v>99480000000000</v>
      </c>
      <c r="P1283" s="12">
        <v>99800000000000</v>
      </c>
      <c r="Q1283" s="12">
        <v>100100000000000</v>
      </c>
      <c r="R1283" s="12">
        <v>100400000000000</v>
      </c>
      <c r="S1283" s="12">
        <v>100600000000000</v>
      </c>
      <c r="T1283" s="12">
        <v>100800000000000</v>
      </c>
      <c r="U1283" s="12">
        <v>101100000000000</v>
      </c>
      <c r="V1283" s="12">
        <v>101400000000000</v>
      </c>
      <c r="W1283" s="12">
        <v>101600000000000</v>
      </c>
      <c r="X1283" s="12">
        <v>102000000000000</v>
      </c>
      <c r="Y1283" s="12">
        <v>102200000000000</v>
      </c>
      <c r="Z1283" s="12">
        <v>102300000000000</v>
      </c>
      <c r="AA1283" s="12">
        <v>102500000000000</v>
      </c>
      <c r="AB1283" s="12">
        <v>102700000000000</v>
      </c>
      <c r="AC1283" s="12">
        <v>103100000000000</v>
      </c>
      <c r="AD1283" s="12">
        <v>103400000000000</v>
      </c>
      <c r="AE1283" s="12">
        <v>103900000000000</v>
      </c>
      <c r="AF1283" s="12">
        <v>104400000000000</v>
      </c>
    </row>
    <row r="1284" spans="1:32" x14ac:dyDescent="0.25">
      <c r="A1284" s="25" t="s">
        <v>1353</v>
      </c>
      <c r="B1284" s="12">
        <v>336400000000000</v>
      </c>
      <c r="C1284" s="12">
        <v>348200000000000</v>
      </c>
      <c r="D1284" s="12">
        <v>347200000000000</v>
      </c>
      <c r="E1284" s="12">
        <v>347900000000000</v>
      </c>
      <c r="F1284" s="12">
        <v>350800000000000</v>
      </c>
      <c r="G1284" s="12">
        <v>352800000000000</v>
      </c>
      <c r="H1284" s="12">
        <v>353300000000000</v>
      </c>
      <c r="I1284" s="12">
        <v>352600000000000</v>
      </c>
      <c r="J1284" s="12">
        <v>351600000000000</v>
      </c>
      <c r="K1284" s="12">
        <v>350000000000000</v>
      </c>
      <c r="L1284" s="12">
        <v>347800000000000</v>
      </c>
      <c r="M1284" s="12">
        <v>346400000000000</v>
      </c>
      <c r="N1284" s="12">
        <v>345300000000000</v>
      </c>
      <c r="O1284" s="12">
        <v>344300000000000</v>
      </c>
      <c r="P1284" s="12">
        <v>343300000000000</v>
      </c>
      <c r="Q1284" s="12">
        <v>342600000000000</v>
      </c>
      <c r="R1284" s="12">
        <v>342000000000000</v>
      </c>
      <c r="S1284" s="12">
        <v>341200000000000</v>
      </c>
      <c r="T1284" s="12">
        <v>340300000000000</v>
      </c>
      <c r="U1284" s="12">
        <v>339500000000000</v>
      </c>
      <c r="V1284" s="12">
        <v>338600000000000</v>
      </c>
      <c r="W1284" s="12">
        <v>337600000000000</v>
      </c>
      <c r="X1284" s="12">
        <v>336500000000000</v>
      </c>
      <c r="Y1284" s="12">
        <v>335200000000000</v>
      </c>
      <c r="Z1284" s="12">
        <v>333800000000000</v>
      </c>
      <c r="AA1284" s="12">
        <v>332400000000000</v>
      </c>
      <c r="AB1284" s="12">
        <v>331000000000000</v>
      </c>
      <c r="AC1284" s="12">
        <v>329600000000000</v>
      </c>
      <c r="AD1284" s="12">
        <v>328500000000000</v>
      </c>
      <c r="AE1284" s="12">
        <v>327100000000000</v>
      </c>
      <c r="AF1284" s="12">
        <v>325600000000000</v>
      </c>
    </row>
    <row r="1285" spans="1:32" x14ac:dyDescent="0.25">
      <c r="A1285" s="25" t="s">
        <v>1354</v>
      </c>
      <c r="B1285" s="25">
        <v>0</v>
      </c>
      <c r="C1285" s="25">
        <v>0</v>
      </c>
      <c r="D1285" s="25">
        <v>0</v>
      </c>
      <c r="E1285" s="25">
        <v>0</v>
      </c>
      <c r="F1285" s="25">
        <v>0</v>
      </c>
      <c r="G1285" s="25">
        <v>0</v>
      </c>
      <c r="H1285" s="25">
        <v>0</v>
      </c>
      <c r="I1285" s="25">
        <v>0</v>
      </c>
      <c r="J1285" s="25">
        <v>0</v>
      </c>
      <c r="K1285" s="25">
        <v>0</v>
      </c>
      <c r="L1285" s="25">
        <v>0</v>
      </c>
      <c r="M1285" s="25">
        <v>0</v>
      </c>
      <c r="N1285" s="25">
        <v>0</v>
      </c>
      <c r="O1285" s="25">
        <v>0</v>
      </c>
      <c r="P1285" s="25">
        <v>0</v>
      </c>
      <c r="Q1285" s="25">
        <v>0</v>
      </c>
      <c r="R1285" s="25">
        <v>0</v>
      </c>
      <c r="S1285" s="25">
        <v>0</v>
      </c>
      <c r="T1285" s="25">
        <v>0</v>
      </c>
      <c r="U1285" s="25">
        <v>0</v>
      </c>
      <c r="V1285" s="25">
        <v>0</v>
      </c>
      <c r="W1285" s="25">
        <v>0</v>
      </c>
      <c r="X1285" s="25">
        <v>0</v>
      </c>
      <c r="Y1285" s="25">
        <v>0</v>
      </c>
      <c r="Z1285" s="25">
        <v>0</v>
      </c>
      <c r="AA1285" s="25">
        <v>0</v>
      </c>
      <c r="AB1285" s="25">
        <v>0</v>
      </c>
      <c r="AC1285" s="25">
        <v>0</v>
      </c>
      <c r="AD1285" s="25">
        <v>0</v>
      </c>
      <c r="AE1285" s="25">
        <v>0</v>
      </c>
      <c r="AF1285" s="25">
        <v>0</v>
      </c>
    </row>
    <row r="1286" spans="1:32" x14ac:dyDescent="0.25">
      <c r="A1286" s="25" t="s">
        <v>1355</v>
      </c>
      <c r="B1286" s="25">
        <v>0</v>
      </c>
      <c r="C1286" s="25">
        <v>0</v>
      </c>
      <c r="D1286" s="25">
        <v>0</v>
      </c>
      <c r="E1286" s="25">
        <v>0</v>
      </c>
      <c r="F1286" s="25">
        <v>0</v>
      </c>
      <c r="G1286" s="25">
        <v>0</v>
      </c>
      <c r="H1286" s="25">
        <v>0</v>
      </c>
      <c r="I1286" s="25">
        <v>0</v>
      </c>
      <c r="J1286" s="25">
        <v>0</v>
      </c>
      <c r="K1286" s="25">
        <v>0</v>
      </c>
      <c r="L1286" s="25">
        <v>0</v>
      </c>
      <c r="M1286" s="25">
        <v>0</v>
      </c>
      <c r="N1286" s="25">
        <v>0</v>
      </c>
      <c r="O1286" s="25">
        <v>0</v>
      </c>
      <c r="P1286" s="25">
        <v>0</v>
      </c>
      <c r="Q1286" s="25">
        <v>0</v>
      </c>
      <c r="R1286" s="25">
        <v>0</v>
      </c>
      <c r="S1286" s="25">
        <v>0</v>
      </c>
      <c r="T1286" s="25">
        <v>0</v>
      </c>
      <c r="U1286" s="25">
        <v>0</v>
      </c>
      <c r="V1286" s="25">
        <v>0</v>
      </c>
      <c r="W1286" s="25">
        <v>0</v>
      </c>
      <c r="X1286" s="25">
        <v>0</v>
      </c>
      <c r="Y1286" s="25">
        <v>0</v>
      </c>
      <c r="Z1286" s="25">
        <v>0</v>
      </c>
      <c r="AA1286" s="25">
        <v>0</v>
      </c>
      <c r="AB1286" s="25">
        <v>0</v>
      </c>
      <c r="AC1286" s="25">
        <v>0</v>
      </c>
      <c r="AD1286" s="25">
        <v>0</v>
      </c>
      <c r="AE1286" s="25">
        <v>0</v>
      </c>
      <c r="AF1286" s="25">
        <v>0</v>
      </c>
    </row>
    <row r="1287" spans="1:32" x14ac:dyDescent="0.25">
      <c r="A1287" s="25" t="s">
        <v>1356</v>
      </c>
      <c r="B1287" s="25">
        <v>0</v>
      </c>
      <c r="C1287" s="25">
        <v>0</v>
      </c>
      <c r="D1287" s="25">
        <v>0</v>
      </c>
      <c r="E1287" s="25">
        <v>0</v>
      </c>
      <c r="F1287" s="25">
        <v>0</v>
      </c>
      <c r="G1287" s="25">
        <v>0</v>
      </c>
      <c r="H1287" s="25">
        <v>0</v>
      </c>
      <c r="I1287" s="25">
        <v>0</v>
      </c>
      <c r="J1287" s="25">
        <v>0</v>
      </c>
      <c r="K1287" s="25">
        <v>0</v>
      </c>
      <c r="L1287" s="25">
        <v>0</v>
      </c>
      <c r="M1287" s="25">
        <v>0</v>
      </c>
      <c r="N1287" s="25">
        <v>0</v>
      </c>
      <c r="O1287" s="25">
        <v>0</v>
      </c>
      <c r="P1287" s="25">
        <v>0</v>
      </c>
      <c r="Q1287" s="25">
        <v>0</v>
      </c>
      <c r="R1287" s="25">
        <v>0</v>
      </c>
      <c r="S1287" s="25">
        <v>0</v>
      </c>
      <c r="T1287" s="25">
        <v>0</v>
      </c>
      <c r="U1287" s="25">
        <v>0</v>
      </c>
      <c r="V1287" s="25">
        <v>0</v>
      </c>
      <c r="W1287" s="25">
        <v>0</v>
      </c>
      <c r="X1287" s="25">
        <v>0</v>
      </c>
      <c r="Y1287" s="25">
        <v>0</v>
      </c>
      <c r="Z1287" s="25">
        <v>0</v>
      </c>
      <c r="AA1287" s="25">
        <v>0</v>
      </c>
      <c r="AB1287" s="25">
        <v>0</v>
      </c>
      <c r="AC1287" s="25">
        <v>0</v>
      </c>
      <c r="AD1287" s="25">
        <v>0</v>
      </c>
      <c r="AE1287" s="25">
        <v>0</v>
      </c>
      <c r="AF1287" s="25">
        <v>0</v>
      </c>
    </row>
    <row r="1288" spans="1:32" x14ac:dyDescent="0.25">
      <c r="A1288" s="25" t="s">
        <v>1357</v>
      </c>
      <c r="B1288" s="25">
        <v>0</v>
      </c>
      <c r="C1288" s="25">
        <v>0</v>
      </c>
      <c r="D1288" s="25">
        <v>0</v>
      </c>
      <c r="E1288" s="25">
        <v>0</v>
      </c>
      <c r="F1288" s="25">
        <v>0</v>
      </c>
      <c r="G1288" s="25">
        <v>0</v>
      </c>
      <c r="H1288" s="25">
        <v>0</v>
      </c>
      <c r="I1288" s="25">
        <v>0</v>
      </c>
      <c r="J1288" s="25">
        <v>0</v>
      </c>
      <c r="K1288" s="25">
        <v>0</v>
      </c>
      <c r="L1288" s="25">
        <v>0</v>
      </c>
      <c r="M1288" s="25">
        <v>0</v>
      </c>
      <c r="N1288" s="25">
        <v>0</v>
      </c>
      <c r="O1288" s="25">
        <v>0</v>
      </c>
      <c r="P1288" s="25">
        <v>0</v>
      </c>
      <c r="Q1288" s="25">
        <v>0</v>
      </c>
      <c r="R1288" s="25">
        <v>0</v>
      </c>
      <c r="S1288" s="25">
        <v>0</v>
      </c>
      <c r="T1288" s="25">
        <v>0</v>
      </c>
      <c r="U1288" s="25">
        <v>0</v>
      </c>
      <c r="V1288" s="25">
        <v>0</v>
      </c>
      <c r="W1288" s="25">
        <v>0</v>
      </c>
      <c r="X1288" s="25">
        <v>0</v>
      </c>
      <c r="Y1288" s="25">
        <v>0</v>
      </c>
      <c r="Z1288" s="25">
        <v>0</v>
      </c>
      <c r="AA1288" s="25">
        <v>0</v>
      </c>
      <c r="AB1288" s="25">
        <v>0</v>
      </c>
      <c r="AC1288" s="25">
        <v>0</v>
      </c>
      <c r="AD1288" s="25">
        <v>0</v>
      </c>
      <c r="AE1288" s="25">
        <v>0</v>
      </c>
      <c r="AF1288" s="25">
        <v>0</v>
      </c>
    </row>
    <row r="1289" spans="1:32" x14ac:dyDescent="0.25">
      <c r="A1289" s="25" t="s">
        <v>1358</v>
      </c>
      <c r="B1289" s="25">
        <v>0</v>
      </c>
      <c r="C1289" s="25">
        <v>0</v>
      </c>
      <c r="D1289" s="25">
        <v>0</v>
      </c>
      <c r="E1289" s="25">
        <v>0</v>
      </c>
      <c r="F1289" s="25">
        <v>0</v>
      </c>
      <c r="G1289" s="25">
        <v>0</v>
      </c>
      <c r="H1289" s="25">
        <v>0</v>
      </c>
      <c r="I1289" s="25">
        <v>0</v>
      </c>
      <c r="J1289" s="25">
        <v>0</v>
      </c>
      <c r="K1289" s="25">
        <v>0</v>
      </c>
      <c r="L1289" s="25">
        <v>0</v>
      </c>
      <c r="M1289" s="25">
        <v>0</v>
      </c>
      <c r="N1289" s="25">
        <v>0</v>
      </c>
      <c r="O1289" s="25">
        <v>0</v>
      </c>
      <c r="P1289" s="25">
        <v>0</v>
      </c>
      <c r="Q1289" s="25">
        <v>0</v>
      </c>
      <c r="R1289" s="25">
        <v>0</v>
      </c>
      <c r="S1289" s="25">
        <v>0</v>
      </c>
      <c r="T1289" s="25">
        <v>0</v>
      </c>
      <c r="U1289" s="25">
        <v>0</v>
      </c>
      <c r="V1289" s="25">
        <v>0</v>
      </c>
      <c r="W1289" s="25">
        <v>0</v>
      </c>
      <c r="X1289" s="25">
        <v>0</v>
      </c>
      <c r="Y1289" s="25">
        <v>0</v>
      </c>
      <c r="Z1289" s="25">
        <v>0</v>
      </c>
      <c r="AA1289" s="25">
        <v>0</v>
      </c>
      <c r="AB1289" s="25">
        <v>0</v>
      </c>
      <c r="AC1289" s="25">
        <v>0</v>
      </c>
      <c r="AD1289" s="25">
        <v>0</v>
      </c>
      <c r="AE1289" s="25">
        <v>0</v>
      </c>
      <c r="AF1289" s="25">
        <v>0</v>
      </c>
    </row>
    <row r="1290" spans="1:32" x14ac:dyDescent="0.25">
      <c r="A1290" s="25" t="s">
        <v>1359</v>
      </c>
      <c r="B1290" s="25">
        <v>0</v>
      </c>
      <c r="C1290" s="25">
        <v>0</v>
      </c>
      <c r="D1290" s="25">
        <v>0</v>
      </c>
      <c r="E1290" s="25">
        <v>0</v>
      </c>
      <c r="F1290" s="25">
        <v>0</v>
      </c>
      <c r="G1290" s="25">
        <v>0</v>
      </c>
      <c r="H1290" s="25">
        <v>0</v>
      </c>
      <c r="I1290" s="25">
        <v>0</v>
      </c>
      <c r="J1290" s="25">
        <v>0</v>
      </c>
      <c r="K1290" s="25">
        <v>0</v>
      </c>
      <c r="L1290" s="25">
        <v>0</v>
      </c>
      <c r="M1290" s="25">
        <v>0</v>
      </c>
      <c r="N1290" s="25">
        <v>0</v>
      </c>
      <c r="O1290" s="25">
        <v>0</v>
      </c>
      <c r="P1290" s="25">
        <v>0</v>
      </c>
      <c r="Q1290" s="25">
        <v>0</v>
      </c>
      <c r="R1290" s="25">
        <v>0</v>
      </c>
      <c r="S1290" s="25">
        <v>0</v>
      </c>
      <c r="T1290" s="25">
        <v>0</v>
      </c>
      <c r="U1290" s="25">
        <v>0</v>
      </c>
      <c r="V1290" s="25">
        <v>0</v>
      </c>
      <c r="W1290" s="25">
        <v>0</v>
      </c>
      <c r="X1290" s="25">
        <v>0</v>
      </c>
      <c r="Y1290" s="25">
        <v>0</v>
      </c>
      <c r="Z1290" s="25">
        <v>0</v>
      </c>
      <c r="AA1290" s="25">
        <v>0</v>
      </c>
      <c r="AB1290" s="25">
        <v>0</v>
      </c>
      <c r="AC1290" s="25">
        <v>0</v>
      </c>
      <c r="AD1290" s="25">
        <v>0</v>
      </c>
      <c r="AE1290" s="25">
        <v>0</v>
      </c>
      <c r="AF1290" s="25">
        <v>0</v>
      </c>
    </row>
    <row r="1291" spans="1:32" x14ac:dyDescent="0.25">
      <c r="A1291" s="25" t="s">
        <v>1360</v>
      </c>
      <c r="B1291" s="25">
        <v>0</v>
      </c>
      <c r="C1291" s="25">
        <v>0</v>
      </c>
      <c r="D1291" s="25">
        <v>0</v>
      </c>
      <c r="E1291" s="25">
        <v>0</v>
      </c>
      <c r="F1291" s="25">
        <v>0</v>
      </c>
      <c r="G1291" s="25">
        <v>0</v>
      </c>
      <c r="H1291" s="25">
        <v>0</v>
      </c>
      <c r="I1291" s="25">
        <v>0</v>
      </c>
      <c r="J1291" s="25">
        <v>0</v>
      </c>
      <c r="K1291" s="25">
        <v>0</v>
      </c>
      <c r="L1291" s="25">
        <v>0</v>
      </c>
      <c r="M1291" s="25">
        <v>0</v>
      </c>
      <c r="N1291" s="25">
        <v>0</v>
      </c>
      <c r="O1291" s="25">
        <v>0</v>
      </c>
      <c r="P1291" s="25">
        <v>0</v>
      </c>
      <c r="Q1291" s="25">
        <v>0</v>
      </c>
      <c r="R1291" s="25">
        <v>0</v>
      </c>
      <c r="S1291" s="25">
        <v>0</v>
      </c>
      <c r="T1291" s="25">
        <v>0</v>
      </c>
      <c r="U1291" s="25">
        <v>0</v>
      </c>
      <c r="V1291" s="25">
        <v>0</v>
      </c>
      <c r="W1291" s="25">
        <v>0</v>
      </c>
      <c r="X1291" s="25">
        <v>0</v>
      </c>
      <c r="Y1291" s="25">
        <v>0</v>
      </c>
      <c r="Z1291" s="25">
        <v>0</v>
      </c>
      <c r="AA1291" s="25">
        <v>0</v>
      </c>
      <c r="AB1291" s="25">
        <v>0</v>
      </c>
      <c r="AC1291" s="25">
        <v>0</v>
      </c>
      <c r="AD1291" s="25">
        <v>0</v>
      </c>
      <c r="AE1291" s="25">
        <v>0</v>
      </c>
      <c r="AF1291" s="25">
        <v>0</v>
      </c>
    </row>
    <row r="1292" spans="1:32" x14ac:dyDescent="0.25">
      <c r="A1292" s="25" t="s">
        <v>1361</v>
      </c>
      <c r="B1292" s="25">
        <v>0</v>
      </c>
      <c r="C1292" s="25">
        <v>0</v>
      </c>
      <c r="D1292" s="25">
        <v>0</v>
      </c>
      <c r="E1292" s="25">
        <v>0</v>
      </c>
      <c r="F1292" s="25">
        <v>0</v>
      </c>
      <c r="G1292" s="25">
        <v>0</v>
      </c>
      <c r="H1292" s="25">
        <v>0</v>
      </c>
      <c r="I1292" s="25">
        <v>0</v>
      </c>
      <c r="J1292" s="25">
        <v>0</v>
      </c>
      <c r="K1292" s="25">
        <v>0</v>
      </c>
      <c r="L1292" s="25">
        <v>0</v>
      </c>
      <c r="M1292" s="25">
        <v>0</v>
      </c>
      <c r="N1292" s="25">
        <v>0</v>
      </c>
      <c r="O1292" s="25">
        <v>0</v>
      </c>
      <c r="P1292" s="25">
        <v>0</v>
      </c>
      <c r="Q1292" s="25">
        <v>0</v>
      </c>
      <c r="R1292" s="25">
        <v>0</v>
      </c>
      <c r="S1292" s="25">
        <v>0</v>
      </c>
      <c r="T1292" s="25">
        <v>0</v>
      </c>
      <c r="U1292" s="25">
        <v>0</v>
      </c>
      <c r="V1292" s="25">
        <v>0</v>
      </c>
      <c r="W1292" s="25">
        <v>0</v>
      </c>
      <c r="X1292" s="25">
        <v>0</v>
      </c>
      <c r="Y1292" s="25">
        <v>0</v>
      </c>
      <c r="Z1292" s="25">
        <v>0</v>
      </c>
      <c r="AA1292" s="25">
        <v>0</v>
      </c>
      <c r="AB1292" s="25">
        <v>0</v>
      </c>
      <c r="AC1292" s="25">
        <v>0</v>
      </c>
      <c r="AD1292" s="25">
        <v>0</v>
      </c>
      <c r="AE1292" s="25">
        <v>0</v>
      </c>
      <c r="AF1292" s="25">
        <v>0</v>
      </c>
    </row>
    <row r="1293" spans="1:32" x14ac:dyDescent="0.25">
      <c r="A1293" s="25" t="s">
        <v>1362</v>
      </c>
      <c r="B1293" s="25">
        <v>0</v>
      </c>
      <c r="C1293" s="25">
        <v>0</v>
      </c>
      <c r="D1293" s="25">
        <v>0</v>
      </c>
      <c r="E1293" s="25">
        <v>0</v>
      </c>
      <c r="F1293" s="25">
        <v>0</v>
      </c>
      <c r="G1293" s="25">
        <v>0</v>
      </c>
      <c r="H1293" s="25">
        <v>0</v>
      </c>
      <c r="I1293" s="25">
        <v>0</v>
      </c>
      <c r="J1293" s="25">
        <v>0</v>
      </c>
      <c r="K1293" s="25">
        <v>0</v>
      </c>
      <c r="L1293" s="25">
        <v>0</v>
      </c>
      <c r="M1293" s="25">
        <v>0</v>
      </c>
      <c r="N1293" s="25">
        <v>0</v>
      </c>
      <c r="O1293" s="25">
        <v>0</v>
      </c>
      <c r="P1293" s="25">
        <v>0</v>
      </c>
      <c r="Q1293" s="25">
        <v>0</v>
      </c>
      <c r="R1293" s="25">
        <v>0</v>
      </c>
      <c r="S1293" s="25">
        <v>0</v>
      </c>
      <c r="T1293" s="25">
        <v>0</v>
      </c>
      <c r="U1293" s="25">
        <v>0</v>
      </c>
      <c r="V1293" s="25">
        <v>0</v>
      </c>
      <c r="W1293" s="25">
        <v>0</v>
      </c>
      <c r="X1293" s="25">
        <v>0</v>
      </c>
      <c r="Y1293" s="25">
        <v>0</v>
      </c>
      <c r="Z1293" s="25">
        <v>0</v>
      </c>
      <c r="AA1293" s="25">
        <v>0</v>
      </c>
      <c r="AB1293" s="25">
        <v>0</v>
      </c>
      <c r="AC1293" s="25">
        <v>0</v>
      </c>
      <c r="AD1293" s="25">
        <v>0</v>
      </c>
      <c r="AE1293" s="25">
        <v>0</v>
      </c>
      <c r="AF1293" s="25">
        <v>0</v>
      </c>
    </row>
    <row r="1294" spans="1:32" x14ac:dyDescent="0.25">
      <c r="A1294" s="25" t="s">
        <v>1363</v>
      </c>
      <c r="B1294" s="25">
        <v>0</v>
      </c>
      <c r="C1294" s="25">
        <v>0</v>
      </c>
      <c r="D1294" s="25">
        <v>0</v>
      </c>
      <c r="E1294" s="25">
        <v>0</v>
      </c>
      <c r="F1294" s="25">
        <v>0</v>
      </c>
      <c r="G1294" s="25">
        <v>0</v>
      </c>
      <c r="H1294" s="25">
        <v>0</v>
      </c>
      <c r="I1294" s="25">
        <v>0</v>
      </c>
      <c r="J1294" s="25">
        <v>0</v>
      </c>
      <c r="K1294" s="25">
        <v>0</v>
      </c>
      <c r="L1294" s="25">
        <v>0</v>
      </c>
      <c r="M1294" s="25">
        <v>0</v>
      </c>
      <c r="N1294" s="25">
        <v>0</v>
      </c>
      <c r="O1294" s="25">
        <v>0</v>
      </c>
      <c r="P1294" s="25">
        <v>0</v>
      </c>
      <c r="Q1294" s="25">
        <v>0</v>
      </c>
      <c r="R1294" s="25">
        <v>0</v>
      </c>
      <c r="S1294" s="25">
        <v>0</v>
      </c>
      <c r="T1294" s="25">
        <v>0</v>
      </c>
      <c r="U1294" s="25">
        <v>0</v>
      </c>
      <c r="V1294" s="25">
        <v>0</v>
      </c>
      <c r="W1294" s="25">
        <v>0</v>
      </c>
      <c r="X1294" s="25">
        <v>0</v>
      </c>
      <c r="Y1294" s="25">
        <v>0</v>
      </c>
      <c r="Z1294" s="25">
        <v>0</v>
      </c>
      <c r="AA1294" s="25">
        <v>0</v>
      </c>
      <c r="AB1294" s="25">
        <v>0</v>
      </c>
      <c r="AC1294" s="25">
        <v>0</v>
      </c>
      <c r="AD1294" s="25">
        <v>0</v>
      </c>
      <c r="AE1294" s="25">
        <v>0</v>
      </c>
      <c r="AF1294" s="25">
        <v>0</v>
      </c>
    </row>
    <row r="1295" spans="1:32" x14ac:dyDescent="0.25">
      <c r="A1295" s="25" t="s">
        <v>1364</v>
      </c>
      <c r="B1295" s="25">
        <v>0</v>
      </c>
      <c r="C1295" s="25">
        <v>0</v>
      </c>
      <c r="D1295" s="25">
        <v>0</v>
      </c>
      <c r="E1295" s="25">
        <v>0</v>
      </c>
      <c r="F1295" s="25">
        <v>0</v>
      </c>
      <c r="G1295" s="25">
        <v>0</v>
      </c>
      <c r="H1295" s="25">
        <v>0</v>
      </c>
      <c r="I1295" s="25">
        <v>0</v>
      </c>
      <c r="J1295" s="25">
        <v>0</v>
      </c>
      <c r="K1295" s="25">
        <v>0</v>
      </c>
      <c r="L1295" s="25">
        <v>0</v>
      </c>
      <c r="M1295" s="25">
        <v>0</v>
      </c>
      <c r="N1295" s="25">
        <v>0</v>
      </c>
      <c r="O1295" s="25">
        <v>0</v>
      </c>
      <c r="P1295" s="25">
        <v>0</v>
      </c>
      <c r="Q1295" s="25">
        <v>0</v>
      </c>
      <c r="R1295" s="25">
        <v>0</v>
      </c>
      <c r="S1295" s="25">
        <v>0</v>
      </c>
      <c r="T1295" s="25">
        <v>0</v>
      </c>
      <c r="U1295" s="25">
        <v>0</v>
      </c>
      <c r="V1295" s="25">
        <v>0</v>
      </c>
      <c r="W1295" s="25">
        <v>0</v>
      </c>
      <c r="X1295" s="25">
        <v>0</v>
      </c>
      <c r="Y1295" s="25">
        <v>0</v>
      </c>
      <c r="Z1295" s="25">
        <v>0</v>
      </c>
      <c r="AA1295" s="25">
        <v>0</v>
      </c>
      <c r="AB1295" s="25">
        <v>0</v>
      </c>
      <c r="AC1295" s="25">
        <v>0</v>
      </c>
      <c r="AD1295" s="25">
        <v>0</v>
      </c>
      <c r="AE1295" s="25">
        <v>0</v>
      </c>
      <c r="AF1295" s="25">
        <v>0</v>
      </c>
    </row>
    <row r="1296" spans="1:32" x14ac:dyDescent="0.25">
      <c r="A1296" s="25" t="s">
        <v>1365</v>
      </c>
      <c r="B1296" s="25">
        <v>0</v>
      </c>
      <c r="C1296" s="25">
        <v>0</v>
      </c>
      <c r="D1296" s="25">
        <v>0</v>
      </c>
      <c r="E1296" s="25">
        <v>0</v>
      </c>
      <c r="F1296" s="25">
        <v>0</v>
      </c>
      <c r="G1296" s="25">
        <v>0</v>
      </c>
      <c r="H1296" s="25">
        <v>0</v>
      </c>
      <c r="I1296" s="25">
        <v>0</v>
      </c>
      <c r="J1296" s="25">
        <v>0</v>
      </c>
      <c r="K1296" s="25">
        <v>0</v>
      </c>
      <c r="L1296" s="25">
        <v>0</v>
      </c>
      <c r="M1296" s="25">
        <v>0</v>
      </c>
      <c r="N1296" s="25">
        <v>0</v>
      </c>
      <c r="O1296" s="25">
        <v>0</v>
      </c>
      <c r="P1296" s="25">
        <v>0</v>
      </c>
      <c r="Q1296" s="25">
        <v>0</v>
      </c>
      <c r="R1296" s="25">
        <v>0</v>
      </c>
      <c r="S1296" s="25">
        <v>0</v>
      </c>
      <c r="T1296" s="25">
        <v>0</v>
      </c>
      <c r="U1296" s="25">
        <v>0</v>
      </c>
      <c r="V1296" s="25">
        <v>0</v>
      </c>
      <c r="W1296" s="25">
        <v>0</v>
      </c>
      <c r="X1296" s="25">
        <v>0</v>
      </c>
      <c r="Y1296" s="25">
        <v>0</v>
      </c>
      <c r="Z1296" s="25">
        <v>0</v>
      </c>
      <c r="AA1296" s="25">
        <v>0</v>
      </c>
      <c r="AB1296" s="25">
        <v>0</v>
      </c>
      <c r="AC1296" s="25">
        <v>0</v>
      </c>
      <c r="AD1296" s="25">
        <v>0</v>
      </c>
      <c r="AE1296" s="25">
        <v>0</v>
      </c>
      <c r="AF1296" s="25">
        <v>0</v>
      </c>
    </row>
    <row r="1297" spans="1:32" x14ac:dyDescent="0.25">
      <c r="A1297" s="25" t="s">
        <v>1366</v>
      </c>
      <c r="B1297" s="25">
        <v>0</v>
      </c>
      <c r="C1297" s="25">
        <v>0</v>
      </c>
      <c r="D1297" s="25">
        <v>0</v>
      </c>
      <c r="E1297" s="25">
        <v>0</v>
      </c>
      <c r="F1297" s="25">
        <v>0</v>
      </c>
      <c r="G1297" s="25">
        <v>0</v>
      </c>
      <c r="H1297" s="25">
        <v>0</v>
      </c>
      <c r="I1297" s="25">
        <v>0</v>
      </c>
      <c r="J1297" s="25">
        <v>0</v>
      </c>
      <c r="K1297" s="25">
        <v>0</v>
      </c>
      <c r="L1297" s="25">
        <v>0</v>
      </c>
      <c r="M1297" s="25">
        <v>0</v>
      </c>
      <c r="N1297" s="25">
        <v>0</v>
      </c>
      <c r="O1297" s="25">
        <v>0</v>
      </c>
      <c r="P1297" s="25">
        <v>0</v>
      </c>
      <c r="Q1297" s="25">
        <v>0</v>
      </c>
      <c r="R1297" s="25">
        <v>0</v>
      </c>
      <c r="S1297" s="25">
        <v>0</v>
      </c>
      <c r="T1297" s="25">
        <v>0</v>
      </c>
      <c r="U1297" s="25">
        <v>0</v>
      </c>
      <c r="V1297" s="25">
        <v>0</v>
      </c>
      <c r="W1297" s="25">
        <v>0</v>
      </c>
      <c r="X1297" s="25">
        <v>0</v>
      </c>
      <c r="Y1297" s="25">
        <v>0</v>
      </c>
      <c r="Z1297" s="25">
        <v>0</v>
      </c>
      <c r="AA1297" s="25">
        <v>0</v>
      </c>
      <c r="AB1297" s="25">
        <v>0</v>
      </c>
      <c r="AC1297" s="25">
        <v>0</v>
      </c>
      <c r="AD1297" s="25">
        <v>0</v>
      </c>
      <c r="AE1297" s="25">
        <v>0</v>
      </c>
      <c r="AF1297" s="25">
        <v>0</v>
      </c>
    </row>
    <row r="1298" spans="1:32" x14ac:dyDescent="0.25">
      <c r="A1298" s="25" t="s">
        <v>1367</v>
      </c>
      <c r="B1298" s="25">
        <v>0</v>
      </c>
      <c r="C1298" s="25">
        <v>0</v>
      </c>
      <c r="D1298" s="25">
        <v>0</v>
      </c>
      <c r="E1298" s="25">
        <v>0</v>
      </c>
      <c r="F1298" s="25">
        <v>0</v>
      </c>
      <c r="G1298" s="25">
        <v>0</v>
      </c>
      <c r="H1298" s="25">
        <v>0</v>
      </c>
      <c r="I1298" s="25">
        <v>0</v>
      </c>
      <c r="J1298" s="25">
        <v>0</v>
      </c>
      <c r="K1298" s="25">
        <v>0</v>
      </c>
      <c r="L1298" s="25">
        <v>0</v>
      </c>
      <c r="M1298" s="25">
        <v>0</v>
      </c>
      <c r="N1298" s="25">
        <v>0</v>
      </c>
      <c r="O1298" s="25">
        <v>0</v>
      </c>
      <c r="P1298" s="25">
        <v>0</v>
      </c>
      <c r="Q1298" s="25">
        <v>0</v>
      </c>
      <c r="R1298" s="25">
        <v>0</v>
      </c>
      <c r="S1298" s="25">
        <v>0</v>
      </c>
      <c r="T1298" s="25">
        <v>0</v>
      </c>
      <c r="U1298" s="25">
        <v>0</v>
      </c>
      <c r="V1298" s="25">
        <v>0</v>
      </c>
      <c r="W1298" s="25">
        <v>0</v>
      </c>
      <c r="X1298" s="25">
        <v>0</v>
      </c>
      <c r="Y1298" s="25">
        <v>0</v>
      </c>
      <c r="Z1298" s="25">
        <v>0</v>
      </c>
      <c r="AA1298" s="25">
        <v>0</v>
      </c>
      <c r="AB1298" s="25">
        <v>0</v>
      </c>
      <c r="AC1298" s="25">
        <v>0</v>
      </c>
      <c r="AD1298" s="25">
        <v>0</v>
      </c>
      <c r="AE1298" s="25">
        <v>0</v>
      </c>
      <c r="AF1298" s="25">
        <v>0</v>
      </c>
    </row>
    <row r="1299" spans="1:32" x14ac:dyDescent="0.25">
      <c r="A1299" s="25" t="s">
        <v>1368</v>
      </c>
      <c r="B1299" s="25">
        <v>0</v>
      </c>
      <c r="C1299" s="25">
        <v>0</v>
      </c>
      <c r="D1299" s="25">
        <v>0</v>
      </c>
      <c r="E1299" s="25">
        <v>0</v>
      </c>
      <c r="F1299" s="25">
        <v>0</v>
      </c>
      <c r="G1299" s="25">
        <v>0</v>
      </c>
      <c r="H1299" s="25">
        <v>0</v>
      </c>
      <c r="I1299" s="25">
        <v>0</v>
      </c>
      <c r="J1299" s="25">
        <v>0</v>
      </c>
      <c r="K1299" s="25">
        <v>0</v>
      </c>
      <c r="L1299" s="25">
        <v>0</v>
      </c>
      <c r="M1299" s="25">
        <v>0</v>
      </c>
      <c r="N1299" s="25">
        <v>0</v>
      </c>
      <c r="O1299" s="25">
        <v>0</v>
      </c>
      <c r="P1299" s="25">
        <v>0</v>
      </c>
      <c r="Q1299" s="25">
        <v>0</v>
      </c>
      <c r="R1299" s="25">
        <v>0</v>
      </c>
      <c r="S1299" s="25">
        <v>0</v>
      </c>
      <c r="T1299" s="25">
        <v>0</v>
      </c>
      <c r="U1299" s="25">
        <v>0</v>
      </c>
      <c r="V1299" s="25">
        <v>0</v>
      </c>
      <c r="W1299" s="25">
        <v>0</v>
      </c>
      <c r="X1299" s="25">
        <v>0</v>
      </c>
      <c r="Y1299" s="25">
        <v>0</v>
      </c>
      <c r="Z1299" s="25">
        <v>0</v>
      </c>
      <c r="AA1299" s="25">
        <v>0</v>
      </c>
      <c r="AB1299" s="25">
        <v>0</v>
      </c>
      <c r="AC1299" s="25">
        <v>0</v>
      </c>
      <c r="AD1299" s="25">
        <v>0</v>
      </c>
      <c r="AE1299" s="25">
        <v>0</v>
      </c>
      <c r="AF1299" s="25">
        <v>0</v>
      </c>
    </row>
    <row r="1300" spans="1:32" x14ac:dyDescent="0.25">
      <c r="A1300" s="25" t="s">
        <v>1369</v>
      </c>
      <c r="B1300" s="25">
        <v>0</v>
      </c>
      <c r="C1300" s="25">
        <v>0</v>
      </c>
      <c r="D1300" s="25">
        <v>0</v>
      </c>
      <c r="E1300" s="25">
        <v>0</v>
      </c>
      <c r="F1300" s="25">
        <v>0</v>
      </c>
      <c r="G1300" s="25">
        <v>0</v>
      </c>
      <c r="H1300" s="25">
        <v>0</v>
      </c>
      <c r="I1300" s="25">
        <v>0</v>
      </c>
      <c r="J1300" s="25">
        <v>0</v>
      </c>
      <c r="K1300" s="25">
        <v>0</v>
      </c>
      <c r="L1300" s="25">
        <v>0</v>
      </c>
      <c r="M1300" s="25">
        <v>0</v>
      </c>
      <c r="N1300" s="25">
        <v>0</v>
      </c>
      <c r="O1300" s="25">
        <v>0</v>
      </c>
      <c r="P1300" s="25">
        <v>0</v>
      </c>
      <c r="Q1300" s="25">
        <v>0</v>
      </c>
      <c r="R1300" s="25">
        <v>0</v>
      </c>
      <c r="S1300" s="25">
        <v>0</v>
      </c>
      <c r="T1300" s="25">
        <v>0</v>
      </c>
      <c r="U1300" s="25">
        <v>0</v>
      </c>
      <c r="V1300" s="25">
        <v>0</v>
      </c>
      <c r="W1300" s="25">
        <v>0</v>
      </c>
      <c r="X1300" s="25">
        <v>0</v>
      </c>
      <c r="Y1300" s="25">
        <v>0</v>
      </c>
      <c r="Z1300" s="25">
        <v>0</v>
      </c>
      <c r="AA1300" s="25">
        <v>0</v>
      </c>
      <c r="AB1300" s="25">
        <v>0</v>
      </c>
      <c r="AC1300" s="25">
        <v>0</v>
      </c>
      <c r="AD1300" s="25">
        <v>0</v>
      </c>
      <c r="AE1300" s="25">
        <v>0</v>
      </c>
      <c r="AF1300" s="25">
        <v>0</v>
      </c>
    </row>
    <row r="1301" spans="1:32" x14ac:dyDescent="0.25">
      <c r="A1301" s="25" t="s">
        <v>1370</v>
      </c>
      <c r="B1301" s="25">
        <v>0</v>
      </c>
      <c r="C1301" s="25">
        <v>0</v>
      </c>
      <c r="D1301" s="25">
        <v>0</v>
      </c>
      <c r="E1301" s="25">
        <v>0</v>
      </c>
      <c r="F1301" s="25">
        <v>0</v>
      </c>
      <c r="G1301" s="25">
        <v>0</v>
      </c>
      <c r="H1301" s="25">
        <v>0</v>
      </c>
      <c r="I1301" s="25">
        <v>0</v>
      </c>
      <c r="J1301" s="25">
        <v>0</v>
      </c>
      <c r="K1301" s="25">
        <v>0</v>
      </c>
      <c r="L1301" s="25">
        <v>0</v>
      </c>
      <c r="M1301" s="25">
        <v>0</v>
      </c>
      <c r="N1301" s="25">
        <v>0</v>
      </c>
      <c r="O1301" s="25">
        <v>0</v>
      </c>
      <c r="P1301" s="25">
        <v>0</v>
      </c>
      <c r="Q1301" s="25">
        <v>0</v>
      </c>
      <c r="R1301" s="25">
        <v>0</v>
      </c>
      <c r="S1301" s="25">
        <v>0</v>
      </c>
      <c r="T1301" s="25">
        <v>0</v>
      </c>
      <c r="U1301" s="25">
        <v>0</v>
      </c>
      <c r="V1301" s="25">
        <v>0</v>
      </c>
      <c r="W1301" s="25">
        <v>0</v>
      </c>
      <c r="X1301" s="25">
        <v>0</v>
      </c>
      <c r="Y1301" s="25">
        <v>0</v>
      </c>
      <c r="Z1301" s="25">
        <v>0</v>
      </c>
      <c r="AA1301" s="25">
        <v>0</v>
      </c>
      <c r="AB1301" s="25">
        <v>0</v>
      </c>
      <c r="AC1301" s="25">
        <v>0</v>
      </c>
      <c r="AD1301" s="25">
        <v>0</v>
      </c>
      <c r="AE1301" s="25">
        <v>0</v>
      </c>
      <c r="AF1301" s="25">
        <v>0</v>
      </c>
    </row>
    <row r="1302" spans="1:32" x14ac:dyDescent="0.25">
      <c r="A1302" s="25" t="s">
        <v>1371</v>
      </c>
      <c r="B1302" s="25">
        <v>0</v>
      </c>
      <c r="C1302" s="25">
        <v>0</v>
      </c>
      <c r="D1302" s="25">
        <v>0</v>
      </c>
      <c r="E1302" s="25">
        <v>0</v>
      </c>
      <c r="F1302" s="25">
        <v>0</v>
      </c>
      <c r="G1302" s="25">
        <v>0</v>
      </c>
      <c r="H1302" s="25">
        <v>0</v>
      </c>
      <c r="I1302" s="25">
        <v>0</v>
      </c>
      <c r="J1302" s="25">
        <v>0</v>
      </c>
      <c r="K1302" s="25">
        <v>0</v>
      </c>
      <c r="L1302" s="25">
        <v>0</v>
      </c>
      <c r="M1302" s="25">
        <v>0</v>
      </c>
      <c r="N1302" s="25">
        <v>0</v>
      </c>
      <c r="O1302" s="25">
        <v>0</v>
      </c>
      <c r="P1302" s="25">
        <v>0</v>
      </c>
      <c r="Q1302" s="25">
        <v>0</v>
      </c>
      <c r="R1302" s="25">
        <v>0</v>
      </c>
      <c r="S1302" s="25">
        <v>0</v>
      </c>
      <c r="T1302" s="25">
        <v>0</v>
      </c>
      <c r="U1302" s="25">
        <v>0</v>
      </c>
      <c r="V1302" s="25">
        <v>0</v>
      </c>
      <c r="W1302" s="25">
        <v>0</v>
      </c>
      <c r="X1302" s="25">
        <v>0</v>
      </c>
      <c r="Y1302" s="25">
        <v>0</v>
      </c>
      <c r="Z1302" s="25">
        <v>0</v>
      </c>
      <c r="AA1302" s="25">
        <v>0</v>
      </c>
      <c r="AB1302" s="25">
        <v>0</v>
      </c>
      <c r="AC1302" s="25">
        <v>0</v>
      </c>
      <c r="AD1302" s="25">
        <v>0</v>
      </c>
      <c r="AE1302" s="25">
        <v>0</v>
      </c>
      <c r="AF1302" s="25">
        <v>0</v>
      </c>
    </row>
    <row r="1303" spans="1:32" x14ac:dyDescent="0.25">
      <c r="A1303" s="25" t="s">
        <v>1372</v>
      </c>
      <c r="B1303" s="25">
        <v>0</v>
      </c>
      <c r="C1303" s="25">
        <v>0</v>
      </c>
      <c r="D1303" s="25">
        <v>0</v>
      </c>
      <c r="E1303" s="25">
        <v>0</v>
      </c>
      <c r="F1303" s="25">
        <v>0</v>
      </c>
      <c r="G1303" s="25">
        <v>0</v>
      </c>
      <c r="H1303" s="25">
        <v>0</v>
      </c>
      <c r="I1303" s="25">
        <v>0</v>
      </c>
      <c r="J1303" s="25">
        <v>0</v>
      </c>
      <c r="K1303" s="25">
        <v>0</v>
      </c>
      <c r="L1303" s="25">
        <v>0</v>
      </c>
      <c r="M1303" s="25">
        <v>0</v>
      </c>
      <c r="N1303" s="25">
        <v>0</v>
      </c>
      <c r="O1303" s="25">
        <v>0</v>
      </c>
      <c r="P1303" s="25">
        <v>0</v>
      </c>
      <c r="Q1303" s="25">
        <v>0</v>
      </c>
      <c r="R1303" s="25">
        <v>0</v>
      </c>
      <c r="S1303" s="25">
        <v>0</v>
      </c>
      <c r="T1303" s="25">
        <v>0</v>
      </c>
      <c r="U1303" s="25">
        <v>0</v>
      </c>
      <c r="V1303" s="25">
        <v>0</v>
      </c>
      <c r="W1303" s="25">
        <v>0</v>
      </c>
      <c r="X1303" s="25">
        <v>0</v>
      </c>
      <c r="Y1303" s="25">
        <v>0</v>
      </c>
      <c r="Z1303" s="25">
        <v>0</v>
      </c>
      <c r="AA1303" s="25">
        <v>0</v>
      </c>
      <c r="AB1303" s="25">
        <v>0</v>
      </c>
      <c r="AC1303" s="25">
        <v>0</v>
      </c>
      <c r="AD1303" s="25">
        <v>0</v>
      </c>
      <c r="AE1303" s="25">
        <v>0</v>
      </c>
      <c r="AF1303" s="25">
        <v>0</v>
      </c>
    </row>
    <row r="1304" spans="1:32" x14ac:dyDescent="0.25">
      <c r="A1304" s="25" t="s">
        <v>1373</v>
      </c>
      <c r="B1304" s="25">
        <v>0</v>
      </c>
      <c r="C1304" s="25">
        <v>0</v>
      </c>
      <c r="D1304" s="25">
        <v>0</v>
      </c>
      <c r="E1304" s="25">
        <v>0</v>
      </c>
      <c r="F1304" s="25">
        <v>0</v>
      </c>
      <c r="G1304" s="25">
        <v>0</v>
      </c>
      <c r="H1304" s="25">
        <v>0</v>
      </c>
      <c r="I1304" s="25">
        <v>0</v>
      </c>
      <c r="J1304" s="25">
        <v>0</v>
      </c>
      <c r="K1304" s="25">
        <v>0</v>
      </c>
      <c r="L1304" s="25">
        <v>0</v>
      </c>
      <c r="M1304" s="25">
        <v>0</v>
      </c>
      <c r="N1304" s="25">
        <v>0</v>
      </c>
      <c r="O1304" s="25">
        <v>0</v>
      </c>
      <c r="P1304" s="25">
        <v>0</v>
      </c>
      <c r="Q1304" s="25">
        <v>0</v>
      </c>
      <c r="R1304" s="25">
        <v>0</v>
      </c>
      <c r="S1304" s="25">
        <v>0</v>
      </c>
      <c r="T1304" s="25">
        <v>0</v>
      </c>
      <c r="U1304" s="25">
        <v>0</v>
      </c>
      <c r="V1304" s="25">
        <v>0</v>
      </c>
      <c r="W1304" s="25">
        <v>0</v>
      </c>
      <c r="X1304" s="25">
        <v>0</v>
      </c>
      <c r="Y1304" s="25">
        <v>0</v>
      </c>
      <c r="Z1304" s="25">
        <v>0</v>
      </c>
      <c r="AA1304" s="25">
        <v>0</v>
      </c>
      <c r="AB1304" s="25">
        <v>0</v>
      </c>
      <c r="AC1304" s="25">
        <v>0</v>
      </c>
      <c r="AD1304" s="25">
        <v>0</v>
      </c>
      <c r="AE1304" s="25">
        <v>0</v>
      </c>
      <c r="AF1304" s="25">
        <v>0</v>
      </c>
    </row>
    <row r="1305" spans="1:32" x14ac:dyDescent="0.25">
      <c r="A1305" s="25" t="s">
        <v>1374</v>
      </c>
      <c r="B1305" s="25">
        <v>0</v>
      </c>
      <c r="C1305" s="25">
        <v>0</v>
      </c>
      <c r="D1305" s="25">
        <v>0</v>
      </c>
      <c r="E1305" s="25">
        <v>0</v>
      </c>
      <c r="F1305" s="25">
        <v>0</v>
      </c>
      <c r="G1305" s="25">
        <v>0</v>
      </c>
      <c r="H1305" s="25">
        <v>0</v>
      </c>
      <c r="I1305" s="25">
        <v>0</v>
      </c>
      <c r="J1305" s="25">
        <v>0</v>
      </c>
      <c r="K1305" s="25">
        <v>0</v>
      </c>
      <c r="L1305" s="25">
        <v>0</v>
      </c>
      <c r="M1305" s="25">
        <v>0</v>
      </c>
      <c r="N1305" s="25">
        <v>0</v>
      </c>
      <c r="O1305" s="25">
        <v>0</v>
      </c>
      <c r="P1305" s="25">
        <v>0</v>
      </c>
      <c r="Q1305" s="25">
        <v>0</v>
      </c>
      <c r="R1305" s="25">
        <v>0</v>
      </c>
      <c r="S1305" s="25">
        <v>0</v>
      </c>
      <c r="T1305" s="25">
        <v>0</v>
      </c>
      <c r="U1305" s="25">
        <v>0</v>
      </c>
      <c r="V1305" s="25">
        <v>0</v>
      </c>
      <c r="W1305" s="25">
        <v>0</v>
      </c>
      <c r="X1305" s="25">
        <v>0</v>
      </c>
      <c r="Y1305" s="25">
        <v>0</v>
      </c>
      <c r="Z1305" s="25">
        <v>0</v>
      </c>
      <c r="AA1305" s="25">
        <v>0</v>
      </c>
      <c r="AB1305" s="25">
        <v>0</v>
      </c>
      <c r="AC1305" s="25">
        <v>0</v>
      </c>
      <c r="AD1305" s="25">
        <v>0</v>
      </c>
      <c r="AE1305" s="25">
        <v>0</v>
      </c>
      <c r="AF1305" s="25">
        <v>0</v>
      </c>
    </row>
    <row r="1306" spans="1:32" x14ac:dyDescent="0.25">
      <c r="A1306" s="25" t="s">
        <v>1375</v>
      </c>
      <c r="B1306" s="25">
        <v>0</v>
      </c>
      <c r="C1306" s="25">
        <v>0</v>
      </c>
      <c r="D1306" s="25">
        <v>0</v>
      </c>
      <c r="E1306" s="25">
        <v>0</v>
      </c>
      <c r="F1306" s="25">
        <v>0</v>
      </c>
      <c r="G1306" s="25">
        <v>0</v>
      </c>
      <c r="H1306" s="25">
        <v>0</v>
      </c>
      <c r="I1306" s="25">
        <v>0</v>
      </c>
      <c r="J1306" s="25">
        <v>0</v>
      </c>
      <c r="K1306" s="25">
        <v>0</v>
      </c>
      <c r="L1306" s="25">
        <v>0</v>
      </c>
      <c r="M1306" s="25">
        <v>0</v>
      </c>
      <c r="N1306" s="25">
        <v>0</v>
      </c>
      <c r="O1306" s="25">
        <v>0</v>
      </c>
      <c r="P1306" s="25">
        <v>0</v>
      </c>
      <c r="Q1306" s="25">
        <v>0</v>
      </c>
      <c r="R1306" s="25">
        <v>0</v>
      </c>
      <c r="S1306" s="25">
        <v>0</v>
      </c>
      <c r="T1306" s="25">
        <v>0</v>
      </c>
      <c r="U1306" s="25">
        <v>0</v>
      </c>
      <c r="V1306" s="25">
        <v>0</v>
      </c>
      <c r="W1306" s="25">
        <v>0</v>
      </c>
      <c r="X1306" s="25">
        <v>0</v>
      </c>
      <c r="Y1306" s="25">
        <v>0</v>
      </c>
      <c r="Z1306" s="25">
        <v>0</v>
      </c>
      <c r="AA1306" s="25">
        <v>0</v>
      </c>
      <c r="AB1306" s="25">
        <v>0</v>
      </c>
      <c r="AC1306" s="25">
        <v>0</v>
      </c>
      <c r="AD1306" s="25">
        <v>0</v>
      </c>
      <c r="AE1306" s="25">
        <v>0</v>
      </c>
      <c r="AF1306" s="25">
        <v>0</v>
      </c>
    </row>
    <row r="1307" spans="1:32" x14ac:dyDescent="0.25">
      <c r="A1307" s="25" t="s">
        <v>1376</v>
      </c>
      <c r="B1307" s="25">
        <v>0</v>
      </c>
      <c r="C1307" s="25">
        <v>0</v>
      </c>
      <c r="D1307" s="25">
        <v>0</v>
      </c>
      <c r="E1307" s="25">
        <v>0</v>
      </c>
      <c r="F1307" s="25">
        <v>0</v>
      </c>
      <c r="G1307" s="25">
        <v>0</v>
      </c>
      <c r="H1307" s="25">
        <v>0</v>
      </c>
      <c r="I1307" s="25">
        <v>0</v>
      </c>
      <c r="J1307" s="25">
        <v>0</v>
      </c>
      <c r="K1307" s="25">
        <v>0</v>
      </c>
      <c r="L1307" s="25">
        <v>0</v>
      </c>
      <c r="M1307" s="25">
        <v>0</v>
      </c>
      <c r="N1307" s="25">
        <v>0</v>
      </c>
      <c r="O1307" s="25">
        <v>0</v>
      </c>
      <c r="P1307" s="25">
        <v>0</v>
      </c>
      <c r="Q1307" s="25">
        <v>0</v>
      </c>
      <c r="R1307" s="25">
        <v>0</v>
      </c>
      <c r="S1307" s="25">
        <v>0</v>
      </c>
      <c r="T1307" s="25">
        <v>0</v>
      </c>
      <c r="U1307" s="25">
        <v>0</v>
      </c>
      <c r="V1307" s="25">
        <v>0</v>
      </c>
      <c r="W1307" s="25">
        <v>0</v>
      </c>
      <c r="X1307" s="25">
        <v>0</v>
      </c>
      <c r="Y1307" s="25">
        <v>0</v>
      </c>
      <c r="Z1307" s="25">
        <v>0</v>
      </c>
      <c r="AA1307" s="25">
        <v>0</v>
      </c>
      <c r="AB1307" s="25">
        <v>0</v>
      </c>
      <c r="AC1307" s="25">
        <v>0</v>
      </c>
      <c r="AD1307" s="25">
        <v>0</v>
      </c>
      <c r="AE1307" s="25">
        <v>0</v>
      </c>
      <c r="AF1307" s="25">
        <v>0</v>
      </c>
    </row>
    <row r="1308" spans="1:32" x14ac:dyDescent="0.25">
      <c r="A1308" s="25" t="s">
        <v>1377</v>
      </c>
      <c r="B1308" s="12">
        <v>345100000000000</v>
      </c>
      <c r="C1308" s="12">
        <v>359400000000000</v>
      </c>
      <c r="D1308" s="12">
        <v>367200000000000</v>
      </c>
      <c r="E1308" s="12">
        <v>359200000000000</v>
      </c>
      <c r="F1308" s="12">
        <v>358900000000000</v>
      </c>
      <c r="G1308" s="12">
        <v>358900000000000</v>
      </c>
      <c r="H1308" s="12">
        <v>358800000000000</v>
      </c>
      <c r="I1308" s="12">
        <v>358500000000000</v>
      </c>
      <c r="J1308" s="12">
        <v>358000000000000</v>
      </c>
      <c r="K1308" s="12">
        <v>357600000000000</v>
      </c>
      <c r="L1308" s="12">
        <v>357300000000000</v>
      </c>
      <c r="M1308" s="12">
        <v>357500000000000</v>
      </c>
      <c r="N1308" s="12">
        <v>357900000000000</v>
      </c>
      <c r="O1308" s="12">
        <v>358100000000000</v>
      </c>
      <c r="P1308" s="12">
        <v>358100000000000</v>
      </c>
      <c r="Q1308" s="12">
        <v>358200000000000</v>
      </c>
      <c r="R1308" s="12">
        <v>358000000000000</v>
      </c>
      <c r="S1308" s="12">
        <v>357800000000000</v>
      </c>
      <c r="T1308" s="12">
        <v>357400000000000</v>
      </c>
      <c r="U1308" s="12">
        <v>357100000000000</v>
      </c>
      <c r="V1308" s="12">
        <v>356500000000000</v>
      </c>
      <c r="W1308" s="12">
        <v>356600000000000</v>
      </c>
      <c r="X1308" s="12">
        <v>356500000000000</v>
      </c>
      <c r="Y1308" s="12">
        <v>355900000000000</v>
      </c>
      <c r="Z1308" s="12">
        <v>355300000000000</v>
      </c>
      <c r="AA1308" s="12">
        <v>354800000000000</v>
      </c>
      <c r="AB1308" s="12">
        <v>354100000000000</v>
      </c>
      <c r="AC1308" s="12">
        <v>353500000000000</v>
      </c>
      <c r="AD1308" s="12">
        <v>353000000000000</v>
      </c>
      <c r="AE1308" s="12">
        <v>352300000000000</v>
      </c>
      <c r="AF1308" s="12">
        <v>351600000000000</v>
      </c>
    </row>
    <row r="1309" spans="1:32" x14ac:dyDescent="0.25">
      <c r="A1309" s="25" t="s">
        <v>1378</v>
      </c>
      <c r="B1309" s="25">
        <v>0</v>
      </c>
      <c r="C1309" s="25">
        <v>0</v>
      </c>
      <c r="D1309" s="25">
        <v>0</v>
      </c>
      <c r="E1309" s="25">
        <v>0</v>
      </c>
      <c r="F1309" s="25">
        <v>0</v>
      </c>
      <c r="G1309" s="25">
        <v>0</v>
      </c>
      <c r="H1309" s="25">
        <v>0</v>
      </c>
      <c r="I1309" s="25">
        <v>0</v>
      </c>
      <c r="J1309" s="25">
        <v>0</v>
      </c>
      <c r="K1309" s="25">
        <v>0</v>
      </c>
      <c r="L1309" s="25">
        <v>0</v>
      </c>
      <c r="M1309" s="25">
        <v>0</v>
      </c>
      <c r="N1309" s="25">
        <v>0</v>
      </c>
      <c r="O1309" s="25">
        <v>0</v>
      </c>
      <c r="P1309" s="25">
        <v>0</v>
      </c>
      <c r="Q1309" s="25">
        <v>0</v>
      </c>
      <c r="R1309" s="25">
        <v>0</v>
      </c>
      <c r="S1309" s="25">
        <v>0</v>
      </c>
      <c r="T1309" s="25">
        <v>0</v>
      </c>
      <c r="U1309" s="25">
        <v>0</v>
      </c>
      <c r="V1309" s="25">
        <v>0</v>
      </c>
      <c r="W1309" s="25">
        <v>0</v>
      </c>
      <c r="X1309" s="25">
        <v>0</v>
      </c>
      <c r="Y1309" s="25">
        <v>0</v>
      </c>
      <c r="Z1309" s="25">
        <v>0</v>
      </c>
      <c r="AA1309" s="25">
        <v>0</v>
      </c>
      <c r="AB1309" s="25">
        <v>0</v>
      </c>
      <c r="AC1309" s="25">
        <v>0</v>
      </c>
      <c r="AD1309" s="25">
        <v>0</v>
      </c>
      <c r="AE1309" s="25">
        <v>0</v>
      </c>
      <c r="AF1309" s="25">
        <v>0</v>
      </c>
    </row>
    <row r="1310" spans="1:32" x14ac:dyDescent="0.25">
      <c r="A1310" s="25" t="s">
        <v>1379</v>
      </c>
      <c r="B1310" s="25">
        <v>0</v>
      </c>
      <c r="C1310" s="25">
        <v>0</v>
      </c>
      <c r="D1310" s="25">
        <v>0</v>
      </c>
      <c r="E1310" s="25">
        <v>0</v>
      </c>
      <c r="F1310" s="25">
        <v>0</v>
      </c>
      <c r="G1310" s="25">
        <v>0</v>
      </c>
      <c r="H1310" s="25">
        <v>0</v>
      </c>
      <c r="I1310" s="25">
        <v>0</v>
      </c>
      <c r="J1310" s="25">
        <v>0</v>
      </c>
      <c r="K1310" s="25">
        <v>0</v>
      </c>
      <c r="L1310" s="25">
        <v>0</v>
      </c>
      <c r="M1310" s="25">
        <v>0</v>
      </c>
      <c r="N1310" s="25">
        <v>0</v>
      </c>
      <c r="O1310" s="25">
        <v>0</v>
      </c>
      <c r="P1310" s="25">
        <v>0</v>
      </c>
      <c r="Q1310" s="25">
        <v>0</v>
      </c>
      <c r="R1310" s="25">
        <v>0</v>
      </c>
      <c r="S1310" s="25">
        <v>0</v>
      </c>
      <c r="T1310" s="25">
        <v>0</v>
      </c>
      <c r="U1310" s="25">
        <v>0</v>
      </c>
      <c r="V1310" s="25">
        <v>0</v>
      </c>
      <c r="W1310" s="25">
        <v>0</v>
      </c>
      <c r="X1310" s="25">
        <v>0</v>
      </c>
      <c r="Y1310" s="25">
        <v>0</v>
      </c>
      <c r="Z1310" s="25">
        <v>0</v>
      </c>
      <c r="AA1310" s="25">
        <v>0</v>
      </c>
      <c r="AB1310" s="25">
        <v>0</v>
      </c>
      <c r="AC1310" s="25">
        <v>0</v>
      </c>
      <c r="AD1310" s="25">
        <v>0</v>
      </c>
      <c r="AE1310" s="25">
        <v>0</v>
      </c>
      <c r="AF1310" s="25">
        <v>0</v>
      </c>
    </row>
    <row r="1311" spans="1:32" x14ac:dyDescent="0.25">
      <c r="A1311" s="25" t="s">
        <v>1380</v>
      </c>
      <c r="B1311" s="25">
        <v>0</v>
      </c>
      <c r="C1311" s="25">
        <v>0</v>
      </c>
      <c r="D1311" s="25">
        <v>0</v>
      </c>
      <c r="E1311" s="25">
        <v>0</v>
      </c>
      <c r="F1311" s="25">
        <v>0</v>
      </c>
      <c r="G1311" s="25">
        <v>0</v>
      </c>
      <c r="H1311" s="25">
        <v>0</v>
      </c>
      <c r="I1311" s="25">
        <v>0</v>
      </c>
      <c r="J1311" s="25">
        <v>0</v>
      </c>
      <c r="K1311" s="25">
        <v>0</v>
      </c>
      <c r="L1311" s="25">
        <v>0</v>
      </c>
      <c r="M1311" s="25">
        <v>0</v>
      </c>
      <c r="N1311" s="25">
        <v>0</v>
      </c>
      <c r="O1311" s="25">
        <v>0</v>
      </c>
      <c r="P1311" s="25">
        <v>0</v>
      </c>
      <c r="Q1311" s="25">
        <v>0</v>
      </c>
      <c r="R1311" s="25">
        <v>0</v>
      </c>
      <c r="S1311" s="25">
        <v>0</v>
      </c>
      <c r="T1311" s="25">
        <v>0</v>
      </c>
      <c r="U1311" s="25">
        <v>0</v>
      </c>
      <c r="V1311" s="25">
        <v>0</v>
      </c>
      <c r="W1311" s="25">
        <v>0</v>
      </c>
      <c r="X1311" s="25">
        <v>0</v>
      </c>
      <c r="Y1311" s="25">
        <v>0</v>
      </c>
      <c r="Z1311" s="25">
        <v>0</v>
      </c>
      <c r="AA1311" s="25">
        <v>0</v>
      </c>
      <c r="AB1311" s="25">
        <v>0</v>
      </c>
      <c r="AC1311" s="25">
        <v>0</v>
      </c>
      <c r="AD1311" s="25">
        <v>0</v>
      </c>
      <c r="AE1311" s="25">
        <v>0</v>
      </c>
      <c r="AF1311" s="25">
        <v>0</v>
      </c>
    </row>
    <row r="1312" spans="1:32" x14ac:dyDescent="0.25">
      <c r="A1312" s="25" t="s">
        <v>1381</v>
      </c>
      <c r="B1312" s="12">
        <v>10400000000000</v>
      </c>
      <c r="C1312" s="12">
        <v>10860000000000</v>
      </c>
      <c r="D1312" s="12">
        <v>10550000000000</v>
      </c>
      <c r="E1312" s="12">
        <v>10680000000000</v>
      </c>
      <c r="F1312" s="12">
        <v>10750000000000</v>
      </c>
      <c r="G1312" s="12">
        <v>10830000000000</v>
      </c>
      <c r="H1312" s="12">
        <v>10900000000000</v>
      </c>
      <c r="I1312" s="12">
        <v>10950000000000</v>
      </c>
      <c r="J1312" s="12">
        <v>10990000000000</v>
      </c>
      <c r="K1312" s="12">
        <v>11040000000000</v>
      </c>
      <c r="L1312" s="12">
        <v>11100000000000</v>
      </c>
      <c r="M1312" s="12">
        <v>11170000000000</v>
      </c>
      <c r="N1312" s="12">
        <v>11250000000000</v>
      </c>
      <c r="O1312" s="12">
        <v>11330000000000</v>
      </c>
      <c r="P1312" s="12">
        <v>11410000000000</v>
      </c>
      <c r="Q1312" s="12">
        <v>11480000000000</v>
      </c>
      <c r="R1312" s="12">
        <v>11550000000000</v>
      </c>
      <c r="S1312" s="12">
        <v>11620000000000</v>
      </c>
      <c r="T1312" s="12">
        <v>11680000000000</v>
      </c>
      <c r="U1312" s="12">
        <v>11760000000000</v>
      </c>
      <c r="V1312" s="12">
        <v>11830000000000</v>
      </c>
      <c r="W1312" s="12">
        <v>11920000000000</v>
      </c>
      <c r="X1312" s="12">
        <v>12010000000000</v>
      </c>
      <c r="Y1312" s="12">
        <v>12090000000000</v>
      </c>
      <c r="Z1312" s="12">
        <v>12160000000000</v>
      </c>
      <c r="AA1312" s="12">
        <v>12240000000000</v>
      </c>
      <c r="AB1312" s="12">
        <v>12320000000000</v>
      </c>
      <c r="AC1312" s="12">
        <v>12410000000000</v>
      </c>
      <c r="AD1312" s="12">
        <v>12500000000000</v>
      </c>
      <c r="AE1312" s="12">
        <v>12590000000000</v>
      </c>
      <c r="AF1312" s="12">
        <v>12680000000000</v>
      </c>
    </row>
    <row r="1313" spans="1:32" x14ac:dyDescent="0.25">
      <c r="A1313" s="25" t="s">
        <v>1382</v>
      </c>
      <c r="B1313" s="12">
        <v>137600000000000</v>
      </c>
      <c r="C1313" s="12">
        <v>156400000000000</v>
      </c>
      <c r="D1313" s="12">
        <v>157400000000000</v>
      </c>
      <c r="E1313" s="12">
        <v>168700000000000</v>
      </c>
      <c r="F1313" s="12">
        <v>167400000000000</v>
      </c>
      <c r="G1313" s="12">
        <v>166100000000000</v>
      </c>
      <c r="H1313" s="12">
        <v>164900000000000</v>
      </c>
      <c r="I1313" s="12">
        <v>167500000000000</v>
      </c>
      <c r="J1313" s="12">
        <v>169700000000000</v>
      </c>
      <c r="K1313" s="12">
        <v>172000000000000</v>
      </c>
      <c r="L1313" s="12">
        <v>174300000000000</v>
      </c>
      <c r="M1313" s="12">
        <v>175800000000000</v>
      </c>
      <c r="N1313" s="12">
        <v>177700000000000</v>
      </c>
      <c r="O1313" s="12">
        <v>179800000000000</v>
      </c>
      <c r="P1313" s="12">
        <v>182200000000000</v>
      </c>
      <c r="Q1313" s="12">
        <v>184800000000000</v>
      </c>
      <c r="R1313" s="12">
        <v>187300000000000</v>
      </c>
      <c r="S1313" s="12">
        <v>189900000000000</v>
      </c>
      <c r="T1313" s="12">
        <v>192500000000000</v>
      </c>
      <c r="U1313" s="12">
        <v>195200000000000</v>
      </c>
      <c r="V1313" s="12">
        <v>197900000000000</v>
      </c>
      <c r="W1313" s="12">
        <v>201000000000000</v>
      </c>
      <c r="X1313" s="12">
        <v>204000000000000</v>
      </c>
      <c r="Y1313" s="12">
        <v>206800000000000</v>
      </c>
      <c r="Z1313" s="12">
        <v>209500000000000</v>
      </c>
      <c r="AA1313" s="12">
        <v>212400000000000</v>
      </c>
      <c r="AB1313" s="12">
        <v>215400000000000</v>
      </c>
      <c r="AC1313" s="12">
        <v>218500000000000</v>
      </c>
      <c r="AD1313" s="12">
        <v>221700000000000</v>
      </c>
      <c r="AE1313" s="12">
        <v>224900000000000</v>
      </c>
      <c r="AF1313" s="12">
        <v>228300000000000</v>
      </c>
    </row>
    <row r="1314" spans="1:32" x14ac:dyDescent="0.25">
      <c r="A1314" s="25" t="s">
        <v>1383</v>
      </c>
      <c r="B1314" s="25">
        <v>0</v>
      </c>
      <c r="C1314" s="25">
        <v>0</v>
      </c>
      <c r="D1314" s="25">
        <v>0</v>
      </c>
      <c r="E1314" s="25">
        <v>0</v>
      </c>
      <c r="F1314" s="25">
        <v>0</v>
      </c>
      <c r="G1314" s="25">
        <v>0</v>
      </c>
      <c r="H1314" s="25">
        <v>0</v>
      </c>
      <c r="I1314" s="25">
        <v>0</v>
      </c>
      <c r="J1314" s="25">
        <v>0</v>
      </c>
      <c r="K1314" s="25">
        <v>0</v>
      </c>
      <c r="L1314" s="25">
        <v>0</v>
      </c>
      <c r="M1314" s="25">
        <v>0</v>
      </c>
      <c r="N1314" s="25">
        <v>0</v>
      </c>
      <c r="O1314" s="25">
        <v>0</v>
      </c>
      <c r="P1314" s="25">
        <v>0</v>
      </c>
      <c r="Q1314" s="25">
        <v>0</v>
      </c>
      <c r="R1314" s="25">
        <v>0</v>
      </c>
      <c r="S1314" s="25">
        <v>0</v>
      </c>
      <c r="T1314" s="25">
        <v>0</v>
      </c>
      <c r="U1314" s="25">
        <v>0</v>
      </c>
      <c r="V1314" s="25">
        <v>0</v>
      </c>
      <c r="W1314" s="25">
        <v>0</v>
      </c>
      <c r="X1314" s="25">
        <v>0</v>
      </c>
      <c r="Y1314" s="25">
        <v>0</v>
      </c>
      <c r="Z1314" s="25">
        <v>0</v>
      </c>
      <c r="AA1314" s="25">
        <v>0</v>
      </c>
      <c r="AB1314" s="25">
        <v>0</v>
      </c>
      <c r="AC1314" s="25">
        <v>0</v>
      </c>
      <c r="AD1314" s="25">
        <v>0</v>
      </c>
      <c r="AE1314" s="25">
        <v>0</v>
      </c>
      <c r="AF1314" s="25">
        <v>0</v>
      </c>
    </row>
    <row r="1315" spans="1:32" x14ac:dyDescent="0.25">
      <c r="A1315" s="25" t="s">
        <v>1384</v>
      </c>
      <c r="B1315" s="25">
        <v>0</v>
      </c>
      <c r="C1315" s="25">
        <v>0</v>
      </c>
      <c r="D1315" s="25">
        <v>0</v>
      </c>
      <c r="E1315" s="25">
        <v>0</v>
      </c>
      <c r="F1315" s="25">
        <v>0</v>
      </c>
      <c r="G1315" s="25">
        <v>0</v>
      </c>
      <c r="H1315" s="25">
        <v>0</v>
      </c>
      <c r="I1315" s="25">
        <v>0</v>
      </c>
      <c r="J1315" s="25">
        <v>0</v>
      </c>
      <c r="K1315" s="25">
        <v>0</v>
      </c>
      <c r="L1315" s="25">
        <v>0</v>
      </c>
      <c r="M1315" s="25">
        <v>0</v>
      </c>
      <c r="N1315" s="25">
        <v>0</v>
      </c>
      <c r="O1315" s="25">
        <v>0</v>
      </c>
      <c r="P1315" s="25">
        <v>0</v>
      </c>
      <c r="Q1315" s="25">
        <v>0</v>
      </c>
      <c r="R1315" s="25">
        <v>0</v>
      </c>
      <c r="S1315" s="25">
        <v>0</v>
      </c>
      <c r="T1315" s="25">
        <v>0</v>
      </c>
      <c r="U1315" s="25">
        <v>0</v>
      </c>
      <c r="V1315" s="25">
        <v>0</v>
      </c>
      <c r="W1315" s="25">
        <v>0</v>
      </c>
      <c r="X1315" s="25">
        <v>0</v>
      </c>
      <c r="Y1315" s="25">
        <v>0</v>
      </c>
      <c r="Z1315" s="25">
        <v>0</v>
      </c>
      <c r="AA1315" s="25">
        <v>0</v>
      </c>
      <c r="AB1315" s="25">
        <v>0</v>
      </c>
      <c r="AC1315" s="25">
        <v>0</v>
      </c>
      <c r="AD1315" s="25">
        <v>0</v>
      </c>
      <c r="AE1315" s="25">
        <v>0</v>
      </c>
      <c r="AF1315" s="25">
        <v>0</v>
      </c>
    </row>
    <row r="1316" spans="1:32" x14ac:dyDescent="0.25">
      <c r="A1316" s="25" t="s">
        <v>1385</v>
      </c>
      <c r="B1316" s="25">
        <v>0</v>
      </c>
      <c r="C1316" s="25">
        <v>0</v>
      </c>
      <c r="D1316" s="25">
        <v>0</v>
      </c>
      <c r="E1316" s="25">
        <v>0</v>
      </c>
      <c r="F1316" s="25">
        <v>0</v>
      </c>
      <c r="G1316" s="25">
        <v>0</v>
      </c>
      <c r="H1316" s="25">
        <v>0</v>
      </c>
      <c r="I1316" s="25">
        <v>0</v>
      </c>
      <c r="J1316" s="25">
        <v>0</v>
      </c>
      <c r="K1316" s="25">
        <v>0</v>
      </c>
      <c r="L1316" s="25">
        <v>0</v>
      </c>
      <c r="M1316" s="25">
        <v>0</v>
      </c>
      <c r="N1316" s="25">
        <v>0</v>
      </c>
      <c r="O1316" s="25">
        <v>0</v>
      </c>
      <c r="P1316" s="25">
        <v>0</v>
      </c>
      <c r="Q1316" s="25">
        <v>0</v>
      </c>
      <c r="R1316" s="25">
        <v>0</v>
      </c>
      <c r="S1316" s="25">
        <v>0</v>
      </c>
      <c r="T1316" s="25">
        <v>0</v>
      </c>
      <c r="U1316" s="25">
        <v>0</v>
      </c>
      <c r="V1316" s="25">
        <v>0</v>
      </c>
      <c r="W1316" s="25">
        <v>0</v>
      </c>
      <c r="X1316" s="25">
        <v>0</v>
      </c>
      <c r="Y1316" s="25">
        <v>0</v>
      </c>
      <c r="Z1316" s="25">
        <v>0</v>
      </c>
      <c r="AA1316" s="25">
        <v>0</v>
      </c>
      <c r="AB1316" s="25">
        <v>0</v>
      </c>
      <c r="AC1316" s="25">
        <v>0</v>
      </c>
      <c r="AD1316" s="25">
        <v>0</v>
      </c>
      <c r="AE1316" s="25">
        <v>0</v>
      </c>
      <c r="AF1316" s="25">
        <v>0</v>
      </c>
    </row>
    <row r="1317" spans="1:32" x14ac:dyDescent="0.25">
      <c r="A1317" s="25" t="s">
        <v>1386</v>
      </c>
      <c r="B1317" s="25">
        <v>0</v>
      </c>
      <c r="C1317" s="25">
        <v>0</v>
      </c>
      <c r="D1317" s="25">
        <v>0</v>
      </c>
      <c r="E1317" s="25">
        <v>0</v>
      </c>
      <c r="F1317" s="25">
        <v>0</v>
      </c>
      <c r="G1317" s="25">
        <v>0</v>
      </c>
      <c r="H1317" s="25">
        <v>0</v>
      </c>
      <c r="I1317" s="25">
        <v>0</v>
      </c>
      <c r="J1317" s="25">
        <v>0</v>
      </c>
      <c r="K1317" s="25">
        <v>0</v>
      </c>
      <c r="L1317" s="25">
        <v>0</v>
      </c>
      <c r="M1317" s="25">
        <v>0</v>
      </c>
      <c r="N1317" s="25">
        <v>0</v>
      </c>
      <c r="O1317" s="25">
        <v>0</v>
      </c>
      <c r="P1317" s="25">
        <v>0</v>
      </c>
      <c r="Q1317" s="25">
        <v>0</v>
      </c>
      <c r="R1317" s="25">
        <v>0</v>
      </c>
      <c r="S1317" s="25">
        <v>0</v>
      </c>
      <c r="T1317" s="25">
        <v>0</v>
      </c>
      <c r="U1317" s="25">
        <v>0</v>
      </c>
      <c r="V1317" s="25">
        <v>0</v>
      </c>
      <c r="W1317" s="25">
        <v>0</v>
      </c>
      <c r="X1317" s="25">
        <v>0</v>
      </c>
      <c r="Y1317" s="25">
        <v>0</v>
      </c>
      <c r="Z1317" s="25">
        <v>0</v>
      </c>
      <c r="AA1317" s="25">
        <v>0</v>
      </c>
      <c r="AB1317" s="25">
        <v>0</v>
      </c>
      <c r="AC1317" s="25">
        <v>0</v>
      </c>
      <c r="AD1317" s="25">
        <v>0</v>
      </c>
      <c r="AE1317" s="25">
        <v>0</v>
      </c>
      <c r="AF1317" s="25">
        <v>0</v>
      </c>
    </row>
    <row r="1318" spans="1:32" x14ac:dyDescent="0.25">
      <c r="A1318" s="25" t="s">
        <v>1387</v>
      </c>
      <c r="B1318" s="25">
        <v>0</v>
      </c>
      <c r="C1318" s="25">
        <v>0</v>
      </c>
      <c r="D1318" s="25">
        <v>0</v>
      </c>
      <c r="E1318" s="25">
        <v>0</v>
      </c>
      <c r="F1318" s="25">
        <v>0</v>
      </c>
      <c r="G1318" s="25">
        <v>0</v>
      </c>
      <c r="H1318" s="25">
        <v>0</v>
      </c>
      <c r="I1318" s="25">
        <v>0</v>
      </c>
      <c r="J1318" s="25">
        <v>0</v>
      </c>
      <c r="K1318" s="25">
        <v>0</v>
      </c>
      <c r="L1318" s="25">
        <v>0</v>
      </c>
      <c r="M1318" s="25">
        <v>0</v>
      </c>
      <c r="N1318" s="25">
        <v>0</v>
      </c>
      <c r="O1318" s="25">
        <v>0</v>
      </c>
      <c r="P1318" s="25">
        <v>0</v>
      </c>
      <c r="Q1318" s="25">
        <v>0</v>
      </c>
      <c r="R1318" s="25">
        <v>0</v>
      </c>
      <c r="S1318" s="25">
        <v>0</v>
      </c>
      <c r="T1318" s="25">
        <v>0</v>
      </c>
      <c r="U1318" s="25">
        <v>0</v>
      </c>
      <c r="V1318" s="25">
        <v>0</v>
      </c>
      <c r="W1318" s="25">
        <v>0</v>
      </c>
      <c r="X1318" s="25">
        <v>0</v>
      </c>
      <c r="Y1318" s="25">
        <v>0</v>
      </c>
      <c r="Z1318" s="25">
        <v>0</v>
      </c>
      <c r="AA1318" s="25">
        <v>0</v>
      </c>
      <c r="AB1318" s="25">
        <v>0</v>
      </c>
      <c r="AC1318" s="25">
        <v>0</v>
      </c>
      <c r="AD1318" s="25">
        <v>0</v>
      </c>
      <c r="AE1318" s="25">
        <v>0</v>
      </c>
      <c r="AF1318" s="25">
        <v>0</v>
      </c>
    </row>
    <row r="1319" spans="1:32" x14ac:dyDescent="0.25">
      <c r="A1319" s="25" t="s">
        <v>1388</v>
      </c>
      <c r="B1319" s="25">
        <v>0</v>
      </c>
      <c r="C1319" s="25">
        <v>0</v>
      </c>
      <c r="D1319" s="25">
        <v>0</v>
      </c>
      <c r="E1319" s="25">
        <v>0</v>
      </c>
      <c r="F1319" s="25">
        <v>0</v>
      </c>
      <c r="G1319" s="25">
        <v>0</v>
      </c>
      <c r="H1319" s="25">
        <v>0</v>
      </c>
      <c r="I1319" s="25">
        <v>0</v>
      </c>
      <c r="J1319" s="25">
        <v>0</v>
      </c>
      <c r="K1319" s="25">
        <v>0</v>
      </c>
      <c r="L1319" s="25">
        <v>0</v>
      </c>
      <c r="M1319" s="25">
        <v>0</v>
      </c>
      <c r="N1319" s="25">
        <v>0</v>
      </c>
      <c r="O1319" s="25">
        <v>0</v>
      </c>
      <c r="P1319" s="25">
        <v>0</v>
      </c>
      <c r="Q1319" s="25">
        <v>0</v>
      </c>
      <c r="R1319" s="25">
        <v>0</v>
      </c>
      <c r="S1319" s="25">
        <v>0</v>
      </c>
      <c r="T1319" s="25">
        <v>0</v>
      </c>
      <c r="U1319" s="25">
        <v>0</v>
      </c>
      <c r="V1319" s="25">
        <v>0</v>
      </c>
      <c r="W1319" s="25">
        <v>0</v>
      </c>
      <c r="X1319" s="25">
        <v>0</v>
      </c>
      <c r="Y1319" s="25">
        <v>0</v>
      </c>
      <c r="Z1319" s="25">
        <v>0</v>
      </c>
      <c r="AA1319" s="25">
        <v>0</v>
      </c>
      <c r="AB1319" s="25">
        <v>0</v>
      </c>
      <c r="AC1319" s="25">
        <v>0</v>
      </c>
      <c r="AD1319" s="25">
        <v>0</v>
      </c>
      <c r="AE1319" s="25">
        <v>0</v>
      </c>
      <c r="AF1319" s="2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50"/>
  <sheetViews>
    <sheetView workbookViewId="0">
      <selection activeCell="E14" sqref="E14"/>
    </sheetView>
  </sheetViews>
  <sheetFormatPr defaultRowHeight="15" x14ac:dyDescent="0.25"/>
  <cols>
    <col min="1" max="1" width="39.5703125" customWidth="1"/>
    <col min="2" max="2" width="11.5703125" bestFit="1" customWidth="1"/>
  </cols>
  <sheetData>
    <row r="1" spans="1:32" s="4" customFormat="1" x14ac:dyDescent="0.25">
      <c r="A1" s="6" t="s">
        <v>22</v>
      </c>
    </row>
    <row r="2" spans="1:32" s="7" customFormat="1" x14ac:dyDescent="0.25">
      <c r="A2" s="7" t="s">
        <v>30</v>
      </c>
      <c r="B2" s="7">
        <f>'Fuel Taxes'!B$1</f>
        <v>2020</v>
      </c>
      <c r="C2" s="7">
        <f>'Fuel Taxes'!C$1</f>
        <v>2021</v>
      </c>
      <c r="D2" s="7">
        <f>'Fuel Taxes'!D$1</f>
        <v>2022</v>
      </c>
      <c r="E2" s="7">
        <f>'Fuel Taxes'!E$1</f>
        <v>2023</v>
      </c>
      <c r="F2" s="7">
        <f>'Fuel Taxes'!F$1</f>
        <v>2024</v>
      </c>
      <c r="G2" s="7">
        <f>'Fuel Taxes'!G$1</f>
        <v>2025</v>
      </c>
      <c r="H2" s="7">
        <f>'Fuel Taxes'!H$1</f>
        <v>2026</v>
      </c>
      <c r="I2" s="7">
        <f>'Fuel Taxes'!I$1</f>
        <v>2027</v>
      </c>
      <c r="J2" s="7">
        <f>'Fuel Taxes'!J$1</f>
        <v>2028</v>
      </c>
      <c r="K2" s="7">
        <f>'Fuel Taxes'!K$1</f>
        <v>2029</v>
      </c>
      <c r="L2" s="7">
        <f>'Fuel Taxes'!L$1</f>
        <v>2030</v>
      </c>
      <c r="M2" s="7">
        <f>'Fuel Taxes'!M$1</f>
        <v>2031</v>
      </c>
      <c r="N2" s="7">
        <f>'Fuel Taxes'!N$1</f>
        <v>2032</v>
      </c>
      <c r="O2" s="7">
        <f>'Fuel Taxes'!O$1</f>
        <v>2033</v>
      </c>
      <c r="P2" s="7">
        <f>'Fuel Taxes'!P$1</f>
        <v>2034</v>
      </c>
      <c r="Q2" s="7">
        <f>'Fuel Taxes'!Q$1</f>
        <v>2035</v>
      </c>
      <c r="R2" s="7">
        <f>'Fuel Taxes'!R$1</f>
        <v>2036</v>
      </c>
      <c r="S2" s="7">
        <f>'Fuel Taxes'!S$1</f>
        <v>2037</v>
      </c>
      <c r="T2" s="7">
        <f>'Fuel Taxes'!T$1</f>
        <v>2038</v>
      </c>
      <c r="U2" s="7">
        <f>'Fuel Taxes'!U$1</f>
        <v>2039</v>
      </c>
      <c r="V2" s="7">
        <f>'Fuel Taxes'!V$1</f>
        <v>2040</v>
      </c>
      <c r="W2" s="7">
        <f>'Fuel Taxes'!W$1</f>
        <v>2041</v>
      </c>
      <c r="X2" s="7">
        <f>'Fuel Taxes'!X$1</f>
        <v>2042</v>
      </c>
      <c r="Y2" s="7">
        <f>'Fuel Taxes'!Y$1</f>
        <v>2043</v>
      </c>
      <c r="Z2" s="7">
        <f>'Fuel Taxes'!Z$1</f>
        <v>2044</v>
      </c>
      <c r="AA2" s="7">
        <f>'Fuel Taxes'!AA$1</f>
        <v>2045</v>
      </c>
      <c r="AB2" s="7">
        <f>'Fuel Taxes'!AB$1</f>
        <v>2046</v>
      </c>
      <c r="AC2" s="7">
        <f>'Fuel Taxes'!AC$1</f>
        <v>2047</v>
      </c>
      <c r="AD2" s="7">
        <f>'Fuel Taxes'!AD$1</f>
        <v>2048</v>
      </c>
      <c r="AE2" s="7">
        <f>'Fuel Taxes'!AE$1</f>
        <v>2049</v>
      </c>
      <c r="AF2" s="7">
        <f>'Fuel Taxes'!AF$1</f>
        <v>2050</v>
      </c>
    </row>
    <row r="3" spans="1:32" x14ac:dyDescent="0.25">
      <c r="A3" t="s">
        <v>52</v>
      </c>
      <c r="B3">
        <f>'Pretax Fuel Prices'!B4+'Fuel Taxes'!B4</f>
        <v>0</v>
      </c>
      <c r="C3">
        <f>'Pretax Fuel Prices'!C4+'Fuel Taxes'!C4</f>
        <v>0</v>
      </c>
      <c r="D3">
        <f>'Pretax Fuel Prices'!D4+'Fuel Taxes'!D4</f>
        <v>0</v>
      </c>
      <c r="E3">
        <f>'Pretax Fuel Prices'!E4+'Fuel Taxes'!E4</f>
        <v>0</v>
      </c>
      <c r="F3">
        <f>'Pretax Fuel Prices'!F4+'Fuel Taxes'!F4</f>
        <v>0</v>
      </c>
      <c r="G3">
        <f>'Pretax Fuel Prices'!G4+'Fuel Taxes'!G4</f>
        <v>0</v>
      </c>
      <c r="H3">
        <f>'Pretax Fuel Prices'!H4+'Fuel Taxes'!H4</f>
        <v>0</v>
      </c>
      <c r="I3">
        <f>'Pretax Fuel Prices'!I4+'Fuel Taxes'!I4</f>
        <v>0</v>
      </c>
      <c r="J3">
        <f>'Pretax Fuel Prices'!J4+'Fuel Taxes'!J4</f>
        <v>0</v>
      </c>
      <c r="K3">
        <f>'Pretax Fuel Prices'!K4+'Fuel Taxes'!K4</f>
        <v>0</v>
      </c>
      <c r="L3">
        <f>'Pretax Fuel Prices'!L4+'Fuel Taxes'!L4</f>
        <v>0</v>
      </c>
      <c r="M3">
        <f>'Pretax Fuel Prices'!M4+'Fuel Taxes'!M4</f>
        <v>0</v>
      </c>
      <c r="N3">
        <f>'Pretax Fuel Prices'!N4+'Fuel Taxes'!N4</f>
        <v>0</v>
      </c>
      <c r="O3">
        <f>'Pretax Fuel Prices'!O4+'Fuel Taxes'!O4</f>
        <v>0</v>
      </c>
      <c r="P3">
        <f>'Pretax Fuel Prices'!P4+'Fuel Taxes'!P4</f>
        <v>0</v>
      </c>
      <c r="Q3">
        <f>'Pretax Fuel Prices'!Q4+'Fuel Taxes'!Q4</f>
        <v>0</v>
      </c>
      <c r="R3">
        <f>'Pretax Fuel Prices'!R4+'Fuel Taxes'!R4</f>
        <v>0</v>
      </c>
      <c r="S3">
        <f>'Pretax Fuel Prices'!S4+'Fuel Taxes'!S4</f>
        <v>0</v>
      </c>
      <c r="T3">
        <f>'Pretax Fuel Prices'!T4+'Fuel Taxes'!T4</f>
        <v>0</v>
      </c>
      <c r="U3">
        <f>'Pretax Fuel Prices'!U4+'Fuel Taxes'!U4</f>
        <v>0</v>
      </c>
      <c r="V3">
        <f>'Pretax Fuel Prices'!V4+'Fuel Taxes'!V4</f>
        <v>0</v>
      </c>
      <c r="W3">
        <f>'Pretax Fuel Prices'!W4+'Fuel Taxes'!W4</f>
        <v>0</v>
      </c>
      <c r="X3">
        <f>'Pretax Fuel Prices'!X4+'Fuel Taxes'!X4</f>
        <v>0</v>
      </c>
      <c r="Y3">
        <f>'Pretax Fuel Prices'!Y4+'Fuel Taxes'!Y4</f>
        <v>0</v>
      </c>
      <c r="Z3">
        <f>'Pretax Fuel Prices'!Z4+'Fuel Taxes'!Z4</f>
        <v>0</v>
      </c>
      <c r="AA3">
        <f>'Pretax Fuel Prices'!AA4+'Fuel Taxes'!AA4</f>
        <v>0</v>
      </c>
      <c r="AB3">
        <f>'Pretax Fuel Prices'!AB4+'Fuel Taxes'!AB4</f>
        <v>0</v>
      </c>
      <c r="AC3">
        <f>'Pretax Fuel Prices'!AC4+'Fuel Taxes'!AC4</f>
        <v>0</v>
      </c>
      <c r="AD3">
        <f>'Pretax Fuel Prices'!AD4+'Fuel Taxes'!AD4</f>
        <v>0</v>
      </c>
      <c r="AE3">
        <f>'Pretax Fuel Prices'!AE4+'Fuel Taxes'!AE4</f>
        <v>0</v>
      </c>
      <c r="AF3">
        <f>'Pretax Fuel Prices'!AF4+'Fuel Taxes'!AF4</f>
        <v>0</v>
      </c>
    </row>
    <row r="4" spans="1:32" x14ac:dyDescent="0.25">
      <c r="A4" t="s">
        <v>53</v>
      </c>
      <c r="B4">
        <f>'Pretax Fuel Prices'!B5+'Fuel Taxes'!B5</f>
        <v>1.7479684025231623E-6</v>
      </c>
      <c r="C4">
        <f>'Pretax Fuel Prices'!C5+'Fuel Taxes'!C5</f>
        <v>1.7494689535882731E-6</v>
      </c>
      <c r="D4">
        <f>'Pretax Fuel Prices'!D5+'Fuel Taxes'!D5</f>
        <v>1.7257550373891717E-6</v>
      </c>
      <c r="E4">
        <f>'Pretax Fuel Prices'!E5+'Fuel Taxes'!E5</f>
        <v>1.7111470745236424E-6</v>
      </c>
      <c r="F4">
        <f>'Pretax Fuel Prices'!F5+'Fuel Taxes'!F5</f>
        <v>1.710382575826698E-6</v>
      </c>
      <c r="G4">
        <f>'Pretax Fuel Prices'!G5+'Fuel Taxes'!G5</f>
        <v>1.6682373528894735E-6</v>
      </c>
      <c r="H4">
        <f>'Pretax Fuel Prices'!H5+'Fuel Taxes'!H5</f>
        <v>1.6406669276907694E-6</v>
      </c>
      <c r="I4">
        <f>'Pretax Fuel Prices'!I5+'Fuel Taxes'!I5</f>
        <v>1.6394610776882474E-6</v>
      </c>
      <c r="J4">
        <f>'Pretax Fuel Prices'!J5+'Fuel Taxes'!J5</f>
        <v>1.6307930741087656E-6</v>
      </c>
      <c r="K4">
        <f>'Pretax Fuel Prices'!K5+'Fuel Taxes'!K5</f>
        <v>1.6369337249326094E-6</v>
      </c>
      <c r="L4">
        <f>'Pretax Fuel Prices'!L5+'Fuel Taxes'!L5</f>
        <v>1.634483757473325E-6</v>
      </c>
      <c r="M4">
        <f>'Pretax Fuel Prices'!M5+'Fuel Taxes'!M5</f>
        <v>1.6334250245726621E-6</v>
      </c>
      <c r="N4">
        <f>'Pretax Fuel Prices'!N5+'Fuel Taxes'!N5</f>
        <v>1.6239287432058339E-6</v>
      </c>
      <c r="O4">
        <f>'Pretax Fuel Prices'!O5+'Fuel Taxes'!O5</f>
        <v>1.6209455825507944E-6</v>
      </c>
      <c r="P4">
        <f>'Pretax Fuel Prices'!P5+'Fuel Taxes'!P5</f>
        <v>1.6150668511915317E-6</v>
      </c>
      <c r="Q4">
        <f>'Pretax Fuel Prices'!Q5+'Fuel Taxes'!Q5</f>
        <v>1.6034675606172029E-6</v>
      </c>
      <c r="R4">
        <f>'Pretax Fuel Prices'!R5+'Fuel Taxes'!R5</f>
        <v>1.5905161533263651E-6</v>
      </c>
      <c r="S4">
        <f>'Pretax Fuel Prices'!S5+'Fuel Taxes'!S5</f>
        <v>1.5878085183418592E-6</v>
      </c>
      <c r="T4">
        <f>'Pretax Fuel Prices'!T5+'Fuel Taxes'!T5</f>
        <v>1.5872353569161188E-6</v>
      </c>
      <c r="U4">
        <f>'Pretax Fuel Prices'!U5+'Fuel Taxes'!U5</f>
        <v>1.5849843802188864E-6</v>
      </c>
      <c r="V4">
        <f>'Pretax Fuel Prices'!V5+'Fuel Taxes'!V5</f>
        <v>1.5892201622094092E-6</v>
      </c>
      <c r="W4">
        <f>'Pretax Fuel Prices'!W5+'Fuel Taxes'!W5</f>
        <v>1.5856808478860695E-6</v>
      </c>
      <c r="X4">
        <f>'Pretax Fuel Prices'!X5+'Fuel Taxes'!X5</f>
        <v>1.5765774457161139E-6</v>
      </c>
      <c r="Y4">
        <f>'Pretax Fuel Prices'!Y5+'Fuel Taxes'!Y5</f>
        <v>1.5669663619865635E-6</v>
      </c>
      <c r="Z4">
        <f>'Pretax Fuel Prices'!Z5+'Fuel Taxes'!Z5</f>
        <v>1.5624703613072032E-6</v>
      </c>
      <c r="AA4">
        <f>'Pretax Fuel Prices'!AA5+'Fuel Taxes'!AA5</f>
        <v>1.559857119376491E-6</v>
      </c>
      <c r="AB4">
        <f>'Pretax Fuel Prices'!AB5+'Fuel Taxes'!AB5</f>
        <v>1.5574505216986793E-6</v>
      </c>
      <c r="AC4">
        <f>'Pretax Fuel Prices'!AC5+'Fuel Taxes'!AC5</f>
        <v>1.5527725380147069E-6</v>
      </c>
      <c r="AD4">
        <f>'Pretax Fuel Prices'!AD5+'Fuel Taxes'!AD5</f>
        <v>1.5454523992123739E-6</v>
      </c>
      <c r="AE4">
        <f>'Pretax Fuel Prices'!AE5+'Fuel Taxes'!AE5</f>
        <v>1.5465757615913099E-6</v>
      </c>
      <c r="AF4">
        <f>'Pretax Fuel Prices'!AF5+'Fuel Taxes'!AF5</f>
        <v>1.5442712104581404E-6</v>
      </c>
    </row>
    <row r="5" spans="1:32" x14ac:dyDescent="0.25">
      <c r="A5" t="s">
        <v>54</v>
      </c>
      <c r="B5">
        <f>'Pretax Fuel Prices'!B6+'Fuel Taxes'!B6</f>
        <v>0</v>
      </c>
      <c r="C5">
        <f>'Pretax Fuel Prices'!C6+'Fuel Taxes'!C6</f>
        <v>0</v>
      </c>
      <c r="D5">
        <f>'Pretax Fuel Prices'!D6+'Fuel Taxes'!D6</f>
        <v>0</v>
      </c>
      <c r="E5">
        <f>'Pretax Fuel Prices'!E6+'Fuel Taxes'!E6</f>
        <v>0</v>
      </c>
      <c r="F5">
        <f>'Pretax Fuel Prices'!F6+'Fuel Taxes'!F6</f>
        <v>0</v>
      </c>
      <c r="G5">
        <f>'Pretax Fuel Prices'!G6+'Fuel Taxes'!G6</f>
        <v>0</v>
      </c>
      <c r="H5">
        <f>'Pretax Fuel Prices'!H6+'Fuel Taxes'!H6</f>
        <v>0</v>
      </c>
      <c r="I5">
        <f>'Pretax Fuel Prices'!I6+'Fuel Taxes'!I6</f>
        <v>0</v>
      </c>
      <c r="J5">
        <f>'Pretax Fuel Prices'!J6+'Fuel Taxes'!J6</f>
        <v>0</v>
      </c>
      <c r="K5">
        <f>'Pretax Fuel Prices'!K6+'Fuel Taxes'!K6</f>
        <v>0</v>
      </c>
      <c r="L5">
        <f>'Pretax Fuel Prices'!L6+'Fuel Taxes'!L6</f>
        <v>0</v>
      </c>
      <c r="M5">
        <f>'Pretax Fuel Prices'!M6+'Fuel Taxes'!M6</f>
        <v>0</v>
      </c>
      <c r="N5">
        <f>'Pretax Fuel Prices'!N6+'Fuel Taxes'!N6</f>
        <v>0</v>
      </c>
      <c r="O5">
        <f>'Pretax Fuel Prices'!O6+'Fuel Taxes'!O6</f>
        <v>0</v>
      </c>
      <c r="P5">
        <f>'Pretax Fuel Prices'!P6+'Fuel Taxes'!P6</f>
        <v>0</v>
      </c>
      <c r="Q5">
        <f>'Pretax Fuel Prices'!Q6+'Fuel Taxes'!Q6</f>
        <v>0</v>
      </c>
      <c r="R5">
        <f>'Pretax Fuel Prices'!R6+'Fuel Taxes'!R6</f>
        <v>0</v>
      </c>
      <c r="S5">
        <f>'Pretax Fuel Prices'!S6+'Fuel Taxes'!S6</f>
        <v>0</v>
      </c>
      <c r="T5">
        <f>'Pretax Fuel Prices'!T6+'Fuel Taxes'!T6</f>
        <v>0</v>
      </c>
      <c r="U5">
        <f>'Pretax Fuel Prices'!U6+'Fuel Taxes'!U6</f>
        <v>0</v>
      </c>
      <c r="V5">
        <f>'Pretax Fuel Prices'!V6+'Fuel Taxes'!V6</f>
        <v>0</v>
      </c>
      <c r="W5">
        <f>'Pretax Fuel Prices'!W6+'Fuel Taxes'!W6</f>
        <v>0</v>
      </c>
      <c r="X5">
        <f>'Pretax Fuel Prices'!X6+'Fuel Taxes'!X6</f>
        <v>0</v>
      </c>
      <c r="Y5">
        <f>'Pretax Fuel Prices'!Y6+'Fuel Taxes'!Y6</f>
        <v>0</v>
      </c>
      <c r="Z5">
        <f>'Pretax Fuel Prices'!Z6+'Fuel Taxes'!Z6</f>
        <v>0</v>
      </c>
      <c r="AA5">
        <f>'Pretax Fuel Prices'!AA6+'Fuel Taxes'!AA6</f>
        <v>0</v>
      </c>
      <c r="AB5">
        <f>'Pretax Fuel Prices'!AB6+'Fuel Taxes'!AB6</f>
        <v>0</v>
      </c>
      <c r="AC5">
        <f>'Pretax Fuel Prices'!AC6+'Fuel Taxes'!AC6</f>
        <v>0</v>
      </c>
      <c r="AD5">
        <f>'Pretax Fuel Prices'!AD6+'Fuel Taxes'!AD6</f>
        <v>0</v>
      </c>
      <c r="AE5">
        <f>'Pretax Fuel Prices'!AE6+'Fuel Taxes'!AE6</f>
        <v>0</v>
      </c>
      <c r="AF5">
        <f>'Pretax Fuel Prices'!AF6+'Fuel Taxes'!AF6</f>
        <v>0</v>
      </c>
    </row>
    <row r="6" spans="1:32" x14ac:dyDescent="0.25">
      <c r="A6" t="s">
        <v>55</v>
      </c>
      <c r="B6">
        <f>'Pretax Fuel Prices'!B7+'Fuel Taxes'!B7</f>
        <v>0</v>
      </c>
      <c r="C6">
        <f>'Pretax Fuel Prices'!C7+'Fuel Taxes'!C7</f>
        <v>0</v>
      </c>
      <c r="D6">
        <f>'Pretax Fuel Prices'!D7+'Fuel Taxes'!D7</f>
        <v>0</v>
      </c>
      <c r="E6">
        <f>'Pretax Fuel Prices'!E7+'Fuel Taxes'!E7</f>
        <v>0</v>
      </c>
      <c r="F6">
        <f>'Pretax Fuel Prices'!F7+'Fuel Taxes'!F7</f>
        <v>0</v>
      </c>
      <c r="G6">
        <f>'Pretax Fuel Prices'!G7+'Fuel Taxes'!G7</f>
        <v>0</v>
      </c>
      <c r="H6">
        <f>'Pretax Fuel Prices'!H7+'Fuel Taxes'!H7</f>
        <v>0</v>
      </c>
      <c r="I6">
        <f>'Pretax Fuel Prices'!I7+'Fuel Taxes'!I7</f>
        <v>0</v>
      </c>
      <c r="J6">
        <f>'Pretax Fuel Prices'!J7+'Fuel Taxes'!J7</f>
        <v>0</v>
      </c>
      <c r="K6">
        <f>'Pretax Fuel Prices'!K7+'Fuel Taxes'!K7</f>
        <v>0</v>
      </c>
      <c r="L6">
        <f>'Pretax Fuel Prices'!L7+'Fuel Taxes'!L7</f>
        <v>0</v>
      </c>
      <c r="M6">
        <f>'Pretax Fuel Prices'!M7+'Fuel Taxes'!M7</f>
        <v>0</v>
      </c>
      <c r="N6">
        <f>'Pretax Fuel Prices'!N7+'Fuel Taxes'!N7</f>
        <v>0</v>
      </c>
      <c r="O6">
        <f>'Pretax Fuel Prices'!O7+'Fuel Taxes'!O7</f>
        <v>0</v>
      </c>
      <c r="P6">
        <f>'Pretax Fuel Prices'!P7+'Fuel Taxes'!P7</f>
        <v>0</v>
      </c>
      <c r="Q6">
        <f>'Pretax Fuel Prices'!Q7+'Fuel Taxes'!Q7</f>
        <v>0</v>
      </c>
      <c r="R6">
        <f>'Pretax Fuel Prices'!R7+'Fuel Taxes'!R7</f>
        <v>0</v>
      </c>
      <c r="S6">
        <f>'Pretax Fuel Prices'!S7+'Fuel Taxes'!S7</f>
        <v>0</v>
      </c>
      <c r="T6">
        <f>'Pretax Fuel Prices'!T7+'Fuel Taxes'!T7</f>
        <v>0</v>
      </c>
      <c r="U6">
        <f>'Pretax Fuel Prices'!U7+'Fuel Taxes'!U7</f>
        <v>0</v>
      </c>
      <c r="V6">
        <f>'Pretax Fuel Prices'!V7+'Fuel Taxes'!V7</f>
        <v>0</v>
      </c>
      <c r="W6">
        <f>'Pretax Fuel Prices'!W7+'Fuel Taxes'!W7</f>
        <v>0</v>
      </c>
      <c r="X6">
        <f>'Pretax Fuel Prices'!X7+'Fuel Taxes'!X7</f>
        <v>0</v>
      </c>
      <c r="Y6">
        <f>'Pretax Fuel Prices'!Y7+'Fuel Taxes'!Y7</f>
        <v>0</v>
      </c>
      <c r="Z6">
        <f>'Pretax Fuel Prices'!Z7+'Fuel Taxes'!Z7</f>
        <v>0</v>
      </c>
      <c r="AA6">
        <f>'Pretax Fuel Prices'!AA7+'Fuel Taxes'!AA7</f>
        <v>0</v>
      </c>
      <c r="AB6">
        <f>'Pretax Fuel Prices'!AB7+'Fuel Taxes'!AB7</f>
        <v>0</v>
      </c>
      <c r="AC6">
        <f>'Pretax Fuel Prices'!AC7+'Fuel Taxes'!AC7</f>
        <v>0</v>
      </c>
      <c r="AD6">
        <f>'Pretax Fuel Prices'!AD7+'Fuel Taxes'!AD7</f>
        <v>0</v>
      </c>
      <c r="AE6">
        <f>'Pretax Fuel Prices'!AE7+'Fuel Taxes'!AE7</f>
        <v>0</v>
      </c>
      <c r="AF6">
        <f>'Pretax Fuel Prices'!AF7+'Fuel Taxes'!AF7</f>
        <v>0</v>
      </c>
    </row>
    <row r="7" spans="1:32" x14ac:dyDescent="0.25">
      <c r="A7" t="s">
        <v>56</v>
      </c>
      <c r="B7">
        <f>'Pretax Fuel Prices'!B8+'Fuel Taxes'!B8</f>
        <v>3.0374351286607898E-6</v>
      </c>
      <c r="C7">
        <f>'Pretax Fuel Prices'!C8+'Fuel Taxes'!C8</f>
        <v>2.8070542265426127E-6</v>
      </c>
      <c r="D7">
        <f>'Pretax Fuel Prices'!D8+'Fuel Taxes'!D8</f>
        <v>2.6537410834363259E-6</v>
      </c>
      <c r="E7">
        <f>'Pretax Fuel Prices'!E8+'Fuel Taxes'!E8</f>
        <v>2.5907330436522943E-6</v>
      </c>
      <c r="F7">
        <f>'Pretax Fuel Prices'!F8+'Fuel Taxes'!F8</f>
        <v>2.5142478551473669E-6</v>
      </c>
      <c r="G7">
        <f>'Pretax Fuel Prices'!G8+'Fuel Taxes'!G8</f>
        <v>2.4706143190760187E-6</v>
      </c>
      <c r="H7">
        <f>'Pretax Fuel Prices'!H8+'Fuel Taxes'!H8</f>
        <v>2.4395323871310961E-6</v>
      </c>
      <c r="I7">
        <f>'Pretax Fuel Prices'!I8+'Fuel Taxes'!I8</f>
        <v>2.4219840667884258E-6</v>
      </c>
      <c r="J7">
        <f>'Pretax Fuel Prices'!J8+'Fuel Taxes'!J8</f>
        <v>2.4210610738782543E-6</v>
      </c>
      <c r="K7">
        <f>'Pretax Fuel Prices'!K8+'Fuel Taxes'!K8</f>
        <v>2.4249153010896578E-6</v>
      </c>
      <c r="L7">
        <f>'Pretax Fuel Prices'!L8+'Fuel Taxes'!L8</f>
        <v>2.4366116496374066E-6</v>
      </c>
      <c r="M7">
        <f>'Pretax Fuel Prices'!M8+'Fuel Taxes'!M8</f>
        <v>2.4465305049203829E-6</v>
      </c>
      <c r="N7">
        <f>'Pretax Fuel Prices'!N8+'Fuel Taxes'!N8</f>
        <v>2.4614783645504782E-6</v>
      </c>
      <c r="O7">
        <f>'Pretax Fuel Prices'!O8+'Fuel Taxes'!O8</f>
        <v>2.4734498835309775E-6</v>
      </c>
      <c r="P7">
        <f>'Pretax Fuel Prices'!P8+'Fuel Taxes'!P8</f>
        <v>2.4854787170149967E-6</v>
      </c>
      <c r="Q7">
        <f>'Pretax Fuel Prices'!Q8+'Fuel Taxes'!Q8</f>
        <v>2.4960593666103587E-6</v>
      </c>
      <c r="R7">
        <f>'Pretax Fuel Prices'!R8+'Fuel Taxes'!R8</f>
        <v>2.5070846248292514E-6</v>
      </c>
      <c r="S7">
        <f>'Pretax Fuel Prices'!S8+'Fuel Taxes'!S8</f>
        <v>2.5204400127808046E-6</v>
      </c>
      <c r="T7">
        <f>'Pretax Fuel Prices'!T8+'Fuel Taxes'!T8</f>
        <v>2.5344680485298155E-6</v>
      </c>
      <c r="U7">
        <f>'Pretax Fuel Prices'!U8+'Fuel Taxes'!U8</f>
        <v>2.5451126891190473E-6</v>
      </c>
      <c r="V7">
        <f>'Pretax Fuel Prices'!V8+'Fuel Taxes'!V8</f>
        <v>2.5569606011049888E-6</v>
      </c>
      <c r="W7">
        <f>'Pretax Fuel Prices'!W8+'Fuel Taxes'!W8</f>
        <v>2.5704533246100203E-6</v>
      </c>
      <c r="X7">
        <f>'Pretax Fuel Prices'!X8+'Fuel Taxes'!X8</f>
        <v>2.5796217658527601E-6</v>
      </c>
      <c r="Y7">
        <f>'Pretax Fuel Prices'!Y8+'Fuel Taxes'!Y8</f>
        <v>2.5916255166999928E-6</v>
      </c>
      <c r="Z7">
        <f>'Pretax Fuel Prices'!Z8+'Fuel Taxes'!Z8</f>
        <v>2.6052414017170437E-6</v>
      </c>
      <c r="AA7">
        <f>'Pretax Fuel Prices'!AA8+'Fuel Taxes'!AA8</f>
        <v>2.6192233585877431E-6</v>
      </c>
      <c r="AB7">
        <f>'Pretax Fuel Prices'!AB8+'Fuel Taxes'!AB8</f>
        <v>2.6337277088556528E-6</v>
      </c>
      <c r="AC7">
        <f>'Pretax Fuel Prices'!AC8+'Fuel Taxes'!AC8</f>
        <v>2.6450589486572472E-6</v>
      </c>
      <c r="AD7">
        <f>'Pretax Fuel Prices'!AD8+'Fuel Taxes'!AD8</f>
        <v>2.6525236778366011E-6</v>
      </c>
      <c r="AE7">
        <f>'Pretax Fuel Prices'!AE8+'Fuel Taxes'!AE8</f>
        <v>2.6632606127034857E-6</v>
      </c>
      <c r="AF7">
        <f>'Pretax Fuel Prices'!AF8+'Fuel Taxes'!AF8</f>
        <v>2.6780203262257769E-6</v>
      </c>
    </row>
    <row r="8" spans="1:32" x14ac:dyDescent="0.25">
      <c r="A8" t="s">
        <v>57</v>
      </c>
      <c r="B8">
        <f>'Pretax Fuel Prices'!B9+'Fuel Taxes'!B9</f>
        <v>1.7479684025231623E-6</v>
      </c>
      <c r="C8">
        <f>'Pretax Fuel Prices'!C9+'Fuel Taxes'!C9</f>
        <v>1.7494689535882731E-6</v>
      </c>
      <c r="D8">
        <f>'Pretax Fuel Prices'!D9+'Fuel Taxes'!D9</f>
        <v>1.7257550373891717E-6</v>
      </c>
      <c r="E8">
        <f>'Pretax Fuel Prices'!E9+'Fuel Taxes'!E9</f>
        <v>1.7111470745236424E-6</v>
      </c>
      <c r="F8">
        <f>'Pretax Fuel Prices'!F9+'Fuel Taxes'!F9</f>
        <v>1.710382575826698E-6</v>
      </c>
      <c r="G8">
        <f>'Pretax Fuel Prices'!G9+'Fuel Taxes'!G9</f>
        <v>1.6682373528894735E-6</v>
      </c>
      <c r="H8">
        <f>'Pretax Fuel Prices'!H9+'Fuel Taxes'!H9</f>
        <v>1.6406669276907694E-6</v>
      </c>
      <c r="I8">
        <f>'Pretax Fuel Prices'!I9+'Fuel Taxes'!I9</f>
        <v>1.6394610776882474E-6</v>
      </c>
      <c r="J8">
        <f>'Pretax Fuel Prices'!J9+'Fuel Taxes'!J9</f>
        <v>1.6307930741087656E-6</v>
      </c>
      <c r="K8">
        <f>'Pretax Fuel Prices'!K9+'Fuel Taxes'!K9</f>
        <v>1.6369337249326094E-6</v>
      </c>
      <c r="L8">
        <f>'Pretax Fuel Prices'!L9+'Fuel Taxes'!L9</f>
        <v>1.634483757473325E-6</v>
      </c>
      <c r="M8">
        <f>'Pretax Fuel Prices'!M9+'Fuel Taxes'!M9</f>
        <v>1.6334250245726621E-6</v>
      </c>
      <c r="N8">
        <f>'Pretax Fuel Prices'!N9+'Fuel Taxes'!N9</f>
        <v>1.6239287432058339E-6</v>
      </c>
      <c r="O8">
        <f>'Pretax Fuel Prices'!O9+'Fuel Taxes'!O9</f>
        <v>1.6209455825507944E-6</v>
      </c>
      <c r="P8">
        <f>'Pretax Fuel Prices'!P9+'Fuel Taxes'!P9</f>
        <v>1.6150668511915317E-6</v>
      </c>
      <c r="Q8">
        <f>'Pretax Fuel Prices'!Q9+'Fuel Taxes'!Q9</f>
        <v>1.6034675606172029E-6</v>
      </c>
      <c r="R8">
        <f>'Pretax Fuel Prices'!R9+'Fuel Taxes'!R9</f>
        <v>1.5905161533263651E-6</v>
      </c>
      <c r="S8">
        <f>'Pretax Fuel Prices'!S9+'Fuel Taxes'!S9</f>
        <v>1.5878085183418592E-6</v>
      </c>
      <c r="T8">
        <f>'Pretax Fuel Prices'!T9+'Fuel Taxes'!T9</f>
        <v>1.5872353569161188E-6</v>
      </c>
      <c r="U8">
        <f>'Pretax Fuel Prices'!U9+'Fuel Taxes'!U9</f>
        <v>1.5849843802188864E-6</v>
      </c>
      <c r="V8">
        <f>'Pretax Fuel Prices'!V9+'Fuel Taxes'!V9</f>
        <v>1.5892201622094092E-6</v>
      </c>
      <c r="W8">
        <f>'Pretax Fuel Prices'!W9+'Fuel Taxes'!W9</f>
        <v>1.5856808478860695E-6</v>
      </c>
      <c r="X8">
        <f>'Pretax Fuel Prices'!X9+'Fuel Taxes'!X9</f>
        <v>1.5765774457161139E-6</v>
      </c>
      <c r="Y8">
        <f>'Pretax Fuel Prices'!Y9+'Fuel Taxes'!Y9</f>
        <v>1.5669663619865635E-6</v>
      </c>
      <c r="Z8">
        <f>'Pretax Fuel Prices'!Z9+'Fuel Taxes'!Z9</f>
        <v>1.5624703613072032E-6</v>
      </c>
      <c r="AA8">
        <f>'Pretax Fuel Prices'!AA9+'Fuel Taxes'!AA9</f>
        <v>1.559857119376491E-6</v>
      </c>
      <c r="AB8">
        <f>'Pretax Fuel Prices'!AB9+'Fuel Taxes'!AB9</f>
        <v>1.5574505216986793E-6</v>
      </c>
      <c r="AC8">
        <f>'Pretax Fuel Prices'!AC9+'Fuel Taxes'!AC9</f>
        <v>1.5527725380147069E-6</v>
      </c>
      <c r="AD8">
        <f>'Pretax Fuel Prices'!AD9+'Fuel Taxes'!AD9</f>
        <v>1.5454523992123739E-6</v>
      </c>
      <c r="AE8">
        <f>'Pretax Fuel Prices'!AE9+'Fuel Taxes'!AE9</f>
        <v>1.5465757615913099E-6</v>
      </c>
      <c r="AF8">
        <f>'Pretax Fuel Prices'!AF9+'Fuel Taxes'!AF9</f>
        <v>1.5442712104581404E-6</v>
      </c>
    </row>
    <row r="9" spans="1:32" x14ac:dyDescent="0.25">
      <c r="A9" t="s">
        <v>58</v>
      </c>
      <c r="B9">
        <f>'Pretax Fuel Prices'!B10+'Fuel Taxes'!B10</f>
        <v>0</v>
      </c>
      <c r="C9">
        <f>'Pretax Fuel Prices'!C10+'Fuel Taxes'!C10</f>
        <v>0</v>
      </c>
      <c r="D9">
        <f>'Pretax Fuel Prices'!D10+'Fuel Taxes'!D10</f>
        <v>0</v>
      </c>
      <c r="E9">
        <f>'Pretax Fuel Prices'!E10+'Fuel Taxes'!E10</f>
        <v>0</v>
      </c>
      <c r="F9">
        <f>'Pretax Fuel Prices'!F10+'Fuel Taxes'!F10</f>
        <v>0</v>
      </c>
      <c r="G9">
        <f>'Pretax Fuel Prices'!G10+'Fuel Taxes'!G10</f>
        <v>0</v>
      </c>
      <c r="H9">
        <f>'Pretax Fuel Prices'!H10+'Fuel Taxes'!H10</f>
        <v>0</v>
      </c>
      <c r="I9">
        <f>'Pretax Fuel Prices'!I10+'Fuel Taxes'!I10</f>
        <v>0</v>
      </c>
      <c r="J9">
        <f>'Pretax Fuel Prices'!J10+'Fuel Taxes'!J10</f>
        <v>0</v>
      </c>
      <c r="K9">
        <f>'Pretax Fuel Prices'!K10+'Fuel Taxes'!K10</f>
        <v>0</v>
      </c>
      <c r="L9">
        <f>'Pretax Fuel Prices'!L10+'Fuel Taxes'!L10</f>
        <v>0</v>
      </c>
      <c r="M9">
        <f>'Pretax Fuel Prices'!M10+'Fuel Taxes'!M10</f>
        <v>0</v>
      </c>
      <c r="N9">
        <f>'Pretax Fuel Prices'!N10+'Fuel Taxes'!N10</f>
        <v>0</v>
      </c>
      <c r="O9">
        <f>'Pretax Fuel Prices'!O10+'Fuel Taxes'!O10</f>
        <v>0</v>
      </c>
      <c r="P9">
        <f>'Pretax Fuel Prices'!P10+'Fuel Taxes'!P10</f>
        <v>0</v>
      </c>
      <c r="Q9">
        <f>'Pretax Fuel Prices'!Q10+'Fuel Taxes'!Q10</f>
        <v>0</v>
      </c>
      <c r="R9">
        <f>'Pretax Fuel Prices'!R10+'Fuel Taxes'!R10</f>
        <v>0</v>
      </c>
      <c r="S9">
        <f>'Pretax Fuel Prices'!S10+'Fuel Taxes'!S10</f>
        <v>0</v>
      </c>
      <c r="T9">
        <f>'Pretax Fuel Prices'!T10+'Fuel Taxes'!T10</f>
        <v>0</v>
      </c>
      <c r="U9">
        <f>'Pretax Fuel Prices'!U10+'Fuel Taxes'!U10</f>
        <v>0</v>
      </c>
      <c r="V9">
        <f>'Pretax Fuel Prices'!V10+'Fuel Taxes'!V10</f>
        <v>0</v>
      </c>
      <c r="W9">
        <f>'Pretax Fuel Prices'!W10+'Fuel Taxes'!W10</f>
        <v>0</v>
      </c>
      <c r="X9">
        <f>'Pretax Fuel Prices'!X10+'Fuel Taxes'!X10</f>
        <v>0</v>
      </c>
      <c r="Y9">
        <f>'Pretax Fuel Prices'!Y10+'Fuel Taxes'!Y10</f>
        <v>0</v>
      </c>
      <c r="Z9">
        <f>'Pretax Fuel Prices'!Z10+'Fuel Taxes'!Z10</f>
        <v>0</v>
      </c>
      <c r="AA9">
        <f>'Pretax Fuel Prices'!AA10+'Fuel Taxes'!AA10</f>
        <v>0</v>
      </c>
      <c r="AB9">
        <f>'Pretax Fuel Prices'!AB10+'Fuel Taxes'!AB10</f>
        <v>0</v>
      </c>
      <c r="AC9">
        <f>'Pretax Fuel Prices'!AC10+'Fuel Taxes'!AC10</f>
        <v>0</v>
      </c>
      <c r="AD9">
        <f>'Pretax Fuel Prices'!AD10+'Fuel Taxes'!AD10</f>
        <v>0</v>
      </c>
      <c r="AE9">
        <f>'Pretax Fuel Prices'!AE10+'Fuel Taxes'!AE10</f>
        <v>0</v>
      </c>
      <c r="AF9">
        <f>'Pretax Fuel Prices'!AF10+'Fuel Taxes'!AF10</f>
        <v>0</v>
      </c>
    </row>
    <row r="10" spans="1:32" x14ac:dyDescent="0.25">
      <c r="A10" t="s">
        <v>59</v>
      </c>
      <c r="B10">
        <f>'Pretax Fuel Prices'!B11+'Fuel Taxes'!B11</f>
        <v>3.0374351286607898E-6</v>
      </c>
      <c r="C10">
        <f>'Pretax Fuel Prices'!C11+'Fuel Taxes'!C11</f>
        <v>2.8070542265426127E-6</v>
      </c>
      <c r="D10">
        <f>'Pretax Fuel Prices'!D11+'Fuel Taxes'!D11</f>
        <v>2.6537410834363259E-6</v>
      </c>
      <c r="E10">
        <f>'Pretax Fuel Prices'!E11+'Fuel Taxes'!E11</f>
        <v>2.5907330436522943E-6</v>
      </c>
      <c r="F10">
        <f>'Pretax Fuel Prices'!F11+'Fuel Taxes'!F11</f>
        <v>2.5142478551473669E-6</v>
      </c>
      <c r="G10">
        <f>'Pretax Fuel Prices'!G11+'Fuel Taxes'!G11</f>
        <v>2.4706143190760187E-6</v>
      </c>
      <c r="H10">
        <f>'Pretax Fuel Prices'!H11+'Fuel Taxes'!H11</f>
        <v>2.4395323871310961E-6</v>
      </c>
      <c r="I10">
        <f>'Pretax Fuel Prices'!I11+'Fuel Taxes'!I11</f>
        <v>2.4219840667884258E-6</v>
      </c>
      <c r="J10">
        <f>'Pretax Fuel Prices'!J11+'Fuel Taxes'!J11</f>
        <v>2.4210610738782543E-6</v>
      </c>
      <c r="K10">
        <f>'Pretax Fuel Prices'!K11+'Fuel Taxes'!K11</f>
        <v>2.4249153010896578E-6</v>
      </c>
      <c r="L10">
        <f>'Pretax Fuel Prices'!L11+'Fuel Taxes'!L11</f>
        <v>2.4366116496374066E-6</v>
      </c>
      <c r="M10">
        <f>'Pretax Fuel Prices'!M11+'Fuel Taxes'!M11</f>
        <v>2.4465305049203829E-6</v>
      </c>
      <c r="N10">
        <f>'Pretax Fuel Prices'!N11+'Fuel Taxes'!N11</f>
        <v>2.4614783645504782E-6</v>
      </c>
      <c r="O10">
        <f>'Pretax Fuel Prices'!O11+'Fuel Taxes'!O11</f>
        <v>2.4734498835309775E-6</v>
      </c>
      <c r="P10">
        <f>'Pretax Fuel Prices'!P11+'Fuel Taxes'!P11</f>
        <v>2.4854787170149967E-6</v>
      </c>
      <c r="Q10">
        <f>'Pretax Fuel Prices'!Q11+'Fuel Taxes'!Q11</f>
        <v>2.4960593666103587E-6</v>
      </c>
      <c r="R10">
        <f>'Pretax Fuel Prices'!R11+'Fuel Taxes'!R11</f>
        <v>2.5070846248292514E-6</v>
      </c>
      <c r="S10">
        <f>'Pretax Fuel Prices'!S11+'Fuel Taxes'!S11</f>
        <v>2.5204400127808046E-6</v>
      </c>
      <c r="T10">
        <f>'Pretax Fuel Prices'!T11+'Fuel Taxes'!T11</f>
        <v>2.5344680485298155E-6</v>
      </c>
      <c r="U10">
        <f>'Pretax Fuel Prices'!U11+'Fuel Taxes'!U11</f>
        <v>2.5451126891190473E-6</v>
      </c>
      <c r="V10">
        <f>'Pretax Fuel Prices'!V11+'Fuel Taxes'!V11</f>
        <v>2.5569606011049888E-6</v>
      </c>
      <c r="W10">
        <f>'Pretax Fuel Prices'!W11+'Fuel Taxes'!W11</f>
        <v>2.5704533246100203E-6</v>
      </c>
      <c r="X10">
        <f>'Pretax Fuel Prices'!X11+'Fuel Taxes'!X11</f>
        <v>2.5796217658527601E-6</v>
      </c>
      <c r="Y10">
        <f>'Pretax Fuel Prices'!Y11+'Fuel Taxes'!Y11</f>
        <v>2.5916255166999928E-6</v>
      </c>
      <c r="Z10">
        <f>'Pretax Fuel Prices'!Z11+'Fuel Taxes'!Z11</f>
        <v>2.6052414017170437E-6</v>
      </c>
      <c r="AA10">
        <f>'Pretax Fuel Prices'!AA11+'Fuel Taxes'!AA11</f>
        <v>2.6192233585877431E-6</v>
      </c>
      <c r="AB10">
        <f>'Pretax Fuel Prices'!AB11+'Fuel Taxes'!AB11</f>
        <v>2.6337277088556528E-6</v>
      </c>
      <c r="AC10">
        <f>'Pretax Fuel Prices'!AC11+'Fuel Taxes'!AC11</f>
        <v>2.6450589486572472E-6</v>
      </c>
      <c r="AD10">
        <f>'Pretax Fuel Prices'!AD11+'Fuel Taxes'!AD11</f>
        <v>2.6525236778366011E-6</v>
      </c>
      <c r="AE10">
        <f>'Pretax Fuel Prices'!AE11+'Fuel Taxes'!AE11</f>
        <v>2.6632606127034857E-6</v>
      </c>
      <c r="AF10">
        <f>'Pretax Fuel Prices'!AF11+'Fuel Taxes'!AF11</f>
        <v>2.6780203262257769E-6</v>
      </c>
    </row>
    <row r="11" spans="1:32" s="4" customFormat="1" x14ac:dyDescent="0.25">
      <c r="A11" s="6" t="s">
        <v>31</v>
      </c>
    </row>
    <row r="12" spans="1:32" x14ac:dyDescent="0.25">
      <c r="A12" t="s">
        <v>30</v>
      </c>
      <c r="B12" s="7">
        <f>'Fuel Taxes'!B$1</f>
        <v>2020</v>
      </c>
      <c r="C12" s="7">
        <f>'Fuel Taxes'!C$1</f>
        <v>2021</v>
      </c>
      <c r="D12" s="7">
        <f>'Fuel Taxes'!D$1</f>
        <v>2022</v>
      </c>
      <c r="E12" s="7">
        <f>'Fuel Taxes'!E$1</f>
        <v>2023</v>
      </c>
      <c r="F12" s="7">
        <f>'Fuel Taxes'!F$1</f>
        <v>2024</v>
      </c>
      <c r="G12" s="7">
        <f>'Fuel Taxes'!G$1</f>
        <v>2025</v>
      </c>
      <c r="H12" s="7">
        <f>'Fuel Taxes'!H$1</f>
        <v>2026</v>
      </c>
      <c r="I12" s="7">
        <f>'Fuel Taxes'!I$1</f>
        <v>2027</v>
      </c>
      <c r="J12" s="7">
        <f>'Fuel Taxes'!J$1</f>
        <v>2028</v>
      </c>
      <c r="K12" s="7">
        <f>'Fuel Taxes'!K$1</f>
        <v>2029</v>
      </c>
      <c r="L12" s="7">
        <f>'Fuel Taxes'!L$1</f>
        <v>2030</v>
      </c>
      <c r="M12" s="7">
        <f>'Fuel Taxes'!M$1</f>
        <v>2031</v>
      </c>
      <c r="N12" s="7">
        <f>'Fuel Taxes'!N$1</f>
        <v>2032</v>
      </c>
      <c r="O12" s="7">
        <f>'Fuel Taxes'!O$1</f>
        <v>2033</v>
      </c>
      <c r="P12" s="7">
        <f>'Fuel Taxes'!P$1</f>
        <v>2034</v>
      </c>
      <c r="Q12" s="7">
        <f>'Fuel Taxes'!Q$1</f>
        <v>2035</v>
      </c>
      <c r="R12" s="7">
        <f>'Fuel Taxes'!R$1</f>
        <v>2036</v>
      </c>
      <c r="S12" s="7">
        <f>'Fuel Taxes'!S$1</f>
        <v>2037</v>
      </c>
      <c r="T12" s="7">
        <f>'Fuel Taxes'!T$1</f>
        <v>2038</v>
      </c>
      <c r="U12" s="7">
        <f>'Fuel Taxes'!U$1</f>
        <v>2039</v>
      </c>
      <c r="V12" s="7">
        <f>'Fuel Taxes'!V$1</f>
        <v>2040</v>
      </c>
      <c r="W12" s="7">
        <f>'Fuel Taxes'!W$1</f>
        <v>2041</v>
      </c>
      <c r="X12" s="7">
        <f>'Fuel Taxes'!X$1</f>
        <v>2042</v>
      </c>
      <c r="Y12" s="7">
        <f>'Fuel Taxes'!Y$1</f>
        <v>2043</v>
      </c>
      <c r="Z12" s="7">
        <f>'Fuel Taxes'!Z$1</f>
        <v>2044</v>
      </c>
      <c r="AA12" s="7">
        <f>'Fuel Taxes'!AA$1</f>
        <v>2045</v>
      </c>
      <c r="AB12" s="7">
        <f>'Fuel Taxes'!AB$1</f>
        <v>2046</v>
      </c>
      <c r="AC12" s="7">
        <f>'Fuel Taxes'!AC$1</f>
        <v>2047</v>
      </c>
      <c r="AD12" s="7">
        <f>'Fuel Taxes'!AD$1</f>
        <v>2048</v>
      </c>
      <c r="AE12" s="7">
        <f>'Fuel Taxes'!AE$1</f>
        <v>2049</v>
      </c>
      <c r="AF12" s="7">
        <f>'Fuel Taxes'!AF$1</f>
        <v>2050</v>
      </c>
    </row>
    <row r="13" spans="1:32" x14ac:dyDescent="0.25">
      <c r="A13" t="s">
        <v>52</v>
      </c>
      <c r="B13">
        <f>'Pretax Fuel Prices'!B14+'Fuel Taxes'!B14</f>
        <v>1.1544358835513173E-5</v>
      </c>
      <c r="C13">
        <f>'Pretax Fuel Prices'!C14+'Fuel Taxes'!C14</f>
        <v>1.2664456974396148E-5</v>
      </c>
      <c r="D13">
        <f>'Pretax Fuel Prices'!D14+'Fuel Taxes'!D14</f>
        <v>2.3392854323977958E-5</v>
      </c>
      <c r="E13">
        <f>'Pretax Fuel Prices'!E14+'Fuel Taxes'!E14</f>
        <v>2.0144430314910114E-5</v>
      </c>
      <c r="F13">
        <f>'Pretax Fuel Prices'!F14+'Fuel Taxes'!F14</f>
        <v>1.5218808768037451E-5</v>
      </c>
      <c r="G13">
        <f>'Pretax Fuel Prices'!G14+'Fuel Taxes'!G14</f>
        <v>1.4150849855486276E-5</v>
      </c>
      <c r="H13">
        <f>'Pretax Fuel Prices'!H14+'Fuel Taxes'!H14</f>
        <v>1.3583798386342955E-5</v>
      </c>
      <c r="I13">
        <f>'Pretax Fuel Prices'!I14+'Fuel Taxes'!I14</f>
        <v>1.3016746917199636E-5</v>
      </c>
      <c r="J13">
        <f>'Pretax Fuel Prices'!J14+'Fuel Taxes'!J14</f>
        <v>1.2449695448056318E-5</v>
      </c>
      <c r="K13">
        <f>'Pretax Fuel Prices'!K14+'Fuel Taxes'!K14</f>
        <v>1.1882643978912997E-5</v>
      </c>
      <c r="L13">
        <f>'Pretax Fuel Prices'!L14+'Fuel Taxes'!L14</f>
        <v>1.1315592509769678E-5</v>
      </c>
      <c r="M13">
        <f>'Pretax Fuel Prices'!M14+'Fuel Taxes'!M14</f>
        <v>1.1076968610244541E-5</v>
      </c>
      <c r="N13">
        <f>'Pretax Fuel Prices'!N14+'Fuel Taxes'!N14</f>
        <v>1.1007823656065623E-5</v>
      </c>
      <c r="O13">
        <f>'Pretax Fuel Prices'!O14+'Fuel Taxes'!O14</f>
        <v>1.0896579090749622E-5</v>
      </c>
      <c r="P13">
        <f>'Pretax Fuel Prices'!P14+'Fuel Taxes'!P14</f>
        <v>1.0773150947471319E-5</v>
      </c>
      <c r="Q13">
        <f>'Pretax Fuel Prices'!Q14+'Fuel Taxes'!Q14</f>
        <v>1.0655434022696101E-5</v>
      </c>
      <c r="R13">
        <f>'Pretax Fuel Prices'!R14+'Fuel Taxes'!R14</f>
        <v>1.0545914000525482E-5</v>
      </c>
      <c r="S13">
        <f>'Pretax Fuel Prices'!S14+'Fuel Taxes'!S14</f>
        <v>1.0441387524324701E-5</v>
      </c>
      <c r="T13">
        <f>'Pretax Fuel Prices'!T14+'Fuel Taxes'!T14</f>
        <v>1.0394623485276902E-5</v>
      </c>
      <c r="U13">
        <f>'Pretax Fuel Prices'!U14+'Fuel Taxes'!U14</f>
        <v>1.0312139047930731E-5</v>
      </c>
      <c r="V13">
        <f>'Pretax Fuel Prices'!V14+'Fuel Taxes'!V14</f>
        <v>1.0273084887728882E-5</v>
      </c>
      <c r="W13">
        <f>'Pretax Fuel Prices'!W14+'Fuel Taxes'!W14</f>
        <v>1.0207876043599385E-5</v>
      </c>
      <c r="X13">
        <f>'Pretax Fuel Prices'!X14+'Fuel Taxes'!X14</f>
        <v>1.015325841377685E-5</v>
      </c>
      <c r="Y13">
        <f>'Pretax Fuel Prices'!Y14+'Fuel Taxes'!Y14</f>
        <v>1.0097672946211713E-5</v>
      </c>
      <c r="Z13">
        <f>'Pretax Fuel Prices'!Z14+'Fuel Taxes'!Z14</f>
        <v>1.0055358654292129E-5</v>
      </c>
      <c r="AA13">
        <f>'Pretax Fuel Prices'!AA14+'Fuel Taxes'!AA14</f>
        <v>1.0028705414167095E-5</v>
      </c>
      <c r="AB13">
        <f>'Pretax Fuel Prices'!AB14+'Fuel Taxes'!AB14</f>
        <v>1.0012018862436297E-5</v>
      </c>
      <c r="AC13">
        <f>'Pretax Fuel Prices'!AC14+'Fuel Taxes'!AC14</f>
        <v>1.001068021243301E-5</v>
      </c>
      <c r="AD13">
        <f>'Pretax Fuel Prices'!AD14+'Fuel Taxes'!AD14</f>
        <v>1.0019043891843856E-5</v>
      </c>
      <c r="AE13">
        <f>'Pretax Fuel Prices'!AE14+'Fuel Taxes'!AE14</f>
        <v>1.0048569596323185E-5</v>
      </c>
      <c r="AF13">
        <f>'Pretax Fuel Prices'!AF14+'Fuel Taxes'!AF14</f>
        <v>1.0066634718037486E-5</v>
      </c>
    </row>
    <row r="14" spans="1:32" x14ac:dyDescent="0.25">
      <c r="A14" t="s">
        <v>53</v>
      </c>
      <c r="B14">
        <f>'Pretax Fuel Prices'!B15+'Fuel Taxes'!B15</f>
        <v>2.1712290946907202E-6</v>
      </c>
      <c r="C14">
        <f>'Pretax Fuel Prices'!C15+'Fuel Taxes'!C15</f>
        <v>3.9825777575192239E-6</v>
      </c>
      <c r="D14">
        <f>'Pretax Fuel Prices'!D15+'Fuel Taxes'!D15</f>
        <v>7.3563249892129044E-6</v>
      </c>
      <c r="E14">
        <f>'Pretax Fuel Prices'!E15+'Fuel Taxes'!E15</f>
        <v>6.3347966890528507E-6</v>
      </c>
      <c r="F14">
        <f>'Pretax Fuel Prices'!F15+'Fuel Taxes'!F15</f>
        <v>4.7858419368521275E-6</v>
      </c>
      <c r="G14">
        <f>'Pretax Fuel Prices'!G15+'Fuel Taxes'!G15</f>
        <v>4.4500020804990664E-6</v>
      </c>
      <c r="H14">
        <f>'Pretax Fuel Prices'!H15+'Fuel Taxes'!H15</f>
        <v>4.2004717946518315E-6</v>
      </c>
      <c r="I14">
        <f>'Pretax Fuel Prices'!I15+'Fuel Taxes'!I15</f>
        <v>3.9509415088045965E-6</v>
      </c>
      <c r="J14">
        <f>'Pretax Fuel Prices'!J15+'Fuel Taxes'!J15</f>
        <v>3.7014112229573612E-6</v>
      </c>
      <c r="K14">
        <f>'Pretax Fuel Prices'!K15+'Fuel Taxes'!K15</f>
        <v>3.4518809371101263E-6</v>
      </c>
      <c r="L14">
        <f>'Pretax Fuel Prices'!L15+'Fuel Taxes'!L15</f>
        <v>3.2023506512628905E-6</v>
      </c>
      <c r="M14">
        <f>'Pretax Fuel Prices'!M15+'Fuel Taxes'!M15</f>
        <v>3.2007911107024047E-6</v>
      </c>
      <c r="N14">
        <f>'Pretax Fuel Prices'!N15+'Fuel Taxes'!N15</f>
        <v>3.2490304147968981E-6</v>
      </c>
      <c r="O14">
        <f>'Pretax Fuel Prices'!O15+'Fuel Taxes'!O15</f>
        <v>3.3088695780318461E-6</v>
      </c>
      <c r="P14">
        <f>'Pretax Fuel Prices'!P15+'Fuel Taxes'!P15</f>
        <v>3.3385691562027886E-6</v>
      </c>
      <c r="Q14">
        <f>'Pretax Fuel Prices'!Q15+'Fuel Taxes'!Q15</f>
        <v>3.3387802885426048E-6</v>
      </c>
      <c r="R14">
        <f>'Pretax Fuel Prices'!R15+'Fuel Taxes'!R15</f>
        <v>3.3407780617748092E-6</v>
      </c>
      <c r="S14">
        <f>'Pretax Fuel Prices'!S15+'Fuel Taxes'!S15</f>
        <v>3.3229276208430089E-6</v>
      </c>
      <c r="T14">
        <f>'Pretax Fuel Prices'!T15+'Fuel Taxes'!T15</f>
        <v>3.3486218943321581E-6</v>
      </c>
      <c r="U14">
        <f>'Pretax Fuel Prices'!U15+'Fuel Taxes'!U15</f>
        <v>3.3471688070522509E-6</v>
      </c>
      <c r="V14">
        <f>'Pretax Fuel Prices'!V15+'Fuel Taxes'!V15</f>
        <v>3.346039515167439E-6</v>
      </c>
      <c r="W14">
        <f>'Pretax Fuel Prices'!W15+'Fuel Taxes'!W15</f>
        <v>3.3372376030848771E-6</v>
      </c>
      <c r="X14">
        <f>'Pretax Fuel Prices'!X15+'Fuel Taxes'!X15</f>
        <v>3.3246166795615337E-6</v>
      </c>
      <c r="Y14">
        <f>'Pretax Fuel Prices'!Y15+'Fuel Taxes'!Y15</f>
        <v>3.3106500091495341E-6</v>
      </c>
      <c r="Z14">
        <f>'Pretax Fuel Prices'!Z15+'Fuel Taxes'!Z15</f>
        <v>3.3103741177306995E-6</v>
      </c>
      <c r="AA14">
        <f>'Pretax Fuel Prices'!AA15+'Fuel Taxes'!AA15</f>
        <v>3.3168349447511898E-6</v>
      </c>
      <c r="AB14">
        <f>'Pretax Fuel Prices'!AB15+'Fuel Taxes'!AB15</f>
        <v>3.3205962939983232E-6</v>
      </c>
      <c r="AC14">
        <f>'Pretax Fuel Prices'!AC15+'Fuel Taxes'!AC15</f>
        <v>3.337941968958043E-6</v>
      </c>
      <c r="AD14">
        <f>'Pretax Fuel Prices'!AD15+'Fuel Taxes'!AD15</f>
        <v>3.3805516687312366E-6</v>
      </c>
      <c r="AE14">
        <f>'Pretax Fuel Prices'!AE15+'Fuel Taxes'!AE15</f>
        <v>3.4248601854403401E-6</v>
      </c>
      <c r="AF14">
        <f>'Pretax Fuel Prices'!AF15+'Fuel Taxes'!AF15</f>
        <v>3.4610951079281799E-6</v>
      </c>
    </row>
    <row r="15" spans="1:32" x14ac:dyDescent="0.25">
      <c r="A15" t="s">
        <v>54</v>
      </c>
      <c r="B15">
        <f>'Pretax Fuel Prices'!B16+'Fuel Taxes'!B16</f>
        <v>8.9968244908601252E-6</v>
      </c>
      <c r="C15">
        <f>'Pretax Fuel Prices'!C16+'Fuel Taxes'!C16</f>
        <v>1.2664456974396148E-5</v>
      </c>
      <c r="D15">
        <f>'Pretax Fuel Prices'!D16+'Fuel Taxes'!D16</f>
        <v>2.3392854323977958E-5</v>
      </c>
      <c r="E15">
        <f>'Pretax Fuel Prices'!E16+'Fuel Taxes'!E16</f>
        <v>2.0144430314910114E-5</v>
      </c>
      <c r="F15">
        <f>'Pretax Fuel Prices'!F16+'Fuel Taxes'!F16</f>
        <v>1.5218808768037451E-5</v>
      </c>
      <c r="G15">
        <f>'Pretax Fuel Prices'!G16+'Fuel Taxes'!G16</f>
        <v>1.4150849855486276E-5</v>
      </c>
      <c r="H15">
        <f>'Pretax Fuel Prices'!H16+'Fuel Taxes'!H16</f>
        <v>1.3270762579160109E-5</v>
      </c>
      <c r="I15">
        <f>'Pretax Fuel Prices'!I16+'Fuel Taxes'!I16</f>
        <v>1.2390675302833941E-5</v>
      </c>
      <c r="J15">
        <f>'Pretax Fuel Prices'!J16+'Fuel Taxes'!J16</f>
        <v>1.1510588026507772E-5</v>
      </c>
      <c r="K15">
        <f>'Pretax Fuel Prices'!K16+'Fuel Taxes'!K16</f>
        <v>1.0630500750181605E-5</v>
      </c>
      <c r="L15">
        <f>'Pretax Fuel Prices'!L16+'Fuel Taxes'!L16</f>
        <v>9.7504134738554397E-6</v>
      </c>
      <c r="M15">
        <f>'Pretax Fuel Prices'!M16+'Fuel Taxes'!M16</f>
        <v>9.7916756525186323E-6</v>
      </c>
      <c r="N15">
        <f>'Pretax Fuel Prices'!N16+'Fuel Taxes'!N16</f>
        <v>9.8735036279678971E-6</v>
      </c>
      <c r="O15">
        <f>'Pretax Fuel Prices'!O16+'Fuel Taxes'!O16</f>
        <v>9.9701064316508963E-6</v>
      </c>
      <c r="P15">
        <f>'Pretax Fuel Prices'!P16+'Fuel Taxes'!P16</f>
        <v>1.0028307988586265E-5</v>
      </c>
      <c r="Q15">
        <f>'Pretax Fuel Prices'!Q16+'Fuel Taxes'!Q16</f>
        <v>1.0059383475408698E-5</v>
      </c>
      <c r="R15">
        <f>'Pretax Fuel Prices'!R16+'Fuel Taxes'!R16</f>
        <v>1.0073373210698157E-5</v>
      </c>
      <c r="S15">
        <f>'Pretax Fuel Prices'!S16+'Fuel Taxes'!S16</f>
        <v>1.0097317214832447E-5</v>
      </c>
      <c r="T15">
        <f>'Pretax Fuel Prices'!T16+'Fuel Taxes'!T16</f>
        <v>1.0124695224376091E-5</v>
      </c>
      <c r="U15">
        <f>'Pretax Fuel Prices'!U16+'Fuel Taxes'!U16</f>
        <v>1.0142976801094233E-5</v>
      </c>
      <c r="V15">
        <f>'Pretax Fuel Prices'!V16+'Fuel Taxes'!V16</f>
        <v>1.0149073912739413E-5</v>
      </c>
      <c r="W15">
        <f>'Pretax Fuel Prices'!W16+'Fuel Taxes'!W16</f>
        <v>1.0171052079625673E-5</v>
      </c>
      <c r="X15">
        <f>'Pretax Fuel Prices'!X16+'Fuel Taxes'!X16</f>
        <v>1.0178444372851231E-5</v>
      </c>
      <c r="Y15">
        <f>'Pretax Fuel Prices'!Y16+'Fuel Taxes'!Y16</f>
        <v>1.0190627063702859E-5</v>
      </c>
      <c r="Z15">
        <f>'Pretax Fuel Prices'!Z16+'Fuel Taxes'!Z16</f>
        <v>1.0195048423289583E-5</v>
      </c>
      <c r="AA15">
        <f>'Pretax Fuel Prices'!AA16+'Fuel Taxes'!AA16</f>
        <v>1.0225088651958378E-5</v>
      </c>
      <c r="AB15">
        <f>'Pretax Fuel Prices'!AB16+'Fuel Taxes'!AB16</f>
        <v>1.0241546329135935E-5</v>
      </c>
      <c r="AC15">
        <f>'Pretax Fuel Prices'!AC16+'Fuel Taxes'!AC16</f>
        <v>1.027978612174135E-5</v>
      </c>
      <c r="AD15">
        <f>'Pretax Fuel Prices'!AD16+'Fuel Taxes'!AD16</f>
        <v>1.0320562163756563E-5</v>
      </c>
      <c r="AE15">
        <f>'Pretax Fuel Prices'!AE16+'Fuel Taxes'!AE16</f>
        <v>1.0377926288218045E-5</v>
      </c>
      <c r="AF15">
        <f>'Pretax Fuel Prices'!AF16+'Fuel Taxes'!AF16</f>
        <v>1.0430654372310297E-5</v>
      </c>
    </row>
    <row r="16" spans="1:32" x14ac:dyDescent="0.25">
      <c r="A16" t="s">
        <v>55</v>
      </c>
      <c r="B16">
        <f>'Pretax Fuel Prices'!B17+'Fuel Taxes'!B17</f>
        <v>6.4115622164591146E-6</v>
      </c>
      <c r="C16">
        <f>'Pretax Fuel Prices'!C17+'Fuel Taxes'!C17</f>
        <v>9.3060414044705541E-6</v>
      </c>
      <c r="D16">
        <f>'Pretax Fuel Prices'!D17+'Fuel Taxes'!D17</f>
        <v>1.7189435863519669E-5</v>
      </c>
      <c r="E16">
        <f>'Pretax Fuel Prices'!E17+'Fuel Taxes'!E17</f>
        <v>1.4802443007151813E-5</v>
      </c>
      <c r="F16">
        <f>'Pretax Fuel Prices'!F17+'Fuel Taxes'!F17</f>
        <v>1.1183019122604654E-5</v>
      </c>
      <c r="G16">
        <f>'Pretax Fuel Prices'!G17+'Fuel Taxes'!G17</f>
        <v>1.0398266181474429E-5</v>
      </c>
      <c r="H16">
        <f>'Pretax Fuel Prices'!H17+'Fuel Taxes'!H17</f>
        <v>9.7728002423191557E-6</v>
      </c>
      <c r="I16">
        <f>'Pretax Fuel Prices'!I17+'Fuel Taxes'!I17</f>
        <v>9.1473343031638823E-6</v>
      </c>
      <c r="J16">
        <f>'Pretax Fuel Prices'!J17+'Fuel Taxes'!J17</f>
        <v>8.5218683640086072E-6</v>
      </c>
      <c r="K16">
        <f>'Pretax Fuel Prices'!K17+'Fuel Taxes'!K17</f>
        <v>7.8964024248533338E-6</v>
      </c>
      <c r="L16">
        <f>'Pretax Fuel Prices'!L17+'Fuel Taxes'!L17</f>
        <v>7.2709364856980579E-6</v>
      </c>
      <c r="M16">
        <f>'Pretax Fuel Prices'!M17+'Fuel Taxes'!M17</f>
        <v>7.2802156633218835E-6</v>
      </c>
      <c r="N16">
        <f>'Pretax Fuel Prices'!N17+'Fuel Taxes'!N17</f>
        <v>7.3283094812662519E-6</v>
      </c>
      <c r="O16">
        <f>'Pretax Fuel Prices'!O17+'Fuel Taxes'!O17</f>
        <v>7.4033776733987356E-6</v>
      </c>
      <c r="P16">
        <f>'Pretax Fuel Prices'!P17+'Fuel Taxes'!P17</f>
        <v>7.4444233970580856E-6</v>
      </c>
      <c r="Q16">
        <f>'Pretax Fuel Prices'!Q17+'Fuel Taxes'!Q17</f>
        <v>7.4612190634014793E-6</v>
      </c>
      <c r="R16">
        <f>'Pretax Fuel Prices'!R17+'Fuel Taxes'!R17</f>
        <v>7.4626774733454137E-6</v>
      </c>
      <c r="S16">
        <f>'Pretax Fuel Prices'!S17+'Fuel Taxes'!S17</f>
        <v>7.4742258800669226E-6</v>
      </c>
      <c r="T16">
        <f>'Pretax Fuel Prices'!T17+'Fuel Taxes'!T17</f>
        <v>7.4895968466718954E-6</v>
      </c>
      <c r="U16">
        <f>'Pretax Fuel Prices'!U17+'Fuel Taxes'!U17</f>
        <v>7.4982000459640435E-6</v>
      </c>
      <c r="V16">
        <f>'Pretax Fuel Prices'!V17+'Fuel Taxes'!V17</f>
        <v>7.4964187277356843E-6</v>
      </c>
      <c r="W16">
        <f>'Pretax Fuel Prices'!W17+'Fuel Taxes'!W17</f>
        <v>7.5105761269420554E-6</v>
      </c>
      <c r="X16">
        <f>'Pretax Fuel Prices'!X17+'Fuel Taxes'!X17</f>
        <v>7.5098176473179269E-6</v>
      </c>
      <c r="Y16">
        <f>'Pretax Fuel Prices'!Y17+'Fuel Taxes'!Y17</f>
        <v>7.5159440336152647E-6</v>
      </c>
      <c r="Z16">
        <f>'Pretax Fuel Prices'!Z17+'Fuel Taxes'!Z17</f>
        <v>7.5131842323162464E-6</v>
      </c>
      <c r="AA16">
        <f>'Pretax Fuel Prices'!AA17+'Fuel Taxes'!AA17</f>
        <v>7.5360450743206428E-6</v>
      </c>
      <c r="AB16">
        <f>'Pretax Fuel Prices'!AB17+'Fuel Taxes'!AB17</f>
        <v>7.5463790265328746E-6</v>
      </c>
      <c r="AC16">
        <f>'Pretax Fuel Prices'!AC17+'Fuel Taxes'!AC17</f>
        <v>7.5774394324738908E-6</v>
      </c>
      <c r="AD16">
        <f>'Pretax Fuel Prices'!AD17+'Fuel Taxes'!AD17</f>
        <v>7.6114024645320334E-6</v>
      </c>
      <c r="AE16">
        <f>'Pretax Fuel Prices'!AE17+'Fuel Taxes'!AE17</f>
        <v>7.6603141985155189E-6</v>
      </c>
      <c r="AF16">
        <f>'Pretax Fuel Prices'!AF17+'Fuel Taxes'!AF17</f>
        <v>7.7048782030980139E-6</v>
      </c>
    </row>
    <row r="17" spans="1:32" x14ac:dyDescent="0.25">
      <c r="A17" t="s">
        <v>56</v>
      </c>
      <c r="B17">
        <f>'Pretax Fuel Prices'!B18+'Fuel Taxes'!B18</f>
        <v>2.7154564107707938E-6</v>
      </c>
      <c r="C17">
        <f>'Pretax Fuel Prices'!C18+'Fuel Taxes'!C18</f>
        <v>4.7304897693187761E-6</v>
      </c>
      <c r="D17">
        <f>'Pretax Fuel Prices'!D18+'Fuel Taxes'!D18</f>
        <v>8.7378130999587174E-6</v>
      </c>
      <c r="E17">
        <f>'Pretax Fuel Prices'!E18+'Fuel Taxes'!E18</f>
        <v>7.5244459123744572E-6</v>
      </c>
      <c r="F17">
        <f>'Pretax Fuel Prices'!F18+'Fuel Taxes'!F18</f>
        <v>5.6846037160509745E-6</v>
      </c>
      <c r="G17">
        <f>'Pretax Fuel Prices'!G18+'Fuel Taxes'!G18</f>
        <v>5.2856944915899691E-6</v>
      </c>
      <c r="H17">
        <f>'Pretax Fuel Prices'!H18+'Fuel Taxes'!H18</f>
        <v>4.9733430190289945E-6</v>
      </c>
      <c r="I17">
        <f>'Pretax Fuel Prices'!I18+'Fuel Taxes'!I18</f>
        <v>4.6609915464680208E-6</v>
      </c>
      <c r="J17">
        <f>'Pretax Fuel Prices'!J18+'Fuel Taxes'!J18</f>
        <v>4.3486400739070462E-6</v>
      </c>
      <c r="K17">
        <f>'Pretax Fuel Prices'!K18+'Fuel Taxes'!K18</f>
        <v>4.0362886013460717E-6</v>
      </c>
      <c r="L17">
        <f>'Pretax Fuel Prices'!L18+'Fuel Taxes'!L18</f>
        <v>3.7239371287850988E-6</v>
      </c>
      <c r="M17">
        <f>'Pretax Fuel Prices'!M18+'Fuel Taxes'!M18</f>
        <v>3.731476682382125E-6</v>
      </c>
      <c r="N17">
        <f>'Pretax Fuel Prices'!N18+'Fuel Taxes'!N18</f>
        <v>3.7775470008848158E-6</v>
      </c>
      <c r="O17">
        <f>'Pretax Fuel Prices'!O18+'Fuel Taxes'!O18</f>
        <v>3.841298322181052E-6</v>
      </c>
      <c r="P17">
        <f>'Pretax Fuel Prices'!P18+'Fuel Taxes'!P18</f>
        <v>3.8703804713246341E-6</v>
      </c>
      <c r="Q17">
        <f>'Pretax Fuel Prices'!Q18+'Fuel Taxes'!Q18</f>
        <v>3.8799594923554262E-6</v>
      </c>
      <c r="R17">
        <f>'Pretax Fuel Prices'!R18+'Fuel Taxes'!R18</f>
        <v>3.8803968379164723E-6</v>
      </c>
      <c r="S17">
        <f>'Pretax Fuel Prices'!S18+'Fuel Taxes'!S18</f>
        <v>3.8706244267592957E-6</v>
      </c>
      <c r="T17">
        <f>'Pretax Fuel Prices'!T18+'Fuel Taxes'!T18</f>
        <v>3.8865817735181276E-6</v>
      </c>
      <c r="U17">
        <f>'Pretax Fuel Prices'!U18+'Fuel Taxes'!U18</f>
        <v>3.8803338530587966E-6</v>
      </c>
      <c r="V17">
        <f>'Pretax Fuel Prices'!V18+'Fuel Taxes'!V18</f>
        <v>3.8721334020115065E-6</v>
      </c>
      <c r="W17">
        <f>'Pretax Fuel Prices'!W18+'Fuel Taxes'!W18</f>
        <v>3.8691402906058862E-6</v>
      </c>
      <c r="X17">
        <f>'Pretax Fuel Prices'!X18+'Fuel Taxes'!X18</f>
        <v>3.8525876925864822E-6</v>
      </c>
      <c r="Y17">
        <f>'Pretax Fuel Prices'!Y18+'Fuel Taxes'!Y18</f>
        <v>3.8375901995742071E-6</v>
      </c>
      <c r="Z17">
        <f>'Pretax Fuel Prices'!Z18+'Fuel Taxes'!Z18</f>
        <v>3.8296807208271678E-6</v>
      </c>
      <c r="AA17">
        <f>'Pretax Fuel Prices'!AA18+'Fuel Taxes'!AA18</f>
        <v>3.8360714661046095E-6</v>
      </c>
      <c r="AB17">
        <f>'Pretax Fuel Prices'!AB18+'Fuel Taxes'!AB18</f>
        <v>3.8387052976882755E-6</v>
      </c>
      <c r="AC17">
        <f>'Pretax Fuel Prices'!AC18+'Fuel Taxes'!AC18</f>
        <v>3.8583361697377625E-6</v>
      </c>
      <c r="AD17">
        <f>'Pretax Fuel Prices'!AD18+'Fuel Taxes'!AD18</f>
        <v>3.8936449486845613E-6</v>
      </c>
      <c r="AE17">
        <f>'Pretax Fuel Prices'!AE18+'Fuel Taxes'!AE18</f>
        <v>3.9410290780917352E-6</v>
      </c>
      <c r="AF17">
        <f>'Pretax Fuel Prices'!AF18+'Fuel Taxes'!AF18</f>
        <v>3.9748741244305693E-6</v>
      </c>
    </row>
    <row r="18" spans="1:32" x14ac:dyDescent="0.25">
      <c r="A18" t="s">
        <v>57</v>
      </c>
      <c r="B18">
        <f>'Pretax Fuel Prices'!B19+'Fuel Taxes'!B19</f>
        <v>2.1712290946907202E-6</v>
      </c>
      <c r="C18">
        <f>'Pretax Fuel Prices'!C19+'Fuel Taxes'!C19</f>
        <v>3.9825777575192239E-6</v>
      </c>
      <c r="D18">
        <f>'Pretax Fuel Prices'!D19+'Fuel Taxes'!D19</f>
        <v>7.3563249892129044E-6</v>
      </c>
      <c r="E18">
        <f>'Pretax Fuel Prices'!E19+'Fuel Taxes'!E19</f>
        <v>6.3347966890528507E-6</v>
      </c>
      <c r="F18">
        <f>'Pretax Fuel Prices'!F19+'Fuel Taxes'!F19</f>
        <v>4.7858419368521275E-6</v>
      </c>
      <c r="G18">
        <f>'Pretax Fuel Prices'!G19+'Fuel Taxes'!G19</f>
        <v>4.4500020804990664E-6</v>
      </c>
      <c r="H18">
        <f>'Pretax Fuel Prices'!H19+'Fuel Taxes'!H19</f>
        <v>4.2004717946518315E-6</v>
      </c>
      <c r="I18">
        <f>'Pretax Fuel Prices'!I19+'Fuel Taxes'!I19</f>
        <v>3.9509415088045965E-6</v>
      </c>
      <c r="J18">
        <f>'Pretax Fuel Prices'!J19+'Fuel Taxes'!J19</f>
        <v>3.7014112229573612E-6</v>
      </c>
      <c r="K18">
        <f>'Pretax Fuel Prices'!K19+'Fuel Taxes'!K19</f>
        <v>3.4518809371101263E-6</v>
      </c>
      <c r="L18">
        <f>'Pretax Fuel Prices'!L19+'Fuel Taxes'!L19</f>
        <v>3.2023506512628905E-6</v>
      </c>
      <c r="M18">
        <f>'Pretax Fuel Prices'!M19+'Fuel Taxes'!M19</f>
        <v>3.2007911107024047E-6</v>
      </c>
      <c r="N18">
        <f>'Pretax Fuel Prices'!N19+'Fuel Taxes'!N19</f>
        <v>3.2490304147968981E-6</v>
      </c>
      <c r="O18">
        <f>'Pretax Fuel Prices'!O19+'Fuel Taxes'!O19</f>
        <v>3.3088695780318461E-6</v>
      </c>
      <c r="P18">
        <f>'Pretax Fuel Prices'!P19+'Fuel Taxes'!P19</f>
        <v>3.3385691562027886E-6</v>
      </c>
      <c r="Q18">
        <f>'Pretax Fuel Prices'!Q19+'Fuel Taxes'!Q19</f>
        <v>3.3387802885426048E-6</v>
      </c>
      <c r="R18">
        <f>'Pretax Fuel Prices'!R19+'Fuel Taxes'!R19</f>
        <v>3.3407780617748092E-6</v>
      </c>
      <c r="S18">
        <f>'Pretax Fuel Prices'!S19+'Fuel Taxes'!S19</f>
        <v>3.3229276208430089E-6</v>
      </c>
      <c r="T18">
        <f>'Pretax Fuel Prices'!T19+'Fuel Taxes'!T19</f>
        <v>3.3486218943321581E-6</v>
      </c>
      <c r="U18">
        <f>'Pretax Fuel Prices'!U19+'Fuel Taxes'!U19</f>
        <v>3.3471688070522509E-6</v>
      </c>
      <c r="V18">
        <f>'Pretax Fuel Prices'!V19+'Fuel Taxes'!V19</f>
        <v>3.346039515167439E-6</v>
      </c>
      <c r="W18">
        <f>'Pretax Fuel Prices'!W19+'Fuel Taxes'!W19</f>
        <v>3.3372376030848771E-6</v>
      </c>
      <c r="X18">
        <f>'Pretax Fuel Prices'!X19+'Fuel Taxes'!X19</f>
        <v>3.3246166795615337E-6</v>
      </c>
      <c r="Y18">
        <f>'Pretax Fuel Prices'!Y19+'Fuel Taxes'!Y19</f>
        <v>3.3106500091495341E-6</v>
      </c>
      <c r="Z18">
        <f>'Pretax Fuel Prices'!Z19+'Fuel Taxes'!Z19</f>
        <v>3.3103741177306995E-6</v>
      </c>
      <c r="AA18">
        <f>'Pretax Fuel Prices'!AA19+'Fuel Taxes'!AA19</f>
        <v>3.3168349447511898E-6</v>
      </c>
      <c r="AB18">
        <f>'Pretax Fuel Prices'!AB19+'Fuel Taxes'!AB19</f>
        <v>3.3205962939983232E-6</v>
      </c>
      <c r="AC18">
        <f>'Pretax Fuel Prices'!AC19+'Fuel Taxes'!AC19</f>
        <v>3.337941968958043E-6</v>
      </c>
      <c r="AD18">
        <f>'Pretax Fuel Prices'!AD19+'Fuel Taxes'!AD19</f>
        <v>3.3805516687312366E-6</v>
      </c>
      <c r="AE18">
        <f>'Pretax Fuel Prices'!AE19+'Fuel Taxes'!AE19</f>
        <v>3.4248601854403401E-6</v>
      </c>
      <c r="AF18">
        <f>'Pretax Fuel Prices'!AF19+'Fuel Taxes'!AF19</f>
        <v>3.4610951079281799E-6</v>
      </c>
    </row>
    <row r="19" spans="1:32" x14ac:dyDescent="0.25">
      <c r="A19" t="s">
        <v>58</v>
      </c>
      <c r="B19">
        <f>'Pretax Fuel Prices'!B20+'Fuel Taxes'!B20</f>
        <v>0</v>
      </c>
      <c r="C19">
        <f>'Pretax Fuel Prices'!C20+'Fuel Taxes'!C20</f>
        <v>0</v>
      </c>
      <c r="D19">
        <f>'Pretax Fuel Prices'!D20+'Fuel Taxes'!D20</f>
        <v>0</v>
      </c>
      <c r="E19">
        <f>'Pretax Fuel Prices'!E20+'Fuel Taxes'!E20</f>
        <v>0</v>
      </c>
      <c r="F19">
        <f>'Pretax Fuel Prices'!F20+'Fuel Taxes'!F20</f>
        <v>0</v>
      </c>
      <c r="G19">
        <f>'Pretax Fuel Prices'!G20+'Fuel Taxes'!G20</f>
        <v>0</v>
      </c>
      <c r="H19">
        <f>'Pretax Fuel Prices'!H20+'Fuel Taxes'!H20</f>
        <v>0</v>
      </c>
      <c r="I19">
        <f>'Pretax Fuel Prices'!I20+'Fuel Taxes'!I20</f>
        <v>0</v>
      </c>
      <c r="J19">
        <f>'Pretax Fuel Prices'!J20+'Fuel Taxes'!J20</f>
        <v>0</v>
      </c>
      <c r="K19">
        <f>'Pretax Fuel Prices'!K20+'Fuel Taxes'!K20</f>
        <v>0</v>
      </c>
      <c r="L19">
        <f>'Pretax Fuel Prices'!L20+'Fuel Taxes'!L20</f>
        <v>0</v>
      </c>
      <c r="M19">
        <f>'Pretax Fuel Prices'!M20+'Fuel Taxes'!M20</f>
        <v>0</v>
      </c>
      <c r="N19">
        <f>'Pretax Fuel Prices'!N20+'Fuel Taxes'!N20</f>
        <v>0</v>
      </c>
      <c r="O19">
        <f>'Pretax Fuel Prices'!O20+'Fuel Taxes'!O20</f>
        <v>0</v>
      </c>
      <c r="P19">
        <f>'Pretax Fuel Prices'!P20+'Fuel Taxes'!P20</f>
        <v>0</v>
      </c>
      <c r="Q19">
        <f>'Pretax Fuel Prices'!Q20+'Fuel Taxes'!Q20</f>
        <v>0</v>
      </c>
      <c r="R19">
        <f>'Pretax Fuel Prices'!R20+'Fuel Taxes'!R20</f>
        <v>0</v>
      </c>
      <c r="S19">
        <f>'Pretax Fuel Prices'!S20+'Fuel Taxes'!S20</f>
        <v>0</v>
      </c>
      <c r="T19">
        <f>'Pretax Fuel Prices'!T20+'Fuel Taxes'!T20</f>
        <v>0</v>
      </c>
      <c r="U19">
        <f>'Pretax Fuel Prices'!U20+'Fuel Taxes'!U20</f>
        <v>0</v>
      </c>
      <c r="V19">
        <f>'Pretax Fuel Prices'!V20+'Fuel Taxes'!V20</f>
        <v>0</v>
      </c>
      <c r="W19">
        <f>'Pretax Fuel Prices'!W20+'Fuel Taxes'!W20</f>
        <v>0</v>
      </c>
      <c r="X19">
        <f>'Pretax Fuel Prices'!X20+'Fuel Taxes'!X20</f>
        <v>0</v>
      </c>
      <c r="Y19">
        <f>'Pretax Fuel Prices'!Y20+'Fuel Taxes'!Y20</f>
        <v>0</v>
      </c>
      <c r="Z19">
        <f>'Pretax Fuel Prices'!Z20+'Fuel Taxes'!Z20</f>
        <v>0</v>
      </c>
      <c r="AA19">
        <f>'Pretax Fuel Prices'!AA20+'Fuel Taxes'!AA20</f>
        <v>0</v>
      </c>
      <c r="AB19">
        <f>'Pretax Fuel Prices'!AB20+'Fuel Taxes'!AB20</f>
        <v>0</v>
      </c>
      <c r="AC19">
        <f>'Pretax Fuel Prices'!AC20+'Fuel Taxes'!AC20</f>
        <v>0</v>
      </c>
      <c r="AD19">
        <f>'Pretax Fuel Prices'!AD20+'Fuel Taxes'!AD20</f>
        <v>0</v>
      </c>
      <c r="AE19">
        <f>'Pretax Fuel Prices'!AE20+'Fuel Taxes'!AE20</f>
        <v>0</v>
      </c>
      <c r="AF19">
        <f>'Pretax Fuel Prices'!AF20+'Fuel Taxes'!AF20</f>
        <v>0</v>
      </c>
    </row>
    <row r="20" spans="1:32" x14ac:dyDescent="0.25">
      <c r="A20" t="s">
        <v>59</v>
      </c>
      <c r="B20">
        <f>'Pretax Fuel Prices'!B21+'Fuel Taxes'!B21</f>
        <v>2.7154564107707938E-6</v>
      </c>
      <c r="C20">
        <f>'Pretax Fuel Prices'!C21+'Fuel Taxes'!C21</f>
        <v>4.7304897693187761E-6</v>
      </c>
      <c r="D20">
        <f>'Pretax Fuel Prices'!D21+'Fuel Taxes'!D21</f>
        <v>8.7378130999587174E-6</v>
      </c>
      <c r="E20">
        <f>'Pretax Fuel Prices'!E21+'Fuel Taxes'!E21</f>
        <v>7.5244459123744572E-6</v>
      </c>
      <c r="F20">
        <f>'Pretax Fuel Prices'!F21+'Fuel Taxes'!F21</f>
        <v>5.6846037160509745E-6</v>
      </c>
      <c r="G20">
        <f>'Pretax Fuel Prices'!G21+'Fuel Taxes'!G21</f>
        <v>5.2856944915899691E-6</v>
      </c>
      <c r="H20">
        <f>'Pretax Fuel Prices'!H21+'Fuel Taxes'!H21</f>
        <v>4.9733430190289945E-6</v>
      </c>
      <c r="I20">
        <f>'Pretax Fuel Prices'!I21+'Fuel Taxes'!I21</f>
        <v>4.6609915464680208E-6</v>
      </c>
      <c r="J20">
        <f>'Pretax Fuel Prices'!J21+'Fuel Taxes'!J21</f>
        <v>4.3486400739070462E-6</v>
      </c>
      <c r="K20">
        <f>'Pretax Fuel Prices'!K21+'Fuel Taxes'!K21</f>
        <v>4.0362886013460717E-6</v>
      </c>
      <c r="L20">
        <f>'Pretax Fuel Prices'!L21+'Fuel Taxes'!L21</f>
        <v>3.7239371287850988E-6</v>
      </c>
      <c r="M20">
        <f>'Pretax Fuel Prices'!M21+'Fuel Taxes'!M21</f>
        <v>3.731476682382125E-6</v>
      </c>
      <c r="N20">
        <f>'Pretax Fuel Prices'!N21+'Fuel Taxes'!N21</f>
        <v>3.7775470008848158E-6</v>
      </c>
      <c r="O20">
        <f>'Pretax Fuel Prices'!O21+'Fuel Taxes'!O21</f>
        <v>3.841298322181052E-6</v>
      </c>
      <c r="P20">
        <f>'Pretax Fuel Prices'!P21+'Fuel Taxes'!P21</f>
        <v>3.8703804713246341E-6</v>
      </c>
      <c r="Q20">
        <f>'Pretax Fuel Prices'!Q21+'Fuel Taxes'!Q21</f>
        <v>3.8799594923554262E-6</v>
      </c>
      <c r="R20">
        <f>'Pretax Fuel Prices'!R21+'Fuel Taxes'!R21</f>
        <v>3.8803968379164723E-6</v>
      </c>
      <c r="S20">
        <f>'Pretax Fuel Prices'!S21+'Fuel Taxes'!S21</f>
        <v>3.8706244267592957E-6</v>
      </c>
      <c r="T20">
        <f>'Pretax Fuel Prices'!T21+'Fuel Taxes'!T21</f>
        <v>3.8865817735181276E-6</v>
      </c>
      <c r="U20">
        <f>'Pretax Fuel Prices'!U21+'Fuel Taxes'!U21</f>
        <v>3.8803338530587966E-6</v>
      </c>
      <c r="V20">
        <f>'Pretax Fuel Prices'!V21+'Fuel Taxes'!V21</f>
        <v>3.8721334020115065E-6</v>
      </c>
      <c r="W20">
        <f>'Pretax Fuel Prices'!W21+'Fuel Taxes'!W21</f>
        <v>3.8691402906058862E-6</v>
      </c>
      <c r="X20">
        <f>'Pretax Fuel Prices'!X21+'Fuel Taxes'!X21</f>
        <v>3.8525876925864822E-6</v>
      </c>
      <c r="Y20">
        <f>'Pretax Fuel Prices'!Y21+'Fuel Taxes'!Y21</f>
        <v>3.8375901995742071E-6</v>
      </c>
      <c r="Z20">
        <f>'Pretax Fuel Prices'!Z21+'Fuel Taxes'!Z21</f>
        <v>3.8296807208271678E-6</v>
      </c>
      <c r="AA20">
        <f>'Pretax Fuel Prices'!AA21+'Fuel Taxes'!AA21</f>
        <v>3.8360714661046095E-6</v>
      </c>
      <c r="AB20">
        <f>'Pretax Fuel Prices'!AB21+'Fuel Taxes'!AB21</f>
        <v>3.8387052976882755E-6</v>
      </c>
      <c r="AC20">
        <f>'Pretax Fuel Prices'!AC21+'Fuel Taxes'!AC21</f>
        <v>3.8583361697377625E-6</v>
      </c>
      <c r="AD20">
        <f>'Pretax Fuel Prices'!AD21+'Fuel Taxes'!AD21</f>
        <v>3.8936449486845613E-6</v>
      </c>
      <c r="AE20">
        <f>'Pretax Fuel Prices'!AE21+'Fuel Taxes'!AE21</f>
        <v>3.9410290780917352E-6</v>
      </c>
      <c r="AF20">
        <f>'Pretax Fuel Prices'!AF21+'Fuel Taxes'!AF21</f>
        <v>3.9748741244305693E-6</v>
      </c>
    </row>
    <row r="21" spans="1:32" s="4" customFormat="1" x14ac:dyDescent="0.25">
      <c r="A21" s="6" t="s">
        <v>32</v>
      </c>
    </row>
    <row r="22" spans="1:32" x14ac:dyDescent="0.25">
      <c r="A22" t="s">
        <v>30</v>
      </c>
      <c r="B22" s="7">
        <f>'Fuel Taxes'!B$1</f>
        <v>2020</v>
      </c>
      <c r="C22" s="7">
        <f>'Fuel Taxes'!C$1</f>
        <v>2021</v>
      </c>
      <c r="D22" s="7">
        <f>'Fuel Taxes'!D$1</f>
        <v>2022</v>
      </c>
      <c r="E22" s="7">
        <f>'Fuel Taxes'!E$1</f>
        <v>2023</v>
      </c>
      <c r="F22" s="7">
        <f>'Fuel Taxes'!F$1</f>
        <v>2024</v>
      </c>
      <c r="G22" s="7">
        <f>'Fuel Taxes'!G$1</f>
        <v>2025</v>
      </c>
      <c r="H22" s="7">
        <f>'Fuel Taxes'!H$1</f>
        <v>2026</v>
      </c>
      <c r="I22" s="7">
        <f>'Fuel Taxes'!I$1</f>
        <v>2027</v>
      </c>
      <c r="J22" s="7">
        <f>'Fuel Taxes'!J$1</f>
        <v>2028</v>
      </c>
      <c r="K22" s="7">
        <f>'Fuel Taxes'!K$1</f>
        <v>2029</v>
      </c>
      <c r="L22" s="7">
        <f>'Fuel Taxes'!L$1</f>
        <v>2030</v>
      </c>
      <c r="M22" s="7">
        <f>'Fuel Taxes'!M$1</f>
        <v>2031</v>
      </c>
      <c r="N22" s="7">
        <f>'Fuel Taxes'!N$1</f>
        <v>2032</v>
      </c>
      <c r="O22" s="7">
        <f>'Fuel Taxes'!O$1</f>
        <v>2033</v>
      </c>
      <c r="P22" s="7">
        <f>'Fuel Taxes'!P$1</f>
        <v>2034</v>
      </c>
      <c r="Q22" s="7">
        <f>'Fuel Taxes'!Q$1</f>
        <v>2035</v>
      </c>
      <c r="R22" s="7">
        <f>'Fuel Taxes'!R$1</f>
        <v>2036</v>
      </c>
      <c r="S22" s="7">
        <f>'Fuel Taxes'!S$1</f>
        <v>2037</v>
      </c>
      <c r="T22" s="7">
        <f>'Fuel Taxes'!T$1</f>
        <v>2038</v>
      </c>
      <c r="U22" s="7">
        <f>'Fuel Taxes'!U$1</f>
        <v>2039</v>
      </c>
      <c r="V22" s="7">
        <f>'Fuel Taxes'!V$1</f>
        <v>2040</v>
      </c>
      <c r="W22" s="7">
        <f>'Fuel Taxes'!W$1</f>
        <v>2041</v>
      </c>
      <c r="X22" s="7">
        <f>'Fuel Taxes'!X$1</f>
        <v>2042</v>
      </c>
      <c r="Y22" s="7">
        <f>'Fuel Taxes'!Y$1</f>
        <v>2043</v>
      </c>
      <c r="Z22" s="7">
        <f>'Fuel Taxes'!Z$1</f>
        <v>2044</v>
      </c>
      <c r="AA22" s="7">
        <f>'Fuel Taxes'!AA$1</f>
        <v>2045</v>
      </c>
      <c r="AB22" s="7">
        <f>'Fuel Taxes'!AB$1</f>
        <v>2046</v>
      </c>
      <c r="AC22" s="7">
        <f>'Fuel Taxes'!AC$1</f>
        <v>2047</v>
      </c>
      <c r="AD22" s="7">
        <f>'Fuel Taxes'!AD$1</f>
        <v>2048</v>
      </c>
      <c r="AE22" s="7">
        <f>'Fuel Taxes'!AE$1</f>
        <v>2049</v>
      </c>
      <c r="AF22" s="7">
        <f>'Fuel Taxes'!AF$1</f>
        <v>2050</v>
      </c>
    </row>
    <row r="23" spans="1:32" x14ac:dyDescent="0.25">
      <c r="A23" t="s">
        <v>52</v>
      </c>
      <c r="B23">
        <f>'Pretax Fuel Prices'!B24+'Fuel Taxes'!B24</f>
        <v>0</v>
      </c>
      <c r="C23">
        <f>'Pretax Fuel Prices'!C24+'Fuel Taxes'!C24</f>
        <v>0</v>
      </c>
      <c r="D23">
        <f>'Pretax Fuel Prices'!D24+'Fuel Taxes'!D24</f>
        <v>0</v>
      </c>
      <c r="E23">
        <f>'Pretax Fuel Prices'!E24+'Fuel Taxes'!E24</f>
        <v>0</v>
      </c>
      <c r="F23">
        <f>'Pretax Fuel Prices'!F24+'Fuel Taxes'!F24</f>
        <v>0</v>
      </c>
      <c r="G23">
        <f>'Pretax Fuel Prices'!G24+'Fuel Taxes'!G24</f>
        <v>0</v>
      </c>
      <c r="H23">
        <f>'Pretax Fuel Prices'!H24+'Fuel Taxes'!H24</f>
        <v>0</v>
      </c>
      <c r="I23">
        <f>'Pretax Fuel Prices'!I24+'Fuel Taxes'!I24</f>
        <v>0</v>
      </c>
      <c r="J23">
        <f>'Pretax Fuel Prices'!J24+'Fuel Taxes'!J24</f>
        <v>0</v>
      </c>
      <c r="K23">
        <f>'Pretax Fuel Prices'!K24+'Fuel Taxes'!K24</f>
        <v>0</v>
      </c>
      <c r="L23">
        <f>'Pretax Fuel Prices'!L24+'Fuel Taxes'!L24</f>
        <v>0</v>
      </c>
      <c r="M23">
        <f>'Pretax Fuel Prices'!M24+'Fuel Taxes'!M24</f>
        <v>0</v>
      </c>
      <c r="N23">
        <f>'Pretax Fuel Prices'!N24+'Fuel Taxes'!N24</f>
        <v>0</v>
      </c>
      <c r="O23">
        <f>'Pretax Fuel Prices'!O24+'Fuel Taxes'!O24</f>
        <v>0</v>
      </c>
      <c r="P23">
        <f>'Pretax Fuel Prices'!P24+'Fuel Taxes'!P24</f>
        <v>0</v>
      </c>
      <c r="Q23">
        <f>'Pretax Fuel Prices'!Q24+'Fuel Taxes'!Q24</f>
        <v>0</v>
      </c>
      <c r="R23">
        <f>'Pretax Fuel Prices'!R24+'Fuel Taxes'!R24</f>
        <v>0</v>
      </c>
      <c r="S23">
        <f>'Pretax Fuel Prices'!S24+'Fuel Taxes'!S24</f>
        <v>0</v>
      </c>
      <c r="T23">
        <f>'Pretax Fuel Prices'!T24+'Fuel Taxes'!T24</f>
        <v>0</v>
      </c>
      <c r="U23">
        <f>'Pretax Fuel Prices'!U24+'Fuel Taxes'!U24</f>
        <v>0</v>
      </c>
      <c r="V23">
        <f>'Pretax Fuel Prices'!V24+'Fuel Taxes'!V24</f>
        <v>0</v>
      </c>
      <c r="W23">
        <f>'Pretax Fuel Prices'!W24+'Fuel Taxes'!W24</f>
        <v>0</v>
      </c>
      <c r="X23">
        <f>'Pretax Fuel Prices'!X24+'Fuel Taxes'!X24</f>
        <v>0</v>
      </c>
      <c r="Y23">
        <f>'Pretax Fuel Prices'!Y24+'Fuel Taxes'!Y24</f>
        <v>0</v>
      </c>
      <c r="Z23">
        <f>'Pretax Fuel Prices'!Z24+'Fuel Taxes'!Z24</f>
        <v>0</v>
      </c>
      <c r="AA23">
        <f>'Pretax Fuel Prices'!AA24+'Fuel Taxes'!AA24</f>
        <v>0</v>
      </c>
      <c r="AB23">
        <f>'Pretax Fuel Prices'!AB24+'Fuel Taxes'!AB24</f>
        <v>0</v>
      </c>
      <c r="AC23">
        <f>'Pretax Fuel Prices'!AC24+'Fuel Taxes'!AC24</f>
        <v>0</v>
      </c>
      <c r="AD23">
        <f>'Pretax Fuel Prices'!AD24+'Fuel Taxes'!AD24</f>
        <v>0</v>
      </c>
      <c r="AE23">
        <f>'Pretax Fuel Prices'!AE24+'Fuel Taxes'!AE24</f>
        <v>0</v>
      </c>
      <c r="AF23">
        <f>'Pretax Fuel Prices'!AF24+'Fuel Taxes'!AF24</f>
        <v>0</v>
      </c>
    </row>
    <row r="24" spans="1:32" x14ac:dyDescent="0.25">
      <c r="A24" t="s">
        <v>53</v>
      </c>
      <c r="B24">
        <f>'Pretax Fuel Prices'!B25+'Fuel Taxes'!B25</f>
        <v>6.086670352573887E-7</v>
      </c>
      <c r="C24">
        <f>'Pretax Fuel Prices'!C25+'Fuel Taxes'!C25</f>
        <v>6.0723236674170564E-7</v>
      </c>
      <c r="D24">
        <f>'Pretax Fuel Prices'!D25+'Fuel Taxes'!D25</f>
        <v>6.081211887736649E-7</v>
      </c>
      <c r="E24">
        <f>'Pretax Fuel Prices'!E25+'Fuel Taxes'!E25</f>
        <v>6.0989968014171304E-7</v>
      </c>
      <c r="F24">
        <f>'Pretax Fuel Prices'!F25+'Fuel Taxes'!F25</f>
        <v>6.1078850217367219E-7</v>
      </c>
      <c r="G24">
        <f>'Pretax Fuel Prices'!G25+'Fuel Taxes'!G25</f>
        <v>6.1256614623759071E-7</v>
      </c>
      <c r="H24">
        <f>'Pretax Fuel Prices'!H25+'Fuel Taxes'!H25</f>
        <v>6.1345581557367969E-7</v>
      </c>
      <c r="I24">
        <f>'Pretax Fuel Prices'!I25+'Fuel Taxes'!I25</f>
        <v>6.1523345963759811E-7</v>
      </c>
      <c r="J24">
        <f>'Pretax Fuel Prices'!J25+'Fuel Taxes'!J25</f>
        <v>6.1612228166955747E-7</v>
      </c>
      <c r="K24">
        <f>'Pretax Fuel Prices'!K25+'Fuel Taxes'!K25</f>
        <v>6.179007730376054E-7</v>
      </c>
      <c r="L24">
        <f>'Pretax Fuel Prices'!L25+'Fuel Taxes'!L25</f>
        <v>6.1967926440565353E-7</v>
      </c>
      <c r="M24">
        <f>'Pretax Fuel Prices'!M25+'Fuel Taxes'!M25</f>
        <v>6.20568086437613E-7</v>
      </c>
      <c r="N24">
        <f>'Pretax Fuel Prices'!N25+'Fuel Taxes'!N25</f>
        <v>6.2234657780566103E-7</v>
      </c>
      <c r="O24">
        <f>'Pretax Fuel Prices'!O25+'Fuel Taxes'!O25</f>
        <v>6.2412422186957966E-7</v>
      </c>
      <c r="P24">
        <f>'Pretax Fuel Prices'!P25+'Fuel Taxes'!P25</f>
        <v>6.2501304390153881E-7</v>
      </c>
      <c r="Q24">
        <f>'Pretax Fuel Prices'!Q25+'Fuel Taxes'!Q25</f>
        <v>6.2679153526958684E-7</v>
      </c>
      <c r="R24">
        <f>'Pretax Fuel Prices'!R25+'Fuel Taxes'!R25</f>
        <v>6.2857002663763508E-7</v>
      </c>
      <c r="S24">
        <f>'Pretax Fuel Prices'!S25+'Fuel Taxes'!S25</f>
        <v>6.2945884866959424E-7</v>
      </c>
      <c r="T24">
        <f>'Pretax Fuel Prices'!T25+'Fuel Taxes'!T25</f>
        <v>6.3123649273351276E-7</v>
      </c>
      <c r="U24">
        <f>'Pretax Fuel Prices'!U25+'Fuel Taxes'!U25</f>
        <v>6.3301498410156089E-7</v>
      </c>
      <c r="V24">
        <f>'Pretax Fuel Prices'!V25+'Fuel Taxes'!V25</f>
        <v>6.3479347546960892E-7</v>
      </c>
      <c r="W24">
        <f>'Pretax Fuel Prices'!W25+'Fuel Taxes'!W25</f>
        <v>6.3657111953352755E-7</v>
      </c>
      <c r="X24">
        <f>'Pretax Fuel Prices'!X25+'Fuel Taxes'!X25</f>
        <v>6.3834961090157558E-7</v>
      </c>
      <c r="Y24">
        <f>'Pretax Fuel Prices'!Y25+'Fuel Taxes'!Y25</f>
        <v>6.401272549654942E-7</v>
      </c>
      <c r="Z24">
        <f>'Pretax Fuel Prices'!Z25+'Fuel Taxes'!Z25</f>
        <v>6.4190574633354234E-7</v>
      </c>
      <c r="AA24">
        <f>'Pretax Fuel Prices'!AA25+'Fuel Taxes'!AA25</f>
        <v>6.4368423770159037E-7</v>
      </c>
      <c r="AB24">
        <f>'Pretax Fuel Prices'!AB25+'Fuel Taxes'!AB25</f>
        <v>6.45461881765509E-7</v>
      </c>
      <c r="AC24">
        <f>'Pretax Fuel Prices'!AC25+'Fuel Taxes'!AC25</f>
        <v>6.4724037313355703E-7</v>
      </c>
      <c r="AD24">
        <f>'Pretax Fuel Prices'!AD25+'Fuel Taxes'!AD25</f>
        <v>6.4901801719747565E-7</v>
      </c>
      <c r="AE24">
        <f>'Pretax Fuel Prices'!AE25+'Fuel Taxes'!AE25</f>
        <v>6.5079650856552368E-7</v>
      </c>
      <c r="AF24">
        <f>'Pretax Fuel Prices'!AF25+'Fuel Taxes'!AF25</f>
        <v>6.525741526294422E-7</v>
      </c>
    </row>
    <row r="25" spans="1:32" x14ac:dyDescent="0.25">
      <c r="A25" t="s">
        <v>54</v>
      </c>
      <c r="B25">
        <f>'Pretax Fuel Prices'!B26+'Fuel Taxes'!B26</f>
        <v>0</v>
      </c>
      <c r="C25">
        <f>'Pretax Fuel Prices'!C26+'Fuel Taxes'!C26</f>
        <v>0</v>
      </c>
      <c r="D25">
        <f>'Pretax Fuel Prices'!D26+'Fuel Taxes'!D26</f>
        <v>0</v>
      </c>
      <c r="E25">
        <f>'Pretax Fuel Prices'!E26+'Fuel Taxes'!E26</f>
        <v>0</v>
      </c>
      <c r="F25">
        <f>'Pretax Fuel Prices'!F26+'Fuel Taxes'!F26</f>
        <v>0</v>
      </c>
      <c r="G25">
        <f>'Pretax Fuel Prices'!G26+'Fuel Taxes'!G26</f>
        <v>0</v>
      </c>
      <c r="H25">
        <f>'Pretax Fuel Prices'!H26+'Fuel Taxes'!H26</f>
        <v>0</v>
      </c>
      <c r="I25">
        <f>'Pretax Fuel Prices'!I26+'Fuel Taxes'!I26</f>
        <v>0</v>
      </c>
      <c r="J25">
        <f>'Pretax Fuel Prices'!J26+'Fuel Taxes'!J26</f>
        <v>0</v>
      </c>
      <c r="K25">
        <f>'Pretax Fuel Prices'!K26+'Fuel Taxes'!K26</f>
        <v>0</v>
      </c>
      <c r="L25">
        <f>'Pretax Fuel Prices'!L26+'Fuel Taxes'!L26</f>
        <v>0</v>
      </c>
      <c r="M25">
        <f>'Pretax Fuel Prices'!M26+'Fuel Taxes'!M26</f>
        <v>0</v>
      </c>
      <c r="N25">
        <f>'Pretax Fuel Prices'!N26+'Fuel Taxes'!N26</f>
        <v>0</v>
      </c>
      <c r="O25">
        <f>'Pretax Fuel Prices'!O26+'Fuel Taxes'!O26</f>
        <v>0</v>
      </c>
      <c r="P25">
        <f>'Pretax Fuel Prices'!P26+'Fuel Taxes'!P26</f>
        <v>0</v>
      </c>
      <c r="Q25">
        <f>'Pretax Fuel Prices'!Q26+'Fuel Taxes'!Q26</f>
        <v>0</v>
      </c>
      <c r="R25">
        <f>'Pretax Fuel Prices'!R26+'Fuel Taxes'!R26</f>
        <v>0</v>
      </c>
      <c r="S25">
        <f>'Pretax Fuel Prices'!S26+'Fuel Taxes'!S26</f>
        <v>0</v>
      </c>
      <c r="T25">
        <f>'Pretax Fuel Prices'!T26+'Fuel Taxes'!T26</f>
        <v>0</v>
      </c>
      <c r="U25">
        <f>'Pretax Fuel Prices'!U26+'Fuel Taxes'!U26</f>
        <v>0</v>
      </c>
      <c r="V25">
        <f>'Pretax Fuel Prices'!V26+'Fuel Taxes'!V26</f>
        <v>0</v>
      </c>
      <c r="W25">
        <f>'Pretax Fuel Prices'!W26+'Fuel Taxes'!W26</f>
        <v>0</v>
      </c>
      <c r="X25">
        <f>'Pretax Fuel Prices'!X26+'Fuel Taxes'!X26</f>
        <v>0</v>
      </c>
      <c r="Y25">
        <f>'Pretax Fuel Prices'!Y26+'Fuel Taxes'!Y26</f>
        <v>0</v>
      </c>
      <c r="Z25">
        <f>'Pretax Fuel Prices'!Z26+'Fuel Taxes'!Z26</f>
        <v>0</v>
      </c>
      <c r="AA25">
        <f>'Pretax Fuel Prices'!AA26+'Fuel Taxes'!AA26</f>
        <v>0</v>
      </c>
      <c r="AB25">
        <f>'Pretax Fuel Prices'!AB26+'Fuel Taxes'!AB26</f>
        <v>0</v>
      </c>
      <c r="AC25">
        <f>'Pretax Fuel Prices'!AC26+'Fuel Taxes'!AC26</f>
        <v>0</v>
      </c>
      <c r="AD25">
        <f>'Pretax Fuel Prices'!AD26+'Fuel Taxes'!AD26</f>
        <v>0</v>
      </c>
      <c r="AE25">
        <f>'Pretax Fuel Prices'!AE26+'Fuel Taxes'!AE26</f>
        <v>0</v>
      </c>
      <c r="AF25">
        <f>'Pretax Fuel Prices'!AF26+'Fuel Taxes'!AF26</f>
        <v>0</v>
      </c>
    </row>
    <row r="26" spans="1:32" x14ac:dyDescent="0.25">
      <c r="A26" t="s">
        <v>55</v>
      </c>
      <c r="B26">
        <f>'Pretax Fuel Prices'!B27+'Fuel Taxes'!B27</f>
        <v>0</v>
      </c>
      <c r="C26">
        <f>'Pretax Fuel Prices'!C27+'Fuel Taxes'!C27</f>
        <v>0</v>
      </c>
      <c r="D26">
        <f>'Pretax Fuel Prices'!D27+'Fuel Taxes'!D27</f>
        <v>0</v>
      </c>
      <c r="E26">
        <f>'Pretax Fuel Prices'!E27+'Fuel Taxes'!E27</f>
        <v>0</v>
      </c>
      <c r="F26">
        <f>'Pretax Fuel Prices'!F27+'Fuel Taxes'!F27</f>
        <v>0</v>
      </c>
      <c r="G26">
        <f>'Pretax Fuel Prices'!G27+'Fuel Taxes'!G27</f>
        <v>0</v>
      </c>
      <c r="H26">
        <f>'Pretax Fuel Prices'!H27+'Fuel Taxes'!H27</f>
        <v>0</v>
      </c>
      <c r="I26">
        <f>'Pretax Fuel Prices'!I27+'Fuel Taxes'!I27</f>
        <v>0</v>
      </c>
      <c r="J26">
        <f>'Pretax Fuel Prices'!J27+'Fuel Taxes'!J27</f>
        <v>0</v>
      </c>
      <c r="K26">
        <f>'Pretax Fuel Prices'!K27+'Fuel Taxes'!K27</f>
        <v>0</v>
      </c>
      <c r="L26">
        <f>'Pretax Fuel Prices'!L27+'Fuel Taxes'!L27</f>
        <v>0</v>
      </c>
      <c r="M26">
        <f>'Pretax Fuel Prices'!M27+'Fuel Taxes'!M27</f>
        <v>0</v>
      </c>
      <c r="N26">
        <f>'Pretax Fuel Prices'!N27+'Fuel Taxes'!N27</f>
        <v>0</v>
      </c>
      <c r="O26">
        <f>'Pretax Fuel Prices'!O27+'Fuel Taxes'!O27</f>
        <v>0</v>
      </c>
      <c r="P26">
        <f>'Pretax Fuel Prices'!P27+'Fuel Taxes'!P27</f>
        <v>0</v>
      </c>
      <c r="Q26">
        <f>'Pretax Fuel Prices'!Q27+'Fuel Taxes'!Q27</f>
        <v>0</v>
      </c>
      <c r="R26">
        <f>'Pretax Fuel Prices'!R27+'Fuel Taxes'!R27</f>
        <v>0</v>
      </c>
      <c r="S26">
        <f>'Pretax Fuel Prices'!S27+'Fuel Taxes'!S27</f>
        <v>0</v>
      </c>
      <c r="T26">
        <f>'Pretax Fuel Prices'!T27+'Fuel Taxes'!T27</f>
        <v>0</v>
      </c>
      <c r="U26">
        <f>'Pretax Fuel Prices'!U27+'Fuel Taxes'!U27</f>
        <v>0</v>
      </c>
      <c r="V26">
        <f>'Pretax Fuel Prices'!V27+'Fuel Taxes'!V27</f>
        <v>0</v>
      </c>
      <c r="W26">
        <f>'Pretax Fuel Prices'!W27+'Fuel Taxes'!W27</f>
        <v>0</v>
      </c>
      <c r="X26">
        <f>'Pretax Fuel Prices'!X27+'Fuel Taxes'!X27</f>
        <v>0</v>
      </c>
      <c r="Y26">
        <f>'Pretax Fuel Prices'!Y27+'Fuel Taxes'!Y27</f>
        <v>0</v>
      </c>
      <c r="Z26">
        <f>'Pretax Fuel Prices'!Z27+'Fuel Taxes'!Z27</f>
        <v>0</v>
      </c>
      <c r="AA26">
        <f>'Pretax Fuel Prices'!AA27+'Fuel Taxes'!AA27</f>
        <v>0</v>
      </c>
      <c r="AB26">
        <f>'Pretax Fuel Prices'!AB27+'Fuel Taxes'!AB27</f>
        <v>0</v>
      </c>
      <c r="AC26">
        <f>'Pretax Fuel Prices'!AC27+'Fuel Taxes'!AC27</f>
        <v>0</v>
      </c>
      <c r="AD26">
        <f>'Pretax Fuel Prices'!AD27+'Fuel Taxes'!AD27</f>
        <v>0</v>
      </c>
      <c r="AE26">
        <f>'Pretax Fuel Prices'!AE27+'Fuel Taxes'!AE27</f>
        <v>0</v>
      </c>
      <c r="AF26">
        <f>'Pretax Fuel Prices'!AF27+'Fuel Taxes'!AF27</f>
        <v>0</v>
      </c>
    </row>
    <row r="27" spans="1:32" x14ac:dyDescent="0.25">
      <c r="A27" t="s">
        <v>56</v>
      </c>
      <c r="B27">
        <f>'Pretax Fuel Prices'!B28+'Fuel Taxes'!B28</f>
        <v>0</v>
      </c>
      <c r="C27">
        <f>'Pretax Fuel Prices'!C28+'Fuel Taxes'!C28</f>
        <v>0</v>
      </c>
      <c r="D27">
        <f>'Pretax Fuel Prices'!D28+'Fuel Taxes'!D28</f>
        <v>0</v>
      </c>
      <c r="E27">
        <f>'Pretax Fuel Prices'!E28+'Fuel Taxes'!E28</f>
        <v>0</v>
      </c>
      <c r="F27">
        <f>'Pretax Fuel Prices'!F28+'Fuel Taxes'!F28</f>
        <v>0</v>
      </c>
      <c r="G27">
        <f>'Pretax Fuel Prices'!G28+'Fuel Taxes'!G28</f>
        <v>0</v>
      </c>
      <c r="H27">
        <f>'Pretax Fuel Prices'!H28+'Fuel Taxes'!H28</f>
        <v>0</v>
      </c>
      <c r="I27">
        <f>'Pretax Fuel Prices'!I28+'Fuel Taxes'!I28</f>
        <v>0</v>
      </c>
      <c r="J27">
        <f>'Pretax Fuel Prices'!J28+'Fuel Taxes'!J28</f>
        <v>0</v>
      </c>
      <c r="K27">
        <f>'Pretax Fuel Prices'!K28+'Fuel Taxes'!K28</f>
        <v>0</v>
      </c>
      <c r="L27">
        <f>'Pretax Fuel Prices'!L28+'Fuel Taxes'!L28</f>
        <v>0</v>
      </c>
      <c r="M27">
        <f>'Pretax Fuel Prices'!M28+'Fuel Taxes'!M28</f>
        <v>0</v>
      </c>
      <c r="N27">
        <f>'Pretax Fuel Prices'!N28+'Fuel Taxes'!N28</f>
        <v>0</v>
      </c>
      <c r="O27">
        <f>'Pretax Fuel Prices'!O28+'Fuel Taxes'!O28</f>
        <v>0</v>
      </c>
      <c r="P27">
        <f>'Pretax Fuel Prices'!P28+'Fuel Taxes'!P28</f>
        <v>0</v>
      </c>
      <c r="Q27">
        <f>'Pretax Fuel Prices'!Q28+'Fuel Taxes'!Q28</f>
        <v>0</v>
      </c>
      <c r="R27">
        <f>'Pretax Fuel Prices'!R28+'Fuel Taxes'!R28</f>
        <v>0</v>
      </c>
      <c r="S27">
        <f>'Pretax Fuel Prices'!S28+'Fuel Taxes'!S28</f>
        <v>0</v>
      </c>
      <c r="T27">
        <f>'Pretax Fuel Prices'!T28+'Fuel Taxes'!T28</f>
        <v>0</v>
      </c>
      <c r="U27">
        <f>'Pretax Fuel Prices'!U28+'Fuel Taxes'!U28</f>
        <v>0</v>
      </c>
      <c r="V27">
        <f>'Pretax Fuel Prices'!V28+'Fuel Taxes'!V28</f>
        <v>0</v>
      </c>
      <c r="W27">
        <f>'Pretax Fuel Prices'!W28+'Fuel Taxes'!W28</f>
        <v>0</v>
      </c>
      <c r="X27">
        <f>'Pretax Fuel Prices'!X28+'Fuel Taxes'!X28</f>
        <v>0</v>
      </c>
      <c r="Y27">
        <f>'Pretax Fuel Prices'!Y28+'Fuel Taxes'!Y28</f>
        <v>0</v>
      </c>
      <c r="Z27">
        <f>'Pretax Fuel Prices'!Z28+'Fuel Taxes'!Z28</f>
        <v>0</v>
      </c>
      <c r="AA27">
        <f>'Pretax Fuel Prices'!AA28+'Fuel Taxes'!AA28</f>
        <v>0</v>
      </c>
      <c r="AB27">
        <f>'Pretax Fuel Prices'!AB28+'Fuel Taxes'!AB28</f>
        <v>0</v>
      </c>
      <c r="AC27">
        <f>'Pretax Fuel Prices'!AC28+'Fuel Taxes'!AC28</f>
        <v>0</v>
      </c>
      <c r="AD27">
        <f>'Pretax Fuel Prices'!AD28+'Fuel Taxes'!AD28</f>
        <v>0</v>
      </c>
      <c r="AE27">
        <f>'Pretax Fuel Prices'!AE28+'Fuel Taxes'!AE28</f>
        <v>0</v>
      </c>
      <c r="AF27">
        <f>'Pretax Fuel Prices'!AF28+'Fuel Taxes'!AF28</f>
        <v>0</v>
      </c>
    </row>
    <row r="28" spans="1:32" x14ac:dyDescent="0.25">
      <c r="A28" t="s">
        <v>57</v>
      </c>
      <c r="B28">
        <f>'Pretax Fuel Prices'!B29+'Fuel Taxes'!B29</f>
        <v>0</v>
      </c>
      <c r="C28">
        <f>'Pretax Fuel Prices'!C29+'Fuel Taxes'!C29</f>
        <v>0</v>
      </c>
      <c r="D28">
        <f>'Pretax Fuel Prices'!D29+'Fuel Taxes'!D29</f>
        <v>0</v>
      </c>
      <c r="E28">
        <f>'Pretax Fuel Prices'!E29+'Fuel Taxes'!E29</f>
        <v>0</v>
      </c>
      <c r="F28">
        <f>'Pretax Fuel Prices'!F29+'Fuel Taxes'!F29</f>
        <v>0</v>
      </c>
      <c r="G28">
        <f>'Pretax Fuel Prices'!G29+'Fuel Taxes'!G29</f>
        <v>0</v>
      </c>
      <c r="H28">
        <f>'Pretax Fuel Prices'!H29+'Fuel Taxes'!H29</f>
        <v>0</v>
      </c>
      <c r="I28">
        <f>'Pretax Fuel Prices'!I29+'Fuel Taxes'!I29</f>
        <v>0</v>
      </c>
      <c r="J28">
        <f>'Pretax Fuel Prices'!J29+'Fuel Taxes'!J29</f>
        <v>0</v>
      </c>
      <c r="K28">
        <f>'Pretax Fuel Prices'!K29+'Fuel Taxes'!K29</f>
        <v>0</v>
      </c>
      <c r="L28">
        <f>'Pretax Fuel Prices'!L29+'Fuel Taxes'!L29</f>
        <v>0</v>
      </c>
      <c r="M28">
        <f>'Pretax Fuel Prices'!M29+'Fuel Taxes'!M29</f>
        <v>0</v>
      </c>
      <c r="N28">
        <f>'Pretax Fuel Prices'!N29+'Fuel Taxes'!N29</f>
        <v>0</v>
      </c>
      <c r="O28">
        <f>'Pretax Fuel Prices'!O29+'Fuel Taxes'!O29</f>
        <v>0</v>
      </c>
      <c r="P28">
        <f>'Pretax Fuel Prices'!P29+'Fuel Taxes'!P29</f>
        <v>0</v>
      </c>
      <c r="Q28">
        <f>'Pretax Fuel Prices'!Q29+'Fuel Taxes'!Q29</f>
        <v>0</v>
      </c>
      <c r="R28">
        <f>'Pretax Fuel Prices'!R29+'Fuel Taxes'!R29</f>
        <v>0</v>
      </c>
      <c r="S28">
        <f>'Pretax Fuel Prices'!S29+'Fuel Taxes'!S29</f>
        <v>0</v>
      </c>
      <c r="T28">
        <f>'Pretax Fuel Prices'!T29+'Fuel Taxes'!T29</f>
        <v>0</v>
      </c>
      <c r="U28">
        <f>'Pretax Fuel Prices'!U29+'Fuel Taxes'!U29</f>
        <v>0</v>
      </c>
      <c r="V28">
        <f>'Pretax Fuel Prices'!V29+'Fuel Taxes'!V29</f>
        <v>0</v>
      </c>
      <c r="W28">
        <f>'Pretax Fuel Prices'!W29+'Fuel Taxes'!W29</f>
        <v>0</v>
      </c>
      <c r="X28">
        <f>'Pretax Fuel Prices'!X29+'Fuel Taxes'!X29</f>
        <v>0</v>
      </c>
      <c r="Y28">
        <f>'Pretax Fuel Prices'!Y29+'Fuel Taxes'!Y29</f>
        <v>0</v>
      </c>
      <c r="Z28">
        <f>'Pretax Fuel Prices'!Z29+'Fuel Taxes'!Z29</f>
        <v>0</v>
      </c>
      <c r="AA28">
        <f>'Pretax Fuel Prices'!AA29+'Fuel Taxes'!AA29</f>
        <v>0</v>
      </c>
      <c r="AB28">
        <f>'Pretax Fuel Prices'!AB29+'Fuel Taxes'!AB29</f>
        <v>0</v>
      </c>
      <c r="AC28">
        <f>'Pretax Fuel Prices'!AC29+'Fuel Taxes'!AC29</f>
        <v>0</v>
      </c>
      <c r="AD28">
        <f>'Pretax Fuel Prices'!AD29+'Fuel Taxes'!AD29</f>
        <v>0</v>
      </c>
      <c r="AE28">
        <f>'Pretax Fuel Prices'!AE29+'Fuel Taxes'!AE29</f>
        <v>0</v>
      </c>
      <c r="AF28">
        <f>'Pretax Fuel Prices'!AF29+'Fuel Taxes'!AF29</f>
        <v>0</v>
      </c>
    </row>
    <row r="29" spans="1:32" x14ac:dyDescent="0.25">
      <c r="A29" t="s">
        <v>58</v>
      </c>
      <c r="B29">
        <f>'Pretax Fuel Prices'!B30+'Fuel Taxes'!B30</f>
        <v>0</v>
      </c>
      <c r="C29">
        <f>'Pretax Fuel Prices'!C30+'Fuel Taxes'!C30</f>
        <v>0</v>
      </c>
      <c r="D29">
        <f>'Pretax Fuel Prices'!D30+'Fuel Taxes'!D30</f>
        <v>0</v>
      </c>
      <c r="E29">
        <f>'Pretax Fuel Prices'!E30+'Fuel Taxes'!E30</f>
        <v>0</v>
      </c>
      <c r="F29">
        <f>'Pretax Fuel Prices'!F30+'Fuel Taxes'!F30</f>
        <v>0</v>
      </c>
      <c r="G29">
        <f>'Pretax Fuel Prices'!G30+'Fuel Taxes'!G30</f>
        <v>0</v>
      </c>
      <c r="H29">
        <f>'Pretax Fuel Prices'!H30+'Fuel Taxes'!H30</f>
        <v>0</v>
      </c>
      <c r="I29">
        <f>'Pretax Fuel Prices'!I30+'Fuel Taxes'!I30</f>
        <v>0</v>
      </c>
      <c r="J29">
        <f>'Pretax Fuel Prices'!J30+'Fuel Taxes'!J30</f>
        <v>0</v>
      </c>
      <c r="K29">
        <f>'Pretax Fuel Prices'!K30+'Fuel Taxes'!K30</f>
        <v>0</v>
      </c>
      <c r="L29">
        <f>'Pretax Fuel Prices'!L30+'Fuel Taxes'!L30</f>
        <v>0</v>
      </c>
      <c r="M29">
        <f>'Pretax Fuel Prices'!M30+'Fuel Taxes'!M30</f>
        <v>0</v>
      </c>
      <c r="N29">
        <f>'Pretax Fuel Prices'!N30+'Fuel Taxes'!N30</f>
        <v>0</v>
      </c>
      <c r="O29">
        <f>'Pretax Fuel Prices'!O30+'Fuel Taxes'!O30</f>
        <v>0</v>
      </c>
      <c r="P29">
        <f>'Pretax Fuel Prices'!P30+'Fuel Taxes'!P30</f>
        <v>0</v>
      </c>
      <c r="Q29">
        <f>'Pretax Fuel Prices'!Q30+'Fuel Taxes'!Q30</f>
        <v>0</v>
      </c>
      <c r="R29">
        <f>'Pretax Fuel Prices'!R30+'Fuel Taxes'!R30</f>
        <v>0</v>
      </c>
      <c r="S29">
        <f>'Pretax Fuel Prices'!S30+'Fuel Taxes'!S30</f>
        <v>0</v>
      </c>
      <c r="T29">
        <f>'Pretax Fuel Prices'!T30+'Fuel Taxes'!T30</f>
        <v>0</v>
      </c>
      <c r="U29">
        <f>'Pretax Fuel Prices'!U30+'Fuel Taxes'!U30</f>
        <v>0</v>
      </c>
      <c r="V29">
        <f>'Pretax Fuel Prices'!V30+'Fuel Taxes'!V30</f>
        <v>0</v>
      </c>
      <c r="W29">
        <f>'Pretax Fuel Prices'!W30+'Fuel Taxes'!W30</f>
        <v>0</v>
      </c>
      <c r="X29">
        <f>'Pretax Fuel Prices'!X30+'Fuel Taxes'!X30</f>
        <v>0</v>
      </c>
      <c r="Y29">
        <f>'Pretax Fuel Prices'!Y30+'Fuel Taxes'!Y30</f>
        <v>0</v>
      </c>
      <c r="Z29">
        <f>'Pretax Fuel Prices'!Z30+'Fuel Taxes'!Z30</f>
        <v>0</v>
      </c>
      <c r="AA29">
        <f>'Pretax Fuel Prices'!AA30+'Fuel Taxes'!AA30</f>
        <v>0</v>
      </c>
      <c r="AB29">
        <f>'Pretax Fuel Prices'!AB30+'Fuel Taxes'!AB30</f>
        <v>0</v>
      </c>
      <c r="AC29">
        <f>'Pretax Fuel Prices'!AC30+'Fuel Taxes'!AC30</f>
        <v>0</v>
      </c>
      <c r="AD29">
        <f>'Pretax Fuel Prices'!AD30+'Fuel Taxes'!AD30</f>
        <v>0</v>
      </c>
      <c r="AE29">
        <f>'Pretax Fuel Prices'!AE30+'Fuel Taxes'!AE30</f>
        <v>0</v>
      </c>
      <c r="AF29">
        <f>'Pretax Fuel Prices'!AF30+'Fuel Taxes'!AF30</f>
        <v>0</v>
      </c>
    </row>
    <row r="30" spans="1:32" x14ac:dyDescent="0.25">
      <c r="A30" t="s">
        <v>59</v>
      </c>
      <c r="B30">
        <f>'Pretax Fuel Prices'!B31+'Fuel Taxes'!B31</f>
        <v>0</v>
      </c>
      <c r="C30">
        <f>'Pretax Fuel Prices'!C31+'Fuel Taxes'!C31</f>
        <v>0</v>
      </c>
      <c r="D30">
        <f>'Pretax Fuel Prices'!D31+'Fuel Taxes'!D31</f>
        <v>0</v>
      </c>
      <c r="E30">
        <f>'Pretax Fuel Prices'!E31+'Fuel Taxes'!E31</f>
        <v>0</v>
      </c>
      <c r="F30">
        <f>'Pretax Fuel Prices'!F31+'Fuel Taxes'!F31</f>
        <v>0</v>
      </c>
      <c r="G30">
        <f>'Pretax Fuel Prices'!G31+'Fuel Taxes'!G31</f>
        <v>0</v>
      </c>
      <c r="H30">
        <f>'Pretax Fuel Prices'!H31+'Fuel Taxes'!H31</f>
        <v>0</v>
      </c>
      <c r="I30">
        <f>'Pretax Fuel Prices'!I31+'Fuel Taxes'!I31</f>
        <v>0</v>
      </c>
      <c r="J30">
        <f>'Pretax Fuel Prices'!J31+'Fuel Taxes'!J31</f>
        <v>0</v>
      </c>
      <c r="K30">
        <f>'Pretax Fuel Prices'!K31+'Fuel Taxes'!K31</f>
        <v>0</v>
      </c>
      <c r="L30">
        <f>'Pretax Fuel Prices'!L31+'Fuel Taxes'!L31</f>
        <v>0</v>
      </c>
      <c r="M30">
        <f>'Pretax Fuel Prices'!M31+'Fuel Taxes'!M31</f>
        <v>0</v>
      </c>
      <c r="N30">
        <f>'Pretax Fuel Prices'!N31+'Fuel Taxes'!N31</f>
        <v>0</v>
      </c>
      <c r="O30">
        <f>'Pretax Fuel Prices'!O31+'Fuel Taxes'!O31</f>
        <v>0</v>
      </c>
      <c r="P30">
        <f>'Pretax Fuel Prices'!P31+'Fuel Taxes'!P31</f>
        <v>0</v>
      </c>
      <c r="Q30">
        <f>'Pretax Fuel Prices'!Q31+'Fuel Taxes'!Q31</f>
        <v>0</v>
      </c>
      <c r="R30">
        <f>'Pretax Fuel Prices'!R31+'Fuel Taxes'!R31</f>
        <v>0</v>
      </c>
      <c r="S30">
        <f>'Pretax Fuel Prices'!S31+'Fuel Taxes'!S31</f>
        <v>0</v>
      </c>
      <c r="T30">
        <f>'Pretax Fuel Prices'!T31+'Fuel Taxes'!T31</f>
        <v>0</v>
      </c>
      <c r="U30">
        <f>'Pretax Fuel Prices'!U31+'Fuel Taxes'!U31</f>
        <v>0</v>
      </c>
      <c r="V30">
        <f>'Pretax Fuel Prices'!V31+'Fuel Taxes'!V31</f>
        <v>0</v>
      </c>
      <c r="W30">
        <f>'Pretax Fuel Prices'!W31+'Fuel Taxes'!W31</f>
        <v>0</v>
      </c>
      <c r="X30">
        <f>'Pretax Fuel Prices'!X31+'Fuel Taxes'!X31</f>
        <v>0</v>
      </c>
      <c r="Y30">
        <f>'Pretax Fuel Prices'!Y31+'Fuel Taxes'!Y31</f>
        <v>0</v>
      </c>
      <c r="Z30">
        <f>'Pretax Fuel Prices'!Z31+'Fuel Taxes'!Z31</f>
        <v>0</v>
      </c>
      <c r="AA30">
        <f>'Pretax Fuel Prices'!AA31+'Fuel Taxes'!AA31</f>
        <v>0</v>
      </c>
      <c r="AB30">
        <f>'Pretax Fuel Prices'!AB31+'Fuel Taxes'!AB31</f>
        <v>0</v>
      </c>
      <c r="AC30">
        <f>'Pretax Fuel Prices'!AC31+'Fuel Taxes'!AC31</f>
        <v>0</v>
      </c>
      <c r="AD30">
        <f>'Pretax Fuel Prices'!AD31+'Fuel Taxes'!AD31</f>
        <v>0</v>
      </c>
      <c r="AE30">
        <f>'Pretax Fuel Prices'!AE31+'Fuel Taxes'!AE31</f>
        <v>0</v>
      </c>
      <c r="AF30">
        <f>'Pretax Fuel Prices'!AF31+'Fuel Taxes'!AF31</f>
        <v>0</v>
      </c>
    </row>
    <row r="31" spans="1:32" s="4" customFormat="1" x14ac:dyDescent="0.25">
      <c r="A31" s="6" t="s">
        <v>33</v>
      </c>
    </row>
    <row r="32" spans="1:32" x14ac:dyDescent="0.25">
      <c r="A32" t="s">
        <v>30</v>
      </c>
      <c r="B32" s="7">
        <f>'Fuel Taxes'!B$1</f>
        <v>2020</v>
      </c>
      <c r="C32" s="7">
        <f>'Fuel Taxes'!C$1</f>
        <v>2021</v>
      </c>
      <c r="D32" s="7">
        <f>'Fuel Taxes'!D$1</f>
        <v>2022</v>
      </c>
      <c r="E32" s="7">
        <f>'Fuel Taxes'!E$1</f>
        <v>2023</v>
      </c>
      <c r="F32" s="7">
        <f>'Fuel Taxes'!F$1</f>
        <v>2024</v>
      </c>
      <c r="G32" s="7">
        <f>'Fuel Taxes'!G$1</f>
        <v>2025</v>
      </c>
      <c r="H32" s="7">
        <f>'Fuel Taxes'!H$1</f>
        <v>2026</v>
      </c>
      <c r="I32" s="7">
        <f>'Fuel Taxes'!I$1</f>
        <v>2027</v>
      </c>
      <c r="J32" s="7">
        <f>'Fuel Taxes'!J$1</f>
        <v>2028</v>
      </c>
      <c r="K32" s="7">
        <f>'Fuel Taxes'!K$1</f>
        <v>2029</v>
      </c>
      <c r="L32" s="7">
        <f>'Fuel Taxes'!L$1</f>
        <v>2030</v>
      </c>
      <c r="M32" s="7">
        <f>'Fuel Taxes'!M$1</f>
        <v>2031</v>
      </c>
      <c r="N32" s="7">
        <f>'Fuel Taxes'!N$1</f>
        <v>2032</v>
      </c>
      <c r="O32" s="7">
        <f>'Fuel Taxes'!O$1</f>
        <v>2033</v>
      </c>
      <c r="P32" s="7">
        <f>'Fuel Taxes'!P$1</f>
        <v>2034</v>
      </c>
      <c r="Q32" s="7">
        <f>'Fuel Taxes'!Q$1</f>
        <v>2035</v>
      </c>
      <c r="R32" s="7">
        <f>'Fuel Taxes'!R$1</f>
        <v>2036</v>
      </c>
      <c r="S32" s="7">
        <f>'Fuel Taxes'!S$1</f>
        <v>2037</v>
      </c>
      <c r="T32" s="7">
        <f>'Fuel Taxes'!T$1</f>
        <v>2038</v>
      </c>
      <c r="U32" s="7">
        <f>'Fuel Taxes'!U$1</f>
        <v>2039</v>
      </c>
      <c r="V32" s="7">
        <f>'Fuel Taxes'!V$1</f>
        <v>2040</v>
      </c>
      <c r="W32" s="7">
        <f>'Fuel Taxes'!W$1</f>
        <v>2041</v>
      </c>
      <c r="X32" s="7">
        <f>'Fuel Taxes'!X$1</f>
        <v>2042</v>
      </c>
      <c r="Y32" s="7">
        <f>'Fuel Taxes'!Y$1</f>
        <v>2043</v>
      </c>
      <c r="Z32" s="7">
        <f>'Fuel Taxes'!Z$1</f>
        <v>2044</v>
      </c>
      <c r="AA32" s="7">
        <f>'Fuel Taxes'!AA$1</f>
        <v>2045</v>
      </c>
      <c r="AB32" s="7">
        <f>'Fuel Taxes'!AB$1</f>
        <v>2046</v>
      </c>
      <c r="AC32" s="7">
        <f>'Fuel Taxes'!AC$1</f>
        <v>2047</v>
      </c>
      <c r="AD32" s="7">
        <f>'Fuel Taxes'!AD$1</f>
        <v>2048</v>
      </c>
      <c r="AE32" s="7">
        <f>'Fuel Taxes'!AE$1</f>
        <v>2049</v>
      </c>
      <c r="AF32" s="7">
        <f>'Fuel Taxes'!AF$1</f>
        <v>2050</v>
      </c>
    </row>
    <row r="33" spans="1:32" x14ac:dyDescent="0.25">
      <c r="A33" t="s">
        <v>52</v>
      </c>
      <c r="B33">
        <f>'Pretax Fuel Prices'!B34+'Fuel Taxes'!B34</f>
        <v>0</v>
      </c>
      <c r="C33">
        <f>'Pretax Fuel Prices'!C34+'Fuel Taxes'!C34</f>
        <v>0</v>
      </c>
      <c r="D33">
        <f>'Pretax Fuel Prices'!D34+'Fuel Taxes'!D34</f>
        <v>0</v>
      </c>
      <c r="E33">
        <f>'Pretax Fuel Prices'!E34+'Fuel Taxes'!E34</f>
        <v>0</v>
      </c>
      <c r="F33">
        <f>'Pretax Fuel Prices'!F34+'Fuel Taxes'!F34</f>
        <v>0</v>
      </c>
      <c r="G33">
        <f>'Pretax Fuel Prices'!G34+'Fuel Taxes'!G34</f>
        <v>0</v>
      </c>
      <c r="H33">
        <f>'Pretax Fuel Prices'!H34+'Fuel Taxes'!H34</f>
        <v>0</v>
      </c>
      <c r="I33">
        <f>'Pretax Fuel Prices'!I34+'Fuel Taxes'!I34</f>
        <v>0</v>
      </c>
      <c r="J33">
        <f>'Pretax Fuel Prices'!J34+'Fuel Taxes'!J34</f>
        <v>0</v>
      </c>
      <c r="K33">
        <f>'Pretax Fuel Prices'!K34+'Fuel Taxes'!K34</f>
        <v>0</v>
      </c>
      <c r="L33">
        <f>'Pretax Fuel Prices'!L34+'Fuel Taxes'!L34</f>
        <v>0</v>
      </c>
      <c r="M33">
        <f>'Pretax Fuel Prices'!M34+'Fuel Taxes'!M34</f>
        <v>0</v>
      </c>
      <c r="N33">
        <f>'Pretax Fuel Prices'!N34+'Fuel Taxes'!N34</f>
        <v>0</v>
      </c>
      <c r="O33">
        <f>'Pretax Fuel Prices'!O34+'Fuel Taxes'!O34</f>
        <v>0</v>
      </c>
      <c r="P33">
        <f>'Pretax Fuel Prices'!P34+'Fuel Taxes'!P34</f>
        <v>0</v>
      </c>
      <c r="Q33">
        <f>'Pretax Fuel Prices'!Q34+'Fuel Taxes'!Q34</f>
        <v>0</v>
      </c>
      <c r="R33">
        <f>'Pretax Fuel Prices'!R34+'Fuel Taxes'!R34</f>
        <v>0</v>
      </c>
      <c r="S33">
        <f>'Pretax Fuel Prices'!S34+'Fuel Taxes'!S34</f>
        <v>0</v>
      </c>
      <c r="T33">
        <f>'Pretax Fuel Prices'!T34+'Fuel Taxes'!T34</f>
        <v>0</v>
      </c>
      <c r="U33">
        <f>'Pretax Fuel Prices'!U34+'Fuel Taxes'!U34</f>
        <v>0</v>
      </c>
      <c r="V33">
        <f>'Pretax Fuel Prices'!V34+'Fuel Taxes'!V34</f>
        <v>0</v>
      </c>
      <c r="W33">
        <f>'Pretax Fuel Prices'!W34+'Fuel Taxes'!W34</f>
        <v>0</v>
      </c>
      <c r="X33">
        <f>'Pretax Fuel Prices'!X34+'Fuel Taxes'!X34</f>
        <v>0</v>
      </c>
      <c r="Y33">
        <f>'Pretax Fuel Prices'!Y34+'Fuel Taxes'!Y34</f>
        <v>0</v>
      </c>
      <c r="Z33">
        <f>'Pretax Fuel Prices'!Z34+'Fuel Taxes'!Z34</f>
        <v>0</v>
      </c>
      <c r="AA33">
        <f>'Pretax Fuel Prices'!AA34+'Fuel Taxes'!AA34</f>
        <v>0</v>
      </c>
      <c r="AB33">
        <f>'Pretax Fuel Prices'!AB34+'Fuel Taxes'!AB34</f>
        <v>0</v>
      </c>
      <c r="AC33">
        <f>'Pretax Fuel Prices'!AC34+'Fuel Taxes'!AC34</f>
        <v>0</v>
      </c>
      <c r="AD33">
        <f>'Pretax Fuel Prices'!AD34+'Fuel Taxes'!AD34</f>
        <v>0</v>
      </c>
      <c r="AE33">
        <f>'Pretax Fuel Prices'!AE34+'Fuel Taxes'!AE34</f>
        <v>0</v>
      </c>
      <c r="AF33">
        <f>'Pretax Fuel Prices'!AF34+'Fuel Taxes'!AF34</f>
        <v>0</v>
      </c>
    </row>
    <row r="34" spans="1:32" x14ac:dyDescent="0.25">
      <c r="A34" t="s">
        <v>53</v>
      </c>
      <c r="B34">
        <f>'Pretax Fuel Prices'!B35+'Fuel Taxes'!B35</f>
        <v>2.0290800000000005E-6</v>
      </c>
      <c r="C34">
        <f>'Pretax Fuel Prices'!C35+'Fuel Taxes'!C35</f>
        <v>2.0290800000000005E-6</v>
      </c>
      <c r="D34">
        <f>'Pretax Fuel Prices'!D35+'Fuel Taxes'!D35</f>
        <v>2.0290800000000005E-6</v>
      </c>
      <c r="E34">
        <f>'Pretax Fuel Prices'!E35+'Fuel Taxes'!E35</f>
        <v>2.0290800000000005E-6</v>
      </c>
      <c r="F34">
        <f>'Pretax Fuel Prices'!F35+'Fuel Taxes'!F35</f>
        <v>2.0290800000000005E-6</v>
      </c>
      <c r="G34">
        <f>'Pretax Fuel Prices'!G35+'Fuel Taxes'!G35</f>
        <v>2.0290800000000005E-6</v>
      </c>
      <c r="H34">
        <f>'Pretax Fuel Prices'!H35+'Fuel Taxes'!H35</f>
        <v>2.0290800000000005E-6</v>
      </c>
      <c r="I34">
        <f>'Pretax Fuel Prices'!I35+'Fuel Taxes'!I35</f>
        <v>2.0290800000000005E-6</v>
      </c>
      <c r="J34">
        <f>'Pretax Fuel Prices'!J35+'Fuel Taxes'!J35</f>
        <v>2.0290800000000005E-6</v>
      </c>
      <c r="K34">
        <f>'Pretax Fuel Prices'!K35+'Fuel Taxes'!K35</f>
        <v>2.0290800000000005E-6</v>
      </c>
      <c r="L34">
        <f>'Pretax Fuel Prices'!L35+'Fuel Taxes'!L35</f>
        <v>2.0290800000000005E-6</v>
      </c>
      <c r="M34">
        <f>'Pretax Fuel Prices'!M35+'Fuel Taxes'!M35</f>
        <v>2.0290800000000005E-6</v>
      </c>
      <c r="N34">
        <f>'Pretax Fuel Prices'!N35+'Fuel Taxes'!N35</f>
        <v>2.0290800000000005E-6</v>
      </c>
      <c r="O34">
        <f>'Pretax Fuel Prices'!O35+'Fuel Taxes'!O35</f>
        <v>2.0290800000000005E-6</v>
      </c>
      <c r="P34">
        <f>'Pretax Fuel Prices'!P35+'Fuel Taxes'!P35</f>
        <v>2.0290800000000005E-6</v>
      </c>
      <c r="Q34">
        <f>'Pretax Fuel Prices'!Q35+'Fuel Taxes'!Q35</f>
        <v>2.0290800000000005E-6</v>
      </c>
      <c r="R34">
        <f>'Pretax Fuel Prices'!R35+'Fuel Taxes'!R35</f>
        <v>2.0290800000000005E-6</v>
      </c>
      <c r="S34">
        <f>'Pretax Fuel Prices'!S35+'Fuel Taxes'!S35</f>
        <v>2.0290800000000005E-6</v>
      </c>
      <c r="T34">
        <f>'Pretax Fuel Prices'!T35+'Fuel Taxes'!T35</f>
        <v>2.0290800000000005E-6</v>
      </c>
      <c r="U34">
        <f>'Pretax Fuel Prices'!U35+'Fuel Taxes'!U35</f>
        <v>2.0290800000000005E-6</v>
      </c>
      <c r="V34">
        <f>'Pretax Fuel Prices'!V35+'Fuel Taxes'!V35</f>
        <v>2.0290800000000005E-6</v>
      </c>
      <c r="W34">
        <f>'Pretax Fuel Prices'!W35+'Fuel Taxes'!W35</f>
        <v>2.0290800000000005E-6</v>
      </c>
      <c r="X34">
        <f>'Pretax Fuel Prices'!X35+'Fuel Taxes'!X35</f>
        <v>2.0290800000000005E-6</v>
      </c>
      <c r="Y34">
        <f>'Pretax Fuel Prices'!Y35+'Fuel Taxes'!Y35</f>
        <v>2.0290800000000005E-6</v>
      </c>
      <c r="Z34">
        <f>'Pretax Fuel Prices'!Z35+'Fuel Taxes'!Z35</f>
        <v>2.0290800000000005E-6</v>
      </c>
      <c r="AA34">
        <f>'Pretax Fuel Prices'!AA35+'Fuel Taxes'!AA35</f>
        <v>2.0290800000000005E-6</v>
      </c>
      <c r="AB34">
        <f>'Pretax Fuel Prices'!AB35+'Fuel Taxes'!AB35</f>
        <v>2.0290800000000005E-6</v>
      </c>
      <c r="AC34">
        <f>'Pretax Fuel Prices'!AC35+'Fuel Taxes'!AC35</f>
        <v>2.0290800000000005E-6</v>
      </c>
      <c r="AD34">
        <f>'Pretax Fuel Prices'!AD35+'Fuel Taxes'!AD35</f>
        <v>2.0290800000000005E-6</v>
      </c>
      <c r="AE34">
        <f>'Pretax Fuel Prices'!AE35+'Fuel Taxes'!AE35</f>
        <v>2.0290800000000005E-6</v>
      </c>
      <c r="AF34">
        <f>'Pretax Fuel Prices'!AF35+'Fuel Taxes'!AF35</f>
        <v>2.0290800000000005E-6</v>
      </c>
    </row>
    <row r="35" spans="1:32" x14ac:dyDescent="0.25">
      <c r="A35" t="s">
        <v>54</v>
      </c>
      <c r="B35">
        <f>'Pretax Fuel Prices'!B36+'Fuel Taxes'!B36</f>
        <v>8.0888999999999998E-6</v>
      </c>
      <c r="C35">
        <f>'Pretax Fuel Prices'!C36+'Fuel Taxes'!C36</f>
        <v>8.0888999999999998E-6</v>
      </c>
      <c r="D35">
        <f>'Pretax Fuel Prices'!D36+'Fuel Taxes'!D36</f>
        <v>8.0888999999999998E-6</v>
      </c>
      <c r="E35">
        <f>'Pretax Fuel Prices'!E36+'Fuel Taxes'!E36</f>
        <v>8.0888999999999998E-6</v>
      </c>
      <c r="F35">
        <f>'Pretax Fuel Prices'!F36+'Fuel Taxes'!F36</f>
        <v>8.0888999999999998E-6</v>
      </c>
      <c r="G35">
        <f>'Pretax Fuel Prices'!G36+'Fuel Taxes'!G36</f>
        <v>8.0888999999999998E-6</v>
      </c>
      <c r="H35">
        <f>'Pretax Fuel Prices'!H36+'Fuel Taxes'!H36</f>
        <v>8.0888999999999998E-6</v>
      </c>
      <c r="I35">
        <f>'Pretax Fuel Prices'!I36+'Fuel Taxes'!I36</f>
        <v>8.0888999999999998E-6</v>
      </c>
      <c r="J35">
        <f>'Pretax Fuel Prices'!J36+'Fuel Taxes'!J36</f>
        <v>8.0888999999999998E-6</v>
      </c>
      <c r="K35">
        <f>'Pretax Fuel Prices'!K36+'Fuel Taxes'!K36</f>
        <v>8.0888999999999998E-6</v>
      </c>
      <c r="L35">
        <f>'Pretax Fuel Prices'!L36+'Fuel Taxes'!L36</f>
        <v>8.0888999999999998E-6</v>
      </c>
      <c r="M35">
        <f>'Pretax Fuel Prices'!M36+'Fuel Taxes'!M36</f>
        <v>8.0888999999999998E-6</v>
      </c>
      <c r="N35">
        <f>'Pretax Fuel Prices'!N36+'Fuel Taxes'!N36</f>
        <v>8.0888999999999998E-6</v>
      </c>
      <c r="O35">
        <f>'Pretax Fuel Prices'!O36+'Fuel Taxes'!O36</f>
        <v>8.0888999999999998E-6</v>
      </c>
      <c r="P35">
        <f>'Pretax Fuel Prices'!P36+'Fuel Taxes'!P36</f>
        <v>8.0888999999999998E-6</v>
      </c>
      <c r="Q35">
        <f>'Pretax Fuel Prices'!Q36+'Fuel Taxes'!Q36</f>
        <v>8.0888999999999998E-6</v>
      </c>
      <c r="R35">
        <f>'Pretax Fuel Prices'!R36+'Fuel Taxes'!R36</f>
        <v>8.0888999999999998E-6</v>
      </c>
      <c r="S35">
        <f>'Pretax Fuel Prices'!S36+'Fuel Taxes'!S36</f>
        <v>8.0888999999999998E-6</v>
      </c>
      <c r="T35">
        <f>'Pretax Fuel Prices'!T36+'Fuel Taxes'!T36</f>
        <v>8.0888999999999998E-6</v>
      </c>
      <c r="U35">
        <f>'Pretax Fuel Prices'!U36+'Fuel Taxes'!U36</f>
        <v>8.0888999999999998E-6</v>
      </c>
      <c r="V35">
        <f>'Pretax Fuel Prices'!V36+'Fuel Taxes'!V36</f>
        <v>8.0888999999999998E-6</v>
      </c>
      <c r="W35">
        <f>'Pretax Fuel Prices'!W36+'Fuel Taxes'!W36</f>
        <v>8.0888999999999998E-6</v>
      </c>
      <c r="X35">
        <f>'Pretax Fuel Prices'!X36+'Fuel Taxes'!X36</f>
        <v>8.0888999999999998E-6</v>
      </c>
      <c r="Y35">
        <f>'Pretax Fuel Prices'!Y36+'Fuel Taxes'!Y36</f>
        <v>8.0888999999999998E-6</v>
      </c>
      <c r="Z35">
        <f>'Pretax Fuel Prices'!Z36+'Fuel Taxes'!Z36</f>
        <v>8.0888999999999998E-6</v>
      </c>
      <c r="AA35">
        <f>'Pretax Fuel Prices'!AA36+'Fuel Taxes'!AA36</f>
        <v>8.0888999999999998E-6</v>
      </c>
      <c r="AB35">
        <f>'Pretax Fuel Prices'!AB36+'Fuel Taxes'!AB36</f>
        <v>8.0888999999999998E-6</v>
      </c>
      <c r="AC35">
        <f>'Pretax Fuel Prices'!AC36+'Fuel Taxes'!AC36</f>
        <v>8.0888999999999998E-6</v>
      </c>
      <c r="AD35">
        <f>'Pretax Fuel Prices'!AD36+'Fuel Taxes'!AD36</f>
        <v>8.0888999999999998E-6</v>
      </c>
      <c r="AE35">
        <f>'Pretax Fuel Prices'!AE36+'Fuel Taxes'!AE36</f>
        <v>8.0888999999999998E-6</v>
      </c>
      <c r="AF35">
        <f>'Pretax Fuel Prices'!AF36+'Fuel Taxes'!AF36</f>
        <v>8.0888999999999998E-6</v>
      </c>
    </row>
    <row r="36" spans="1:32" x14ac:dyDescent="0.25">
      <c r="A36" t="s">
        <v>55</v>
      </c>
      <c r="B36">
        <f>'Pretax Fuel Prices'!B37+'Fuel Taxes'!B37</f>
        <v>3.7565400000000006E-6</v>
      </c>
      <c r="C36">
        <f>'Pretax Fuel Prices'!C37+'Fuel Taxes'!C37</f>
        <v>3.7565400000000006E-6</v>
      </c>
      <c r="D36">
        <f>'Pretax Fuel Prices'!D37+'Fuel Taxes'!D37</f>
        <v>3.7565400000000006E-6</v>
      </c>
      <c r="E36">
        <f>'Pretax Fuel Prices'!E37+'Fuel Taxes'!E37</f>
        <v>3.7565400000000006E-6</v>
      </c>
      <c r="F36">
        <f>'Pretax Fuel Prices'!F37+'Fuel Taxes'!F37</f>
        <v>3.7565400000000006E-6</v>
      </c>
      <c r="G36">
        <f>'Pretax Fuel Prices'!G37+'Fuel Taxes'!G37</f>
        <v>3.7565400000000006E-6</v>
      </c>
      <c r="H36">
        <f>'Pretax Fuel Prices'!H37+'Fuel Taxes'!H37</f>
        <v>3.7565400000000006E-6</v>
      </c>
      <c r="I36">
        <f>'Pretax Fuel Prices'!I37+'Fuel Taxes'!I37</f>
        <v>3.7565400000000006E-6</v>
      </c>
      <c r="J36">
        <f>'Pretax Fuel Prices'!J37+'Fuel Taxes'!J37</f>
        <v>3.7565400000000006E-6</v>
      </c>
      <c r="K36">
        <f>'Pretax Fuel Prices'!K37+'Fuel Taxes'!K37</f>
        <v>3.7565400000000006E-6</v>
      </c>
      <c r="L36">
        <f>'Pretax Fuel Prices'!L37+'Fuel Taxes'!L37</f>
        <v>3.7565400000000006E-6</v>
      </c>
      <c r="M36">
        <f>'Pretax Fuel Prices'!M37+'Fuel Taxes'!M37</f>
        <v>3.7565400000000006E-6</v>
      </c>
      <c r="N36">
        <f>'Pretax Fuel Prices'!N37+'Fuel Taxes'!N37</f>
        <v>3.7565400000000006E-6</v>
      </c>
      <c r="O36">
        <f>'Pretax Fuel Prices'!O37+'Fuel Taxes'!O37</f>
        <v>3.7565400000000006E-6</v>
      </c>
      <c r="P36">
        <f>'Pretax Fuel Prices'!P37+'Fuel Taxes'!P37</f>
        <v>3.7565400000000006E-6</v>
      </c>
      <c r="Q36">
        <f>'Pretax Fuel Prices'!Q37+'Fuel Taxes'!Q37</f>
        <v>3.7565400000000006E-6</v>
      </c>
      <c r="R36">
        <f>'Pretax Fuel Prices'!R37+'Fuel Taxes'!R37</f>
        <v>3.7565400000000006E-6</v>
      </c>
      <c r="S36">
        <f>'Pretax Fuel Prices'!S37+'Fuel Taxes'!S37</f>
        <v>3.7565400000000006E-6</v>
      </c>
      <c r="T36">
        <f>'Pretax Fuel Prices'!T37+'Fuel Taxes'!T37</f>
        <v>3.7565400000000006E-6</v>
      </c>
      <c r="U36">
        <f>'Pretax Fuel Prices'!U37+'Fuel Taxes'!U37</f>
        <v>3.7565400000000006E-6</v>
      </c>
      <c r="V36">
        <f>'Pretax Fuel Prices'!V37+'Fuel Taxes'!V37</f>
        <v>3.7565400000000006E-6</v>
      </c>
      <c r="W36">
        <f>'Pretax Fuel Prices'!W37+'Fuel Taxes'!W37</f>
        <v>3.7565400000000006E-6</v>
      </c>
      <c r="X36">
        <f>'Pretax Fuel Prices'!X37+'Fuel Taxes'!X37</f>
        <v>3.7565400000000006E-6</v>
      </c>
      <c r="Y36">
        <f>'Pretax Fuel Prices'!Y37+'Fuel Taxes'!Y37</f>
        <v>3.7565400000000006E-6</v>
      </c>
      <c r="Z36">
        <f>'Pretax Fuel Prices'!Z37+'Fuel Taxes'!Z37</f>
        <v>3.7565400000000006E-6</v>
      </c>
      <c r="AA36">
        <f>'Pretax Fuel Prices'!AA37+'Fuel Taxes'!AA37</f>
        <v>3.7565400000000006E-6</v>
      </c>
      <c r="AB36">
        <f>'Pretax Fuel Prices'!AB37+'Fuel Taxes'!AB37</f>
        <v>3.7565400000000006E-6</v>
      </c>
      <c r="AC36">
        <f>'Pretax Fuel Prices'!AC37+'Fuel Taxes'!AC37</f>
        <v>3.7565400000000006E-6</v>
      </c>
      <c r="AD36">
        <f>'Pretax Fuel Prices'!AD37+'Fuel Taxes'!AD37</f>
        <v>3.7565400000000006E-6</v>
      </c>
      <c r="AE36">
        <f>'Pretax Fuel Prices'!AE37+'Fuel Taxes'!AE37</f>
        <v>3.7565400000000006E-6</v>
      </c>
      <c r="AF36">
        <f>'Pretax Fuel Prices'!AF37+'Fuel Taxes'!AF37</f>
        <v>3.7565400000000006E-6</v>
      </c>
    </row>
    <row r="37" spans="1:32" x14ac:dyDescent="0.25">
      <c r="A37" t="s">
        <v>56</v>
      </c>
      <c r="B37">
        <f>'Pretax Fuel Prices'!B38+'Fuel Taxes'!B38</f>
        <v>2.4038199999999999E-6</v>
      </c>
      <c r="C37">
        <f>'Pretax Fuel Prices'!C38+'Fuel Taxes'!C38</f>
        <v>2.4038199999999999E-6</v>
      </c>
      <c r="D37">
        <f>'Pretax Fuel Prices'!D38+'Fuel Taxes'!D38</f>
        <v>2.4038199999999999E-6</v>
      </c>
      <c r="E37">
        <f>'Pretax Fuel Prices'!E38+'Fuel Taxes'!E38</f>
        <v>2.4038199999999999E-6</v>
      </c>
      <c r="F37">
        <f>'Pretax Fuel Prices'!F38+'Fuel Taxes'!F38</f>
        <v>2.4038199999999999E-6</v>
      </c>
      <c r="G37">
        <f>'Pretax Fuel Prices'!G38+'Fuel Taxes'!G38</f>
        <v>2.4038199999999999E-6</v>
      </c>
      <c r="H37">
        <f>'Pretax Fuel Prices'!H38+'Fuel Taxes'!H38</f>
        <v>2.4038199999999999E-6</v>
      </c>
      <c r="I37">
        <f>'Pretax Fuel Prices'!I38+'Fuel Taxes'!I38</f>
        <v>2.4038199999999999E-6</v>
      </c>
      <c r="J37">
        <f>'Pretax Fuel Prices'!J38+'Fuel Taxes'!J38</f>
        <v>2.4038199999999999E-6</v>
      </c>
      <c r="K37">
        <f>'Pretax Fuel Prices'!K38+'Fuel Taxes'!K38</f>
        <v>2.4038199999999999E-6</v>
      </c>
      <c r="L37">
        <f>'Pretax Fuel Prices'!L38+'Fuel Taxes'!L38</f>
        <v>2.4038199999999999E-6</v>
      </c>
      <c r="M37">
        <f>'Pretax Fuel Prices'!M38+'Fuel Taxes'!M38</f>
        <v>2.4038199999999999E-6</v>
      </c>
      <c r="N37">
        <f>'Pretax Fuel Prices'!N38+'Fuel Taxes'!N38</f>
        <v>2.4038199999999999E-6</v>
      </c>
      <c r="O37">
        <f>'Pretax Fuel Prices'!O38+'Fuel Taxes'!O38</f>
        <v>2.4038199999999999E-6</v>
      </c>
      <c r="P37">
        <f>'Pretax Fuel Prices'!P38+'Fuel Taxes'!P38</f>
        <v>2.4038199999999999E-6</v>
      </c>
      <c r="Q37">
        <f>'Pretax Fuel Prices'!Q38+'Fuel Taxes'!Q38</f>
        <v>2.4038199999999999E-6</v>
      </c>
      <c r="R37">
        <f>'Pretax Fuel Prices'!R38+'Fuel Taxes'!R38</f>
        <v>2.4038199999999999E-6</v>
      </c>
      <c r="S37">
        <f>'Pretax Fuel Prices'!S38+'Fuel Taxes'!S38</f>
        <v>2.4038199999999999E-6</v>
      </c>
      <c r="T37">
        <f>'Pretax Fuel Prices'!T38+'Fuel Taxes'!T38</f>
        <v>2.4038199999999999E-6</v>
      </c>
      <c r="U37">
        <f>'Pretax Fuel Prices'!U38+'Fuel Taxes'!U38</f>
        <v>2.4038199999999999E-6</v>
      </c>
      <c r="V37">
        <f>'Pretax Fuel Prices'!V38+'Fuel Taxes'!V38</f>
        <v>2.4038199999999999E-6</v>
      </c>
      <c r="W37">
        <f>'Pretax Fuel Prices'!W38+'Fuel Taxes'!W38</f>
        <v>2.4038199999999999E-6</v>
      </c>
      <c r="X37">
        <f>'Pretax Fuel Prices'!X38+'Fuel Taxes'!X38</f>
        <v>2.4038199999999999E-6</v>
      </c>
      <c r="Y37">
        <f>'Pretax Fuel Prices'!Y38+'Fuel Taxes'!Y38</f>
        <v>2.4038199999999999E-6</v>
      </c>
      <c r="Z37">
        <f>'Pretax Fuel Prices'!Z38+'Fuel Taxes'!Z38</f>
        <v>2.4038199999999999E-6</v>
      </c>
      <c r="AA37">
        <f>'Pretax Fuel Prices'!AA38+'Fuel Taxes'!AA38</f>
        <v>2.4038199999999999E-6</v>
      </c>
      <c r="AB37">
        <f>'Pretax Fuel Prices'!AB38+'Fuel Taxes'!AB38</f>
        <v>2.4038199999999999E-6</v>
      </c>
      <c r="AC37">
        <f>'Pretax Fuel Prices'!AC38+'Fuel Taxes'!AC38</f>
        <v>2.4038199999999999E-6</v>
      </c>
      <c r="AD37">
        <f>'Pretax Fuel Prices'!AD38+'Fuel Taxes'!AD38</f>
        <v>2.4038199999999999E-6</v>
      </c>
      <c r="AE37">
        <f>'Pretax Fuel Prices'!AE38+'Fuel Taxes'!AE38</f>
        <v>2.4038199999999999E-6</v>
      </c>
      <c r="AF37">
        <f>'Pretax Fuel Prices'!AF38+'Fuel Taxes'!AF38</f>
        <v>2.4038199999999999E-6</v>
      </c>
    </row>
    <row r="38" spans="1:32" x14ac:dyDescent="0.25">
      <c r="A38" t="s">
        <v>57</v>
      </c>
      <c r="B38">
        <f>'Pretax Fuel Prices'!B39+'Fuel Taxes'!B39</f>
        <v>2.0290800000000005E-6</v>
      </c>
      <c r="C38">
        <f>'Pretax Fuel Prices'!C39+'Fuel Taxes'!C39</f>
        <v>2.0290800000000005E-6</v>
      </c>
      <c r="D38">
        <f>'Pretax Fuel Prices'!D39+'Fuel Taxes'!D39</f>
        <v>2.0290800000000005E-6</v>
      </c>
      <c r="E38">
        <f>'Pretax Fuel Prices'!E39+'Fuel Taxes'!E39</f>
        <v>2.0290800000000005E-6</v>
      </c>
      <c r="F38">
        <f>'Pretax Fuel Prices'!F39+'Fuel Taxes'!F39</f>
        <v>2.0290800000000005E-6</v>
      </c>
      <c r="G38">
        <f>'Pretax Fuel Prices'!G39+'Fuel Taxes'!G39</f>
        <v>2.0290800000000005E-6</v>
      </c>
      <c r="H38">
        <f>'Pretax Fuel Prices'!H39+'Fuel Taxes'!H39</f>
        <v>2.0290800000000005E-6</v>
      </c>
      <c r="I38">
        <f>'Pretax Fuel Prices'!I39+'Fuel Taxes'!I39</f>
        <v>2.0290800000000005E-6</v>
      </c>
      <c r="J38">
        <f>'Pretax Fuel Prices'!J39+'Fuel Taxes'!J39</f>
        <v>2.0290800000000005E-6</v>
      </c>
      <c r="K38">
        <f>'Pretax Fuel Prices'!K39+'Fuel Taxes'!K39</f>
        <v>2.0290800000000005E-6</v>
      </c>
      <c r="L38">
        <f>'Pretax Fuel Prices'!L39+'Fuel Taxes'!L39</f>
        <v>2.0290800000000005E-6</v>
      </c>
      <c r="M38">
        <f>'Pretax Fuel Prices'!M39+'Fuel Taxes'!M39</f>
        <v>2.0290800000000005E-6</v>
      </c>
      <c r="N38">
        <f>'Pretax Fuel Prices'!N39+'Fuel Taxes'!N39</f>
        <v>2.0290800000000005E-6</v>
      </c>
      <c r="O38">
        <f>'Pretax Fuel Prices'!O39+'Fuel Taxes'!O39</f>
        <v>2.0290800000000005E-6</v>
      </c>
      <c r="P38">
        <f>'Pretax Fuel Prices'!P39+'Fuel Taxes'!P39</f>
        <v>2.0290800000000005E-6</v>
      </c>
      <c r="Q38">
        <f>'Pretax Fuel Prices'!Q39+'Fuel Taxes'!Q39</f>
        <v>2.0290800000000005E-6</v>
      </c>
      <c r="R38">
        <f>'Pretax Fuel Prices'!R39+'Fuel Taxes'!R39</f>
        <v>2.0290800000000005E-6</v>
      </c>
      <c r="S38">
        <f>'Pretax Fuel Prices'!S39+'Fuel Taxes'!S39</f>
        <v>2.0290800000000005E-6</v>
      </c>
      <c r="T38">
        <f>'Pretax Fuel Prices'!T39+'Fuel Taxes'!T39</f>
        <v>2.0290800000000005E-6</v>
      </c>
      <c r="U38">
        <f>'Pretax Fuel Prices'!U39+'Fuel Taxes'!U39</f>
        <v>2.0290800000000005E-6</v>
      </c>
      <c r="V38">
        <f>'Pretax Fuel Prices'!V39+'Fuel Taxes'!V39</f>
        <v>2.0290800000000005E-6</v>
      </c>
      <c r="W38">
        <f>'Pretax Fuel Prices'!W39+'Fuel Taxes'!W39</f>
        <v>2.0290800000000005E-6</v>
      </c>
      <c r="X38">
        <f>'Pretax Fuel Prices'!X39+'Fuel Taxes'!X39</f>
        <v>2.0290800000000005E-6</v>
      </c>
      <c r="Y38">
        <f>'Pretax Fuel Prices'!Y39+'Fuel Taxes'!Y39</f>
        <v>2.0290800000000005E-6</v>
      </c>
      <c r="Z38">
        <f>'Pretax Fuel Prices'!Z39+'Fuel Taxes'!Z39</f>
        <v>2.0290800000000005E-6</v>
      </c>
      <c r="AA38">
        <f>'Pretax Fuel Prices'!AA39+'Fuel Taxes'!AA39</f>
        <v>2.0290800000000005E-6</v>
      </c>
      <c r="AB38">
        <f>'Pretax Fuel Prices'!AB39+'Fuel Taxes'!AB39</f>
        <v>2.0290800000000005E-6</v>
      </c>
      <c r="AC38">
        <f>'Pretax Fuel Prices'!AC39+'Fuel Taxes'!AC39</f>
        <v>2.0290800000000005E-6</v>
      </c>
      <c r="AD38">
        <f>'Pretax Fuel Prices'!AD39+'Fuel Taxes'!AD39</f>
        <v>2.0290800000000005E-6</v>
      </c>
      <c r="AE38">
        <f>'Pretax Fuel Prices'!AE39+'Fuel Taxes'!AE39</f>
        <v>2.0290800000000005E-6</v>
      </c>
      <c r="AF38">
        <f>'Pretax Fuel Prices'!AF39+'Fuel Taxes'!AF39</f>
        <v>2.0290800000000005E-6</v>
      </c>
    </row>
    <row r="39" spans="1:32" x14ac:dyDescent="0.25">
      <c r="A39" t="s">
        <v>58</v>
      </c>
      <c r="B39">
        <f>'Pretax Fuel Prices'!B40+'Fuel Taxes'!B40</f>
        <v>0</v>
      </c>
      <c r="C39">
        <f>'Pretax Fuel Prices'!C40+'Fuel Taxes'!C40</f>
        <v>0</v>
      </c>
      <c r="D39">
        <f>'Pretax Fuel Prices'!D40+'Fuel Taxes'!D40</f>
        <v>0</v>
      </c>
      <c r="E39">
        <f>'Pretax Fuel Prices'!E40+'Fuel Taxes'!E40</f>
        <v>0</v>
      </c>
      <c r="F39">
        <f>'Pretax Fuel Prices'!F40+'Fuel Taxes'!F40</f>
        <v>0</v>
      </c>
      <c r="G39">
        <f>'Pretax Fuel Prices'!G40+'Fuel Taxes'!G40</f>
        <v>0</v>
      </c>
      <c r="H39">
        <f>'Pretax Fuel Prices'!H40+'Fuel Taxes'!H40</f>
        <v>0</v>
      </c>
      <c r="I39">
        <f>'Pretax Fuel Prices'!I40+'Fuel Taxes'!I40</f>
        <v>0</v>
      </c>
      <c r="J39">
        <f>'Pretax Fuel Prices'!J40+'Fuel Taxes'!J40</f>
        <v>0</v>
      </c>
      <c r="K39">
        <f>'Pretax Fuel Prices'!K40+'Fuel Taxes'!K40</f>
        <v>0</v>
      </c>
      <c r="L39">
        <f>'Pretax Fuel Prices'!L40+'Fuel Taxes'!L40</f>
        <v>0</v>
      </c>
      <c r="M39">
        <f>'Pretax Fuel Prices'!M40+'Fuel Taxes'!M40</f>
        <v>0</v>
      </c>
      <c r="N39">
        <f>'Pretax Fuel Prices'!N40+'Fuel Taxes'!N40</f>
        <v>0</v>
      </c>
      <c r="O39">
        <f>'Pretax Fuel Prices'!O40+'Fuel Taxes'!O40</f>
        <v>0</v>
      </c>
      <c r="P39">
        <f>'Pretax Fuel Prices'!P40+'Fuel Taxes'!P40</f>
        <v>0</v>
      </c>
      <c r="Q39">
        <f>'Pretax Fuel Prices'!Q40+'Fuel Taxes'!Q40</f>
        <v>0</v>
      </c>
      <c r="R39">
        <f>'Pretax Fuel Prices'!R40+'Fuel Taxes'!R40</f>
        <v>0</v>
      </c>
      <c r="S39">
        <f>'Pretax Fuel Prices'!S40+'Fuel Taxes'!S40</f>
        <v>0</v>
      </c>
      <c r="T39">
        <f>'Pretax Fuel Prices'!T40+'Fuel Taxes'!T40</f>
        <v>0</v>
      </c>
      <c r="U39">
        <f>'Pretax Fuel Prices'!U40+'Fuel Taxes'!U40</f>
        <v>0</v>
      </c>
      <c r="V39">
        <f>'Pretax Fuel Prices'!V40+'Fuel Taxes'!V40</f>
        <v>0</v>
      </c>
      <c r="W39">
        <f>'Pretax Fuel Prices'!W40+'Fuel Taxes'!W40</f>
        <v>0</v>
      </c>
      <c r="X39">
        <f>'Pretax Fuel Prices'!X40+'Fuel Taxes'!X40</f>
        <v>0</v>
      </c>
      <c r="Y39">
        <f>'Pretax Fuel Prices'!Y40+'Fuel Taxes'!Y40</f>
        <v>0</v>
      </c>
      <c r="Z39">
        <f>'Pretax Fuel Prices'!Z40+'Fuel Taxes'!Z40</f>
        <v>0</v>
      </c>
      <c r="AA39">
        <f>'Pretax Fuel Prices'!AA40+'Fuel Taxes'!AA40</f>
        <v>0</v>
      </c>
      <c r="AB39">
        <f>'Pretax Fuel Prices'!AB40+'Fuel Taxes'!AB40</f>
        <v>0</v>
      </c>
      <c r="AC39">
        <f>'Pretax Fuel Prices'!AC40+'Fuel Taxes'!AC40</f>
        <v>0</v>
      </c>
      <c r="AD39">
        <f>'Pretax Fuel Prices'!AD40+'Fuel Taxes'!AD40</f>
        <v>0</v>
      </c>
      <c r="AE39">
        <f>'Pretax Fuel Prices'!AE40+'Fuel Taxes'!AE40</f>
        <v>0</v>
      </c>
      <c r="AF39">
        <f>'Pretax Fuel Prices'!AF40+'Fuel Taxes'!AF40</f>
        <v>0</v>
      </c>
    </row>
    <row r="40" spans="1:32" x14ac:dyDescent="0.25">
      <c r="A40" t="s">
        <v>59</v>
      </c>
      <c r="B40">
        <f>'Pretax Fuel Prices'!B41+'Fuel Taxes'!B41</f>
        <v>2.4038199999999999E-6</v>
      </c>
      <c r="C40">
        <f>'Pretax Fuel Prices'!C41+'Fuel Taxes'!C41</f>
        <v>2.4038199999999999E-6</v>
      </c>
      <c r="D40">
        <f>'Pretax Fuel Prices'!D41+'Fuel Taxes'!D41</f>
        <v>2.4038199999999999E-6</v>
      </c>
      <c r="E40">
        <f>'Pretax Fuel Prices'!E41+'Fuel Taxes'!E41</f>
        <v>2.4038199999999999E-6</v>
      </c>
      <c r="F40">
        <f>'Pretax Fuel Prices'!F41+'Fuel Taxes'!F41</f>
        <v>2.4038199999999999E-6</v>
      </c>
      <c r="G40">
        <f>'Pretax Fuel Prices'!G41+'Fuel Taxes'!G41</f>
        <v>2.4038199999999999E-6</v>
      </c>
      <c r="H40">
        <f>'Pretax Fuel Prices'!H41+'Fuel Taxes'!H41</f>
        <v>2.4038199999999999E-6</v>
      </c>
      <c r="I40">
        <f>'Pretax Fuel Prices'!I41+'Fuel Taxes'!I41</f>
        <v>2.4038199999999999E-6</v>
      </c>
      <c r="J40">
        <f>'Pretax Fuel Prices'!J41+'Fuel Taxes'!J41</f>
        <v>2.4038199999999999E-6</v>
      </c>
      <c r="K40">
        <f>'Pretax Fuel Prices'!K41+'Fuel Taxes'!K41</f>
        <v>2.4038199999999999E-6</v>
      </c>
      <c r="L40">
        <f>'Pretax Fuel Prices'!L41+'Fuel Taxes'!L41</f>
        <v>2.4038199999999999E-6</v>
      </c>
      <c r="M40">
        <f>'Pretax Fuel Prices'!M41+'Fuel Taxes'!M41</f>
        <v>2.4038199999999999E-6</v>
      </c>
      <c r="N40">
        <f>'Pretax Fuel Prices'!N41+'Fuel Taxes'!N41</f>
        <v>2.4038199999999999E-6</v>
      </c>
      <c r="O40">
        <f>'Pretax Fuel Prices'!O41+'Fuel Taxes'!O41</f>
        <v>2.4038199999999999E-6</v>
      </c>
      <c r="P40">
        <f>'Pretax Fuel Prices'!P41+'Fuel Taxes'!P41</f>
        <v>2.4038199999999999E-6</v>
      </c>
      <c r="Q40">
        <f>'Pretax Fuel Prices'!Q41+'Fuel Taxes'!Q41</f>
        <v>2.4038199999999999E-6</v>
      </c>
      <c r="R40">
        <f>'Pretax Fuel Prices'!R41+'Fuel Taxes'!R41</f>
        <v>2.4038199999999999E-6</v>
      </c>
      <c r="S40">
        <f>'Pretax Fuel Prices'!S41+'Fuel Taxes'!S41</f>
        <v>2.4038199999999999E-6</v>
      </c>
      <c r="T40">
        <f>'Pretax Fuel Prices'!T41+'Fuel Taxes'!T41</f>
        <v>2.4038199999999999E-6</v>
      </c>
      <c r="U40">
        <f>'Pretax Fuel Prices'!U41+'Fuel Taxes'!U41</f>
        <v>2.4038199999999999E-6</v>
      </c>
      <c r="V40">
        <f>'Pretax Fuel Prices'!V41+'Fuel Taxes'!V41</f>
        <v>2.4038199999999999E-6</v>
      </c>
      <c r="W40">
        <f>'Pretax Fuel Prices'!W41+'Fuel Taxes'!W41</f>
        <v>2.4038199999999999E-6</v>
      </c>
      <c r="X40">
        <f>'Pretax Fuel Prices'!X41+'Fuel Taxes'!X41</f>
        <v>2.4038199999999999E-6</v>
      </c>
      <c r="Y40">
        <f>'Pretax Fuel Prices'!Y41+'Fuel Taxes'!Y41</f>
        <v>2.4038199999999999E-6</v>
      </c>
      <c r="Z40">
        <f>'Pretax Fuel Prices'!Z41+'Fuel Taxes'!Z41</f>
        <v>2.4038199999999999E-6</v>
      </c>
      <c r="AA40">
        <f>'Pretax Fuel Prices'!AA41+'Fuel Taxes'!AA41</f>
        <v>2.4038199999999999E-6</v>
      </c>
      <c r="AB40">
        <f>'Pretax Fuel Prices'!AB41+'Fuel Taxes'!AB41</f>
        <v>2.4038199999999999E-6</v>
      </c>
      <c r="AC40">
        <f>'Pretax Fuel Prices'!AC41+'Fuel Taxes'!AC41</f>
        <v>2.4038199999999999E-6</v>
      </c>
      <c r="AD40">
        <f>'Pretax Fuel Prices'!AD41+'Fuel Taxes'!AD41</f>
        <v>2.4038199999999999E-6</v>
      </c>
      <c r="AE40">
        <f>'Pretax Fuel Prices'!AE41+'Fuel Taxes'!AE41</f>
        <v>2.4038199999999999E-6</v>
      </c>
      <c r="AF40">
        <f>'Pretax Fuel Prices'!AF41+'Fuel Taxes'!AF41</f>
        <v>2.4038199999999999E-6</v>
      </c>
    </row>
    <row r="41" spans="1:32" s="4" customFormat="1" x14ac:dyDescent="0.25">
      <c r="A41" s="6" t="s">
        <v>34</v>
      </c>
    </row>
    <row r="42" spans="1:32" x14ac:dyDescent="0.25">
      <c r="A42" t="s">
        <v>30</v>
      </c>
      <c r="B42" s="7">
        <f>'Fuel Taxes'!B$1</f>
        <v>2020</v>
      </c>
      <c r="C42" s="7">
        <f>'Fuel Taxes'!C$1</f>
        <v>2021</v>
      </c>
      <c r="D42" s="7">
        <f>'Fuel Taxes'!D$1</f>
        <v>2022</v>
      </c>
      <c r="E42" s="7">
        <f>'Fuel Taxes'!E$1</f>
        <v>2023</v>
      </c>
      <c r="F42" s="7">
        <f>'Fuel Taxes'!F$1</f>
        <v>2024</v>
      </c>
      <c r="G42" s="7">
        <f>'Fuel Taxes'!G$1</f>
        <v>2025</v>
      </c>
      <c r="H42" s="7">
        <f>'Fuel Taxes'!H$1</f>
        <v>2026</v>
      </c>
      <c r="I42" s="7">
        <f>'Fuel Taxes'!I$1</f>
        <v>2027</v>
      </c>
      <c r="J42" s="7">
        <f>'Fuel Taxes'!J$1</f>
        <v>2028</v>
      </c>
      <c r="K42" s="7">
        <f>'Fuel Taxes'!K$1</f>
        <v>2029</v>
      </c>
      <c r="L42" s="7">
        <f>'Fuel Taxes'!L$1</f>
        <v>2030</v>
      </c>
      <c r="M42" s="7">
        <f>'Fuel Taxes'!M$1</f>
        <v>2031</v>
      </c>
      <c r="N42" s="7">
        <f>'Fuel Taxes'!N$1</f>
        <v>2032</v>
      </c>
      <c r="O42" s="7">
        <f>'Fuel Taxes'!O$1</f>
        <v>2033</v>
      </c>
      <c r="P42" s="7">
        <f>'Fuel Taxes'!P$1</f>
        <v>2034</v>
      </c>
      <c r="Q42" s="7">
        <f>'Fuel Taxes'!Q$1</f>
        <v>2035</v>
      </c>
      <c r="R42" s="7">
        <f>'Fuel Taxes'!R$1</f>
        <v>2036</v>
      </c>
      <c r="S42" s="7">
        <f>'Fuel Taxes'!S$1</f>
        <v>2037</v>
      </c>
      <c r="T42" s="7">
        <f>'Fuel Taxes'!T$1</f>
        <v>2038</v>
      </c>
      <c r="U42" s="7">
        <f>'Fuel Taxes'!U$1</f>
        <v>2039</v>
      </c>
      <c r="V42" s="7">
        <f>'Fuel Taxes'!V$1</f>
        <v>2040</v>
      </c>
      <c r="W42" s="7">
        <f>'Fuel Taxes'!W$1</f>
        <v>2041</v>
      </c>
      <c r="X42" s="7">
        <f>'Fuel Taxes'!X$1</f>
        <v>2042</v>
      </c>
      <c r="Y42" s="7">
        <f>'Fuel Taxes'!Y$1</f>
        <v>2043</v>
      </c>
      <c r="Z42" s="7">
        <f>'Fuel Taxes'!Z$1</f>
        <v>2044</v>
      </c>
      <c r="AA42" s="7">
        <f>'Fuel Taxes'!AA$1</f>
        <v>2045</v>
      </c>
      <c r="AB42" s="7">
        <f>'Fuel Taxes'!AB$1</f>
        <v>2046</v>
      </c>
      <c r="AC42" s="7">
        <f>'Fuel Taxes'!AC$1</f>
        <v>2047</v>
      </c>
      <c r="AD42" s="7">
        <f>'Fuel Taxes'!AD$1</f>
        <v>2048</v>
      </c>
      <c r="AE42" s="7">
        <f>'Fuel Taxes'!AE$1</f>
        <v>2049</v>
      </c>
      <c r="AF42" s="7">
        <f>'Fuel Taxes'!AF$1</f>
        <v>2050</v>
      </c>
    </row>
    <row r="43" spans="1:32" x14ac:dyDescent="0.25">
      <c r="A43" t="s">
        <v>52</v>
      </c>
      <c r="B43">
        <f>'Pretax Fuel Prices'!B44+'Fuel Taxes'!B44</f>
        <v>1.6094861360251106E-5</v>
      </c>
      <c r="C43">
        <f>'Pretax Fuel Prices'!C44+'Fuel Taxes'!C44</f>
        <v>2.227982536027916E-5</v>
      </c>
      <c r="D43">
        <f>'Pretax Fuel Prices'!D44+'Fuel Taxes'!D44</f>
        <v>2.7679807958294331E-5</v>
      </c>
      <c r="E43">
        <f>'Pretax Fuel Prices'!E44+'Fuel Taxes'!E44</f>
        <v>2.5766523333354168E-5</v>
      </c>
      <c r="F43">
        <f>'Pretax Fuel Prices'!F44+'Fuel Taxes'!F44</f>
        <v>2.4432968376218707E-5</v>
      </c>
      <c r="G43">
        <f>'Pretax Fuel Prices'!G44+'Fuel Taxes'!G44</f>
        <v>2.3099413419083245E-5</v>
      </c>
      <c r="H43">
        <f>'Pretax Fuel Prices'!H44+'Fuel Taxes'!H44</f>
        <v>2.1765858461947784E-5</v>
      </c>
      <c r="I43">
        <f>'Pretax Fuel Prices'!I44+'Fuel Taxes'!I44</f>
        <v>2.0432303504812323E-5</v>
      </c>
      <c r="J43">
        <f>'Pretax Fuel Prices'!J44+'Fuel Taxes'!J44</f>
        <v>1.9098748547676859E-5</v>
      </c>
      <c r="K43">
        <f>'Pretax Fuel Prices'!K44+'Fuel Taxes'!K44</f>
        <v>1.9242083598066203E-5</v>
      </c>
      <c r="L43">
        <f>'Pretax Fuel Prices'!L44+'Fuel Taxes'!L44</f>
        <v>1.9717594912123109E-5</v>
      </c>
      <c r="M43">
        <f>'Pretax Fuel Prices'!M44+'Fuel Taxes'!M44</f>
        <v>2.0349110167915265E-5</v>
      </c>
      <c r="N43">
        <f>'Pretax Fuel Prices'!N44+'Fuel Taxes'!N44</f>
        <v>2.0555685456626195E-5</v>
      </c>
      <c r="O43">
        <f>'Pretax Fuel Prices'!O44+'Fuel Taxes'!O44</f>
        <v>2.0725959694512304E-5</v>
      </c>
      <c r="P43">
        <f>'Pretax Fuel Prices'!P44+'Fuel Taxes'!P44</f>
        <v>2.0886622114352136E-5</v>
      </c>
      <c r="Q43">
        <f>'Pretax Fuel Prices'!Q44+'Fuel Taxes'!Q44</f>
        <v>2.0965239228017855E-5</v>
      </c>
      <c r="R43">
        <f>'Pretax Fuel Prices'!R44+'Fuel Taxes'!R44</f>
        <v>2.1114277482503593E-5</v>
      </c>
      <c r="S43">
        <f>'Pretax Fuel Prices'!S44+'Fuel Taxes'!S44</f>
        <v>2.1246611983378232E-5</v>
      </c>
      <c r="T43">
        <f>'Pretax Fuel Prices'!T44+'Fuel Taxes'!T44</f>
        <v>2.1479640107015535E-5</v>
      </c>
      <c r="U43">
        <f>'Pretax Fuel Prices'!U44+'Fuel Taxes'!U44</f>
        <v>2.1491016012259655E-5</v>
      </c>
      <c r="V43">
        <f>'Pretax Fuel Prices'!V44+'Fuel Taxes'!V44</f>
        <v>2.1659783743403327E-5</v>
      </c>
      <c r="W43">
        <f>'Pretax Fuel Prices'!W44+'Fuel Taxes'!W44</f>
        <v>2.1797003799889282E-5</v>
      </c>
      <c r="X43">
        <f>'Pretax Fuel Prices'!X44+'Fuel Taxes'!X44</f>
        <v>2.183173225424954E-5</v>
      </c>
      <c r="Y43">
        <f>'Pretax Fuel Prices'!Y44+'Fuel Taxes'!Y44</f>
        <v>2.2048387920190422E-5</v>
      </c>
      <c r="Z43">
        <f>'Pretax Fuel Prices'!Z44+'Fuel Taxes'!Z44</f>
        <v>2.2256889131187951E-5</v>
      </c>
      <c r="AA43">
        <f>'Pretax Fuel Prices'!AA44+'Fuel Taxes'!AA44</f>
        <v>2.2328227055076205E-5</v>
      </c>
      <c r="AB43">
        <f>'Pretax Fuel Prices'!AB44+'Fuel Taxes'!AB44</f>
        <v>2.2507032798243345E-5</v>
      </c>
      <c r="AC43">
        <f>'Pretax Fuel Prices'!AC44+'Fuel Taxes'!AC44</f>
        <v>2.2576357527519643E-5</v>
      </c>
      <c r="AD43">
        <f>'Pretax Fuel Prices'!AD44+'Fuel Taxes'!AD44</f>
        <v>2.2515685468014907E-5</v>
      </c>
      <c r="AE43">
        <f>'Pretax Fuel Prices'!AE44+'Fuel Taxes'!AE44</f>
        <v>2.2529005936236478E-5</v>
      </c>
      <c r="AF43">
        <f>'Pretax Fuel Prices'!AF44+'Fuel Taxes'!AF44</f>
        <v>2.2524595718241866E-5</v>
      </c>
    </row>
    <row r="44" spans="1:32" x14ac:dyDescent="0.25">
      <c r="A44" t="s">
        <v>53</v>
      </c>
      <c r="B44">
        <f>'Pretax Fuel Prices'!B45+'Fuel Taxes'!B45</f>
        <v>0</v>
      </c>
      <c r="C44">
        <f>'Pretax Fuel Prices'!C45+'Fuel Taxes'!C45</f>
        <v>0</v>
      </c>
      <c r="D44">
        <f>'Pretax Fuel Prices'!D45+'Fuel Taxes'!D45</f>
        <v>0</v>
      </c>
      <c r="E44">
        <f>'Pretax Fuel Prices'!E45+'Fuel Taxes'!E45</f>
        <v>0</v>
      </c>
      <c r="F44">
        <f>'Pretax Fuel Prices'!F45+'Fuel Taxes'!F45</f>
        <v>0</v>
      </c>
      <c r="G44">
        <f>'Pretax Fuel Prices'!G45+'Fuel Taxes'!G45</f>
        <v>0</v>
      </c>
      <c r="H44">
        <f>'Pretax Fuel Prices'!H45+'Fuel Taxes'!H45</f>
        <v>0</v>
      </c>
      <c r="I44">
        <f>'Pretax Fuel Prices'!I45+'Fuel Taxes'!I45</f>
        <v>0</v>
      </c>
      <c r="J44">
        <f>'Pretax Fuel Prices'!J45+'Fuel Taxes'!J45</f>
        <v>0</v>
      </c>
      <c r="K44">
        <f>'Pretax Fuel Prices'!K45+'Fuel Taxes'!K45</f>
        <v>0</v>
      </c>
      <c r="L44">
        <f>'Pretax Fuel Prices'!L45+'Fuel Taxes'!L45</f>
        <v>0</v>
      </c>
      <c r="M44">
        <f>'Pretax Fuel Prices'!M45+'Fuel Taxes'!M45</f>
        <v>0</v>
      </c>
      <c r="N44">
        <f>'Pretax Fuel Prices'!N45+'Fuel Taxes'!N45</f>
        <v>0</v>
      </c>
      <c r="O44">
        <f>'Pretax Fuel Prices'!O45+'Fuel Taxes'!O45</f>
        <v>0</v>
      </c>
      <c r="P44">
        <f>'Pretax Fuel Prices'!P45+'Fuel Taxes'!P45</f>
        <v>0</v>
      </c>
      <c r="Q44">
        <f>'Pretax Fuel Prices'!Q45+'Fuel Taxes'!Q45</f>
        <v>0</v>
      </c>
      <c r="R44">
        <f>'Pretax Fuel Prices'!R45+'Fuel Taxes'!R45</f>
        <v>0</v>
      </c>
      <c r="S44">
        <f>'Pretax Fuel Prices'!S45+'Fuel Taxes'!S45</f>
        <v>0</v>
      </c>
      <c r="T44">
        <f>'Pretax Fuel Prices'!T45+'Fuel Taxes'!T45</f>
        <v>0</v>
      </c>
      <c r="U44">
        <f>'Pretax Fuel Prices'!U45+'Fuel Taxes'!U45</f>
        <v>0</v>
      </c>
      <c r="V44">
        <f>'Pretax Fuel Prices'!V45+'Fuel Taxes'!V45</f>
        <v>0</v>
      </c>
      <c r="W44">
        <f>'Pretax Fuel Prices'!W45+'Fuel Taxes'!W45</f>
        <v>0</v>
      </c>
      <c r="X44">
        <f>'Pretax Fuel Prices'!X45+'Fuel Taxes'!X45</f>
        <v>0</v>
      </c>
      <c r="Y44">
        <f>'Pretax Fuel Prices'!Y45+'Fuel Taxes'!Y45</f>
        <v>0</v>
      </c>
      <c r="Z44">
        <f>'Pretax Fuel Prices'!Z45+'Fuel Taxes'!Z45</f>
        <v>0</v>
      </c>
      <c r="AA44">
        <f>'Pretax Fuel Prices'!AA45+'Fuel Taxes'!AA45</f>
        <v>0</v>
      </c>
      <c r="AB44">
        <f>'Pretax Fuel Prices'!AB45+'Fuel Taxes'!AB45</f>
        <v>0</v>
      </c>
      <c r="AC44">
        <f>'Pretax Fuel Prices'!AC45+'Fuel Taxes'!AC45</f>
        <v>0</v>
      </c>
      <c r="AD44">
        <f>'Pretax Fuel Prices'!AD45+'Fuel Taxes'!AD45</f>
        <v>0</v>
      </c>
      <c r="AE44">
        <f>'Pretax Fuel Prices'!AE45+'Fuel Taxes'!AE45</f>
        <v>0</v>
      </c>
      <c r="AF44">
        <f>'Pretax Fuel Prices'!AF45+'Fuel Taxes'!AF45</f>
        <v>0</v>
      </c>
    </row>
    <row r="45" spans="1:32" x14ac:dyDescent="0.25">
      <c r="A45" t="s">
        <v>54</v>
      </c>
      <c r="B45">
        <f>'Pretax Fuel Prices'!B46+'Fuel Taxes'!B46</f>
        <v>0</v>
      </c>
      <c r="C45">
        <f>'Pretax Fuel Prices'!C46+'Fuel Taxes'!C46</f>
        <v>0</v>
      </c>
      <c r="D45">
        <f>'Pretax Fuel Prices'!D46+'Fuel Taxes'!D46</f>
        <v>0</v>
      </c>
      <c r="E45">
        <f>'Pretax Fuel Prices'!E46+'Fuel Taxes'!E46</f>
        <v>0</v>
      </c>
      <c r="F45">
        <f>'Pretax Fuel Prices'!F46+'Fuel Taxes'!F46</f>
        <v>0</v>
      </c>
      <c r="G45">
        <f>'Pretax Fuel Prices'!G46+'Fuel Taxes'!G46</f>
        <v>0</v>
      </c>
      <c r="H45">
        <f>'Pretax Fuel Prices'!H46+'Fuel Taxes'!H46</f>
        <v>0</v>
      </c>
      <c r="I45">
        <f>'Pretax Fuel Prices'!I46+'Fuel Taxes'!I46</f>
        <v>0</v>
      </c>
      <c r="J45">
        <f>'Pretax Fuel Prices'!J46+'Fuel Taxes'!J46</f>
        <v>0</v>
      </c>
      <c r="K45">
        <f>'Pretax Fuel Prices'!K46+'Fuel Taxes'!K46</f>
        <v>0</v>
      </c>
      <c r="L45">
        <f>'Pretax Fuel Prices'!L46+'Fuel Taxes'!L46</f>
        <v>0</v>
      </c>
      <c r="M45">
        <f>'Pretax Fuel Prices'!M46+'Fuel Taxes'!M46</f>
        <v>0</v>
      </c>
      <c r="N45">
        <f>'Pretax Fuel Prices'!N46+'Fuel Taxes'!N46</f>
        <v>0</v>
      </c>
      <c r="O45">
        <f>'Pretax Fuel Prices'!O46+'Fuel Taxes'!O46</f>
        <v>0</v>
      </c>
      <c r="P45">
        <f>'Pretax Fuel Prices'!P46+'Fuel Taxes'!P46</f>
        <v>0</v>
      </c>
      <c r="Q45">
        <f>'Pretax Fuel Prices'!Q46+'Fuel Taxes'!Q46</f>
        <v>0</v>
      </c>
      <c r="R45">
        <f>'Pretax Fuel Prices'!R46+'Fuel Taxes'!R46</f>
        <v>0</v>
      </c>
      <c r="S45">
        <f>'Pretax Fuel Prices'!S46+'Fuel Taxes'!S46</f>
        <v>0</v>
      </c>
      <c r="T45">
        <f>'Pretax Fuel Prices'!T46+'Fuel Taxes'!T46</f>
        <v>0</v>
      </c>
      <c r="U45">
        <f>'Pretax Fuel Prices'!U46+'Fuel Taxes'!U46</f>
        <v>0</v>
      </c>
      <c r="V45">
        <f>'Pretax Fuel Prices'!V46+'Fuel Taxes'!V46</f>
        <v>0</v>
      </c>
      <c r="W45">
        <f>'Pretax Fuel Prices'!W46+'Fuel Taxes'!W46</f>
        <v>0</v>
      </c>
      <c r="X45">
        <f>'Pretax Fuel Prices'!X46+'Fuel Taxes'!X46</f>
        <v>0</v>
      </c>
      <c r="Y45">
        <f>'Pretax Fuel Prices'!Y46+'Fuel Taxes'!Y46</f>
        <v>0</v>
      </c>
      <c r="Z45">
        <f>'Pretax Fuel Prices'!Z46+'Fuel Taxes'!Z46</f>
        <v>0</v>
      </c>
      <c r="AA45">
        <f>'Pretax Fuel Prices'!AA46+'Fuel Taxes'!AA46</f>
        <v>0</v>
      </c>
      <c r="AB45">
        <f>'Pretax Fuel Prices'!AB46+'Fuel Taxes'!AB46</f>
        <v>0</v>
      </c>
      <c r="AC45">
        <f>'Pretax Fuel Prices'!AC46+'Fuel Taxes'!AC46</f>
        <v>0</v>
      </c>
      <c r="AD45">
        <f>'Pretax Fuel Prices'!AD46+'Fuel Taxes'!AD46</f>
        <v>0</v>
      </c>
      <c r="AE45">
        <f>'Pretax Fuel Prices'!AE46+'Fuel Taxes'!AE46</f>
        <v>0</v>
      </c>
      <c r="AF45">
        <f>'Pretax Fuel Prices'!AF46+'Fuel Taxes'!AF46</f>
        <v>0</v>
      </c>
    </row>
    <row r="46" spans="1:32" x14ac:dyDescent="0.25">
      <c r="A46" t="s">
        <v>55</v>
      </c>
      <c r="B46">
        <f>'Pretax Fuel Prices'!B47+'Fuel Taxes'!B47</f>
        <v>0</v>
      </c>
      <c r="C46">
        <f>'Pretax Fuel Prices'!C47+'Fuel Taxes'!C47</f>
        <v>0</v>
      </c>
      <c r="D46">
        <f>'Pretax Fuel Prices'!D47+'Fuel Taxes'!D47</f>
        <v>0</v>
      </c>
      <c r="E46">
        <f>'Pretax Fuel Prices'!E47+'Fuel Taxes'!E47</f>
        <v>0</v>
      </c>
      <c r="F46">
        <f>'Pretax Fuel Prices'!F47+'Fuel Taxes'!F47</f>
        <v>0</v>
      </c>
      <c r="G46">
        <f>'Pretax Fuel Prices'!G47+'Fuel Taxes'!G47</f>
        <v>0</v>
      </c>
      <c r="H46">
        <f>'Pretax Fuel Prices'!H47+'Fuel Taxes'!H47</f>
        <v>0</v>
      </c>
      <c r="I46">
        <f>'Pretax Fuel Prices'!I47+'Fuel Taxes'!I47</f>
        <v>0</v>
      </c>
      <c r="J46">
        <f>'Pretax Fuel Prices'!J47+'Fuel Taxes'!J47</f>
        <v>0</v>
      </c>
      <c r="K46">
        <f>'Pretax Fuel Prices'!K47+'Fuel Taxes'!K47</f>
        <v>0</v>
      </c>
      <c r="L46">
        <f>'Pretax Fuel Prices'!L47+'Fuel Taxes'!L47</f>
        <v>0</v>
      </c>
      <c r="M46">
        <f>'Pretax Fuel Prices'!M47+'Fuel Taxes'!M47</f>
        <v>0</v>
      </c>
      <c r="N46">
        <f>'Pretax Fuel Prices'!N47+'Fuel Taxes'!N47</f>
        <v>0</v>
      </c>
      <c r="O46">
        <f>'Pretax Fuel Prices'!O47+'Fuel Taxes'!O47</f>
        <v>0</v>
      </c>
      <c r="P46">
        <f>'Pretax Fuel Prices'!P47+'Fuel Taxes'!P47</f>
        <v>0</v>
      </c>
      <c r="Q46">
        <f>'Pretax Fuel Prices'!Q47+'Fuel Taxes'!Q47</f>
        <v>0</v>
      </c>
      <c r="R46">
        <f>'Pretax Fuel Prices'!R47+'Fuel Taxes'!R47</f>
        <v>0</v>
      </c>
      <c r="S46">
        <f>'Pretax Fuel Prices'!S47+'Fuel Taxes'!S47</f>
        <v>0</v>
      </c>
      <c r="T46">
        <f>'Pretax Fuel Prices'!T47+'Fuel Taxes'!T47</f>
        <v>0</v>
      </c>
      <c r="U46">
        <f>'Pretax Fuel Prices'!U47+'Fuel Taxes'!U47</f>
        <v>0</v>
      </c>
      <c r="V46">
        <f>'Pretax Fuel Prices'!V47+'Fuel Taxes'!V47</f>
        <v>0</v>
      </c>
      <c r="W46">
        <f>'Pretax Fuel Prices'!W47+'Fuel Taxes'!W47</f>
        <v>0</v>
      </c>
      <c r="X46">
        <f>'Pretax Fuel Prices'!X47+'Fuel Taxes'!X47</f>
        <v>0</v>
      </c>
      <c r="Y46">
        <f>'Pretax Fuel Prices'!Y47+'Fuel Taxes'!Y47</f>
        <v>0</v>
      </c>
      <c r="Z46">
        <f>'Pretax Fuel Prices'!Z47+'Fuel Taxes'!Z47</f>
        <v>0</v>
      </c>
      <c r="AA46">
        <f>'Pretax Fuel Prices'!AA47+'Fuel Taxes'!AA47</f>
        <v>0</v>
      </c>
      <c r="AB46">
        <f>'Pretax Fuel Prices'!AB47+'Fuel Taxes'!AB47</f>
        <v>0</v>
      </c>
      <c r="AC46">
        <f>'Pretax Fuel Prices'!AC47+'Fuel Taxes'!AC47</f>
        <v>0</v>
      </c>
      <c r="AD46">
        <f>'Pretax Fuel Prices'!AD47+'Fuel Taxes'!AD47</f>
        <v>0</v>
      </c>
      <c r="AE46">
        <f>'Pretax Fuel Prices'!AE47+'Fuel Taxes'!AE47</f>
        <v>0</v>
      </c>
      <c r="AF46">
        <f>'Pretax Fuel Prices'!AF47+'Fuel Taxes'!AF47</f>
        <v>0</v>
      </c>
    </row>
    <row r="47" spans="1:32" x14ac:dyDescent="0.25">
      <c r="A47" t="s">
        <v>56</v>
      </c>
      <c r="B47">
        <f>'Pretax Fuel Prices'!B48+'Fuel Taxes'!B48</f>
        <v>0</v>
      </c>
      <c r="C47">
        <f>'Pretax Fuel Prices'!C48+'Fuel Taxes'!C48</f>
        <v>0</v>
      </c>
      <c r="D47">
        <f>'Pretax Fuel Prices'!D48+'Fuel Taxes'!D48</f>
        <v>0</v>
      </c>
      <c r="E47">
        <f>'Pretax Fuel Prices'!E48+'Fuel Taxes'!E48</f>
        <v>0</v>
      </c>
      <c r="F47">
        <f>'Pretax Fuel Prices'!F48+'Fuel Taxes'!F48</f>
        <v>0</v>
      </c>
      <c r="G47">
        <f>'Pretax Fuel Prices'!G48+'Fuel Taxes'!G48</f>
        <v>0</v>
      </c>
      <c r="H47">
        <f>'Pretax Fuel Prices'!H48+'Fuel Taxes'!H48</f>
        <v>0</v>
      </c>
      <c r="I47">
        <f>'Pretax Fuel Prices'!I48+'Fuel Taxes'!I48</f>
        <v>0</v>
      </c>
      <c r="J47">
        <f>'Pretax Fuel Prices'!J48+'Fuel Taxes'!J48</f>
        <v>0</v>
      </c>
      <c r="K47">
        <f>'Pretax Fuel Prices'!K48+'Fuel Taxes'!K48</f>
        <v>0</v>
      </c>
      <c r="L47">
        <f>'Pretax Fuel Prices'!L48+'Fuel Taxes'!L48</f>
        <v>0</v>
      </c>
      <c r="M47">
        <f>'Pretax Fuel Prices'!M48+'Fuel Taxes'!M48</f>
        <v>0</v>
      </c>
      <c r="N47">
        <f>'Pretax Fuel Prices'!N48+'Fuel Taxes'!N48</f>
        <v>0</v>
      </c>
      <c r="O47">
        <f>'Pretax Fuel Prices'!O48+'Fuel Taxes'!O48</f>
        <v>0</v>
      </c>
      <c r="P47">
        <f>'Pretax Fuel Prices'!P48+'Fuel Taxes'!P48</f>
        <v>0</v>
      </c>
      <c r="Q47">
        <f>'Pretax Fuel Prices'!Q48+'Fuel Taxes'!Q48</f>
        <v>0</v>
      </c>
      <c r="R47">
        <f>'Pretax Fuel Prices'!R48+'Fuel Taxes'!R48</f>
        <v>0</v>
      </c>
      <c r="S47">
        <f>'Pretax Fuel Prices'!S48+'Fuel Taxes'!S48</f>
        <v>0</v>
      </c>
      <c r="T47">
        <f>'Pretax Fuel Prices'!T48+'Fuel Taxes'!T48</f>
        <v>0</v>
      </c>
      <c r="U47">
        <f>'Pretax Fuel Prices'!U48+'Fuel Taxes'!U48</f>
        <v>0</v>
      </c>
      <c r="V47">
        <f>'Pretax Fuel Prices'!V48+'Fuel Taxes'!V48</f>
        <v>0</v>
      </c>
      <c r="W47">
        <f>'Pretax Fuel Prices'!W48+'Fuel Taxes'!W48</f>
        <v>0</v>
      </c>
      <c r="X47">
        <f>'Pretax Fuel Prices'!X48+'Fuel Taxes'!X48</f>
        <v>0</v>
      </c>
      <c r="Y47">
        <f>'Pretax Fuel Prices'!Y48+'Fuel Taxes'!Y48</f>
        <v>0</v>
      </c>
      <c r="Z47">
        <f>'Pretax Fuel Prices'!Z48+'Fuel Taxes'!Z48</f>
        <v>0</v>
      </c>
      <c r="AA47">
        <f>'Pretax Fuel Prices'!AA48+'Fuel Taxes'!AA48</f>
        <v>0</v>
      </c>
      <c r="AB47">
        <f>'Pretax Fuel Prices'!AB48+'Fuel Taxes'!AB48</f>
        <v>0</v>
      </c>
      <c r="AC47">
        <f>'Pretax Fuel Prices'!AC48+'Fuel Taxes'!AC48</f>
        <v>0</v>
      </c>
      <c r="AD47">
        <f>'Pretax Fuel Prices'!AD48+'Fuel Taxes'!AD48</f>
        <v>0</v>
      </c>
      <c r="AE47">
        <f>'Pretax Fuel Prices'!AE48+'Fuel Taxes'!AE48</f>
        <v>0</v>
      </c>
      <c r="AF47">
        <f>'Pretax Fuel Prices'!AF48+'Fuel Taxes'!AF48</f>
        <v>0</v>
      </c>
    </row>
    <row r="48" spans="1:32" x14ac:dyDescent="0.25">
      <c r="A48" t="s">
        <v>57</v>
      </c>
      <c r="B48">
        <f>'Pretax Fuel Prices'!B49+'Fuel Taxes'!B49</f>
        <v>0</v>
      </c>
      <c r="C48">
        <f>'Pretax Fuel Prices'!C49+'Fuel Taxes'!C49</f>
        <v>0</v>
      </c>
      <c r="D48">
        <f>'Pretax Fuel Prices'!D49+'Fuel Taxes'!D49</f>
        <v>0</v>
      </c>
      <c r="E48">
        <f>'Pretax Fuel Prices'!E49+'Fuel Taxes'!E49</f>
        <v>0</v>
      </c>
      <c r="F48">
        <f>'Pretax Fuel Prices'!F49+'Fuel Taxes'!F49</f>
        <v>0</v>
      </c>
      <c r="G48">
        <f>'Pretax Fuel Prices'!G49+'Fuel Taxes'!G49</f>
        <v>0</v>
      </c>
      <c r="H48">
        <f>'Pretax Fuel Prices'!H49+'Fuel Taxes'!H49</f>
        <v>0</v>
      </c>
      <c r="I48">
        <f>'Pretax Fuel Prices'!I49+'Fuel Taxes'!I49</f>
        <v>0</v>
      </c>
      <c r="J48">
        <f>'Pretax Fuel Prices'!J49+'Fuel Taxes'!J49</f>
        <v>0</v>
      </c>
      <c r="K48">
        <f>'Pretax Fuel Prices'!K49+'Fuel Taxes'!K49</f>
        <v>0</v>
      </c>
      <c r="L48">
        <f>'Pretax Fuel Prices'!L49+'Fuel Taxes'!L49</f>
        <v>0</v>
      </c>
      <c r="M48">
        <f>'Pretax Fuel Prices'!M49+'Fuel Taxes'!M49</f>
        <v>0</v>
      </c>
      <c r="N48">
        <f>'Pretax Fuel Prices'!N49+'Fuel Taxes'!N49</f>
        <v>0</v>
      </c>
      <c r="O48">
        <f>'Pretax Fuel Prices'!O49+'Fuel Taxes'!O49</f>
        <v>0</v>
      </c>
      <c r="P48">
        <f>'Pretax Fuel Prices'!P49+'Fuel Taxes'!P49</f>
        <v>0</v>
      </c>
      <c r="Q48">
        <f>'Pretax Fuel Prices'!Q49+'Fuel Taxes'!Q49</f>
        <v>0</v>
      </c>
      <c r="R48">
        <f>'Pretax Fuel Prices'!R49+'Fuel Taxes'!R49</f>
        <v>0</v>
      </c>
      <c r="S48">
        <f>'Pretax Fuel Prices'!S49+'Fuel Taxes'!S49</f>
        <v>0</v>
      </c>
      <c r="T48">
        <f>'Pretax Fuel Prices'!T49+'Fuel Taxes'!T49</f>
        <v>0</v>
      </c>
      <c r="U48">
        <f>'Pretax Fuel Prices'!U49+'Fuel Taxes'!U49</f>
        <v>0</v>
      </c>
      <c r="V48">
        <f>'Pretax Fuel Prices'!V49+'Fuel Taxes'!V49</f>
        <v>0</v>
      </c>
      <c r="W48">
        <f>'Pretax Fuel Prices'!W49+'Fuel Taxes'!W49</f>
        <v>0</v>
      </c>
      <c r="X48">
        <f>'Pretax Fuel Prices'!X49+'Fuel Taxes'!X49</f>
        <v>0</v>
      </c>
      <c r="Y48">
        <f>'Pretax Fuel Prices'!Y49+'Fuel Taxes'!Y49</f>
        <v>0</v>
      </c>
      <c r="Z48">
        <f>'Pretax Fuel Prices'!Z49+'Fuel Taxes'!Z49</f>
        <v>0</v>
      </c>
      <c r="AA48">
        <f>'Pretax Fuel Prices'!AA49+'Fuel Taxes'!AA49</f>
        <v>0</v>
      </c>
      <c r="AB48">
        <f>'Pretax Fuel Prices'!AB49+'Fuel Taxes'!AB49</f>
        <v>0</v>
      </c>
      <c r="AC48">
        <f>'Pretax Fuel Prices'!AC49+'Fuel Taxes'!AC49</f>
        <v>0</v>
      </c>
      <c r="AD48">
        <f>'Pretax Fuel Prices'!AD49+'Fuel Taxes'!AD49</f>
        <v>0</v>
      </c>
      <c r="AE48">
        <f>'Pretax Fuel Prices'!AE49+'Fuel Taxes'!AE49</f>
        <v>0</v>
      </c>
      <c r="AF48">
        <f>'Pretax Fuel Prices'!AF49+'Fuel Taxes'!AF49</f>
        <v>0</v>
      </c>
    </row>
    <row r="49" spans="1:32" x14ac:dyDescent="0.25">
      <c r="A49" t="s">
        <v>58</v>
      </c>
      <c r="B49">
        <f>'Pretax Fuel Prices'!B50+'Fuel Taxes'!B50</f>
        <v>0</v>
      </c>
      <c r="C49">
        <f>'Pretax Fuel Prices'!C50+'Fuel Taxes'!C50</f>
        <v>0</v>
      </c>
      <c r="D49">
        <f>'Pretax Fuel Prices'!D50+'Fuel Taxes'!D50</f>
        <v>0</v>
      </c>
      <c r="E49">
        <f>'Pretax Fuel Prices'!E50+'Fuel Taxes'!E50</f>
        <v>0</v>
      </c>
      <c r="F49">
        <f>'Pretax Fuel Prices'!F50+'Fuel Taxes'!F50</f>
        <v>0</v>
      </c>
      <c r="G49">
        <f>'Pretax Fuel Prices'!G50+'Fuel Taxes'!G50</f>
        <v>0</v>
      </c>
      <c r="H49">
        <f>'Pretax Fuel Prices'!H50+'Fuel Taxes'!H50</f>
        <v>0</v>
      </c>
      <c r="I49">
        <f>'Pretax Fuel Prices'!I50+'Fuel Taxes'!I50</f>
        <v>0</v>
      </c>
      <c r="J49">
        <f>'Pretax Fuel Prices'!J50+'Fuel Taxes'!J50</f>
        <v>0</v>
      </c>
      <c r="K49">
        <f>'Pretax Fuel Prices'!K50+'Fuel Taxes'!K50</f>
        <v>0</v>
      </c>
      <c r="L49">
        <f>'Pretax Fuel Prices'!L50+'Fuel Taxes'!L50</f>
        <v>0</v>
      </c>
      <c r="M49">
        <f>'Pretax Fuel Prices'!M50+'Fuel Taxes'!M50</f>
        <v>0</v>
      </c>
      <c r="N49">
        <f>'Pretax Fuel Prices'!N50+'Fuel Taxes'!N50</f>
        <v>0</v>
      </c>
      <c r="O49">
        <f>'Pretax Fuel Prices'!O50+'Fuel Taxes'!O50</f>
        <v>0</v>
      </c>
      <c r="P49">
        <f>'Pretax Fuel Prices'!P50+'Fuel Taxes'!P50</f>
        <v>0</v>
      </c>
      <c r="Q49">
        <f>'Pretax Fuel Prices'!Q50+'Fuel Taxes'!Q50</f>
        <v>0</v>
      </c>
      <c r="R49">
        <f>'Pretax Fuel Prices'!R50+'Fuel Taxes'!R50</f>
        <v>0</v>
      </c>
      <c r="S49">
        <f>'Pretax Fuel Prices'!S50+'Fuel Taxes'!S50</f>
        <v>0</v>
      </c>
      <c r="T49">
        <f>'Pretax Fuel Prices'!T50+'Fuel Taxes'!T50</f>
        <v>0</v>
      </c>
      <c r="U49">
        <f>'Pretax Fuel Prices'!U50+'Fuel Taxes'!U50</f>
        <v>0</v>
      </c>
      <c r="V49">
        <f>'Pretax Fuel Prices'!V50+'Fuel Taxes'!V50</f>
        <v>0</v>
      </c>
      <c r="W49">
        <f>'Pretax Fuel Prices'!W50+'Fuel Taxes'!W50</f>
        <v>0</v>
      </c>
      <c r="X49">
        <f>'Pretax Fuel Prices'!X50+'Fuel Taxes'!X50</f>
        <v>0</v>
      </c>
      <c r="Y49">
        <f>'Pretax Fuel Prices'!Y50+'Fuel Taxes'!Y50</f>
        <v>0</v>
      </c>
      <c r="Z49">
        <f>'Pretax Fuel Prices'!Z50+'Fuel Taxes'!Z50</f>
        <v>0</v>
      </c>
      <c r="AA49">
        <f>'Pretax Fuel Prices'!AA50+'Fuel Taxes'!AA50</f>
        <v>0</v>
      </c>
      <c r="AB49">
        <f>'Pretax Fuel Prices'!AB50+'Fuel Taxes'!AB50</f>
        <v>0</v>
      </c>
      <c r="AC49">
        <f>'Pretax Fuel Prices'!AC50+'Fuel Taxes'!AC50</f>
        <v>0</v>
      </c>
      <c r="AD49">
        <f>'Pretax Fuel Prices'!AD50+'Fuel Taxes'!AD50</f>
        <v>0</v>
      </c>
      <c r="AE49">
        <f>'Pretax Fuel Prices'!AE50+'Fuel Taxes'!AE50</f>
        <v>0</v>
      </c>
      <c r="AF49">
        <f>'Pretax Fuel Prices'!AF50+'Fuel Taxes'!AF50</f>
        <v>0</v>
      </c>
    </row>
    <row r="50" spans="1:32" x14ac:dyDescent="0.25">
      <c r="A50" t="s">
        <v>59</v>
      </c>
      <c r="B50">
        <f>'Pretax Fuel Prices'!B51+'Fuel Taxes'!B51</f>
        <v>0</v>
      </c>
      <c r="C50">
        <f>'Pretax Fuel Prices'!C51+'Fuel Taxes'!C51</f>
        <v>0</v>
      </c>
      <c r="D50">
        <f>'Pretax Fuel Prices'!D51+'Fuel Taxes'!D51</f>
        <v>0</v>
      </c>
      <c r="E50">
        <f>'Pretax Fuel Prices'!E51+'Fuel Taxes'!E51</f>
        <v>0</v>
      </c>
      <c r="F50">
        <f>'Pretax Fuel Prices'!F51+'Fuel Taxes'!F51</f>
        <v>0</v>
      </c>
      <c r="G50">
        <f>'Pretax Fuel Prices'!G51+'Fuel Taxes'!G51</f>
        <v>0</v>
      </c>
      <c r="H50">
        <f>'Pretax Fuel Prices'!H51+'Fuel Taxes'!H51</f>
        <v>0</v>
      </c>
      <c r="I50">
        <f>'Pretax Fuel Prices'!I51+'Fuel Taxes'!I51</f>
        <v>0</v>
      </c>
      <c r="J50">
        <f>'Pretax Fuel Prices'!J51+'Fuel Taxes'!J51</f>
        <v>0</v>
      </c>
      <c r="K50">
        <f>'Pretax Fuel Prices'!K51+'Fuel Taxes'!K51</f>
        <v>0</v>
      </c>
      <c r="L50">
        <f>'Pretax Fuel Prices'!L51+'Fuel Taxes'!L51</f>
        <v>0</v>
      </c>
      <c r="M50">
        <f>'Pretax Fuel Prices'!M51+'Fuel Taxes'!M51</f>
        <v>0</v>
      </c>
      <c r="N50">
        <f>'Pretax Fuel Prices'!N51+'Fuel Taxes'!N51</f>
        <v>0</v>
      </c>
      <c r="O50">
        <f>'Pretax Fuel Prices'!O51+'Fuel Taxes'!O51</f>
        <v>0</v>
      </c>
      <c r="P50">
        <f>'Pretax Fuel Prices'!P51+'Fuel Taxes'!P51</f>
        <v>0</v>
      </c>
      <c r="Q50">
        <f>'Pretax Fuel Prices'!Q51+'Fuel Taxes'!Q51</f>
        <v>0</v>
      </c>
      <c r="R50">
        <f>'Pretax Fuel Prices'!R51+'Fuel Taxes'!R51</f>
        <v>0</v>
      </c>
      <c r="S50">
        <f>'Pretax Fuel Prices'!S51+'Fuel Taxes'!S51</f>
        <v>0</v>
      </c>
      <c r="T50">
        <f>'Pretax Fuel Prices'!T51+'Fuel Taxes'!T51</f>
        <v>0</v>
      </c>
      <c r="U50">
        <f>'Pretax Fuel Prices'!U51+'Fuel Taxes'!U51</f>
        <v>0</v>
      </c>
      <c r="V50">
        <f>'Pretax Fuel Prices'!V51+'Fuel Taxes'!V51</f>
        <v>0</v>
      </c>
      <c r="W50">
        <f>'Pretax Fuel Prices'!W51+'Fuel Taxes'!W51</f>
        <v>0</v>
      </c>
      <c r="X50">
        <f>'Pretax Fuel Prices'!X51+'Fuel Taxes'!X51</f>
        <v>0</v>
      </c>
      <c r="Y50">
        <f>'Pretax Fuel Prices'!Y51+'Fuel Taxes'!Y51</f>
        <v>0</v>
      </c>
      <c r="Z50">
        <f>'Pretax Fuel Prices'!Z51+'Fuel Taxes'!Z51</f>
        <v>0</v>
      </c>
      <c r="AA50">
        <f>'Pretax Fuel Prices'!AA51+'Fuel Taxes'!AA51</f>
        <v>0</v>
      </c>
      <c r="AB50">
        <f>'Pretax Fuel Prices'!AB51+'Fuel Taxes'!AB51</f>
        <v>0</v>
      </c>
      <c r="AC50">
        <f>'Pretax Fuel Prices'!AC51+'Fuel Taxes'!AC51</f>
        <v>0</v>
      </c>
      <c r="AD50">
        <f>'Pretax Fuel Prices'!AD51+'Fuel Taxes'!AD51</f>
        <v>0</v>
      </c>
      <c r="AE50">
        <f>'Pretax Fuel Prices'!AE51+'Fuel Taxes'!AE51</f>
        <v>0</v>
      </c>
      <c r="AF50">
        <f>'Pretax Fuel Prices'!AF51+'Fuel Taxes'!AF51</f>
        <v>0</v>
      </c>
    </row>
    <row r="51" spans="1:32" s="4" customFormat="1" x14ac:dyDescent="0.25">
      <c r="A51" s="6" t="s">
        <v>35</v>
      </c>
    </row>
    <row r="52" spans="1:32" x14ac:dyDescent="0.25">
      <c r="A52" t="s">
        <v>30</v>
      </c>
      <c r="B52" s="7">
        <f>'Fuel Taxes'!B$1</f>
        <v>2020</v>
      </c>
      <c r="C52" s="7">
        <f>'Fuel Taxes'!C$1</f>
        <v>2021</v>
      </c>
      <c r="D52" s="7">
        <f>'Fuel Taxes'!D$1</f>
        <v>2022</v>
      </c>
      <c r="E52" s="7">
        <f>'Fuel Taxes'!E$1</f>
        <v>2023</v>
      </c>
      <c r="F52" s="7">
        <f>'Fuel Taxes'!F$1</f>
        <v>2024</v>
      </c>
      <c r="G52" s="7">
        <f>'Fuel Taxes'!G$1</f>
        <v>2025</v>
      </c>
      <c r="H52" s="7">
        <f>'Fuel Taxes'!H$1</f>
        <v>2026</v>
      </c>
      <c r="I52" s="7">
        <f>'Fuel Taxes'!I$1</f>
        <v>2027</v>
      </c>
      <c r="J52" s="7">
        <f>'Fuel Taxes'!J$1</f>
        <v>2028</v>
      </c>
      <c r="K52" s="7">
        <f>'Fuel Taxes'!K$1</f>
        <v>2029</v>
      </c>
      <c r="L52" s="7">
        <f>'Fuel Taxes'!L$1</f>
        <v>2030</v>
      </c>
      <c r="M52" s="7">
        <f>'Fuel Taxes'!M$1</f>
        <v>2031</v>
      </c>
      <c r="N52" s="7">
        <f>'Fuel Taxes'!N$1</f>
        <v>2032</v>
      </c>
      <c r="O52" s="7">
        <f>'Fuel Taxes'!O$1</f>
        <v>2033</v>
      </c>
      <c r="P52" s="7">
        <f>'Fuel Taxes'!P$1</f>
        <v>2034</v>
      </c>
      <c r="Q52" s="7">
        <f>'Fuel Taxes'!Q$1</f>
        <v>2035</v>
      </c>
      <c r="R52" s="7">
        <f>'Fuel Taxes'!R$1</f>
        <v>2036</v>
      </c>
      <c r="S52" s="7">
        <f>'Fuel Taxes'!S$1</f>
        <v>2037</v>
      </c>
      <c r="T52" s="7">
        <f>'Fuel Taxes'!T$1</f>
        <v>2038</v>
      </c>
      <c r="U52" s="7">
        <f>'Fuel Taxes'!U$1</f>
        <v>2039</v>
      </c>
      <c r="V52" s="7">
        <f>'Fuel Taxes'!V$1</f>
        <v>2040</v>
      </c>
      <c r="W52" s="7">
        <f>'Fuel Taxes'!W$1</f>
        <v>2041</v>
      </c>
      <c r="X52" s="7">
        <f>'Fuel Taxes'!X$1</f>
        <v>2042</v>
      </c>
      <c r="Y52" s="7">
        <f>'Fuel Taxes'!Y$1</f>
        <v>2043</v>
      </c>
      <c r="Z52" s="7">
        <f>'Fuel Taxes'!Z$1</f>
        <v>2044</v>
      </c>
      <c r="AA52" s="7">
        <f>'Fuel Taxes'!AA$1</f>
        <v>2045</v>
      </c>
      <c r="AB52" s="7">
        <f>'Fuel Taxes'!AB$1</f>
        <v>2046</v>
      </c>
      <c r="AC52" s="7">
        <f>'Fuel Taxes'!AC$1</f>
        <v>2047</v>
      </c>
      <c r="AD52" s="7">
        <f>'Fuel Taxes'!AD$1</f>
        <v>2048</v>
      </c>
      <c r="AE52" s="7">
        <f>'Fuel Taxes'!AE$1</f>
        <v>2049</v>
      </c>
      <c r="AF52" s="7">
        <f>'Fuel Taxes'!AF$1</f>
        <v>2050</v>
      </c>
    </row>
    <row r="53" spans="1:32" x14ac:dyDescent="0.25">
      <c r="A53" t="s">
        <v>52</v>
      </c>
      <c r="B53">
        <f>'Pretax Fuel Prices'!B54+'Fuel Taxes'!B54</f>
        <v>1.5780771264133049E-5</v>
      </c>
      <c r="C53">
        <f>'Pretax Fuel Prices'!C54+'Fuel Taxes'!C54</f>
        <v>2.0280756819920988E-5</v>
      </c>
      <c r="D53">
        <f>'Pretax Fuel Prices'!D54+'Fuel Taxes'!D54</f>
        <v>2.9095797018245302E-5</v>
      </c>
      <c r="E53">
        <f>'Pretax Fuel Prices'!E54+'Fuel Taxes'!E54</f>
        <v>2.5027316926711003E-5</v>
      </c>
      <c r="F53">
        <f>'Pretax Fuel Prices'!F54+'Fuel Taxes'!F54</f>
        <v>2.3914238736336511E-5</v>
      </c>
      <c r="G53">
        <f>'Pretax Fuel Prices'!G54+'Fuel Taxes'!G54</f>
        <v>2.280116054596202E-5</v>
      </c>
      <c r="H53">
        <f>'Pretax Fuel Prices'!H54+'Fuel Taxes'!H54</f>
        <v>2.1688082355587529E-5</v>
      </c>
      <c r="I53">
        <f>'Pretax Fuel Prices'!I54+'Fuel Taxes'!I54</f>
        <v>2.0575004165213037E-5</v>
      </c>
      <c r="J53">
        <f>'Pretax Fuel Prices'!J54+'Fuel Taxes'!J54</f>
        <v>1.9461925974838539E-5</v>
      </c>
      <c r="K53">
        <f>'Pretax Fuel Prices'!K54+'Fuel Taxes'!K54</f>
        <v>1.9575851098889168E-5</v>
      </c>
      <c r="L53">
        <f>'Pretax Fuel Prices'!L54+'Fuel Taxes'!L54</f>
        <v>1.9544734702033432E-5</v>
      </c>
      <c r="M53">
        <f>'Pretax Fuel Prices'!M54+'Fuel Taxes'!M54</f>
        <v>2.0064362600206662E-5</v>
      </c>
      <c r="N53">
        <f>'Pretax Fuel Prices'!N54+'Fuel Taxes'!N54</f>
        <v>2.0146376556127981E-5</v>
      </c>
      <c r="O53">
        <f>'Pretax Fuel Prices'!O54+'Fuel Taxes'!O54</f>
        <v>2.0257472531689852E-5</v>
      </c>
      <c r="P53">
        <f>'Pretax Fuel Prices'!P54+'Fuel Taxes'!P54</f>
        <v>2.029121218213086E-5</v>
      </c>
      <c r="Q53">
        <f>'Pretax Fuel Prices'!Q54+'Fuel Taxes'!Q54</f>
        <v>2.0375381679757902E-5</v>
      </c>
      <c r="R53">
        <f>'Pretax Fuel Prices'!R54+'Fuel Taxes'!R54</f>
        <v>2.0529447836948738E-5</v>
      </c>
      <c r="S53">
        <f>'Pretax Fuel Prices'!S54+'Fuel Taxes'!S54</f>
        <v>2.0699176410975379E-5</v>
      </c>
      <c r="T53">
        <f>'Pretax Fuel Prices'!T54+'Fuel Taxes'!T54</f>
        <v>2.0812650769229063E-5</v>
      </c>
      <c r="U53">
        <f>'Pretax Fuel Prices'!U54+'Fuel Taxes'!U54</f>
        <v>2.0887534660899726E-5</v>
      </c>
      <c r="V53">
        <f>'Pretax Fuel Prices'!V54+'Fuel Taxes'!V54</f>
        <v>2.1060141527054655E-5</v>
      </c>
      <c r="W53">
        <f>'Pretax Fuel Prices'!W54+'Fuel Taxes'!W54</f>
        <v>2.1157455253644313E-5</v>
      </c>
      <c r="X53">
        <f>'Pretax Fuel Prices'!X54+'Fuel Taxes'!X54</f>
        <v>2.1167709328220831E-5</v>
      </c>
      <c r="Y53">
        <f>'Pretax Fuel Prices'!Y54+'Fuel Taxes'!Y54</f>
        <v>2.1388614224371695E-5</v>
      </c>
      <c r="Z53">
        <f>'Pretax Fuel Prices'!Z54+'Fuel Taxes'!Z54</f>
        <v>2.1631028783156804E-5</v>
      </c>
      <c r="AA53">
        <f>'Pretax Fuel Prices'!AA54+'Fuel Taxes'!AA54</f>
        <v>2.1718101144731887E-5</v>
      </c>
      <c r="AB53">
        <f>'Pretax Fuel Prices'!AB54+'Fuel Taxes'!AB54</f>
        <v>2.1872185095309441E-5</v>
      </c>
      <c r="AC53">
        <f>'Pretax Fuel Prices'!AC54+'Fuel Taxes'!AC54</f>
        <v>2.1922733565073622E-5</v>
      </c>
      <c r="AD53">
        <f>'Pretax Fuel Prices'!AD54+'Fuel Taxes'!AD54</f>
        <v>2.187990742514669E-5</v>
      </c>
      <c r="AE53">
        <f>'Pretax Fuel Prices'!AE54+'Fuel Taxes'!AE54</f>
        <v>2.1862069978610172E-5</v>
      </c>
      <c r="AF53">
        <f>'Pretax Fuel Prices'!AF54+'Fuel Taxes'!AF54</f>
        <v>2.1810414929652723E-5</v>
      </c>
    </row>
    <row r="54" spans="1:32" x14ac:dyDescent="0.25">
      <c r="A54" t="s">
        <v>53</v>
      </c>
      <c r="B54">
        <f>'Pretax Fuel Prices'!B55+'Fuel Taxes'!B55</f>
        <v>1.5247166822584436E-5</v>
      </c>
      <c r="C54">
        <f>'Pretax Fuel Prices'!C55+'Fuel Taxes'!C55</f>
        <v>1.8572102140122025E-5</v>
      </c>
      <c r="D54">
        <f>'Pretax Fuel Prices'!D55+'Fuel Taxes'!D55</f>
        <v>2.8104242953520353E-5</v>
      </c>
      <c r="E54">
        <f>'Pretax Fuel Prices'!E55+'Fuel Taxes'!E55</f>
        <v>2.320032318695358E-5</v>
      </c>
      <c r="F54">
        <f>'Pretax Fuel Prices'!F55+'Fuel Taxes'!F55</f>
        <v>2.183112057687806E-5</v>
      </c>
      <c r="G54">
        <f>'Pretax Fuel Prices'!G55+'Fuel Taxes'!G55</f>
        <v>2.0461917966802543E-5</v>
      </c>
      <c r="H54">
        <f>'Pretax Fuel Prices'!H55+'Fuel Taxes'!H55</f>
        <v>1.9092715356727027E-5</v>
      </c>
      <c r="I54">
        <f>'Pretax Fuel Prices'!I55+'Fuel Taxes'!I55</f>
        <v>1.7723512746651513E-5</v>
      </c>
      <c r="J54">
        <f>'Pretax Fuel Prices'!J55+'Fuel Taxes'!J55</f>
        <v>1.6354310136576E-5</v>
      </c>
      <c r="K54">
        <f>'Pretax Fuel Prices'!K55+'Fuel Taxes'!K55</f>
        <v>1.6474487517799017E-5</v>
      </c>
      <c r="L54">
        <f>'Pretax Fuel Prices'!L55+'Fuel Taxes'!L55</f>
        <v>1.6483343540561685E-5</v>
      </c>
      <c r="M54">
        <f>'Pretax Fuel Prices'!M55+'Fuel Taxes'!M55</f>
        <v>1.6642882435125657E-5</v>
      </c>
      <c r="N54">
        <f>'Pretax Fuel Prices'!N55+'Fuel Taxes'!N55</f>
        <v>1.6754396131623427E-5</v>
      </c>
      <c r="O54">
        <f>'Pretax Fuel Prices'!O55+'Fuel Taxes'!O55</f>
        <v>1.6788142560497471E-5</v>
      </c>
      <c r="P54">
        <f>'Pretax Fuel Prices'!P55+'Fuel Taxes'!P55</f>
        <v>1.6892527887352839E-5</v>
      </c>
      <c r="Q54">
        <f>'Pretax Fuel Prices'!Q55+'Fuel Taxes'!Q55</f>
        <v>1.6975768739653835E-5</v>
      </c>
      <c r="R54">
        <f>'Pretax Fuel Prices'!R55+'Fuel Taxes'!R55</f>
        <v>1.7133124131475806E-5</v>
      </c>
      <c r="S54">
        <f>'Pretax Fuel Prices'!S55+'Fuel Taxes'!S55</f>
        <v>1.7308600816717715E-5</v>
      </c>
      <c r="T54">
        <f>'Pretax Fuel Prices'!T55+'Fuel Taxes'!T55</f>
        <v>1.739333122967856E-5</v>
      </c>
      <c r="U54">
        <f>'Pretax Fuel Prices'!U55+'Fuel Taxes'!U55</f>
        <v>1.745080471609403E-5</v>
      </c>
      <c r="V54">
        <f>'Pretax Fuel Prices'!V55+'Fuel Taxes'!V55</f>
        <v>1.7633828339218363E-5</v>
      </c>
      <c r="W54">
        <f>'Pretax Fuel Prices'!W55+'Fuel Taxes'!W55</f>
        <v>1.7710261102837947E-5</v>
      </c>
      <c r="X54">
        <f>'Pretax Fuel Prices'!X55+'Fuel Taxes'!X55</f>
        <v>1.7740713213256076E-5</v>
      </c>
      <c r="Y54">
        <f>'Pretax Fuel Prices'!Y55+'Fuel Taxes'!Y55</f>
        <v>1.7937585175074729E-5</v>
      </c>
      <c r="Z54">
        <f>'Pretax Fuel Prices'!Z55+'Fuel Taxes'!Z55</f>
        <v>1.8166239514794989E-5</v>
      </c>
      <c r="AA54">
        <f>'Pretax Fuel Prices'!AA55+'Fuel Taxes'!AA55</f>
        <v>1.8253263580034687E-5</v>
      </c>
      <c r="AB54">
        <f>'Pretax Fuel Prices'!AB55+'Fuel Taxes'!AB55</f>
        <v>1.8457437608842304E-5</v>
      </c>
      <c r="AC54">
        <f>'Pretax Fuel Prices'!AC55+'Fuel Taxes'!AC55</f>
        <v>1.8514284090201863E-5</v>
      </c>
      <c r="AD54">
        <f>'Pretax Fuel Prices'!AD55+'Fuel Taxes'!AD55</f>
        <v>1.8469704030726647E-5</v>
      </c>
      <c r="AE54">
        <f>'Pretax Fuel Prices'!AE55+'Fuel Taxes'!AE55</f>
        <v>1.8464265185518687E-5</v>
      </c>
      <c r="AF54">
        <f>'Pretax Fuel Prices'!AF55+'Fuel Taxes'!AF55</f>
        <v>1.8417556698069895E-5</v>
      </c>
    </row>
    <row r="55" spans="1:32" x14ac:dyDescent="0.25">
      <c r="A55" t="s">
        <v>54</v>
      </c>
      <c r="B55">
        <f>'Pretax Fuel Prices'!B56+'Fuel Taxes'!B56</f>
        <v>1.5280665131834009E-5</v>
      </c>
      <c r="C55">
        <f>'Pretax Fuel Prices'!C56+'Fuel Taxes'!C56</f>
        <v>1.8568273885217266E-5</v>
      </c>
      <c r="D55">
        <f>'Pretax Fuel Prices'!D56+'Fuel Taxes'!D56</f>
        <v>2.8108440177862851E-5</v>
      </c>
      <c r="E55">
        <f>'Pretax Fuel Prices'!E56+'Fuel Taxes'!E56</f>
        <v>2.4699012849085235E-5</v>
      </c>
      <c r="F55">
        <f>'Pretax Fuel Prices'!F56+'Fuel Taxes'!F56</f>
        <v>2.4000498707647709E-5</v>
      </c>
      <c r="G55">
        <f>'Pretax Fuel Prices'!G56+'Fuel Taxes'!G56</f>
        <v>2.3301984566210186E-5</v>
      </c>
      <c r="H55">
        <f>'Pretax Fuel Prices'!H56+'Fuel Taxes'!H56</f>
        <v>2.2603470424772663E-5</v>
      </c>
      <c r="I55">
        <f>'Pretax Fuel Prices'!I56+'Fuel Taxes'!I56</f>
        <v>2.1904956283335137E-5</v>
      </c>
      <c r="J55">
        <f>'Pretax Fuel Prices'!J56+'Fuel Taxes'!J56</f>
        <v>2.1206442141897618E-5</v>
      </c>
      <c r="K55">
        <f>'Pretax Fuel Prices'!K56+'Fuel Taxes'!K56</f>
        <v>2.1309129471277255E-5</v>
      </c>
      <c r="L55">
        <f>'Pretax Fuel Prices'!L56+'Fuel Taxes'!L56</f>
        <v>2.1278474007868027E-5</v>
      </c>
      <c r="M55">
        <f>'Pretax Fuel Prices'!M56+'Fuel Taxes'!M56</f>
        <v>2.1510874279145288E-5</v>
      </c>
      <c r="N55">
        <f>'Pretax Fuel Prices'!N56+'Fuel Taxes'!N56</f>
        <v>2.159919980352806E-5</v>
      </c>
      <c r="O55">
        <f>'Pretax Fuel Prices'!O56+'Fuel Taxes'!O56</f>
        <v>2.1652304589851271E-5</v>
      </c>
      <c r="P55">
        <f>'Pretax Fuel Prices'!P56+'Fuel Taxes'!P56</f>
        <v>2.1694009746414731E-5</v>
      </c>
      <c r="Q55">
        <f>'Pretax Fuel Prices'!Q56+'Fuel Taxes'!Q56</f>
        <v>2.1761126401129273E-5</v>
      </c>
      <c r="R55">
        <f>'Pretax Fuel Prices'!R56+'Fuel Taxes'!R56</f>
        <v>2.1904730046927701E-5</v>
      </c>
      <c r="S55">
        <f>'Pretax Fuel Prices'!S56+'Fuel Taxes'!S56</f>
        <v>2.2087957870347267E-5</v>
      </c>
      <c r="T55">
        <f>'Pretax Fuel Prices'!T56+'Fuel Taxes'!T56</f>
        <v>2.2195674797040257E-5</v>
      </c>
      <c r="U55">
        <f>'Pretax Fuel Prices'!U56+'Fuel Taxes'!U56</f>
        <v>2.2253581255865954E-5</v>
      </c>
      <c r="V55">
        <f>'Pretax Fuel Prices'!V56+'Fuel Taxes'!V56</f>
        <v>2.2443319764217439E-5</v>
      </c>
      <c r="W55">
        <f>'Pretax Fuel Prices'!W56+'Fuel Taxes'!W56</f>
        <v>2.2525684504048415E-5</v>
      </c>
      <c r="X55">
        <f>'Pretax Fuel Prices'!X56+'Fuel Taxes'!X56</f>
        <v>2.2536319865483258E-5</v>
      </c>
      <c r="Y55">
        <f>'Pretax Fuel Prices'!Y56+'Fuel Taxes'!Y56</f>
        <v>2.2728116475565558E-5</v>
      </c>
      <c r="Z55">
        <f>'Pretax Fuel Prices'!Z56+'Fuel Taxes'!Z56</f>
        <v>2.2946869219227218E-5</v>
      </c>
      <c r="AA55">
        <f>'Pretax Fuel Prices'!AA56+'Fuel Taxes'!AA56</f>
        <v>2.3030299020349112E-5</v>
      </c>
      <c r="AB55">
        <f>'Pretax Fuel Prices'!AB56+'Fuel Taxes'!AB56</f>
        <v>2.3204760635243749E-5</v>
      </c>
      <c r="AC55">
        <f>'Pretax Fuel Prices'!AC56+'Fuel Taxes'!AC56</f>
        <v>2.3229301104749601E-5</v>
      </c>
      <c r="AD55">
        <f>'Pretax Fuel Prices'!AD56+'Fuel Taxes'!AD56</f>
        <v>2.3163228328722732E-5</v>
      </c>
      <c r="AE55">
        <f>'Pretax Fuel Prices'!AE56+'Fuel Taxes'!AE56</f>
        <v>2.3150486569221685E-5</v>
      </c>
      <c r="AF55">
        <f>'Pretax Fuel Prices'!AF56+'Fuel Taxes'!AF56</f>
        <v>2.3105762468044431E-5</v>
      </c>
    </row>
    <row r="56" spans="1:32" x14ac:dyDescent="0.25">
      <c r="A56" t="s">
        <v>55</v>
      </c>
      <c r="B56">
        <f>'Pretax Fuel Prices'!B57+'Fuel Taxes'!B57</f>
        <v>1.5346695750976263E-5</v>
      </c>
      <c r="C56">
        <f>'Pretax Fuel Prices'!C57+'Fuel Taxes'!C57</f>
        <v>1.8635193936270174E-5</v>
      </c>
      <c r="D56">
        <f>'Pretax Fuel Prices'!D57+'Fuel Taxes'!D57</f>
        <v>2.8214303361195659E-5</v>
      </c>
      <c r="E56">
        <f>'Pretax Fuel Prices'!E57+'Fuel Taxes'!E57</f>
        <v>2.3476771037811719E-5</v>
      </c>
      <c r="F56">
        <f>'Pretax Fuel Prices'!F57+'Fuel Taxes'!F57</f>
        <v>2.2120595464387469E-5</v>
      </c>
      <c r="G56">
        <f>'Pretax Fuel Prices'!G57+'Fuel Taxes'!G57</f>
        <v>2.0764419890963219E-5</v>
      </c>
      <c r="H56">
        <f>'Pretax Fuel Prices'!H57+'Fuel Taxes'!H57</f>
        <v>1.9408244317538973E-5</v>
      </c>
      <c r="I56">
        <f>'Pretax Fuel Prices'!I57+'Fuel Taxes'!I57</f>
        <v>1.8052068744114726E-5</v>
      </c>
      <c r="J56">
        <f>'Pretax Fuel Prices'!J57+'Fuel Taxes'!J57</f>
        <v>1.6695893170690479E-5</v>
      </c>
      <c r="K56">
        <f>'Pretax Fuel Prices'!K57+'Fuel Taxes'!K57</f>
        <v>1.6793988111687639E-5</v>
      </c>
      <c r="L56">
        <f>'Pretax Fuel Prices'!L57+'Fuel Taxes'!L57</f>
        <v>1.6765775426084064E-5</v>
      </c>
      <c r="M56">
        <f>'Pretax Fuel Prices'!M57+'Fuel Taxes'!M57</f>
        <v>1.7263839434158761E-5</v>
      </c>
      <c r="N56">
        <f>'Pretax Fuel Prices'!N57+'Fuel Taxes'!N57</f>
        <v>1.7356684478768862E-5</v>
      </c>
      <c r="O56">
        <f>'Pretax Fuel Prices'!O57+'Fuel Taxes'!O57</f>
        <v>1.7452739111421926E-5</v>
      </c>
      <c r="P56">
        <f>'Pretax Fuel Prices'!P57+'Fuel Taxes'!P57</f>
        <v>1.7498082591917921E-5</v>
      </c>
      <c r="Q56">
        <f>'Pretax Fuel Prices'!Q57+'Fuel Taxes'!Q57</f>
        <v>1.7577106411565853E-5</v>
      </c>
      <c r="R56">
        <f>'Pretax Fuel Prices'!R57+'Fuel Taxes'!R57</f>
        <v>1.7723346020511492E-5</v>
      </c>
      <c r="S56">
        <f>'Pretax Fuel Prices'!S57+'Fuel Taxes'!S57</f>
        <v>1.7908586191238879E-5</v>
      </c>
      <c r="T56">
        <f>'Pretax Fuel Prices'!T57+'Fuel Taxes'!T57</f>
        <v>1.8019786385208692E-5</v>
      </c>
      <c r="U56">
        <f>'Pretax Fuel Prices'!U57+'Fuel Taxes'!U57</f>
        <v>1.8077791978617558E-5</v>
      </c>
      <c r="V56">
        <f>'Pretax Fuel Prices'!V57+'Fuel Taxes'!V57</f>
        <v>1.8253137331719377E-5</v>
      </c>
      <c r="W56">
        <f>'Pretax Fuel Prices'!W57+'Fuel Taxes'!W57</f>
        <v>1.8341307799446432E-5</v>
      </c>
      <c r="X56">
        <f>'Pretax Fuel Prices'!X57+'Fuel Taxes'!X57</f>
        <v>1.8354965494711589E-5</v>
      </c>
      <c r="Y56">
        <f>'Pretax Fuel Prices'!Y57+'Fuel Taxes'!Y57</f>
        <v>1.8562885455076207E-5</v>
      </c>
      <c r="Z56">
        <f>'Pretax Fuel Prices'!Z57+'Fuel Taxes'!Z57</f>
        <v>1.8796651580610397E-5</v>
      </c>
      <c r="AA56">
        <f>'Pretax Fuel Prices'!AA57+'Fuel Taxes'!AA57</f>
        <v>1.8887027580986822E-5</v>
      </c>
      <c r="AB56">
        <f>'Pretax Fuel Prices'!AB57+'Fuel Taxes'!AB57</f>
        <v>1.9048631355714651E-5</v>
      </c>
      <c r="AC56">
        <f>'Pretax Fuel Prices'!AC57+'Fuel Taxes'!AC57</f>
        <v>1.9086961699929872E-5</v>
      </c>
      <c r="AD56">
        <f>'Pretax Fuel Prices'!AD57+'Fuel Taxes'!AD57</f>
        <v>1.9036843660663538E-5</v>
      </c>
      <c r="AE56">
        <f>'Pretax Fuel Prices'!AE57+'Fuel Taxes'!AE57</f>
        <v>1.9019043495508724E-5</v>
      </c>
      <c r="AF56">
        <f>'Pretax Fuel Prices'!AF57+'Fuel Taxes'!AF57</f>
        <v>1.8957430928420116E-5</v>
      </c>
    </row>
    <row r="57" spans="1:32" x14ac:dyDescent="0.25">
      <c r="A57" t="s">
        <v>56</v>
      </c>
      <c r="B57">
        <f>'Pretax Fuel Prices'!B58+'Fuel Taxes'!B58</f>
        <v>1.5282806344312254E-5</v>
      </c>
      <c r="C57">
        <f>'Pretax Fuel Prices'!C58+'Fuel Taxes'!C58</f>
        <v>1.8574727009269181E-5</v>
      </c>
      <c r="D57">
        <f>'Pretax Fuel Prices'!D58+'Fuel Taxes'!D58</f>
        <v>2.811698771679742E-5</v>
      </c>
      <c r="E57">
        <f>'Pretax Fuel Prices'!E58+'Fuel Taxes'!E58</f>
        <v>2.3482206596057024E-5</v>
      </c>
      <c r="F57">
        <f>'Pretax Fuel Prices'!F58+'Fuel Taxes'!F58</f>
        <v>2.2112284001061581E-5</v>
      </c>
      <c r="G57">
        <f>'Pretax Fuel Prices'!G58+'Fuel Taxes'!G58</f>
        <v>2.0742361406066141E-5</v>
      </c>
      <c r="H57">
        <f>'Pretax Fuel Prices'!H58+'Fuel Taxes'!H58</f>
        <v>1.9372438811070702E-5</v>
      </c>
      <c r="I57">
        <f>'Pretax Fuel Prices'!I58+'Fuel Taxes'!I58</f>
        <v>1.8002516216075258E-5</v>
      </c>
      <c r="J57">
        <f>'Pretax Fuel Prices'!J58+'Fuel Taxes'!J58</f>
        <v>1.6632593621079822E-5</v>
      </c>
      <c r="K57">
        <f>'Pretax Fuel Prices'!K58+'Fuel Taxes'!K58</f>
        <v>1.6738828612850129E-5</v>
      </c>
      <c r="L57">
        <f>'Pretax Fuel Prices'!L58+'Fuel Taxes'!L58</f>
        <v>1.6714690612805844E-5</v>
      </c>
      <c r="M57">
        <f>'Pretax Fuel Prices'!M58+'Fuel Taxes'!M58</f>
        <v>1.6956507822179573E-5</v>
      </c>
      <c r="N57">
        <f>'Pretax Fuel Prices'!N58+'Fuel Taxes'!N58</f>
        <v>1.7049151208406831E-5</v>
      </c>
      <c r="O57">
        <f>'Pretax Fuel Prices'!O58+'Fuel Taxes'!O58</f>
        <v>1.7120362036675645E-5</v>
      </c>
      <c r="P57">
        <f>'Pretax Fuel Prices'!P58+'Fuel Taxes'!P58</f>
        <v>1.7163513541388343E-5</v>
      </c>
      <c r="Q57">
        <f>'Pretax Fuel Prices'!Q58+'Fuel Taxes'!Q58</f>
        <v>1.7250737570402624E-5</v>
      </c>
      <c r="R57">
        <f>'Pretax Fuel Prices'!R58+'Fuel Taxes'!R58</f>
        <v>1.7404468195158131E-5</v>
      </c>
      <c r="S57">
        <f>'Pretax Fuel Prices'!S58+'Fuel Taxes'!S58</f>
        <v>1.7595095525541568E-5</v>
      </c>
      <c r="T57">
        <f>'Pretax Fuel Prices'!T58+'Fuel Taxes'!T58</f>
        <v>1.7711154161390556E-5</v>
      </c>
      <c r="U57">
        <f>'Pretax Fuel Prices'!U58+'Fuel Taxes'!U58</f>
        <v>1.7774979039561573E-5</v>
      </c>
      <c r="V57">
        <f>'Pretax Fuel Prices'!V58+'Fuel Taxes'!V58</f>
        <v>1.7947026684990954E-5</v>
      </c>
      <c r="W57">
        <f>'Pretax Fuel Prices'!W58+'Fuel Taxes'!W58</f>
        <v>1.8043754924427055E-5</v>
      </c>
      <c r="X57">
        <f>'Pretax Fuel Prices'!X58+'Fuel Taxes'!X58</f>
        <v>1.8061655071469164E-5</v>
      </c>
      <c r="Y57">
        <f>'Pretax Fuel Prices'!Y58+'Fuel Taxes'!Y58</f>
        <v>1.8283604693611838E-5</v>
      </c>
      <c r="Z57">
        <f>'Pretax Fuel Prices'!Z58+'Fuel Taxes'!Z58</f>
        <v>1.8525795564106722E-5</v>
      </c>
      <c r="AA57">
        <f>'Pretax Fuel Prices'!AA58+'Fuel Taxes'!AA58</f>
        <v>1.8620114917902344E-5</v>
      </c>
      <c r="AB57">
        <f>'Pretax Fuel Prices'!AB58+'Fuel Taxes'!AB58</f>
        <v>1.8778630269077755E-5</v>
      </c>
      <c r="AC57">
        <f>'Pretax Fuel Prices'!AC58+'Fuel Taxes'!AC58</f>
        <v>1.8825956441237035E-5</v>
      </c>
      <c r="AD57">
        <f>'Pretax Fuel Prices'!AD58+'Fuel Taxes'!AD58</f>
        <v>1.8786832173052364E-5</v>
      </c>
      <c r="AE57">
        <f>'Pretax Fuel Prices'!AE58+'Fuel Taxes'!AE58</f>
        <v>1.8769352288858542E-5</v>
      </c>
      <c r="AF57">
        <f>'Pretax Fuel Prices'!AF58+'Fuel Taxes'!AF58</f>
        <v>1.8708099826025018E-5</v>
      </c>
    </row>
    <row r="58" spans="1:32" x14ac:dyDescent="0.25">
      <c r="A58" t="s">
        <v>57</v>
      </c>
      <c r="B58">
        <f>'Pretax Fuel Prices'!B59+'Fuel Taxes'!B59</f>
        <v>1.5247166822584436E-5</v>
      </c>
      <c r="C58">
        <f>'Pretax Fuel Prices'!C59+'Fuel Taxes'!C59</f>
        <v>1.8572102140122025E-5</v>
      </c>
      <c r="D58">
        <f>'Pretax Fuel Prices'!D59+'Fuel Taxes'!D59</f>
        <v>2.8104242953520353E-5</v>
      </c>
      <c r="E58">
        <f>'Pretax Fuel Prices'!E59+'Fuel Taxes'!E59</f>
        <v>2.320032318695358E-5</v>
      </c>
      <c r="F58">
        <f>'Pretax Fuel Prices'!F59+'Fuel Taxes'!F59</f>
        <v>2.183112057687806E-5</v>
      </c>
      <c r="G58">
        <f>'Pretax Fuel Prices'!G59+'Fuel Taxes'!G59</f>
        <v>2.0461917966802543E-5</v>
      </c>
      <c r="H58">
        <f>'Pretax Fuel Prices'!H59+'Fuel Taxes'!H59</f>
        <v>1.9092715356727027E-5</v>
      </c>
      <c r="I58">
        <f>'Pretax Fuel Prices'!I59+'Fuel Taxes'!I59</f>
        <v>1.7723512746651513E-5</v>
      </c>
      <c r="J58">
        <f>'Pretax Fuel Prices'!J59+'Fuel Taxes'!J59</f>
        <v>1.6354310136576E-5</v>
      </c>
      <c r="K58">
        <f>'Pretax Fuel Prices'!K59+'Fuel Taxes'!K59</f>
        <v>1.6474487517799017E-5</v>
      </c>
      <c r="L58">
        <f>'Pretax Fuel Prices'!L59+'Fuel Taxes'!L59</f>
        <v>1.6483343540561685E-5</v>
      </c>
      <c r="M58">
        <f>'Pretax Fuel Prices'!M59+'Fuel Taxes'!M59</f>
        <v>1.6642882435125657E-5</v>
      </c>
      <c r="N58">
        <f>'Pretax Fuel Prices'!N59+'Fuel Taxes'!N59</f>
        <v>1.6754396131623427E-5</v>
      </c>
      <c r="O58">
        <f>'Pretax Fuel Prices'!O59+'Fuel Taxes'!O59</f>
        <v>1.6788142560497471E-5</v>
      </c>
      <c r="P58">
        <f>'Pretax Fuel Prices'!P59+'Fuel Taxes'!P59</f>
        <v>1.6892527887352839E-5</v>
      </c>
      <c r="Q58">
        <f>'Pretax Fuel Prices'!Q59+'Fuel Taxes'!Q59</f>
        <v>1.6975768739653835E-5</v>
      </c>
      <c r="R58">
        <f>'Pretax Fuel Prices'!R59+'Fuel Taxes'!R59</f>
        <v>1.7133124131475806E-5</v>
      </c>
      <c r="S58">
        <f>'Pretax Fuel Prices'!S59+'Fuel Taxes'!S59</f>
        <v>1.7308600816717715E-5</v>
      </c>
      <c r="T58">
        <f>'Pretax Fuel Prices'!T59+'Fuel Taxes'!T59</f>
        <v>1.739333122967856E-5</v>
      </c>
      <c r="U58">
        <f>'Pretax Fuel Prices'!U59+'Fuel Taxes'!U59</f>
        <v>1.745080471609403E-5</v>
      </c>
      <c r="V58">
        <f>'Pretax Fuel Prices'!V59+'Fuel Taxes'!V59</f>
        <v>1.7633828339218363E-5</v>
      </c>
      <c r="W58">
        <f>'Pretax Fuel Prices'!W59+'Fuel Taxes'!W59</f>
        <v>1.7710261102837947E-5</v>
      </c>
      <c r="X58">
        <f>'Pretax Fuel Prices'!X59+'Fuel Taxes'!X59</f>
        <v>1.7740713213256076E-5</v>
      </c>
      <c r="Y58">
        <f>'Pretax Fuel Prices'!Y59+'Fuel Taxes'!Y59</f>
        <v>1.7937585175074729E-5</v>
      </c>
      <c r="Z58">
        <f>'Pretax Fuel Prices'!Z59+'Fuel Taxes'!Z59</f>
        <v>1.8166239514794989E-5</v>
      </c>
      <c r="AA58">
        <f>'Pretax Fuel Prices'!AA59+'Fuel Taxes'!AA59</f>
        <v>1.8253263580034687E-5</v>
      </c>
      <c r="AB58">
        <f>'Pretax Fuel Prices'!AB59+'Fuel Taxes'!AB59</f>
        <v>1.8457437608842304E-5</v>
      </c>
      <c r="AC58">
        <f>'Pretax Fuel Prices'!AC59+'Fuel Taxes'!AC59</f>
        <v>1.8514284090201863E-5</v>
      </c>
      <c r="AD58">
        <f>'Pretax Fuel Prices'!AD59+'Fuel Taxes'!AD59</f>
        <v>1.8469704030726647E-5</v>
      </c>
      <c r="AE58">
        <f>'Pretax Fuel Prices'!AE59+'Fuel Taxes'!AE59</f>
        <v>1.8464265185518687E-5</v>
      </c>
      <c r="AF58">
        <f>'Pretax Fuel Prices'!AF59+'Fuel Taxes'!AF59</f>
        <v>1.8417556698069895E-5</v>
      </c>
    </row>
    <row r="59" spans="1:32" x14ac:dyDescent="0.25">
      <c r="A59" t="s">
        <v>58</v>
      </c>
      <c r="B59">
        <f>'Pretax Fuel Prices'!B60+'Fuel Taxes'!B60</f>
        <v>0</v>
      </c>
      <c r="C59">
        <f>'Pretax Fuel Prices'!C60+'Fuel Taxes'!C60</f>
        <v>0</v>
      </c>
      <c r="D59">
        <f>'Pretax Fuel Prices'!D60+'Fuel Taxes'!D60</f>
        <v>0</v>
      </c>
      <c r="E59">
        <f>'Pretax Fuel Prices'!E60+'Fuel Taxes'!E60</f>
        <v>0</v>
      </c>
      <c r="F59">
        <f>'Pretax Fuel Prices'!F60+'Fuel Taxes'!F60</f>
        <v>0</v>
      </c>
      <c r="G59">
        <f>'Pretax Fuel Prices'!G60+'Fuel Taxes'!G60</f>
        <v>0</v>
      </c>
      <c r="H59">
        <f>'Pretax Fuel Prices'!H60+'Fuel Taxes'!H60</f>
        <v>0</v>
      </c>
      <c r="I59">
        <f>'Pretax Fuel Prices'!I60+'Fuel Taxes'!I60</f>
        <v>0</v>
      </c>
      <c r="J59">
        <f>'Pretax Fuel Prices'!J60+'Fuel Taxes'!J60</f>
        <v>0</v>
      </c>
      <c r="K59">
        <f>'Pretax Fuel Prices'!K60+'Fuel Taxes'!K60</f>
        <v>0</v>
      </c>
      <c r="L59">
        <f>'Pretax Fuel Prices'!L60+'Fuel Taxes'!L60</f>
        <v>0</v>
      </c>
      <c r="M59">
        <f>'Pretax Fuel Prices'!M60+'Fuel Taxes'!M60</f>
        <v>0</v>
      </c>
      <c r="N59">
        <f>'Pretax Fuel Prices'!N60+'Fuel Taxes'!N60</f>
        <v>0</v>
      </c>
      <c r="O59">
        <f>'Pretax Fuel Prices'!O60+'Fuel Taxes'!O60</f>
        <v>0</v>
      </c>
      <c r="P59">
        <f>'Pretax Fuel Prices'!P60+'Fuel Taxes'!P60</f>
        <v>0</v>
      </c>
      <c r="Q59">
        <f>'Pretax Fuel Prices'!Q60+'Fuel Taxes'!Q60</f>
        <v>0</v>
      </c>
      <c r="R59">
        <f>'Pretax Fuel Prices'!R60+'Fuel Taxes'!R60</f>
        <v>0</v>
      </c>
      <c r="S59">
        <f>'Pretax Fuel Prices'!S60+'Fuel Taxes'!S60</f>
        <v>0</v>
      </c>
      <c r="T59">
        <f>'Pretax Fuel Prices'!T60+'Fuel Taxes'!T60</f>
        <v>0</v>
      </c>
      <c r="U59">
        <f>'Pretax Fuel Prices'!U60+'Fuel Taxes'!U60</f>
        <v>0</v>
      </c>
      <c r="V59">
        <f>'Pretax Fuel Prices'!V60+'Fuel Taxes'!V60</f>
        <v>0</v>
      </c>
      <c r="W59">
        <f>'Pretax Fuel Prices'!W60+'Fuel Taxes'!W60</f>
        <v>0</v>
      </c>
      <c r="X59">
        <f>'Pretax Fuel Prices'!X60+'Fuel Taxes'!X60</f>
        <v>0</v>
      </c>
      <c r="Y59">
        <f>'Pretax Fuel Prices'!Y60+'Fuel Taxes'!Y60</f>
        <v>0</v>
      </c>
      <c r="Z59">
        <f>'Pretax Fuel Prices'!Z60+'Fuel Taxes'!Z60</f>
        <v>0</v>
      </c>
      <c r="AA59">
        <f>'Pretax Fuel Prices'!AA60+'Fuel Taxes'!AA60</f>
        <v>0</v>
      </c>
      <c r="AB59">
        <f>'Pretax Fuel Prices'!AB60+'Fuel Taxes'!AB60</f>
        <v>0</v>
      </c>
      <c r="AC59">
        <f>'Pretax Fuel Prices'!AC60+'Fuel Taxes'!AC60</f>
        <v>0</v>
      </c>
      <c r="AD59">
        <f>'Pretax Fuel Prices'!AD60+'Fuel Taxes'!AD60</f>
        <v>0</v>
      </c>
      <c r="AE59">
        <f>'Pretax Fuel Prices'!AE60+'Fuel Taxes'!AE60</f>
        <v>0</v>
      </c>
      <c r="AF59">
        <f>'Pretax Fuel Prices'!AF60+'Fuel Taxes'!AF60</f>
        <v>0</v>
      </c>
    </row>
    <row r="60" spans="1:32" x14ac:dyDescent="0.25">
      <c r="A60" t="s">
        <v>59</v>
      </c>
      <c r="B60">
        <f>'Pretax Fuel Prices'!B61+'Fuel Taxes'!B61</f>
        <v>1.5282806344312254E-5</v>
      </c>
      <c r="C60">
        <f>'Pretax Fuel Prices'!C61+'Fuel Taxes'!C61</f>
        <v>1.8574727009269181E-5</v>
      </c>
      <c r="D60">
        <f>'Pretax Fuel Prices'!D61+'Fuel Taxes'!D61</f>
        <v>2.811698771679742E-5</v>
      </c>
      <c r="E60">
        <f>'Pretax Fuel Prices'!E61+'Fuel Taxes'!E61</f>
        <v>2.3482206596057024E-5</v>
      </c>
      <c r="F60">
        <f>'Pretax Fuel Prices'!F61+'Fuel Taxes'!F61</f>
        <v>2.2112284001061581E-5</v>
      </c>
      <c r="G60">
        <f>'Pretax Fuel Prices'!G61+'Fuel Taxes'!G61</f>
        <v>2.0742361406066141E-5</v>
      </c>
      <c r="H60">
        <f>'Pretax Fuel Prices'!H61+'Fuel Taxes'!H61</f>
        <v>1.9372438811070702E-5</v>
      </c>
      <c r="I60">
        <f>'Pretax Fuel Prices'!I61+'Fuel Taxes'!I61</f>
        <v>1.8002516216075258E-5</v>
      </c>
      <c r="J60">
        <f>'Pretax Fuel Prices'!J61+'Fuel Taxes'!J61</f>
        <v>1.6632593621079822E-5</v>
      </c>
      <c r="K60">
        <f>'Pretax Fuel Prices'!K61+'Fuel Taxes'!K61</f>
        <v>1.6738828612850129E-5</v>
      </c>
      <c r="L60">
        <f>'Pretax Fuel Prices'!L61+'Fuel Taxes'!L61</f>
        <v>1.6714690612805844E-5</v>
      </c>
      <c r="M60">
        <f>'Pretax Fuel Prices'!M61+'Fuel Taxes'!M61</f>
        <v>1.6956507822179573E-5</v>
      </c>
      <c r="N60">
        <f>'Pretax Fuel Prices'!N61+'Fuel Taxes'!N61</f>
        <v>1.7049151208406831E-5</v>
      </c>
      <c r="O60">
        <f>'Pretax Fuel Prices'!O61+'Fuel Taxes'!O61</f>
        <v>1.7120362036675645E-5</v>
      </c>
      <c r="P60">
        <f>'Pretax Fuel Prices'!P61+'Fuel Taxes'!P61</f>
        <v>1.7163513541388343E-5</v>
      </c>
      <c r="Q60">
        <f>'Pretax Fuel Prices'!Q61+'Fuel Taxes'!Q61</f>
        <v>1.7250737570402624E-5</v>
      </c>
      <c r="R60">
        <f>'Pretax Fuel Prices'!R61+'Fuel Taxes'!R61</f>
        <v>1.7404468195158131E-5</v>
      </c>
      <c r="S60">
        <f>'Pretax Fuel Prices'!S61+'Fuel Taxes'!S61</f>
        <v>1.7595095525541568E-5</v>
      </c>
      <c r="T60">
        <f>'Pretax Fuel Prices'!T61+'Fuel Taxes'!T61</f>
        <v>1.7711154161390556E-5</v>
      </c>
      <c r="U60">
        <f>'Pretax Fuel Prices'!U61+'Fuel Taxes'!U61</f>
        <v>1.7774979039561573E-5</v>
      </c>
      <c r="V60">
        <f>'Pretax Fuel Prices'!V61+'Fuel Taxes'!V61</f>
        <v>1.7947026684990954E-5</v>
      </c>
      <c r="W60">
        <f>'Pretax Fuel Prices'!W61+'Fuel Taxes'!W61</f>
        <v>1.8043754924427055E-5</v>
      </c>
      <c r="X60">
        <f>'Pretax Fuel Prices'!X61+'Fuel Taxes'!X61</f>
        <v>1.8061655071469164E-5</v>
      </c>
      <c r="Y60">
        <f>'Pretax Fuel Prices'!Y61+'Fuel Taxes'!Y61</f>
        <v>1.8283604693611838E-5</v>
      </c>
      <c r="Z60">
        <f>'Pretax Fuel Prices'!Z61+'Fuel Taxes'!Z61</f>
        <v>1.8525795564106722E-5</v>
      </c>
      <c r="AA60">
        <f>'Pretax Fuel Prices'!AA61+'Fuel Taxes'!AA61</f>
        <v>1.8620114917902344E-5</v>
      </c>
      <c r="AB60">
        <f>'Pretax Fuel Prices'!AB61+'Fuel Taxes'!AB61</f>
        <v>1.8778630269077755E-5</v>
      </c>
      <c r="AC60">
        <f>'Pretax Fuel Prices'!AC61+'Fuel Taxes'!AC61</f>
        <v>1.8825956441237035E-5</v>
      </c>
      <c r="AD60">
        <f>'Pretax Fuel Prices'!AD61+'Fuel Taxes'!AD61</f>
        <v>1.8786832173052364E-5</v>
      </c>
      <c r="AE60">
        <f>'Pretax Fuel Prices'!AE61+'Fuel Taxes'!AE61</f>
        <v>1.8769352288858542E-5</v>
      </c>
      <c r="AF60">
        <f>'Pretax Fuel Prices'!AF61+'Fuel Taxes'!AF61</f>
        <v>1.8708099826025018E-5</v>
      </c>
    </row>
    <row r="61" spans="1:32" s="4" customFormat="1" x14ac:dyDescent="0.25">
      <c r="A61" s="6" t="s">
        <v>36</v>
      </c>
    </row>
    <row r="62" spans="1:32" x14ac:dyDescent="0.25">
      <c r="A62" t="s">
        <v>30</v>
      </c>
      <c r="B62" s="7">
        <f>'Fuel Taxes'!B$1</f>
        <v>2020</v>
      </c>
      <c r="C62" s="7">
        <f>'Fuel Taxes'!C$1</f>
        <v>2021</v>
      </c>
      <c r="D62" s="7">
        <f>'Fuel Taxes'!D$1</f>
        <v>2022</v>
      </c>
      <c r="E62" s="7">
        <f>'Fuel Taxes'!E$1</f>
        <v>2023</v>
      </c>
      <c r="F62" s="7">
        <f>'Fuel Taxes'!F$1</f>
        <v>2024</v>
      </c>
      <c r="G62" s="7">
        <f>'Fuel Taxes'!G$1</f>
        <v>2025</v>
      </c>
      <c r="H62" s="7">
        <f>'Fuel Taxes'!H$1</f>
        <v>2026</v>
      </c>
      <c r="I62" s="7">
        <f>'Fuel Taxes'!I$1</f>
        <v>2027</v>
      </c>
      <c r="J62" s="7">
        <f>'Fuel Taxes'!J$1</f>
        <v>2028</v>
      </c>
      <c r="K62" s="7">
        <f>'Fuel Taxes'!K$1</f>
        <v>2029</v>
      </c>
      <c r="L62" s="7">
        <f>'Fuel Taxes'!L$1</f>
        <v>2030</v>
      </c>
      <c r="M62" s="7">
        <f>'Fuel Taxes'!M$1</f>
        <v>2031</v>
      </c>
      <c r="N62" s="7">
        <f>'Fuel Taxes'!N$1</f>
        <v>2032</v>
      </c>
      <c r="O62" s="7">
        <f>'Fuel Taxes'!O$1</f>
        <v>2033</v>
      </c>
      <c r="P62" s="7">
        <f>'Fuel Taxes'!P$1</f>
        <v>2034</v>
      </c>
      <c r="Q62" s="7">
        <f>'Fuel Taxes'!Q$1</f>
        <v>2035</v>
      </c>
      <c r="R62" s="7">
        <f>'Fuel Taxes'!R$1</f>
        <v>2036</v>
      </c>
      <c r="S62" s="7">
        <f>'Fuel Taxes'!S$1</f>
        <v>2037</v>
      </c>
      <c r="T62" s="7">
        <f>'Fuel Taxes'!T$1</f>
        <v>2038</v>
      </c>
      <c r="U62" s="7">
        <f>'Fuel Taxes'!U$1</f>
        <v>2039</v>
      </c>
      <c r="V62" s="7">
        <f>'Fuel Taxes'!V$1</f>
        <v>2040</v>
      </c>
      <c r="W62" s="7">
        <f>'Fuel Taxes'!W$1</f>
        <v>2041</v>
      </c>
      <c r="X62" s="7">
        <f>'Fuel Taxes'!X$1</f>
        <v>2042</v>
      </c>
      <c r="Y62" s="7">
        <f>'Fuel Taxes'!Y$1</f>
        <v>2043</v>
      </c>
      <c r="Z62" s="7">
        <f>'Fuel Taxes'!Z$1</f>
        <v>2044</v>
      </c>
      <c r="AA62" s="7">
        <f>'Fuel Taxes'!AA$1</f>
        <v>2045</v>
      </c>
      <c r="AB62" s="7">
        <f>'Fuel Taxes'!AB$1</f>
        <v>2046</v>
      </c>
      <c r="AC62" s="7">
        <f>'Fuel Taxes'!AC$1</f>
        <v>2047</v>
      </c>
      <c r="AD62" s="7">
        <f>'Fuel Taxes'!AD$1</f>
        <v>2048</v>
      </c>
      <c r="AE62" s="7">
        <f>'Fuel Taxes'!AE$1</f>
        <v>2049</v>
      </c>
      <c r="AF62" s="7">
        <f>'Fuel Taxes'!AF$1</f>
        <v>2050</v>
      </c>
    </row>
    <row r="63" spans="1:32" x14ac:dyDescent="0.25">
      <c r="A63" t="s">
        <v>52</v>
      </c>
      <c r="B63">
        <f>'Pretax Fuel Prices'!B64+'Fuel Taxes'!B64</f>
        <v>1.8683067927182387E-5</v>
      </c>
      <c r="C63">
        <f>'Pretax Fuel Prices'!C64+'Fuel Taxes'!C64</f>
        <v>2.1771832936111003E-5</v>
      </c>
      <c r="D63">
        <f>'Pretax Fuel Prices'!D64+'Fuel Taxes'!D64</f>
        <v>2.1766218698948214E-5</v>
      </c>
      <c r="E63">
        <f>'Pretax Fuel Prices'!E64+'Fuel Taxes'!E64</f>
        <v>2.1891300276473406E-5</v>
      </c>
      <c r="F63">
        <f>'Pretax Fuel Prices'!F64+'Fuel Taxes'!F64</f>
        <v>2.1701422810244675E-5</v>
      </c>
      <c r="G63">
        <f>'Pretax Fuel Prices'!G64+'Fuel Taxes'!G64</f>
        <v>2.1442532422659328E-5</v>
      </c>
      <c r="H63">
        <f>'Pretax Fuel Prices'!H64+'Fuel Taxes'!H64</f>
        <v>2.1682626215433441E-5</v>
      </c>
      <c r="I63">
        <f>'Pretax Fuel Prices'!I64+'Fuel Taxes'!I64</f>
        <v>2.1961814620747681E-5</v>
      </c>
      <c r="J63">
        <f>'Pretax Fuel Prices'!J64+'Fuel Taxes'!J64</f>
        <v>2.2232382553847283E-5</v>
      </c>
      <c r="K63">
        <f>'Pretax Fuel Prices'!K64+'Fuel Taxes'!K64</f>
        <v>2.2428669875816509E-5</v>
      </c>
      <c r="L63">
        <f>'Pretax Fuel Prices'!L64+'Fuel Taxes'!L64</f>
        <v>2.3013385982617997E-5</v>
      </c>
      <c r="M63">
        <f>'Pretax Fuel Prices'!M64+'Fuel Taxes'!M64</f>
        <v>2.3637559348127096E-5</v>
      </c>
      <c r="N63">
        <f>'Pretax Fuel Prices'!N64+'Fuel Taxes'!N64</f>
        <v>2.3943622545824263E-5</v>
      </c>
      <c r="O63">
        <f>'Pretax Fuel Prices'!O64+'Fuel Taxes'!O64</f>
        <v>2.4084837641281317E-5</v>
      </c>
      <c r="P63">
        <f>'Pretax Fuel Prices'!P64+'Fuel Taxes'!P64</f>
        <v>2.448968463823301E-5</v>
      </c>
      <c r="Q63">
        <f>'Pretax Fuel Prices'!Q64+'Fuel Taxes'!Q64</f>
        <v>2.4635355706107683E-5</v>
      </c>
      <c r="R63">
        <f>'Pretax Fuel Prices'!R64+'Fuel Taxes'!R64</f>
        <v>2.4670563734605301E-5</v>
      </c>
      <c r="S63">
        <f>'Pretax Fuel Prices'!S64+'Fuel Taxes'!S64</f>
        <v>2.4784404128242974E-5</v>
      </c>
      <c r="T63">
        <f>'Pretax Fuel Prices'!T64+'Fuel Taxes'!T64</f>
        <v>2.5103267549426133E-5</v>
      </c>
      <c r="U63">
        <f>'Pretax Fuel Prices'!U64+'Fuel Taxes'!U64</f>
        <v>2.5094315781296816E-5</v>
      </c>
      <c r="V63">
        <f>'Pretax Fuel Prices'!V64+'Fuel Taxes'!V64</f>
        <v>2.5291750353057533E-5</v>
      </c>
      <c r="W63">
        <f>'Pretax Fuel Prices'!W64+'Fuel Taxes'!W64</f>
        <v>2.5473037002716156E-5</v>
      </c>
      <c r="X63">
        <f>'Pretax Fuel Prices'!X64+'Fuel Taxes'!X64</f>
        <v>2.548948741239251E-5</v>
      </c>
      <c r="Y63">
        <f>'Pretax Fuel Prices'!Y64+'Fuel Taxes'!Y64</f>
        <v>2.573788139642026E-5</v>
      </c>
      <c r="Z63">
        <f>'Pretax Fuel Prices'!Z64+'Fuel Taxes'!Z64</f>
        <v>2.5988377541993575E-5</v>
      </c>
      <c r="AA63">
        <f>'Pretax Fuel Prices'!AA64+'Fuel Taxes'!AA64</f>
        <v>2.6076020139247887E-5</v>
      </c>
      <c r="AB63">
        <f>'Pretax Fuel Prices'!AB64+'Fuel Taxes'!AB64</f>
        <v>2.6299400010761331E-5</v>
      </c>
      <c r="AC63">
        <f>'Pretax Fuel Prices'!AC64+'Fuel Taxes'!AC64</f>
        <v>2.6389554017455804E-5</v>
      </c>
      <c r="AD63">
        <f>'Pretax Fuel Prices'!AD64+'Fuel Taxes'!AD64</f>
        <v>2.632414044404177E-5</v>
      </c>
      <c r="AE63">
        <f>'Pretax Fuel Prices'!AE64+'Fuel Taxes'!AE64</f>
        <v>2.6349594307399339E-5</v>
      </c>
      <c r="AF63">
        <f>'Pretax Fuel Prices'!AF64+'Fuel Taxes'!AF64</f>
        <v>2.6346966817293421E-5</v>
      </c>
    </row>
    <row r="64" spans="1:32" x14ac:dyDescent="0.25">
      <c r="A64" t="s">
        <v>53</v>
      </c>
      <c r="B64">
        <f>'Pretax Fuel Prices'!B65+'Fuel Taxes'!B65</f>
        <v>0</v>
      </c>
      <c r="C64">
        <f>'Pretax Fuel Prices'!C65+'Fuel Taxes'!C65</f>
        <v>0</v>
      </c>
      <c r="D64">
        <f>'Pretax Fuel Prices'!D65+'Fuel Taxes'!D65</f>
        <v>0</v>
      </c>
      <c r="E64">
        <f>'Pretax Fuel Prices'!E65+'Fuel Taxes'!E65</f>
        <v>0</v>
      </c>
      <c r="F64">
        <f>'Pretax Fuel Prices'!F65+'Fuel Taxes'!F65</f>
        <v>0</v>
      </c>
      <c r="G64">
        <f>'Pretax Fuel Prices'!G65+'Fuel Taxes'!G65</f>
        <v>0</v>
      </c>
      <c r="H64">
        <f>'Pretax Fuel Prices'!H65+'Fuel Taxes'!H65</f>
        <v>0</v>
      </c>
      <c r="I64">
        <f>'Pretax Fuel Prices'!I65+'Fuel Taxes'!I65</f>
        <v>0</v>
      </c>
      <c r="J64">
        <f>'Pretax Fuel Prices'!J65+'Fuel Taxes'!J65</f>
        <v>0</v>
      </c>
      <c r="K64">
        <f>'Pretax Fuel Prices'!K65+'Fuel Taxes'!K65</f>
        <v>0</v>
      </c>
      <c r="L64">
        <f>'Pretax Fuel Prices'!L65+'Fuel Taxes'!L65</f>
        <v>0</v>
      </c>
      <c r="M64">
        <f>'Pretax Fuel Prices'!M65+'Fuel Taxes'!M65</f>
        <v>0</v>
      </c>
      <c r="N64">
        <f>'Pretax Fuel Prices'!N65+'Fuel Taxes'!N65</f>
        <v>0</v>
      </c>
      <c r="O64">
        <f>'Pretax Fuel Prices'!O65+'Fuel Taxes'!O65</f>
        <v>0</v>
      </c>
      <c r="P64">
        <f>'Pretax Fuel Prices'!P65+'Fuel Taxes'!P65</f>
        <v>0</v>
      </c>
      <c r="Q64">
        <f>'Pretax Fuel Prices'!Q65+'Fuel Taxes'!Q65</f>
        <v>0</v>
      </c>
      <c r="R64">
        <f>'Pretax Fuel Prices'!R65+'Fuel Taxes'!R65</f>
        <v>0</v>
      </c>
      <c r="S64">
        <f>'Pretax Fuel Prices'!S65+'Fuel Taxes'!S65</f>
        <v>0</v>
      </c>
      <c r="T64">
        <f>'Pretax Fuel Prices'!T65+'Fuel Taxes'!T65</f>
        <v>0</v>
      </c>
      <c r="U64">
        <f>'Pretax Fuel Prices'!U65+'Fuel Taxes'!U65</f>
        <v>0</v>
      </c>
      <c r="V64">
        <f>'Pretax Fuel Prices'!V65+'Fuel Taxes'!V65</f>
        <v>0</v>
      </c>
      <c r="W64">
        <f>'Pretax Fuel Prices'!W65+'Fuel Taxes'!W65</f>
        <v>0</v>
      </c>
      <c r="X64">
        <f>'Pretax Fuel Prices'!X65+'Fuel Taxes'!X65</f>
        <v>0</v>
      </c>
      <c r="Y64">
        <f>'Pretax Fuel Prices'!Y65+'Fuel Taxes'!Y65</f>
        <v>0</v>
      </c>
      <c r="Z64">
        <f>'Pretax Fuel Prices'!Z65+'Fuel Taxes'!Z65</f>
        <v>0</v>
      </c>
      <c r="AA64">
        <f>'Pretax Fuel Prices'!AA65+'Fuel Taxes'!AA65</f>
        <v>0</v>
      </c>
      <c r="AB64">
        <f>'Pretax Fuel Prices'!AB65+'Fuel Taxes'!AB65</f>
        <v>0</v>
      </c>
      <c r="AC64">
        <f>'Pretax Fuel Prices'!AC65+'Fuel Taxes'!AC65</f>
        <v>0</v>
      </c>
      <c r="AD64">
        <f>'Pretax Fuel Prices'!AD65+'Fuel Taxes'!AD65</f>
        <v>0</v>
      </c>
      <c r="AE64">
        <f>'Pretax Fuel Prices'!AE65+'Fuel Taxes'!AE65</f>
        <v>0</v>
      </c>
      <c r="AF64">
        <f>'Pretax Fuel Prices'!AF65+'Fuel Taxes'!AF65</f>
        <v>0</v>
      </c>
    </row>
    <row r="65" spans="1:32" x14ac:dyDescent="0.25">
      <c r="A65" t="s">
        <v>54</v>
      </c>
      <c r="B65">
        <f>'Pretax Fuel Prices'!B66+'Fuel Taxes'!B66</f>
        <v>0</v>
      </c>
      <c r="C65">
        <f>'Pretax Fuel Prices'!C66+'Fuel Taxes'!C66</f>
        <v>0</v>
      </c>
      <c r="D65">
        <f>'Pretax Fuel Prices'!D66+'Fuel Taxes'!D66</f>
        <v>0</v>
      </c>
      <c r="E65">
        <f>'Pretax Fuel Prices'!E66+'Fuel Taxes'!E66</f>
        <v>0</v>
      </c>
      <c r="F65">
        <f>'Pretax Fuel Prices'!F66+'Fuel Taxes'!F66</f>
        <v>0</v>
      </c>
      <c r="G65">
        <f>'Pretax Fuel Prices'!G66+'Fuel Taxes'!G66</f>
        <v>0</v>
      </c>
      <c r="H65">
        <f>'Pretax Fuel Prices'!H66+'Fuel Taxes'!H66</f>
        <v>0</v>
      </c>
      <c r="I65">
        <f>'Pretax Fuel Prices'!I66+'Fuel Taxes'!I66</f>
        <v>0</v>
      </c>
      <c r="J65">
        <f>'Pretax Fuel Prices'!J66+'Fuel Taxes'!J66</f>
        <v>0</v>
      </c>
      <c r="K65">
        <f>'Pretax Fuel Prices'!K66+'Fuel Taxes'!K66</f>
        <v>0</v>
      </c>
      <c r="L65">
        <f>'Pretax Fuel Prices'!L66+'Fuel Taxes'!L66</f>
        <v>0</v>
      </c>
      <c r="M65">
        <f>'Pretax Fuel Prices'!M66+'Fuel Taxes'!M66</f>
        <v>0</v>
      </c>
      <c r="N65">
        <f>'Pretax Fuel Prices'!N66+'Fuel Taxes'!N66</f>
        <v>0</v>
      </c>
      <c r="O65">
        <f>'Pretax Fuel Prices'!O66+'Fuel Taxes'!O66</f>
        <v>0</v>
      </c>
      <c r="P65">
        <f>'Pretax Fuel Prices'!P66+'Fuel Taxes'!P66</f>
        <v>0</v>
      </c>
      <c r="Q65">
        <f>'Pretax Fuel Prices'!Q66+'Fuel Taxes'!Q66</f>
        <v>0</v>
      </c>
      <c r="R65">
        <f>'Pretax Fuel Prices'!R66+'Fuel Taxes'!R66</f>
        <v>0</v>
      </c>
      <c r="S65">
        <f>'Pretax Fuel Prices'!S66+'Fuel Taxes'!S66</f>
        <v>0</v>
      </c>
      <c r="T65">
        <f>'Pretax Fuel Prices'!T66+'Fuel Taxes'!T66</f>
        <v>0</v>
      </c>
      <c r="U65">
        <f>'Pretax Fuel Prices'!U66+'Fuel Taxes'!U66</f>
        <v>0</v>
      </c>
      <c r="V65">
        <f>'Pretax Fuel Prices'!V66+'Fuel Taxes'!V66</f>
        <v>0</v>
      </c>
      <c r="W65">
        <f>'Pretax Fuel Prices'!W66+'Fuel Taxes'!W66</f>
        <v>0</v>
      </c>
      <c r="X65">
        <f>'Pretax Fuel Prices'!X66+'Fuel Taxes'!X66</f>
        <v>0</v>
      </c>
      <c r="Y65">
        <f>'Pretax Fuel Prices'!Y66+'Fuel Taxes'!Y66</f>
        <v>0</v>
      </c>
      <c r="Z65">
        <f>'Pretax Fuel Prices'!Z66+'Fuel Taxes'!Z66</f>
        <v>0</v>
      </c>
      <c r="AA65">
        <f>'Pretax Fuel Prices'!AA66+'Fuel Taxes'!AA66</f>
        <v>0</v>
      </c>
      <c r="AB65">
        <f>'Pretax Fuel Prices'!AB66+'Fuel Taxes'!AB66</f>
        <v>0</v>
      </c>
      <c r="AC65">
        <f>'Pretax Fuel Prices'!AC66+'Fuel Taxes'!AC66</f>
        <v>0</v>
      </c>
      <c r="AD65">
        <f>'Pretax Fuel Prices'!AD66+'Fuel Taxes'!AD66</f>
        <v>0</v>
      </c>
      <c r="AE65">
        <f>'Pretax Fuel Prices'!AE66+'Fuel Taxes'!AE66</f>
        <v>0</v>
      </c>
      <c r="AF65">
        <f>'Pretax Fuel Prices'!AF66+'Fuel Taxes'!AF66</f>
        <v>0</v>
      </c>
    </row>
    <row r="66" spans="1:32" x14ac:dyDescent="0.25">
      <c r="A66" t="s">
        <v>55</v>
      </c>
      <c r="B66">
        <f>'Pretax Fuel Prices'!B67+'Fuel Taxes'!B67</f>
        <v>0</v>
      </c>
      <c r="C66">
        <f>'Pretax Fuel Prices'!C67+'Fuel Taxes'!C67</f>
        <v>0</v>
      </c>
      <c r="D66">
        <f>'Pretax Fuel Prices'!D67+'Fuel Taxes'!D67</f>
        <v>0</v>
      </c>
      <c r="E66">
        <f>'Pretax Fuel Prices'!E67+'Fuel Taxes'!E67</f>
        <v>0</v>
      </c>
      <c r="F66">
        <f>'Pretax Fuel Prices'!F67+'Fuel Taxes'!F67</f>
        <v>0</v>
      </c>
      <c r="G66">
        <f>'Pretax Fuel Prices'!G67+'Fuel Taxes'!G67</f>
        <v>0</v>
      </c>
      <c r="H66">
        <f>'Pretax Fuel Prices'!H67+'Fuel Taxes'!H67</f>
        <v>0</v>
      </c>
      <c r="I66">
        <f>'Pretax Fuel Prices'!I67+'Fuel Taxes'!I67</f>
        <v>0</v>
      </c>
      <c r="J66">
        <f>'Pretax Fuel Prices'!J67+'Fuel Taxes'!J67</f>
        <v>0</v>
      </c>
      <c r="K66">
        <f>'Pretax Fuel Prices'!K67+'Fuel Taxes'!K67</f>
        <v>0</v>
      </c>
      <c r="L66">
        <f>'Pretax Fuel Prices'!L67+'Fuel Taxes'!L67</f>
        <v>0</v>
      </c>
      <c r="M66">
        <f>'Pretax Fuel Prices'!M67+'Fuel Taxes'!M67</f>
        <v>0</v>
      </c>
      <c r="N66">
        <f>'Pretax Fuel Prices'!N67+'Fuel Taxes'!N67</f>
        <v>0</v>
      </c>
      <c r="O66">
        <f>'Pretax Fuel Prices'!O67+'Fuel Taxes'!O67</f>
        <v>0</v>
      </c>
      <c r="P66">
        <f>'Pretax Fuel Prices'!P67+'Fuel Taxes'!P67</f>
        <v>0</v>
      </c>
      <c r="Q66">
        <f>'Pretax Fuel Prices'!Q67+'Fuel Taxes'!Q67</f>
        <v>0</v>
      </c>
      <c r="R66">
        <f>'Pretax Fuel Prices'!R67+'Fuel Taxes'!R67</f>
        <v>0</v>
      </c>
      <c r="S66">
        <f>'Pretax Fuel Prices'!S67+'Fuel Taxes'!S67</f>
        <v>0</v>
      </c>
      <c r="T66">
        <f>'Pretax Fuel Prices'!T67+'Fuel Taxes'!T67</f>
        <v>0</v>
      </c>
      <c r="U66">
        <f>'Pretax Fuel Prices'!U67+'Fuel Taxes'!U67</f>
        <v>0</v>
      </c>
      <c r="V66">
        <f>'Pretax Fuel Prices'!V67+'Fuel Taxes'!V67</f>
        <v>0</v>
      </c>
      <c r="W66">
        <f>'Pretax Fuel Prices'!W67+'Fuel Taxes'!W67</f>
        <v>0</v>
      </c>
      <c r="X66">
        <f>'Pretax Fuel Prices'!X67+'Fuel Taxes'!X67</f>
        <v>0</v>
      </c>
      <c r="Y66">
        <f>'Pretax Fuel Prices'!Y67+'Fuel Taxes'!Y67</f>
        <v>0</v>
      </c>
      <c r="Z66">
        <f>'Pretax Fuel Prices'!Z67+'Fuel Taxes'!Z67</f>
        <v>0</v>
      </c>
      <c r="AA66">
        <f>'Pretax Fuel Prices'!AA67+'Fuel Taxes'!AA67</f>
        <v>0</v>
      </c>
      <c r="AB66">
        <f>'Pretax Fuel Prices'!AB67+'Fuel Taxes'!AB67</f>
        <v>0</v>
      </c>
      <c r="AC66">
        <f>'Pretax Fuel Prices'!AC67+'Fuel Taxes'!AC67</f>
        <v>0</v>
      </c>
      <c r="AD66">
        <f>'Pretax Fuel Prices'!AD67+'Fuel Taxes'!AD67</f>
        <v>0</v>
      </c>
      <c r="AE66">
        <f>'Pretax Fuel Prices'!AE67+'Fuel Taxes'!AE67</f>
        <v>0</v>
      </c>
      <c r="AF66">
        <f>'Pretax Fuel Prices'!AF67+'Fuel Taxes'!AF67</f>
        <v>0</v>
      </c>
    </row>
    <row r="67" spans="1:32" x14ac:dyDescent="0.25">
      <c r="A67" t="s">
        <v>56</v>
      </c>
      <c r="B67">
        <f>'Pretax Fuel Prices'!B68+'Fuel Taxes'!B68</f>
        <v>0</v>
      </c>
      <c r="C67">
        <f>'Pretax Fuel Prices'!C68+'Fuel Taxes'!C68</f>
        <v>0</v>
      </c>
      <c r="D67">
        <f>'Pretax Fuel Prices'!D68+'Fuel Taxes'!D68</f>
        <v>0</v>
      </c>
      <c r="E67">
        <f>'Pretax Fuel Prices'!E68+'Fuel Taxes'!E68</f>
        <v>0</v>
      </c>
      <c r="F67">
        <f>'Pretax Fuel Prices'!F68+'Fuel Taxes'!F68</f>
        <v>0</v>
      </c>
      <c r="G67">
        <f>'Pretax Fuel Prices'!G68+'Fuel Taxes'!G68</f>
        <v>0</v>
      </c>
      <c r="H67">
        <f>'Pretax Fuel Prices'!H68+'Fuel Taxes'!H68</f>
        <v>0</v>
      </c>
      <c r="I67">
        <f>'Pretax Fuel Prices'!I68+'Fuel Taxes'!I68</f>
        <v>0</v>
      </c>
      <c r="J67">
        <f>'Pretax Fuel Prices'!J68+'Fuel Taxes'!J68</f>
        <v>0</v>
      </c>
      <c r="K67">
        <f>'Pretax Fuel Prices'!K68+'Fuel Taxes'!K68</f>
        <v>0</v>
      </c>
      <c r="L67">
        <f>'Pretax Fuel Prices'!L68+'Fuel Taxes'!L68</f>
        <v>0</v>
      </c>
      <c r="M67">
        <f>'Pretax Fuel Prices'!M68+'Fuel Taxes'!M68</f>
        <v>0</v>
      </c>
      <c r="N67">
        <f>'Pretax Fuel Prices'!N68+'Fuel Taxes'!N68</f>
        <v>0</v>
      </c>
      <c r="O67">
        <f>'Pretax Fuel Prices'!O68+'Fuel Taxes'!O68</f>
        <v>0</v>
      </c>
      <c r="P67">
        <f>'Pretax Fuel Prices'!P68+'Fuel Taxes'!P68</f>
        <v>0</v>
      </c>
      <c r="Q67">
        <f>'Pretax Fuel Prices'!Q68+'Fuel Taxes'!Q68</f>
        <v>0</v>
      </c>
      <c r="R67">
        <f>'Pretax Fuel Prices'!R68+'Fuel Taxes'!R68</f>
        <v>0</v>
      </c>
      <c r="S67">
        <f>'Pretax Fuel Prices'!S68+'Fuel Taxes'!S68</f>
        <v>0</v>
      </c>
      <c r="T67">
        <f>'Pretax Fuel Prices'!T68+'Fuel Taxes'!T68</f>
        <v>0</v>
      </c>
      <c r="U67">
        <f>'Pretax Fuel Prices'!U68+'Fuel Taxes'!U68</f>
        <v>0</v>
      </c>
      <c r="V67">
        <f>'Pretax Fuel Prices'!V68+'Fuel Taxes'!V68</f>
        <v>0</v>
      </c>
      <c r="W67">
        <f>'Pretax Fuel Prices'!W68+'Fuel Taxes'!W68</f>
        <v>0</v>
      </c>
      <c r="X67">
        <f>'Pretax Fuel Prices'!X68+'Fuel Taxes'!X68</f>
        <v>0</v>
      </c>
      <c r="Y67">
        <f>'Pretax Fuel Prices'!Y68+'Fuel Taxes'!Y68</f>
        <v>0</v>
      </c>
      <c r="Z67">
        <f>'Pretax Fuel Prices'!Z68+'Fuel Taxes'!Z68</f>
        <v>0</v>
      </c>
      <c r="AA67">
        <f>'Pretax Fuel Prices'!AA68+'Fuel Taxes'!AA68</f>
        <v>0</v>
      </c>
      <c r="AB67">
        <f>'Pretax Fuel Prices'!AB68+'Fuel Taxes'!AB68</f>
        <v>0</v>
      </c>
      <c r="AC67">
        <f>'Pretax Fuel Prices'!AC68+'Fuel Taxes'!AC68</f>
        <v>0</v>
      </c>
      <c r="AD67">
        <f>'Pretax Fuel Prices'!AD68+'Fuel Taxes'!AD68</f>
        <v>0</v>
      </c>
      <c r="AE67">
        <f>'Pretax Fuel Prices'!AE68+'Fuel Taxes'!AE68</f>
        <v>0</v>
      </c>
      <c r="AF67">
        <f>'Pretax Fuel Prices'!AF68+'Fuel Taxes'!AF68</f>
        <v>0</v>
      </c>
    </row>
    <row r="68" spans="1:32" x14ac:dyDescent="0.25">
      <c r="A68" t="s">
        <v>57</v>
      </c>
      <c r="B68">
        <f>'Pretax Fuel Prices'!B69+'Fuel Taxes'!B69</f>
        <v>0</v>
      </c>
      <c r="C68">
        <f>'Pretax Fuel Prices'!C69+'Fuel Taxes'!C69</f>
        <v>0</v>
      </c>
      <c r="D68">
        <f>'Pretax Fuel Prices'!D69+'Fuel Taxes'!D69</f>
        <v>0</v>
      </c>
      <c r="E68">
        <f>'Pretax Fuel Prices'!E69+'Fuel Taxes'!E69</f>
        <v>0</v>
      </c>
      <c r="F68">
        <f>'Pretax Fuel Prices'!F69+'Fuel Taxes'!F69</f>
        <v>0</v>
      </c>
      <c r="G68">
        <f>'Pretax Fuel Prices'!G69+'Fuel Taxes'!G69</f>
        <v>0</v>
      </c>
      <c r="H68">
        <f>'Pretax Fuel Prices'!H69+'Fuel Taxes'!H69</f>
        <v>0</v>
      </c>
      <c r="I68">
        <f>'Pretax Fuel Prices'!I69+'Fuel Taxes'!I69</f>
        <v>0</v>
      </c>
      <c r="J68">
        <f>'Pretax Fuel Prices'!J69+'Fuel Taxes'!J69</f>
        <v>0</v>
      </c>
      <c r="K68">
        <f>'Pretax Fuel Prices'!K69+'Fuel Taxes'!K69</f>
        <v>0</v>
      </c>
      <c r="L68">
        <f>'Pretax Fuel Prices'!L69+'Fuel Taxes'!L69</f>
        <v>0</v>
      </c>
      <c r="M68">
        <f>'Pretax Fuel Prices'!M69+'Fuel Taxes'!M69</f>
        <v>0</v>
      </c>
      <c r="N68">
        <f>'Pretax Fuel Prices'!N69+'Fuel Taxes'!N69</f>
        <v>0</v>
      </c>
      <c r="O68">
        <f>'Pretax Fuel Prices'!O69+'Fuel Taxes'!O69</f>
        <v>0</v>
      </c>
      <c r="P68">
        <f>'Pretax Fuel Prices'!P69+'Fuel Taxes'!P69</f>
        <v>0</v>
      </c>
      <c r="Q68">
        <f>'Pretax Fuel Prices'!Q69+'Fuel Taxes'!Q69</f>
        <v>0</v>
      </c>
      <c r="R68">
        <f>'Pretax Fuel Prices'!R69+'Fuel Taxes'!R69</f>
        <v>0</v>
      </c>
      <c r="S68">
        <f>'Pretax Fuel Prices'!S69+'Fuel Taxes'!S69</f>
        <v>0</v>
      </c>
      <c r="T68">
        <f>'Pretax Fuel Prices'!T69+'Fuel Taxes'!T69</f>
        <v>0</v>
      </c>
      <c r="U68">
        <f>'Pretax Fuel Prices'!U69+'Fuel Taxes'!U69</f>
        <v>0</v>
      </c>
      <c r="V68">
        <f>'Pretax Fuel Prices'!V69+'Fuel Taxes'!V69</f>
        <v>0</v>
      </c>
      <c r="W68">
        <f>'Pretax Fuel Prices'!W69+'Fuel Taxes'!W69</f>
        <v>0</v>
      </c>
      <c r="X68">
        <f>'Pretax Fuel Prices'!X69+'Fuel Taxes'!X69</f>
        <v>0</v>
      </c>
      <c r="Y68">
        <f>'Pretax Fuel Prices'!Y69+'Fuel Taxes'!Y69</f>
        <v>0</v>
      </c>
      <c r="Z68">
        <f>'Pretax Fuel Prices'!Z69+'Fuel Taxes'!Z69</f>
        <v>0</v>
      </c>
      <c r="AA68">
        <f>'Pretax Fuel Prices'!AA69+'Fuel Taxes'!AA69</f>
        <v>0</v>
      </c>
      <c r="AB68">
        <f>'Pretax Fuel Prices'!AB69+'Fuel Taxes'!AB69</f>
        <v>0</v>
      </c>
      <c r="AC68">
        <f>'Pretax Fuel Prices'!AC69+'Fuel Taxes'!AC69</f>
        <v>0</v>
      </c>
      <c r="AD68">
        <f>'Pretax Fuel Prices'!AD69+'Fuel Taxes'!AD69</f>
        <v>0</v>
      </c>
      <c r="AE68">
        <f>'Pretax Fuel Prices'!AE69+'Fuel Taxes'!AE69</f>
        <v>0</v>
      </c>
      <c r="AF68">
        <f>'Pretax Fuel Prices'!AF69+'Fuel Taxes'!AF69</f>
        <v>0</v>
      </c>
    </row>
    <row r="69" spans="1:32" x14ac:dyDescent="0.25">
      <c r="A69" t="s">
        <v>58</v>
      </c>
      <c r="B69">
        <f>'Pretax Fuel Prices'!B70+'Fuel Taxes'!B70</f>
        <v>0</v>
      </c>
      <c r="C69">
        <f>'Pretax Fuel Prices'!C70+'Fuel Taxes'!C70</f>
        <v>0</v>
      </c>
      <c r="D69">
        <f>'Pretax Fuel Prices'!D70+'Fuel Taxes'!D70</f>
        <v>0</v>
      </c>
      <c r="E69">
        <f>'Pretax Fuel Prices'!E70+'Fuel Taxes'!E70</f>
        <v>0</v>
      </c>
      <c r="F69">
        <f>'Pretax Fuel Prices'!F70+'Fuel Taxes'!F70</f>
        <v>0</v>
      </c>
      <c r="G69">
        <f>'Pretax Fuel Prices'!G70+'Fuel Taxes'!G70</f>
        <v>0</v>
      </c>
      <c r="H69">
        <f>'Pretax Fuel Prices'!H70+'Fuel Taxes'!H70</f>
        <v>0</v>
      </c>
      <c r="I69">
        <f>'Pretax Fuel Prices'!I70+'Fuel Taxes'!I70</f>
        <v>0</v>
      </c>
      <c r="J69">
        <f>'Pretax Fuel Prices'!J70+'Fuel Taxes'!J70</f>
        <v>0</v>
      </c>
      <c r="K69">
        <f>'Pretax Fuel Prices'!K70+'Fuel Taxes'!K70</f>
        <v>0</v>
      </c>
      <c r="L69">
        <f>'Pretax Fuel Prices'!L70+'Fuel Taxes'!L70</f>
        <v>0</v>
      </c>
      <c r="M69">
        <f>'Pretax Fuel Prices'!M70+'Fuel Taxes'!M70</f>
        <v>0</v>
      </c>
      <c r="N69">
        <f>'Pretax Fuel Prices'!N70+'Fuel Taxes'!N70</f>
        <v>0</v>
      </c>
      <c r="O69">
        <f>'Pretax Fuel Prices'!O70+'Fuel Taxes'!O70</f>
        <v>0</v>
      </c>
      <c r="P69">
        <f>'Pretax Fuel Prices'!P70+'Fuel Taxes'!P70</f>
        <v>0</v>
      </c>
      <c r="Q69">
        <f>'Pretax Fuel Prices'!Q70+'Fuel Taxes'!Q70</f>
        <v>0</v>
      </c>
      <c r="R69">
        <f>'Pretax Fuel Prices'!R70+'Fuel Taxes'!R70</f>
        <v>0</v>
      </c>
      <c r="S69">
        <f>'Pretax Fuel Prices'!S70+'Fuel Taxes'!S70</f>
        <v>0</v>
      </c>
      <c r="T69">
        <f>'Pretax Fuel Prices'!T70+'Fuel Taxes'!T70</f>
        <v>0</v>
      </c>
      <c r="U69">
        <f>'Pretax Fuel Prices'!U70+'Fuel Taxes'!U70</f>
        <v>0</v>
      </c>
      <c r="V69">
        <f>'Pretax Fuel Prices'!V70+'Fuel Taxes'!V70</f>
        <v>0</v>
      </c>
      <c r="W69">
        <f>'Pretax Fuel Prices'!W70+'Fuel Taxes'!W70</f>
        <v>0</v>
      </c>
      <c r="X69">
        <f>'Pretax Fuel Prices'!X70+'Fuel Taxes'!X70</f>
        <v>0</v>
      </c>
      <c r="Y69">
        <f>'Pretax Fuel Prices'!Y70+'Fuel Taxes'!Y70</f>
        <v>0</v>
      </c>
      <c r="Z69">
        <f>'Pretax Fuel Prices'!Z70+'Fuel Taxes'!Z70</f>
        <v>0</v>
      </c>
      <c r="AA69">
        <f>'Pretax Fuel Prices'!AA70+'Fuel Taxes'!AA70</f>
        <v>0</v>
      </c>
      <c r="AB69">
        <f>'Pretax Fuel Prices'!AB70+'Fuel Taxes'!AB70</f>
        <v>0</v>
      </c>
      <c r="AC69">
        <f>'Pretax Fuel Prices'!AC70+'Fuel Taxes'!AC70</f>
        <v>0</v>
      </c>
      <c r="AD69">
        <f>'Pretax Fuel Prices'!AD70+'Fuel Taxes'!AD70</f>
        <v>0</v>
      </c>
      <c r="AE69">
        <f>'Pretax Fuel Prices'!AE70+'Fuel Taxes'!AE70</f>
        <v>0</v>
      </c>
      <c r="AF69">
        <f>'Pretax Fuel Prices'!AF70+'Fuel Taxes'!AF70</f>
        <v>0</v>
      </c>
    </row>
    <row r="70" spans="1:32" x14ac:dyDescent="0.25">
      <c r="A70" t="s">
        <v>59</v>
      </c>
      <c r="B70">
        <f>'Pretax Fuel Prices'!B71+'Fuel Taxes'!B71</f>
        <v>0</v>
      </c>
      <c r="C70">
        <f>'Pretax Fuel Prices'!C71+'Fuel Taxes'!C71</f>
        <v>0</v>
      </c>
      <c r="D70">
        <f>'Pretax Fuel Prices'!D71+'Fuel Taxes'!D71</f>
        <v>0</v>
      </c>
      <c r="E70">
        <f>'Pretax Fuel Prices'!E71+'Fuel Taxes'!E71</f>
        <v>0</v>
      </c>
      <c r="F70">
        <f>'Pretax Fuel Prices'!F71+'Fuel Taxes'!F71</f>
        <v>0</v>
      </c>
      <c r="G70">
        <f>'Pretax Fuel Prices'!G71+'Fuel Taxes'!G71</f>
        <v>0</v>
      </c>
      <c r="H70">
        <f>'Pretax Fuel Prices'!H71+'Fuel Taxes'!H71</f>
        <v>0</v>
      </c>
      <c r="I70">
        <f>'Pretax Fuel Prices'!I71+'Fuel Taxes'!I71</f>
        <v>0</v>
      </c>
      <c r="J70">
        <f>'Pretax Fuel Prices'!J71+'Fuel Taxes'!J71</f>
        <v>0</v>
      </c>
      <c r="K70">
        <f>'Pretax Fuel Prices'!K71+'Fuel Taxes'!K71</f>
        <v>0</v>
      </c>
      <c r="L70">
        <f>'Pretax Fuel Prices'!L71+'Fuel Taxes'!L71</f>
        <v>0</v>
      </c>
      <c r="M70">
        <f>'Pretax Fuel Prices'!M71+'Fuel Taxes'!M71</f>
        <v>0</v>
      </c>
      <c r="N70">
        <f>'Pretax Fuel Prices'!N71+'Fuel Taxes'!N71</f>
        <v>0</v>
      </c>
      <c r="O70">
        <f>'Pretax Fuel Prices'!O71+'Fuel Taxes'!O71</f>
        <v>0</v>
      </c>
      <c r="P70">
        <f>'Pretax Fuel Prices'!P71+'Fuel Taxes'!P71</f>
        <v>0</v>
      </c>
      <c r="Q70">
        <f>'Pretax Fuel Prices'!Q71+'Fuel Taxes'!Q71</f>
        <v>0</v>
      </c>
      <c r="R70">
        <f>'Pretax Fuel Prices'!R71+'Fuel Taxes'!R71</f>
        <v>0</v>
      </c>
      <c r="S70">
        <f>'Pretax Fuel Prices'!S71+'Fuel Taxes'!S71</f>
        <v>0</v>
      </c>
      <c r="T70">
        <f>'Pretax Fuel Prices'!T71+'Fuel Taxes'!T71</f>
        <v>0</v>
      </c>
      <c r="U70">
        <f>'Pretax Fuel Prices'!U71+'Fuel Taxes'!U71</f>
        <v>0</v>
      </c>
      <c r="V70">
        <f>'Pretax Fuel Prices'!V71+'Fuel Taxes'!V71</f>
        <v>0</v>
      </c>
      <c r="W70">
        <f>'Pretax Fuel Prices'!W71+'Fuel Taxes'!W71</f>
        <v>0</v>
      </c>
      <c r="X70">
        <f>'Pretax Fuel Prices'!X71+'Fuel Taxes'!X71</f>
        <v>0</v>
      </c>
      <c r="Y70">
        <f>'Pretax Fuel Prices'!Y71+'Fuel Taxes'!Y71</f>
        <v>0</v>
      </c>
      <c r="Z70">
        <f>'Pretax Fuel Prices'!Z71+'Fuel Taxes'!Z71</f>
        <v>0</v>
      </c>
      <c r="AA70">
        <f>'Pretax Fuel Prices'!AA71+'Fuel Taxes'!AA71</f>
        <v>0</v>
      </c>
      <c r="AB70">
        <f>'Pretax Fuel Prices'!AB71+'Fuel Taxes'!AB71</f>
        <v>0</v>
      </c>
      <c r="AC70">
        <f>'Pretax Fuel Prices'!AC71+'Fuel Taxes'!AC71</f>
        <v>0</v>
      </c>
      <c r="AD70">
        <f>'Pretax Fuel Prices'!AD71+'Fuel Taxes'!AD71</f>
        <v>0</v>
      </c>
      <c r="AE70">
        <f>'Pretax Fuel Prices'!AE71+'Fuel Taxes'!AE71</f>
        <v>0</v>
      </c>
      <c r="AF70">
        <f>'Pretax Fuel Prices'!AF71+'Fuel Taxes'!AF71</f>
        <v>0</v>
      </c>
    </row>
    <row r="71" spans="1:32" s="4" customFormat="1" x14ac:dyDescent="0.25">
      <c r="A71" s="6" t="s">
        <v>37</v>
      </c>
    </row>
    <row r="72" spans="1:32" x14ac:dyDescent="0.25">
      <c r="A72" t="s">
        <v>30</v>
      </c>
      <c r="B72" s="7">
        <f>'Fuel Taxes'!B$1</f>
        <v>2020</v>
      </c>
      <c r="C72" s="7">
        <f>'Fuel Taxes'!C$1</f>
        <v>2021</v>
      </c>
      <c r="D72" s="7">
        <f>'Fuel Taxes'!D$1</f>
        <v>2022</v>
      </c>
      <c r="E72" s="7">
        <f>'Fuel Taxes'!E$1</f>
        <v>2023</v>
      </c>
      <c r="F72" s="7">
        <f>'Fuel Taxes'!F$1</f>
        <v>2024</v>
      </c>
      <c r="G72" s="7">
        <f>'Fuel Taxes'!G$1</f>
        <v>2025</v>
      </c>
      <c r="H72" s="7">
        <f>'Fuel Taxes'!H$1</f>
        <v>2026</v>
      </c>
      <c r="I72" s="7">
        <f>'Fuel Taxes'!I$1</f>
        <v>2027</v>
      </c>
      <c r="J72" s="7">
        <f>'Fuel Taxes'!J$1</f>
        <v>2028</v>
      </c>
      <c r="K72" s="7">
        <f>'Fuel Taxes'!K$1</f>
        <v>2029</v>
      </c>
      <c r="L72" s="7">
        <f>'Fuel Taxes'!L$1</f>
        <v>2030</v>
      </c>
      <c r="M72" s="7">
        <f>'Fuel Taxes'!M$1</f>
        <v>2031</v>
      </c>
      <c r="N72" s="7">
        <f>'Fuel Taxes'!N$1</f>
        <v>2032</v>
      </c>
      <c r="O72" s="7">
        <f>'Fuel Taxes'!O$1</f>
        <v>2033</v>
      </c>
      <c r="P72" s="7">
        <f>'Fuel Taxes'!P$1</f>
        <v>2034</v>
      </c>
      <c r="Q72" s="7">
        <f>'Fuel Taxes'!Q$1</f>
        <v>2035</v>
      </c>
      <c r="R72" s="7">
        <f>'Fuel Taxes'!R$1</f>
        <v>2036</v>
      </c>
      <c r="S72" s="7">
        <f>'Fuel Taxes'!S$1</f>
        <v>2037</v>
      </c>
      <c r="T72" s="7">
        <f>'Fuel Taxes'!T$1</f>
        <v>2038</v>
      </c>
      <c r="U72" s="7">
        <f>'Fuel Taxes'!U$1</f>
        <v>2039</v>
      </c>
      <c r="V72" s="7">
        <f>'Fuel Taxes'!V$1</f>
        <v>2040</v>
      </c>
      <c r="W72" s="7">
        <f>'Fuel Taxes'!W$1</f>
        <v>2041</v>
      </c>
      <c r="X72" s="7">
        <f>'Fuel Taxes'!X$1</f>
        <v>2042</v>
      </c>
      <c r="Y72" s="7">
        <f>'Fuel Taxes'!Y$1</f>
        <v>2043</v>
      </c>
      <c r="Z72" s="7">
        <f>'Fuel Taxes'!Z$1</f>
        <v>2044</v>
      </c>
      <c r="AA72" s="7">
        <f>'Fuel Taxes'!AA$1</f>
        <v>2045</v>
      </c>
      <c r="AB72" s="7">
        <f>'Fuel Taxes'!AB$1</f>
        <v>2046</v>
      </c>
      <c r="AC72" s="7">
        <f>'Fuel Taxes'!AC$1</f>
        <v>2047</v>
      </c>
      <c r="AD72" s="7">
        <f>'Fuel Taxes'!AD$1</f>
        <v>2048</v>
      </c>
      <c r="AE72" s="7">
        <f>'Fuel Taxes'!AE$1</f>
        <v>2049</v>
      </c>
      <c r="AF72" s="7">
        <f>'Fuel Taxes'!AF$1</f>
        <v>2050</v>
      </c>
    </row>
    <row r="73" spans="1:32" x14ac:dyDescent="0.25">
      <c r="A73" t="s">
        <v>52</v>
      </c>
      <c r="B73">
        <f>'Pretax Fuel Prices'!B74+'Fuel Taxes'!B74</f>
        <v>1.7893022244031361E-5</v>
      </c>
      <c r="C73">
        <f>'Pretax Fuel Prices'!C74+'Fuel Taxes'!C74</f>
        <v>1.7838467224886931E-5</v>
      </c>
      <c r="D73">
        <f>'Pretax Fuel Prices'!D74+'Fuel Taxes'!D74</f>
        <v>1.8592756624233452E-5</v>
      </c>
      <c r="E73">
        <f>'Pretax Fuel Prices'!E74+'Fuel Taxes'!E74</f>
        <v>2.0132598274999515E-5</v>
      </c>
      <c r="F73">
        <f>'Pretax Fuel Prices'!F74+'Fuel Taxes'!F74</f>
        <v>2.0790355015795156E-5</v>
      </c>
      <c r="G73">
        <f>'Pretax Fuel Prices'!G74+'Fuel Taxes'!G74</f>
        <v>2.1267480317610929E-5</v>
      </c>
      <c r="H73">
        <f>'Pretax Fuel Prices'!H74+'Fuel Taxes'!H74</f>
        <v>2.1682402061765727E-5</v>
      </c>
      <c r="I73">
        <f>'Pretax Fuel Prices'!I74+'Fuel Taxes'!I74</f>
        <v>2.2055863553293128E-5</v>
      </c>
      <c r="J73">
        <f>'Pretax Fuel Prices'!J74+'Fuel Taxes'!J74</f>
        <v>2.2424448918478448E-5</v>
      </c>
      <c r="K73">
        <f>'Pretax Fuel Prices'!K74+'Fuel Taxes'!K74</f>
        <v>2.2643761364500973E-5</v>
      </c>
      <c r="L73">
        <f>'Pretax Fuel Prices'!L74+'Fuel Taxes'!L74</f>
        <v>2.3377231315099294E-5</v>
      </c>
      <c r="M73">
        <f>'Pretax Fuel Prices'!M74+'Fuel Taxes'!M74</f>
        <v>2.3623573803621412E-5</v>
      </c>
      <c r="N73">
        <f>'Pretax Fuel Prices'!N74+'Fuel Taxes'!N74</f>
        <v>2.391132187748864E-5</v>
      </c>
      <c r="O73">
        <f>'Pretax Fuel Prices'!O74+'Fuel Taxes'!O74</f>
        <v>2.4041885895481124E-5</v>
      </c>
      <c r="P73">
        <f>'Pretax Fuel Prices'!P74+'Fuel Taxes'!P74</f>
        <v>2.4140783890193536E-5</v>
      </c>
      <c r="Q73">
        <f>'Pretax Fuel Prices'!Q74+'Fuel Taxes'!Q74</f>
        <v>2.4267696914688657E-5</v>
      </c>
      <c r="R73">
        <f>'Pretax Fuel Prices'!R74+'Fuel Taxes'!R74</f>
        <v>2.4319657190326138E-5</v>
      </c>
      <c r="S73">
        <f>'Pretax Fuel Prices'!S74+'Fuel Taxes'!S74</f>
        <v>2.4577208424125468E-5</v>
      </c>
      <c r="T73">
        <f>'Pretax Fuel Prices'!T74+'Fuel Taxes'!T74</f>
        <v>2.4764312078850658E-5</v>
      </c>
      <c r="U73">
        <f>'Pretax Fuel Prices'!U74+'Fuel Taxes'!U74</f>
        <v>2.4762620321703351E-5</v>
      </c>
      <c r="V73">
        <f>'Pretax Fuel Prices'!V74+'Fuel Taxes'!V74</f>
        <v>2.5138435434974626E-5</v>
      </c>
      <c r="W73">
        <f>'Pretax Fuel Prices'!W74+'Fuel Taxes'!W74</f>
        <v>2.5362116382574878E-5</v>
      </c>
      <c r="X73">
        <f>'Pretax Fuel Prices'!X74+'Fuel Taxes'!X74</f>
        <v>2.5496620349699816E-5</v>
      </c>
      <c r="Y73">
        <f>'Pretax Fuel Prices'!Y74+'Fuel Taxes'!Y74</f>
        <v>2.5735920520818198E-5</v>
      </c>
      <c r="Z73">
        <f>'Pretax Fuel Prices'!Z74+'Fuel Taxes'!Z74</f>
        <v>2.5791717268232321E-5</v>
      </c>
      <c r="AA73">
        <f>'Pretax Fuel Prices'!AA74+'Fuel Taxes'!AA74</f>
        <v>2.5749312052582061E-5</v>
      </c>
      <c r="AB73">
        <f>'Pretax Fuel Prices'!AB74+'Fuel Taxes'!AB74</f>
        <v>2.6045766867359177E-5</v>
      </c>
      <c r="AC73">
        <f>'Pretax Fuel Prices'!AC74+'Fuel Taxes'!AC74</f>
        <v>2.615305433750376E-5</v>
      </c>
      <c r="AD73">
        <f>'Pretax Fuel Prices'!AD74+'Fuel Taxes'!AD74</f>
        <v>2.6165674670106414E-5</v>
      </c>
      <c r="AE73">
        <f>'Pretax Fuel Prices'!AE74+'Fuel Taxes'!AE74</f>
        <v>2.6285600044480114E-5</v>
      </c>
      <c r="AF73">
        <f>'Pretax Fuel Prices'!AF74+'Fuel Taxes'!AF74</f>
        <v>2.625935584416377E-5</v>
      </c>
    </row>
    <row r="74" spans="1:32" x14ac:dyDescent="0.25">
      <c r="A74" t="s">
        <v>53</v>
      </c>
      <c r="B74">
        <f>'Pretax Fuel Prices'!B75+'Fuel Taxes'!B75</f>
        <v>0</v>
      </c>
      <c r="C74">
        <f>'Pretax Fuel Prices'!C75+'Fuel Taxes'!C75</f>
        <v>0</v>
      </c>
      <c r="D74">
        <f>'Pretax Fuel Prices'!D75+'Fuel Taxes'!D75</f>
        <v>0</v>
      </c>
      <c r="E74">
        <f>'Pretax Fuel Prices'!E75+'Fuel Taxes'!E75</f>
        <v>0</v>
      </c>
      <c r="F74">
        <f>'Pretax Fuel Prices'!F75+'Fuel Taxes'!F75</f>
        <v>0</v>
      </c>
      <c r="G74">
        <f>'Pretax Fuel Prices'!G75+'Fuel Taxes'!G75</f>
        <v>0</v>
      </c>
      <c r="H74">
        <f>'Pretax Fuel Prices'!H75+'Fuel Taxes'!H75</f>
        <v>0</v>
      </c>
      <c r="I74">
        <f>'Pretax Fuel Prices'!I75+'Fuel Taxes'!I75</f>
        <v>0</v>
      </c>
      <c r="J74">
        <f>'Pretax Fuel Prices'!J75+'Fuel Taxes'!J75</f>
        <v>0</v>
      </c>
      <c r="K74">
        <f>'Pretax Fuel Prices'!K75+'Fuel Taxes'!K75</f>
        <v>0</v>
      </c>
      <c r="L74">
        <f>'Pretax Fuel Prices'!L75+'Fuel Taxes'!L75</f>
        <v>0</v>
      </c>
      <c r="M74">
        <f>'Pretax Fuel Prices'!M75+'Fuel Taxes'!M75</f>
        <v>0</v>
      </c>
      <c r="N74">
        <f>'Pretax Fuel Prices'!N75+'Fuel Taxes'!N75</f>
        <v>0</v>
      </c>
      <c r="O74">
        <f>'Pretax Fuel Prices'!O75+'Fuel Taxes'!O75</f>
        <v>0</v>
      </c>
      <c r="P74">
        <f>'Pretax Fuel Prices'!P75+'Fuel Taxes'!P75</f>
        <v>0</v>
      </c>
      <c r="Q74">
        <f>'Pretax Fuel Prices'!Q75+'Fuel Taxes'!Q75</f>
        <v>0</v>
      </c>
      <c r="R74">
        <f>'Pretax Fuel Prices'!R75+'Fuel Taxes'!R75</f>
        <v>0</v>
      </c>
      <c r="S74">
        <f>'Pretax Fuel Prices'!S75+'Fuel Taxes'!S75</f>
        <v>0</v>
      </c>
      <c r="T74">
        <f>'Pretax Fuel Prices'!T75+'Fuel Taxes'!T75</f>
        <v>0</v>
      </c>
      <c r="U74">
        <f>'Pretax Fuel Prices'!U75+'Fuel Taxes'!U75</f>
        <v>0</v>
      </c>
      <c r="V74">
        <f>'Pretax Fuel Prices'!V75+'Fuel Taxes'!V75</f>
        <v>0</v>
      </c>
      <c r="W74">
        <f>'Pretax Fuel Prices'!W75+'Fuel Taxes'!W75</f>
        <v>0</v>
      </c>
      <c r="X74">
        <f>'Pretax Fuel Prices'!X75+'Fuel Taxes'!X75</f>
        <v>0</v>
      </c>
      <c r="Y74">
        <f>'Pretax Fuel Prices'!Y75+'Fuel Taxes'!Y75</f>
        <v>0</v>
      </c>
      <c r="Z74">
        <f>'Pretax Fuel Prices'!Z75+'Fuel Taxes'!Z75</f>
        <v>0</v>
      </c>
      <c r="AA74">
        <f>'Pretax Fuel Prices'!AA75+'Fuel Taxes'!AA75</f>
        <v>0</v>
      </c>
      <c r="AB74">
        <f>'Pretax Fuel Prices'!AB75+'Fuel Taxes'!AB75</f>
        <v>0</v>
      </c>
      <c r="AC74">
        <f>'Pretax Fuel Prices'!AC75+'Fuel Taxes'!AC75</f>
        <v>0</v>
      </c>
      <c r="AD74">
        <f>'Pretax Fuel Prices'!AD75+'Fuel Taxes'!AD75</f>
        <v>0</v>
      </c>
      <c r="AE74">
        <f>'Pretax Fuel Prices'!AE75+'Fuel Taxes'!AE75</f>
        <v>0</v>
      </c>
      <c r="AF74">
        <f>'Pretax Fuel Prices'!AF75+'Fuel Taxes'!AF75</f>
        <v>0</v>
      </c>
    </row>
    <row r="75" spans="1:32" x14ac:dyDescent="0.25">
      <c r="A75" t="s">
        <v>54</v>
      </c>
      <c r="B75">
        <f>'Pretax Fuel Prices'!B76+'Fuel Taxes'!B76</f>
        <v>0</v>
      </c>
      <c r="C75">
        <f>'Pretax Fuel Prices'!C76+'Fuel Taxes'!C76</f>
        <v>0</v>
      </c>
      <c r="D75">
        <f>'Pretax Fuel Prices'!D76+'Fuel Taxes'!D76</f>
        <v>0</v>
      </c>
      <c r="E75">
        <f>'Pretax Fuel Prices'!E76+'Fuel Taxes'!E76</f>
        <v>0</v>
      </c>
      <c r="F75">
        <f>'Pretax Fuel Prices'!F76+'Fuel Taxes'!F76</f>
        <v>0</v>
      </c>
      <c r="G75">
        <f>'Pretax Fuel Prices'!G76+'Fuel Taxes'!G76</f>
        <v>0</v>
      </c>
      <c r="H75">
        <f>'Pretax Fuel Prices'!H76+'Fuel Taxes'!H76</f>
        <v>0</v>
      </c>
      <c r="I75">
        <f>'Pretax Fuel Prices'!I76+'Fuel Taxes'!I76</f>
        <v>0</v>
      </c>
      <c r="J75">
        <f>'Pretax Fuel Prices'!J76+'Fuel Taxes'!J76</f>
        <v>0</v>
      </c>
      <c r="K75">
        <f>'Pretax Fuel Prices'!K76+'Fuel Taxes'!K76</f>
        <v>0</v>
      </c>
      <c r="L75">
        <f>'Pretax Fuel Prices'!L76+'Fuel Taxes'!L76</f>
        <v>0</v>
      </c>
      <c r="M75">
        <f>'Pretax Fuel Prices'!M76+'Fuel Taxes'!M76</f>
        <v>0</v>
      </c>
      <c r="N75">
        <f>'Pretax Fuel Prices'!N76+'Fuel Taxes'!N76</f>
        <v>0</v>
      </c>
      <c r="O75">
        <f>'Pretax Fuel Prices'!O76+'Fuel Taxes'!O76</f>
        <v>0</v>
      </c>
      <c r="P75">
        <f>'Pretax Fuel Prices'!P76+'Fuel Taxes'!P76</f>
        <v>0</v>
      </c>
      <c r="Q75">
        <f>'Pretax Fuel Prices'!Q76+'Fuel Taxes'!Q76</f>
        <v>0</v>
      </c>
      <c r="R75">
        <f>'Pretax Fuel Prices'!R76+'Fuel Taxes'!R76</f>
        <v>0</v>
      </c>
      <c r="S75">
        <f>'Pretax Fuel Prices'!S76+'Fuel Taxes'!S76</f>
        <v>0</v>
      </c>
      <c r="T75">
        <f>'Pretax Fuel Prices'!T76+'Fuel Taxes'!T76</f>
        <v>0</v>
      </c>
      <c r="U75">
        <f>'Pretax Fuel Prices'!U76+'Fuel Taxes'!U76</f>
        <v>0</v>
      </c>
      <c r="V75">
        <f>'Pretax Fuel Prices'!V76+'Fuel Taxes'!V76</f>
        <v>0</v>
      </c>
      <c r="W75">
        <f>'Pretax Fuel Prices'!W76+'Fuel Taxes'!W76</f>
        <v>0</v>
      </c>
      <c r="X75">
        <f>'Pretax Fuel Prices'!X76+'Fuel Taxes'!X76</f>
        <v>0</v>
      </c>
      <c r="Y75">
        <f>'Pretax Fuel Prices'!Y76+'Fuel Taxes'!Y76</f>
        <v>0</v>
      </c>
      <c r="Z75">
        <f>'Pretax Fuel Prices'!Z76+'Fuel Taxes'!Z76</f>
        <v>0</v>
      </c>
      <c r="AA75">
        <f>'Pretax Fuel Prices'!AA76+'Fuel Taxes'!AA76</f>
        <v>0</v>
      </c>
      <c r="AB75">
        <f>'Pretax Fuel Prices'!AB76+'Fuel Taxes'!AB76</f>
        <v>0</v>
      </c>
      <c r="AC75">
        <f>'Pretax Fuel Prices'!AC76+'Fuel Taxes'!AC76</f>
        <v>0</v>
      </c>
      <c r="AD75">
        <f>'Pretax Fuel Prices'!AD76+'Fuel Taxes'!AD76</f>
        <v>0</v>
      </c>
      <c r="AE75">
        <f>'Pretax Fuel Prices'!AE76+'Fuel Taxes'!AE76</f>
        <v>0</v>
      </c>
      <c r="AF75">
        <f>'Pretax Fuel Prices'!AF76+'Fuel Taxes'!AF76</f>
        <v>0</v>
      </c>
    </row>
    <row r="76" spans="1:32" x14ac:dyDescent="0.25">
      <c r="A76" t="s">
        <v>55</v>
      </c>
      <c r="B76">
        <f>'Pretax Fuel Prices'!B77+'Fuel Taxes'!B77</f>
        <v>0</v>
      </c>
      <c r="C76">
        <f>'Pretax Fuel Prices'!C77+'Fuel Taxes'!C77</f>
        <v>0</v>
      </c>
      <c r="D76">
        <f>'Pretax Fuel Prices'!D77+'Fuel Taxes'!D77</f>
        <v>0</v>
      </c>
      <c r="E76">
        <f>'Pretax Fuel Prices'!E77+'Fuel Taxes'!E77</f>
        <v>0</v>
      </c>
      <c r="F76">
        <f>'Pretax Fuel Prices'!F77+'Fuel Taxes'!F77</f>
        <v>0</v>
      </c>
      <c r="G76">
        <f>'Pretax Fuel Prices'!G77+'Fuel Taxes'!G77</f>
        <v>0</v>
      </c>
      <c r="H76">
        <f>'Pretax Fuel Prices'!H77+'Fuel Taxes'!H77</f>
        <v>0</v>
      </c>
      <c r="I76">
        <f>'Pretax Fuel Prices'!I77+'Fuel Taxes'!I77</f>
        <v>0</v>
      </c>
      <c r="J76">
        <f>'Pretax Fuel Prices'!J77+'Fuel Taxes'!J77</f>
        <v>0</v>
      </c>
      <c r="K76">
        <f>'Pretax Fuel Prices'!K77+'Fuel Taxes'!K77</f>
        <v>0</v>
      </c>
      <c r="L76">
        <f>'Pretax Fuel Prices'!L77+'Fuel Taxes'!L77</f>
        <v>0</v>
      </c>
      <c r="M76">
        <f>'Pretax Fuel Prices'!M77+'Fuel Taxes'!M77</f>
        <v>0</v>
      </c>
      <c r="N76">
        <f>'Pretax Fuel Prices'!N77+'Fuel Taxes'!N77</f>
        <v>0</v>
      </c>
      <c r="O76">
        <f>'Pretax Fuel Prices'!O77+'Fuel Taxes'!O77</f>
        <v>0</v>
      </c>
      <c r="P76">
        <f>'Pretax Fuel Prices'!P77+'Fuel Taxes'!P77</f>
        <v>0</v>
      </c>
      <c r="Q76">
        <f>'Pretax Fuel Prices'!Q77+'Fuel Taxes'!Q77</f>
        <v>0</v>
      </c>
      <c r="R76">
        <f>'Pretax Fuel Prices'!R77+'Fuel Taxes'!R77</f>
        <v>0</v>
      </c>
      <c r="S76">
        <f>'Pretax Fuel Prices'!S77+'Fuel Taxes'!S77</f>
        <v>0</v>
      </c>
      <c r="T76">
        <f>'Pretax Fuel Prices'!T77+'Fuel Taxes'!T77</f>
        <v>0</v>
      </c>
      <c r="U76">
        <f>'Pretax Fuel Prices'!U77+'Fuel Taxes'!U77</f>
        <v>0</v>
      </c>
      <c r="V76">
        <f>'Pretax Fuel Prices'!V77+'Fuel Taxes'!V77</f>
        <v>0</v>
      </c>
      <c r="W76">
        <f>'Pretax Fuel Prices'!W77+'Fuel Taxes'!W77</f>
        <v>0</v>
      </c>
      <c r="X76">
        <f>'Pretax Fuel Prices'!X77+'Fuel Taxes'!X77</f>
        <v>0</v>
      </c>
      <c r="Y76">
        <f>'Pretax Fuel Prices'!Y77+'Fuel Taxes'!Y77</f>
        <v>0</v>
      </c>
      <c r="Z76">
        <f>'Pretax Fuel Prices'!Z77+'Fuel Taxes'!Z77</f>
        <v>0</v>
      </c>
      <c r="AA76">
        <f>'Pretax Fuel Prices'!AA77+'Fuel Taxes'!AA77</f>
        <v>0</v>
      </c>
      <c r="AB76">
        <f>'Pretax Fuel Prices'!AB77+'Fuel Taxes'!AB77</f>
        <v>0</v>
      </c>
      <c r="AC76">
        <f>'Pretax Fuel Prices'!AC77+'Fuel Taxes'!AC77</f>
        <v>0</v>
      </c>
      <c r="AD76">
        <f>'Pretax Fuel Prices'!AD77+'Fuel Taxes'!AD77</f>
        <v>0</v>
      </c>
      <c r="AE76">
        <f>'Pretax Fuel Prices'!AE77+'Fuel Taxes'!AE77</f>
        <v>0</v>
      </c>
      <c r="AF76">
        <f>'Pretax Fuel Prices'!AF77+'Fuel Taxes'!AF77</f>
        <v>0</v>
      </c>
    </row>
    <row r="77" spans="1:32" x14ac:dyDescent="0.25">
      <c r="A77" t="s">
        <v>56</v>
      </c>
      <c r="B77">
        <f>'Pretax Fuel Prices'!B78+'Fuel Taxes'!B78</f>
        <v>0</v>
      </c>
      <c r="C77">
        <f>'Pretax Fuel Prices'!C78+'Fuel Taxes'!C78</f>
        <v>0</v>
      </c>
      <c r="D77">
        <f>'Pretax Fuel Prices'!D78+'Fuel Taxes'!D78</f>
        <v>0</v>
      </c>
      <c r="E77">
        <f>'Pretax Fuel Prices'!E78+'Fuel Taxes'!E78</f>
        <v>0</v>
      </c>
      <c r="F77">
        <f>'Pretax Fuel Prices'!F78+'Fuel Taxes'!F78</f>
        <v>0</v>
      </c>
      <c r="G77">
        <f>'Pretax Fuel Prices'!G78+'Fuel Taxes'!G78</f>
        <v>0</v>
      </c>
      <c r="H77">
        <f>'Pretax Fuel Prices'!H78+'Fuel Taxes'!H78</f>
        <v>0</v>
      </c>
      <c r="I77">
        <f>'Pretax Fuel Prices'!I78+'Fuel Taxes'!I78</f>
        <v>0</v>
      </c>
      <c r="J77">
        <f>'Pretax Fuel Prices'!J78+'Fuel Taxes'!J78</f>
        <v>0</v>
      </c>
      <c r="K77">
        <f>'Pretax Fuel Prices'!K78+'Fuel Taxes'!K78</f>
        <v>0</v>
      </c>
      <c r="L77">
        <f>'Pretax Fuel Prices'!L78+'Fuel Taxes'!L78</f>
        <v>0</v>
      </c>
      <c r="M77">
        <f>'Pretax Fuel Prices'!M78+'Fuel Taxes'!M78</f>
        <v>0</v>
      </c>
      <c r="N77">
        <f>'Pretax Fuel Prices'!N78+'Fuel Taxes'!N78</f>
        <v>0</v>
      </c>
      <c r="O77">
        <f>'Pretax Fuel Prices'!O78+'Fuel Taxes'!O78</f>
        <v>0</v>
      </c>
      <c r="P77">
        <f>'Pretax Fuel Prices'!P78+'Fuel Taxes'!P78</f>
        <v>0</v>
      </c>
      <c r="Q77">
        <f>'Pretax Fuel Prices'!Q78+'Fuel Taxes'!Q78</f>
        <v>0</v>
      </c>
      <c r="R77">
        <f>'Pretax Fuel Prices'!R78+'Fuel Taxes'!R78</f>
        <v>0</v>
      </c>
      <c r="S77">
        <f>'Pretax Fuel Prices'!S78+'Fuel Taxes'!S78</f>
        <v>0</v>
      </c>
      <c r="T77">
        <f>'Pretax Fuel Prices'!T78+'Fuel Taxes'!T78</f>
        <v>0</v>
      </c>
      <c r="U77">
        <f>'Pretax Fuel Prices'!U78+'Fuel Taxes'!U78</f>
        <v>0</v>
      </c>
      <c r="V77">
        <f>'Pretax Fuel Prices'!V78+'Fuel Taxes'!V78</f>
        <v>0</v>
      </c>
      <c r="W77">
        <f>'Pretax Fuel Prices'!W78+'Fuel Taxes'!W78</f>
        <v>0</v>
      </c>
      <c r="X77">
        <f>'Pretax Fuel Prices'!X78+'Fuel Taxes'!X78</f>
        <v>0</v>
      </c>
      <c r="Y77">
        <f>'Pretax Fuel Prices'!Y78+'Fuel Taxes'!Y78</f>
        <v>0</v>
      </c>
      <c r="Z77">
        <f>'Pretax Fuel Prices'!Z78+'Fuel Taxes'!Z78</f>
        <v>0</v>
      </c>
      <c r="AA77">
        <f>'Pretax Fuel Prices'!AA78+'Fuel Taxes'!AA78</f>
        <v>0</v>
      </c>
      <c r="AB77">
        <f>'Pretax Fuel Prices'!AB78+'Fuel Taxes'!AB78</f>
        <v>0</v>
      </c>
      <c r="AC77">
        <f>'Pretax Fuel Prices'!AC78+'Fuel Taxes'!AC78</f>
        <v>0</v>
      </c>
      <c r="AD77">
        <f>'Pretax Fuel Prices'!AD78+'Fuel Taxes'!AD78</f>
        <v>0</v>
      </c>
      <c r="AE77">
        <f>'Pretax Fuel Prices'!AE78+'Fuel Taxes'!AE78</f>
        <v>0</v>
      </c>
      <c r="AF77">
        <f>'Pretax Fuel Prices'!AF78+'Fuel Taxes'!AF78</f>
        <v>0</v>
      </c>
    </row>
    <row r="78" spans="1:32" x14ac:dyDescent="0.25">
      <c r="A78" t="s">
        <v>57</v>
      </c>
      <c r="B78">
        <f>'Pretax Fuel Prices'!B79+'Fuel Taxes'!B79</f>
        <v>0</v>
      </c>
      <c r="C78">
        <f>'Pretax Fuel Prices'!C79+'Fuel Taxes'!C79</f>
        <v>0</v>
      </c>
      <c r="D78">
        <f>'Pretax Fuel Prices'!D79+'Fuel Taxes'!D79</f>
        <v>0</v>
      </c>
      <c r="E78">
        <f>'Pretax Fuel Prices'!E79+'Fuel Taxes'!E79</f>
        <v>0</v>
      </c>
      <c r="F78">
        <f>'Pretax Fuel Prices'!F79+'Fuel Taxes'!F79</f>
        <v>0</v>
      </c>
      <c r="G78">
        <f>'Pretax Fuel Prices'!G79+'Fuel Taxes'!G79</f>
        <v>0</v>
      </c>
      <c r="H78">
        <f>'Pretax Fuel Prices'!H79+'Fuel Taxes'!H79</f>
        <v>0</v>
      </c>
      <c r="I78">
        <f>'Pretax Fuel Prices'!I79+'Fuel Taxes'!I79</f>
        <v>0</v>
      </c>
      <c r="J78">
        <f>'Pretax Fuel Prices'!J79+'Fuel Taxes'!J79</f>
        <v>0</v>
      </c>
      <c r="K78">
        <f>'Pretax Fuel Prices'!K79+'Fuel Taxes'!K79</f>
        <v>0</v>
      </c>
      <c r="L78">
        <f>'Pretax Fuel Prices'!L79+'Fuel Taxes'!L79</f>
        <v>0</v>
      </c>
      <c r="M78">
        <f>'Pretax Fuel Prices'!M79+'Fuel Taxes'!M79</f>
        <v>0</v>
      </c>
      <c r="N78">
        <f>'Pretax Fuel Prices'!N79+'Fuel Taxes'!N79</f>
        <v>0</v>
      </c>
      <c r="O78">
        <f>'Pretax Fuel Prices'!O79+'Fuel Taxes'!O79</f>
        <v>0</v>
      </c>
      <c r="P78">
        <f>'Pretax Fuel Prices'!P79+'Fuel Taxes'!P79</f>
        <v>0</v>
      </c>
      <c r="Q78">
        <f>'Pretax Fuel Prices'!Q79+'Fuel Taxes'!Q79</f>
        <v>0</v>
      </c>
      <c r="R78">
        <f>'Pretax Fuel Prices'!R79+'Fuel Taxes'!R79</f>
        <v>0</v>
      </c>
      <c r="S78">
        <f>'Pretax Fuel Prices'!S79+'Fuel Taxes'!S79</f>
        <v>0</v>
      </c>
      <c r="T78">
        <f>'Pretax Fuel Prices'!T79+'Fuel Taxes'!T79</f>
        <v>0</v>
      </c>
      <c r="U78">
        <f>'Pretax Fuel Prices'!U79+'Fuel Taxes'!U79</f>
        <v>0</v>
      </c>
      <c r="V78">
        <f>'Pretax Fuel Prices'!V79+'Fuel Taxes'!V79</f>
        <v>0</v>
      </c>
      <c r="W78">
        <f>'Pretax Fuel Prices'!W79+'Fuel Taxes'!W79</f>
        <v>0</v>
      </c>
      <c r="X78">
        <f>'Pretax Fuel Prices'!X79+'Fuel Taxes'!X79</f>
        <v>0</v>
      </c>
      <c r="Y78">
        <f>'Pretax Fuel Prices'!Y79+'Fuel Taxes'!Y79</f>
        <v>0</v>
      </c>
      <c r="Z78">
        <f>'Pretax Fuel Prices'!Z79+'Fuel Taxes'!Z79</f>
        <v>0</v>
      </c>
      <c r="AA78">
        <f>'Pretax Fuel Prices'!AA79+'Fuel Taxes'!AA79</f>
        <v>0</v>
      </c>
      <c r="AB78">
        <f>'Pretax Fuel Prices'!AB79+'Fuel Taxes'!AB79</f>
        <v>0</v>
      </c>
      <c r="AC78">
        <f>'Pretax Fuel Prices'!AC79+'Fuel Taxes'!AC79</f>
        <v>0</v>
      </c>
      <c r="AD78">
        <f>'Pretax Fuel Prices'!AD79+'Fuel Taxes'!AD79</f>
        <v>0</v>
      </c>
      <c r="AE78">
        <f>'Pretax Fuel Prices'!AE79+'Fuel Taxes'!AE79</f>
        <v>0</v>
      </c>
      <c r="AF78">
        <f>'Pretax Fuel Prices'!AF79+'Fuel Taxes'!AF79</f>
        <v>0</v>
      </c>
    </row>
    <row r="79" spans="1:32" x14ac:dyDescent="0.25">
      <c r="A79" t="s">
        <v>58</v>
      </c>
      <c r="B79">
        <f>'Pretax Fuel Prices'!B80+'Fuel Taxes'!B80</f>
        <v>0</v>
      </c>
      <c r="C79">
        <f>'Pretax Fuel Prices'!C80+'Fuel Taxes'!C80</f>
        <v>0</v>
      </c>
      <c r="D79">
        <f>'Pretax Fuel Prices'!D80+'Fuel Taxes'!D80</f>
        <v>0</v>
      </c>
      <c r="E79">
        <f>'Pretax Fuel Prices'!E80+'Fuel Taxes'!E80</f>
        <v>0</v>
      </c>
      <c r="F79">
        <f>'Pretax Fuel Prices'!F80+'Fuel Taxes'!F80</f>
        <v>0</v>
      </c>
      <c r="G79">
        <f>'Pretax Fuel Prices'!G80+'Fuel Taxes'!G80</f>
        <v>0</v>
      </c>
      <c r="H79">
        <f>'Pretax Fuel Prices'!H80+'Fuel Taxes'!H80</f>
        <v>0</v>
      </c>
      <c r="I79">
        <f>'Pretax Fuel Prices'!I80+'Fuel Taxes'!I80</f>
        <v>0</v>
      </c>
      <c r="J79">
        <f>'Pretax Fuel Prices'!J80+'Fuel Taxes'!J80</f>
        <v>0</v>
      </c>
      <c r="K79">
        <f>'Pretax Fuel Prices'!K80+'Fuel Taxes'!K80</f>
        <v>0</v>
      </c>
      <c r="L79">
        <f>'Pretax Fuel Prices'!L80+'Fuel Taxes'!L80</f>
        <v>0</v>
      </c>
      <c r="M79">
        <f>'Pretax Fuel Prices'!M80+'Fuel Taxes'!M80</f>
        <v>0</v>
      </c>
      <c r="N79">
        <f>'Pretax Fuel Prices'!N80+'Fuel Taxes'!N80</f>
        <v>0</v>
      </c>
      <c r="O79">
        <f>'Pretax Fuel Prices'!O80+'Fuel Taxes'!O80</f>
        <v>0</v>
      </c>
      <c r="P79">
        <f>'Pretax Fuel Prices'!P80+'Fuel Taxes'!P80</f>
        <v>0</v>
      </c>
      <c r="Q79">
        <f>'Pretax Fuel Prices'!Q80+'Fuel Taxes'!Q80</f>
        <v>0</v>
      </c>
      <c r="R79">
        <f>'Pretax Fuel Prices'!R80+'Fuel Taxes'!R80</f>
        <v>0</v>
      </c>
      <c r="S79">
        <f>'Pretax Fuel Prices'!S80+'Fuel Taxes'!S80</f>
        <v>0</v>
      </c>
      <c r="T79">
        <f>'Pretax Fuel Prices'!T80+'Fuel Taxes'!T80</f>
        <v>0</v>
      </c>
      <c r="U79">
        <f>'Pretax Fuel Prices'!U80+'Fuel Taxes'!U80</f>
        <v>0</v>
      </c>
      <c r="V79">
        <f>'Pretax Fuel Prices'!V80+'Fuel Taxes'!V80</f>
        <v>0</v>
      </c>
      <c r="W79">
        <f>'Pretax Fuel Prices'!W80+'Fuel Taxes'!W80</f>
        <v>0</v>
      </c>
      <c r="X79">
        <f>'Pretax Fuel Prices'!X80+'Fuel Taxes'!X80</f>
        <v>0</v>
      </c>
      <c r="Y79">
        <f>'Pretax Fuel Prices'!Y80+'Fuel Taxes'!Y80</f>
        <v>0</v>
      </c>
      <c r="Z79">
        <f>'Pretax Fuel Prices'!Z80+'Fuel Taxes'!Z80</f>
        <v>0</v>
      </c>
      <c r="AA79">
        <f>'Pretax Fuel Prices'!AA80+'Fuel Taxes'!AA80</f>
        <v>0</v>
      </c>
      <c r="AB79">
        <f>'Pretax Fuel Prices'!AB80+'Fuel Taxes'!AB80</f>
        <v>0</v>
      </c>
      <c r="AC79">
        <f>'Pretax Fuel Prices'!AC80+'Fuel Taxes'!AC80</f>
        <v>0</v>
      </c>
      <c r="AD79">
        <f>'Pretax Fuel Prices'!AD80+'Fuel Taxes'!AD80</f>
        <v>0</v>
      </c>
      <c r="AE79">
        <f>'Pretax Fuel Prices'!AE80+'Fuel Taxes'!AE80</f>
        <v>0</v>
      </c>
      <c r="AF79">
        <f>'Pretax Fuel Prices'!AF80+'Fuel Taxes'!AF80</f>
        <v>0</v>
      </c>
    </row>
    <row r="80" spans="1:32" x14ac:dyDescent="0.25">
      <c r="A80" t="s">
        <v>59</v>
      </c>
      <c r="B80">
        <f>'Pretax Fuel Prices'!B81+'Fuel Taxes'!B81</f>
        <v>0</v>
      </c>
      <c r="C80">
        <f>'Pretax Fuel Prices'!C81+'Fuel Taxes'!C81</f>
        <v>0</v>
      </c>
      <c r="D80">
        <f>'Pretax Fuel Prices'!D81+'Fuel Taxes'!D81</f>
        <v>0</v>
      </c>
      <c r="E80">
        <f>'Pretax Fuel Prices'!E81+'Fuel Taxes'!E81</f>
        <v>0</v>
      </c>
      <c r="F80">
        <f>'Pretax Fuel Prices'!F81+'Fuel Taxes'!F81</f>
        <v>0</v>
      </c>
      <c r="G80">
        <f>'Pretax Fuel Prices'!G81+'Fuel Taxes'!G81</f>
        <v>0</v>
      </c>
      <c r="H80">
        <f>'Pretax Fuel Prices'!H81+'Fuel Taxes'!H81</f>
        <v>0</v>
      </c>
      <c r="I80">
        <f>'Pretax Fuel Prices'!I81+'Fuel Taxes'!I81</f>
        <v>0</v>
      </c>
      <c r="J80">
        <f>'Pretax Fuel Prices'!J81+'Fuel Taxes'!J81</f>
        <v>0</v>
      </c>
      <c r="K80">
        <f>'Pretax Fuel Prices'!K81+'Fuel Taxes'!K81</f>
        <v>0</v>
      </c>
      <c r="L80">
        <f>'Pretax Fuel Prices'!L81+'Fuel Taxes'!L81</f>
        <v>0</v>
      </c>
      <c r="M80">
        <f>'Pretax Fuel Prices'!M81+'Fuel Taxes'!M81</f>
        <v>0</v>
      </c>
      <c r="N80">
        <f>'Pretax Fuel Prices'!N81+'Fuel Taxes'!N81</f>
        <v>0</v>
      </c>
      <c r="O80">
        <f>'Pretax Fuel Prices'!O81+'Fuel Taxes'!O81</f>
        <v>0</v>
      </c>
      <c r="P80">
        <f>'Pretax Fuel Prices'!P81+'Fuel Taxes'!P81</f>
        <v>0</v>
      </c>
      <c r="Q80">
        <f>'Pretax Fuel Prices'!Q81+'Fuel Taxes'!Q81</f>
        <v>0</v>
      </c>
      <c r="R80">
        <f>'Pretax Fuel Prices'!R81+'Fuel Taxes'!R81</f>
        <v>0</v>
      </c>
      <c r="S80">
        <f>'Pretax Fuel Prices'!S81+'Fuel Taxes'!S81</f>
        <v>0</v>
      </c>
      <c r="T80">
        <f>'Pretax Fuel Prices'!T81+'Fuel Taxes'!T81</f>
        <v>0</v>
      </c>
      <c r="U80">
        <f>'Pretax Fuel Prices'!U81+'Fuel Taxes'!U81</f>
        <v>0</v>
      </c>
      <c r="V80">
        <f>'Pretax Fuel Prices'!V81+'Fuel Taxes'!V81</f>
        <v>0</v>
      </c>
      <c r="W80">
        <f>'Pretax Fuel Prices'!W81+'Fuel Taxes'!W81</f>
        <v>0</v>
      </c>
      <c r="X80">
        <f>'Pretax Fuel Prices'!X81+'Fuel Taxes'!X81</f>
        <v>0</v>
      </c>
      <c r="Y80">
        <f>'Pretax Fuel Prices'!Y81+'Fuel Taxes'!Y81</f>
        <v>0</v>
      </c>
      <c r="Z80">
        <f>'Pretax Fuel Prices'!Z81+'Fuel Taxes'!Z81</f>
        <v>0</v>
      </c>
      <c r="AA80">
        <f>'Pretax Fuel Prices'!AA81+'Fuel Taxes'!AA81</f>
        <v>0</v>
      </c>
      <c r="AB80">
        <f>'Pretax Fuel Prices'!AB81+'Fuel Taxes'!AB81</f>
        <v>0</v>
      </c>
      <c r="AC80">
        <f>'Pretax Fuel Prices'!AC81+'Fuel Taxes'!AC81</f>
        <v>0</v>
      </c>
      <c r="AD80">
        <f>'Pretax Fuel Prices'!AD81+'Fuel Taxes'!AD81</f>
        <v>0</v>
      </c>
      <c r="AE80">
        <f>'Pretax Fuel Prices'!AE81+'Fuel Taxes'!AE81</f>
        <v>0</v>
      </c>
      <c r="AF80">
        <f>'Pretax Fuel Prices'!AF81+'Fuel Taxes'!AF81</f>
        <v>0</v>
      </c>
    </row>
    <row r="81" spans="1:32" s="4" customFormat="1" x14ac:dyDescent="0.25">
      <c r="A81" s="6" t="s">
        <v>38</v>
      </c>
    </row>
    <row r="82" spans="1:32" x14ac:dyDescent="0.25">
      <c r="A82" t="s">
        <v>30</v>
      </c>
      <c r="B82" s="7">
        <f>'Fuel Taxes'!B$1</f>
        <v>2020</v>
      </c>
      <c r="C82" s="7">
        <f>'Fuel Taxes'!C$1</f>
        <v>2021</v>
      </c>
      <c r="D82" s="7">
        <f>'Fuel Taxes'!D$1</f>
        <v>2022</v>
      </c>
      <c r="E82" s="7">
        <f>'Fuel Taxes'!E$1</f>
        <v>2023</v>
      </c>
      <c r="F82" s="7">
        <f>'Fuel Taxes'!F$1</f>
        <v>2024</v>
      </c>
      <c r="G82" s="7">
        <f>'Fuel Taxes'!G$1</f>
        <v>2025</v>
      </c>
      <c r="H82" s="7">
        <f>'Fuel Taxes'!H$1</f>
        <v>2026</v>
      </c>
      <c r="I82" s="7">
        <f>'Fuel Taxes'!I$1</f>
        <v>2027</v>
      </c>
      <c r="J82" s="7">
        <f>'Fuel Taxes'!J$1</f>
        <v>2028</v>
      </c>
      <c r="K82" s="7">
        <f>'Fuel Taxes'!K$1</f>
        <v>2029</v>
      </c>
      <c r="L82" s="7">
        <f>'Fuel Taxes'!L$1</f>
        <v>2030</v>
      </c>
      <c r="M82" s="7">
        <f>'Fuel Taxes'!M$1</f>
        <v>2031</v>
      </c>
      <c r="N82" s="7">
        <f>'Fuel Taxes'!N$1</f>
        <v>2032</v>
      </c>
      <c r="O82" s="7">
        <f>'Fuel Taxes'!O$1</f>
        <v>2033</v>
      </c>
      <c r="P82" s="7">
        <f>'Fuel Taxes'!P$1</f>
        <v>2034</v>
      </c>
      <c r="Q82" s="7">
        <f>'Fuel Taxes'!Q$1</f>
        <v>2035</v>
      </c>
      <c r="R82" s="7">
        <f>'Fuel Taxes'!R$1</f>
        <v>2036</v>
      </c>
      <c r="S82" s="7">
        <f>'Fuel Taxes'!S$1</f>
        <v>2037</v>
      </c>
      <c r="T82" s="7">
        <f>'Fuel Taxes'!T$1</f>
        <v>2038</v>
      </c>
      <c r="U82" s="7">
        <f>'Fuel Taxes'!U$1</f>
        <v>2039</v>
      </c>
      <c r="V82" s="7">
        <f>'Fuel Taxes'!V$1</f>
        <v>2040</v>
      </c>
      <c r="W82" s="7">
        <f>'Fuel Taxes'!W$1</f>
        <v>2041</v>
      </c>
      <c r="X82" s="7">
        <f>'Fuel Taxes'!X$1</f>
        <v>2042</v>
      </c>
      <c r="Y82" s="7">
        <f>'Fuel Taxes'!Y$1</f>
        <v>2043</v>
      </c>
      <c r="Z82" s="7">
        <f>'Fuel Taxes'!Z$1</f>
        <v>2044</v>
      </c>
      <c r="AA82" s="7">
        <f>'Fuel Taxes'!AA$1</f>
        <v>2045</v>
      </c>
      <c r="AB82" s="7">
        <f>'Fuel Taxes'!AB$1</f>
        <v>2046</v>
      </c>
      <c r="AC82" s="7">
        <f>'Fuel Taxes'!AC$1</f>
        <v>2047</v>
      </c>
      <c r="AD82" s="7">
        <f>'Fuel Taxes'!AD$1</f>
        <v>2048</v>
      </c>
      <c r="AE82" s="7">
        <f>'Fuel Taxes'!AE$1</f>
        <v>2049</v>
      </c>
      <c r="AF82" s="7">
        <f>'Fuel Taxes'!AF$1</f>
        <v>2050</v>
      </c>
    </row>
    <row r="83" spans="1:32" x14ac:dyDescent="0.25">
      <c r="A83" t="s">
        <v>52</v>
      </c>
      <c r="B83">
        <f>'Pretax Fuel Prices'!B84+'Fuel Taxes'!B84</f>
        <v>8.2402408832182343E-6</v>
      </c>
      <c r="C83">
        <f>'Pretax Fuel Prices'!C84+'Fuel Taxes'!C84</f>
        <v>1.2255974215131283E-5</v>
      </c>
      <c r="D83">
        <f>'Pretax Fuel Prices'!D84+'Fuel Taxes'!D84</f>
        <v>2.2066075345013406E-5</v>
      </c>
      <c r="E83">
        <f>'Pretax Fuel Prices'!E84+'Fuel Taxes'!E84</f>
        <v>1.7657019153600988E-5</v>
      </c>
      <c r="F83">
        <f>'Pretax Fuel Prices'!F84+'Fuel Taxes'!F84</f>
        <v>1.6884785810883153E-5</v>
      </c>
      <c r="G83">
        <f>'Pretax Fuel Prices'!G84+'Fuel Taxes'!G84</f>
        <v>1.6112552468165316E-5</v>
      </c>
      <c r="H83">
        <f>'Pretax Fuel Prices'!H84+'Fuel Taxes'!H84</f>
        <v>1.5340319125447478E-5</v>
      </c>
      <c r="I83">
        <f>'Pretax Fuel Prices'!I84+'Fuel Taxes'!I84</f>
        <v>1.4568085782729642E-5</v>
      </c>
      <c r="J83">
        <f>'Pretax Fuel Prices'!J84+'Fuel Taxes'!J84</f>
        <v>1.3795852440011805E-5</v>
      </c>
      <c r="K83">
        <f>'Pretax Fuel Prices'!K84+'Fuel Taxes'!K84</f>
        <v>1.3939162071277261E-5</v>
      </c>
      <c r="L83">
        <f>'Pretax Fuel Prices'!L84+'Fuel Taxes'!L84</f>
        <v>1.3890819134162453E-5</v>
      </c>
      <c r="M83">
        <f>'Pretax Fuel Prices'!M84+'Fuel Taxes'!M84</f>
        <v>1.4302081070679405E-5</v>
      </c>
      <c r="N83">
        <f>'Pretax Fuel Prices'!N84+'Fuel Taxes'!N84</f>
        <v>1.4458083317806396E-5</v>
      </c>
      <c r="O83">
        <f>'Pretax Fuel Prices'!O84+'Fuel Taxes'!O84</f>
        <v>1.4552284896328007E-5</v>
      </c>
      <c r="P83">
        <f>'Pretax Fuel Prices'!P84+'Fuel Taxes'!P84</f>
        <v>1.4695461500845112E-5</v>
      </c>
      <c r="Q83">
        <f>'Pretax Fuel Prices'!Q84+'Fuel Taxes'!Q84</f>
        <v>1.4790573084001917E-5</v>
      </c>
      <c r="R83">
        <f>'Pretax Fuel Prices'!R84+'Fuel Taxes'!R84</f>
        <v>1.4957511485529762E-5</v>
      </c>
      <c r="S83">
        <f>'Pretax Fuel Prices'!S84+'Fuel Taxes'!S84</f>
        <v>1.5175163581127059E-5</v>
      </c>
      <c r="T83">
        <f>'Pretax Fuel Prices'!T84+'Fuel Taxes'!T84</f>
        <v>1.5327129271380592E-5</v>
      </c>
      <c r="U83">
        <f>'Pretax Fuel Prices'!U84+'Fuel Taxes'!U84</f>
        <v>1.5415203146436875E-5</v>
      </c>
      <c r="V83">
        <f>'Pretax Fuel Prices'!V84+'Fuel Taxes'!V84</f>
        <v>1.5573919308690995E-5</v>
      </c>
      <c r="W83">
        <f>'Pretax Fuel Prices'!W84+'Fuel Taxes'!W84</f>
        <v>1.5694389009838725E-5</v>
      </c>
      <c r="X83">
        <f>'Pretax Fuel Prices'!X84+'Fuel Taxes'!X84</f>
        <v>1.5729087808554452E-5</v>
      </c>
      <c r="Y83">
        <f>'Pretax Fuel Prices'!Y84+'Fuel Taxes'!Y84</f>
        <v>1.5976199821434106E-5</v>
      </c>
      <c r="Z83">
        <f>'Pretax Fuel Prices'!Z84+'Fuel Taxes'!Z84</f>
        <v>1.6239930857511899E-5</v>
      </c>
      <c r="AA83">
        <f>'Pretax Fuel Prices'!AA84+'Fuel Taxes'!AA84</f>
        <v>1.6332129409071114E-5</v>
      </c>
      <c r="AB83">
        <f>'Pretax Fuel Prices'!AB84+'Fuel Taxes'!AB84</f>
        <v>1.6509579465630875E-5</v>
      </c>
      <c r="AC83">
        <f>'Pretax Fuel Prices'!AC84+'Fuel Taxes'!AC84</f>
        <v>1.6587051871417496E-5</v>
      </c>
      <c r="AD83">
        <f>'Pretax Fuel Prices'!AD84+'Fuel Taxes'!AD84</f>
        <v>1.6563312951618257E-5</v>
      </c>
      <c r="AE83">
        <f>'Pretax Fuel Prices'!AE84+'Fuel Taxes'!AE84</f>
        <v>1.659851504898697E-5</v>
      </c>
      <c r="AF83">
        <f>'Pretax Fuel Prices'!AF84+'Fuel Taxes'!AF84</f>
        <v>1.6549241771937848E-5</v>
      </c>
    </row>
    <row r="84" spans="1:32" x14ac:dyDescent="0.25">
      <c r="A84" t="s">
        <v>53</v>
      </c>
      <c r="B84">
        <f>'Pretax Fuel Prices'!B85+'Fuel Taxes'!B85</f>
        <v>0</v>
      </c>
      <c r="C84">
        <f>'Pretax Fuel Prices'!C85+'Fuel Taxes'!C85</f>
        <v>0</v>
      </c>
      <c r="D84">
        <f>'Pretax Fuel Prices'!D85+'Fuel Taxes'!D85</f>
        <v>0</v>
      </c>
      <c r="E84">
        <f>'Pretax Fuel Prices'!E85+'Fuel Taxes'!E85</f>
        <v>0</v>
      </c>
      <c r="F84">
        <f>'Pretax Fuel Prices'!F85+'Fuel Taxes'!F85</f>
        <v>0</v>
      </c>
      <c r="G84">
        <f>'Pretax Fuel Prices'!G85+'Fuel Taxes'!G85</f>
        <v>0</v>
      </c>
      <c r="H84">
        <f>'Pretax Fuel Prices'!H85+'Fuel Taxes'!H85</f>
        <v>0</v>
      </c>
      <c r="I84">
        <f>'Pretax Fuel Prices'!I85+'Fuel Taxes'!I85</f>
        <v>0</v>
      </c>
      <c r="J84">
        <f>'Pretax Fuel Prices'!J85+'Fuel Taxes'!J85</f>
        <v>0</v>
      </c>
      <c r="K84">
        <f>'Pretax Fuel Prices'!K85+'Fuel Taxes'!K85</f>
        <v>0</v>
      </c>
      <c r="L84">
        <f>'Pretax Fuel Prices'!L85+'Fuel Taxes'!L85</f>
        <v>0</v>
      </c>
      <c r="M84">
        <f>'Pretax Fuel Prices'!M85+'Fuel Taxes'!M85</f>
        <v>0</v>
      </c>
      <c r="N84">
        <f>'Pretax Fuel Prices'!N85+'Fuel Taxes'!N85</f>
        <v>0</v>
      </c>
      <c r="O84">
        <f>'Pretax Fuel Prices'!O85+'Fuel Taxes'!O85</f>
        <v>0</v>
      </c>
      <c r="P84">
        <f>'Pretax Fuel Prices'!P85+'Fuel Taxes'!P85</f>
        <v>0</v>
      </c>
      <c r="Q84">
        <f>'Pretax Fuel Prices'!Q85+'Fuel Taxes'!Q85</f>
        <v>0</v>
      </c>
      <c r="R84">
        <f>'Pretax Fuel Prices'!R85+'Fuel Taxes'!R85</f>
        <v>0</v>
      </c>
      <c r="S84">
        <f>'Pretax Fuel Prices'!S85+'Fuel Taxes'!S85</f>
        <v>0</v>
      </c>
      <c r="T84">
        <f>'Pretax Fuel Prices'!T85+'Fuel Taxes'!T85</f>
        <v>0</v>
      </c>
      <c r="U84">
        <f>'Pretax Fuel Prices'!U85+'Fuel Taxes'!U85</f>
        <v>0</v>
      </c>
      <c r="V84">
        <f>'Pretax Fuel Prices'!V85+'Fuel Taxes'!V85</f>
        <v>0</v>
      </c>
      <c r="W84">
        <f>'Pretax Fuel Prices'!W85+'Fuel Taxes'!W85</f>
        <v>0</v>
      </c>
      <c r="X84">
        <f>'Pretax Fuel Prices'!X85+'Fuel Taxes'!X85</f>
        <v>0</v>
      </c>
      <c r="Y84">
        <f>'Pretax Fuel Prices'!Y85+'Fuel Taxes'!Y85</f>
        <v>0</v>
      </c>
      <c r="Z84">
        <f>'Pretax Fuel Prices'!Z85+'Fuel Taxes'!Z85</f>
        <v>0</v>
      </c>
      <c r="AA84">
        <f>'Pretax Fuel Prices'!AA85+'Fuel Taxes'!AA85</f>
        <v>0</v>
      </c>
      <c r="AB84">
        <f>'Pretax Fuel Prices'!AB85+'Fuel Taxes'!AB85</f>
        <v>0</v>
      </c>
      <c r="AC84">
        <f>'Pretax Fuel Prices'!AC85+'Fuel Taxes'!AC85</f>
        <v>0</v>
      </c>
      <c r="AD84">
        <f>'Pretax Fuel Prices'!AD85+'Fuel Taxes'!AD85</f>
        <v>0</v>
      </c>
      <c r="AE84">
        <f>'Pretax Fuel Prices'!AE85+'Fuel Taxes'!AE85</f>
        <v>0</v>
      </c>
      <c r="AF84">
        <f>'Pretax Fuel Prices'!AF85+'Fuel Taxes'!AF85</f>
        <v>0</v>
      </c>
    </row>
    <row r="85" spans="1:32" x14ac:dyDescent="0.25">
      <c r="A85" t="s">
        <v>54</v>
      </c>
      <c r="B85">
        <f>'Pretax Fuel Prices'!B86+'Fuel Taxes'!B86</f>
        <v>1.5284362687015012E-5</v>
      </c>
      <c r="C85">
        <f>'Pretax Fuel Prices'!C86+'Fuel Taxes'!C86</f>
        <v>1.8103896074364319E-5</v>
      </c>
      <c r="D85">
        <f>'Pretax Fuel Prices'!D86+'Fuel Taxes'!D86</f>
        <v>3.1644800953223414E-5</v>
      </c>
      <c r="E85">
        <f>'Pretax Fuel Prices'!E86+'Fuel Taxes'!E86</f>
        <v>2.6730017958962703E-5</v>
      </c>
      <c r="F85">
        <f>'Pretax Fuel Prices'!F86+'Fuel Taxes'!F86</f>
        <v>2.5625302795549684E-5</v>
      </c>
      <c r="G85">
        <f>'Pretax Fuel Prices'!G86+'Fuel Taxes'!G86</f>
        <v>2.4520587632136668E-5</v>
      </c>
      <c r="H85">
        <f>'Pretax Fuel Prices'!H86+'Fuel Taxes'!H86</f>
        <v>2.3415872468723653E-5</v>
      </c>
      <c r="I85">
        <f>'Pretax Fuel Prices'!I86+'Fuel Taxes'!I86</f>
        <v>2.2311157305310637E-5</v>
      </c>
      <c r="J85">
        <f>'Pretax Fuel Prices'!J86+'Fuel Taxes'!J86</f>
        <v>2.1206442141897621E-5</v>
      </c>
      <c r="K85">
        <f>'Pretax Fuel Prices'!K86+'Fuel Taxes'!K86</f>
        <v>2.1309129471277255E-5</v>
      </c>
      <c r="L85">
        <f>'Pretax Fuel Prices'!L86+'Fuel Taxes'!L86</f>
        <v>2.1278474007868027E-5</v>
      </c>
      <c r="M85">
        <f>'Pretax Fuel Prices'!M86+'Fuel Taxes'!M86</f>
        <v>2.1510874279145285E-5</v>
      </c>
      <c r="N85">
        <f>'Pretax Fuel Prices'!N86+'Fuel Taxes'!N86</f>
        <v>2.159919980352806E-5</v>
      </c>
      <c r="O85">
        <f>'Pretax Fuel Prices'!O86+'Fuel Taxes'!O86</f>
        <v>2.1652304589851271E-5</v>
      </c>
      <c r="P85">
        <f>'Pretax Fuel Prices'!P86+'Fuel Taxes'!P86</f>
        <v>2.1694009746414734E-5</v>
      </c>
      <c r="Q85">
        <f>'Pretax Fuel Prices'!Q86+'Fuel Taxes'!Q86</f>
        <v>2.1761126401129273E-5</v>
      </c>
      <c r="R85">
        <f>'Pretax Fuel Prices'!R86+'Fuel Taxes'!R86</f>
        <v>2.1904730046927701E-5</v>
      </c>
      <c r="S85">
        <f>'Pretax Fuel Prices'!S86+'Fuel Taxes'!S86</f>
        <v>2.2087957870347267E-5</v>
      </c>
      <c r="T85">
        <f>'Pretax Fuel Prices'!T86+'Fuel Taxes'!T86</f>
        <v>2.2195674797040257E-5</v>
      </c>
      <c r="U85">
        <f>'Pretax Fuel Prices'!U86+'Fuel Taxes'!U86</f>
        <v>2.2253581255865957E-5</v>
      </c>
      <c r="V85">
        <f>'Pretax Fuel Prices'!V86+'Fuel Taxes'!V86</f>
        <v>2.2443319764217439E-5</v>
      </c>
      <c r="W85">
        <f>'Pretax Fuel Prices'!W86+'Fuel Taxes'!W86</f>
        <v>2.2525684504048415E-5</v>
      </c>
      <c r="X85">
        <f>'Pretax Fuel Prices'!X86+'Fuel Taxes'!X86</f>
        <v>2.2536319865483258E-5</v>
      </c>
      <c r="Y85">
        <f>'Pretax Fuel Prices'!Y86+'Fuel Taxes'!Y86</f>
        <v>2.2728116475565561E-5</v>
      </c>
      <c r="Z85">
        <f>'Pretax Fuel Prices'!Z86+'Fuel Taxes'!Z86</f>
        <v>2.2946869219227222E-5</v>
      </c>
      <c r="AA85">
        <f>'Pretax Fuel Prices'!AA86+'Fuel Taxes'!AA86</f>
        <v>2.3030299020349112E-5</v>
      </c>
      <c r="AB85">
        <f>'Pretax Fuel Prices'!AB86+'Fuel Taxes'!AB86</f>
        <v>2.3204760635243749E-5</v>
      </c>
      <c r="AC85">
        <f>'Pretax Fuel Prices'!AC86+'Fuel Taxes'!AC86</f>
        <v>2.3229301104749601E-5</v>
      </c>
      <c r="AD85">
        <f>'Pretax Fuel Prices'!AD86+'Fuel Taxes'!AD86</f>
        <v>2.3163228328722735E-5</v>
      </c>
      <c r="AE85">
        <f>'Pretax Fuel Prices'!AE86+'Fuel Taxes'!AE86</f>
        <v>2.3150486569221682E-5</v>
      </c>
      <c r="AF85">
        <f>'Pretax Fuel Prices'!AF86+'Fuel Taxes'!AF86</f>
        <v>2.3105762468044434E-5</v>
      </c>
    </row>
    <row r="86" spans="1:32" x14ac:dyDescent="0.25">
      <c r="A86" t="s">
        <v>55</v>
      </c>
      <c r="B86">
        <f>'Pretax Fuel Prices'!B87+'Fuel Taxes'!B87</f>
        <v>1.535040928398649E-5</v>
      </c>
      <c r="C86">
        <f>'Pretax Fuel Prices'!C87+'Fuel Taxes'!C87</f>
        <v>1.8169142507987729E-5</v>
      </c>
      <c r="D86">
        <f>'Pretax Fuel Prices'!D87+'Fuel Taxes'!D87</f>
        <v>3.1763982926454341E-5</v>
      </c>
      <c r="E86">
        <f>'Pretax Fuel Prices'!E87+'Fuel Taxes'!E87</f>
        <v>2.5407270942101809E-5</v>
      </c>
      <c r="F86">
        <f>'Pretax Fuel Prices'!F87+'Fuel Taxes'!F87</f>
        <v>2.3664995387819542E-5</v>
      </c>
      <c r="G86">
        <f>'Pretax Fuel Prices'!G87+'Fuel Taxes'!G87</f>
        <v>2.1922719833537274E-5</v>
      </c>
      <c r="H86">
        <f>'Pretax Fuel Prices'!H87+'Fuel Taxes'!H87</f>
        <v>2.0180444279255007E-5</v>
      </c>
      <c r="I86">
        <f>'Pretax Fuel Prices'!I87+'Fuel Taxes'!I87</f>
        <v>1.843816872497274E-5</v>
      </c>
      <c r="J86">
        <f>'Pretax Fuel Prices'!J87+'Fuel Taxes'!J87</f>
        <v>1.6695893170690479E-5</v>
      </c>
      <c r="K86">
        <f>'Pretax Fuel Prices'!K87+'Fuel Taxes'!K87</f>
        <v>1.6793988111687639E-5</v>
      </c>
      <c r="L86">
        <f>'Pretax Fuel Prices'!L87+'Fuel Taxes'!L87</f>
        <v>1.6765775426084064E-5</v>
      </c>
      <c r="M86">
        <f>'Pretax Fuel Prices'!M87+'Fuel Taxes'!M87</f>
        <v>1.7263839434158761E-5</v>
      </c>
      <c r="N86">
        <f>'Pretax Fuel Prices'!N87+'Fuel Taxes'!N87</f>
        <v>1.7356684478768862E-5</v>
      </c>
      <c r="O86">
        <f>'Pretax Fuel Prices'!O87+'Fuel Taxes'!O87</f>
        <v>1.7452739111421926E-5</v>
      </c>
      <c r="P86">
        <f>'Pretax Fuel Prices'!P87+'Fuel Taxes'!P87</f>
        <v>1.7498082591917921E-5</v>
      </c>
      <c r="Q86">
        <f>'Pretax Fuel Prices'!Q87+'Fuel Taxes'!Q87</f>
        <v>1.7577106411565853E-5</v>
      </c>
      <c r="R86">
        <f>'Pretax Fuel Prices'!R87+'Fuel Taxes'!R87</f>
        <v>1.7723346020511492E-5</v>
      </c>
      <c r="S86">
        <f>'Pretax Fuel Prices'!S87+'Fuel Taxes'!S87</f>
        <v>1.7908586191238879E-5</v>
      </c>
      <c r="T86">
        <f>'Pretax Fuel Prices'!T87+'Fuel Taxes'!T87</f>
        <v>1.8019786385208692E-5</v>
      </c>
      <c r="U86">
        <f>'Pretax Fuel Prices'!U87+'Fuel Taxes'!U87</f>
        <v>1.8077791978617558E-5</v>
      </c>
      <c r="V86">
        <f>'Pretax Fuel Prices'!V87+'Fuel Taxes'!V87</f>
        <v>1.8253137331719377E-5</v>
      </c>
      <c r="W86">
        <f>'Pretax Fuel Prices'!W87+'Fuel Taxes'!W87</f>
        <v>1.8341307799446429E-5</v>
      </c>
      <c r="X86">
        <f>'Pretax Fuel Prices'!X87+'Fuel Taxes'!X87</f>
        <v>1.8354965494711586E-5</v>
      </c>
      <c r="Y86">
        <f>'Pretax Fuel Prices'!Y87+'Fuel Taxes'!Y87</f>
        <v>1.8562885455076207E-5</v>
      </c>
      <c r="Z86">
        <f>'Pretax Fuel Prices'!Z87+'Fuel Taxes'!Z87</f>
        <v>1.8796651580610397E-5</v>
      </c>
      <c r="AA86">
        <f>'Pretax Fuel Prices'!AA87+'Fuel Taxes'!AA87</f>
        <v>1.8887027580986822E-5</v>
      </c>
      <c r="AB86">
        <f>'Pretax Fuel Prices'!AB87+'Fuel Taxes'!AB87</f>
        <v>1.9048631355714651E-5</v>
      </c>
      <c r="AC86">
        <f>'Pretax Fuel Prices'!AC87+'Fuel Taxes'!AC87</f>
        <v>1.9086961699929876E-5</v>
      </c>
      <c r="AD86">
        <f>'Pretax Fuel Prices'!AD87+'Fuel Taxes'!AD87</f>
        <v>1.9036843660663538E-5</v>
      </c>
      <c r="AE86">
        <f>'Pretax Fuel Prices'!AE87+'Fuel Taxes'!AE87</f>
        <v>1.9019043495508724E-5</v>
      </c>
      <c r="AF86">
        <f>'Pretax Fuel Prices'!AF87+'Fuel Taxes'!AF87</f>
        <v>1.8957430928420119E-5</v>
      </c>
    </row>
    <row r="87" spans="1:32" x14ac:dyDescent="0.25">
      <c r="A87" t="s">
        <v>56</v>
      </c>
      <c r="B87">
        <f>'Pretax Fuel Prices'!B88+'Fuel Taxes'!B88</f>
        <v>0</v>
      </c>
      <c r="C87">
        <f>'Pretax Fuel Prices'!C88+'Fuel Taxes'!C88</f>
        <v>0</v>
      </c>
      <c r="D87">
        <f>'Pretax Fuel Prices'!D88+'Fuel Taxes'!D88</f>
        <v>0</v>
      </c>
      <c r="E87">
        <f>'Pretax Fuel Prices'!E88+'Fuel Taxes'!E88</f>
        <v>0</v>
      </c>
      <c r="F87">
        <f>'Pretax Fuel Prices'!F88+'Fuel Taxes'!F88</f>
        <v>0</v>
      </c>
      <c r="G87">
        <f>'Pretax Fuel Prices'!G88+'Fuel Taxes'!G88</f>
        <v>0</v>
      </c>
      <c r="H87">
        <f>'Pretax Fuel Prices'!H88+'Fuel Taxes'!H88</f>
        <v>0</v>
      </c>
      <c r="I87">
        <f>'Pretax Fuel Prices'!I88+'Fuel Taxes'!I88</f>
        <v>0</v>
      </c>
      <c r="J87">
        <f>'Pretax Fuel Prices'!J88+'Fuel Taxes'!J88</f>
        <v>0</v>
      </c>
      <c r="K87">
        <f>'Pretax Fuel Prices'!K88+'Fuel Taxes'!K88</f>
        <v>0</v>
      </c>
      <c r="L87">
        <f>'Pretax Fuel Prices'!L88+'Fuel Taxes'!L88</f>
        <v>0</v>
      </c>
      <c r="M87">
        <f>'Pretax Fuel Prices'!M88+'Fuel Taxes'!M88</f>
        <v>0</v>
      </c>
      <c r="N87">
        <f>'Pretax Fuel Prices'!N88+'Fuel Taxes'!N88</f>
        <v>0</v>
      </c>
      <c r="O87">
        <f>'Pretax Fuel Prices'!O88+'Fuel Taxes'!O88</f>
        <v>0</v>
      </c>
      <c r="P87">
        <f>'Pretax Fuel Prices'!P88+'Fuel Taxes'!P88</f>
        <v>0</v>
      </c>
      <c r="Q87">
        <f>'Pretax Fuel Prices'!Q88+'Fuel Taxes'!Q88</f>
        <v>0</v>
      </c>
      <c r="R87">
        <f>'Pretax Fuel Prices'!R88+'Fuel Taxes'!R88</f>
        <v>0</v>
      </c>
      <c r="S87">
        <f>'Pretax Fuel Prices'!S88+'Fuel Taxes'!S88</f>
        <v>0</v>
      </c>
      <c r="T87">
        <f>'Pretax Fuel Prices'!T88+'Fuel Taxes'!T88</f>
        <v>0</v>
      </c>
      <c r="U87">
        <f>'Pretax Fuel Prices'!U88+'Fuel Taxes'!U88</f>
        <v>0</v>
      </c>
      <c r="V87">
        <f>'Pretax Fuel Prices'!V88+'Fuel Taxes'!V88</f>
        <v>0</v>
      </c>
      <c r="W87">
        <f>'Pretax Fuel Prices'!W88+'Fuel Taxes'!W88</f>
        <v>0</v>
      </c>
      <c r="X87">
        <f>'Pretax Fuel Prices'!X88+'Fuel Taxes'!X88</f>
        <v>0</v>
      </c>
      <c r="Y87">
        <f>'Pretax Fuel Prices'!Y88+'Fuel Taxes'!Y88</f>
        <v>0</v>
      </c>
      <c r="Z87">
        <f>'Pretax Fuel Prices'!Z88+'Fuel Taxes'!Z88</f>
        <v>0</v>
      </c>
      <c r="AA87">
        <f>'Pretax Fuel Prices'!AA88+'Fuel Taxes'!AA88</f>
        <v>0</v>
      </c>
      <c r="AB87">
        <f>'Pretax Fuel Prices'!AB88+'Fuel Taxes'!AB88</f>
        <v>0</v>
      </c>
      <c r="AC87">
        <f>'Pretax Fuel Prices'!AC88+'Fuel Taxes'!AC88</f>
        <v>0</v>
      </c>
      <c r="AD87">
        <f>'Pretax Fuel Prices'!AD88+'Fuel Taxes'!AD88</f>
        <v>0</v>
      </c>
      <c r="AE87">
        <f>'Pretax Fuel Prices'!AE88+'Fuel Taxes'!AE88</f>
        <v>0</v>
      </c>
      <c r="AF87">
        <f>'Pretax Fuel Prices'!AF88+'Fuel Taxes'!AF88</f>
        <v>0</v>
      </c>
    </row>
    <row r="88" spans="1:32" x14ac:dyDescent="0.25">
      <c r="A88" t="s">
        <v>57</v>
      </c>
      <c r="B88">
        <f>'Pretax Fuel Prices'!B89+'Fuel Taxes'!B89</f>
        <v>0</v>
      </c>
      <c r="C88">
        <f>'Pretax Fuel Prices'!C89+'Fuel Taxes'!C89</f>
        <v>0</v>
      </c>
      <c r="D88">
        <f>'Pretax Fuel Prices'!D89+'Fuel Taxes'!D89</f>
        <v>0</v>
      </c>
      <c r="E88">
        <f>'Pretax Fuel Prices'!E89+'Fuel Taxes'!E89</f>
        <v>0</v>
      </c>
      <c r="F88">
        <f>'Pretax Fuel Prices'!F89+'Fuel Taxes'!F89</f>
        <v>0</v>
      </c>
      <c r="G88">
        <f>'Pretax Fuel Prices'!G89+'Fuel Taxes'!G89</f>
        <v>0</v>
      </c>
      <c r="H88">
        <f>'Pretax Fuel Prices'!H89+'Fuel Taxes'!H89</f>
        <v>0</v>
      </c>
      <c r="I88">
        <f>'Pretax Fuel Prices'!I89+'Fuel Taxes'!I89</f>
        <v>0</v>
      </c>
      <c r="J88">
        <f>'Pretax Fuel Prices'!J89+'Fuel Taxes'!J89</f>
        <v>0</v>
      </c>
      <c r="K88">
        <f>'Pretax Fuel Prices'!K89+'Fuel Taxes'!K89</f>
        <v>0</v>
      </c>
      <c r="L88">
        <f>'Pretax Fuel Prices'!L89+'Fuel Taxes'!L89</f>
        <v>0</v>
      </c>
      <c r="M88">
        <f>'Pretax Fuel Prices'!M89+'Fuel Taxes'!M89</f>
        <v>0</v>
      </c>
      <c r="N88">
        <f>'Pretax Fuel Prices'!N89+'Fuel Taxes'!N89</f>
        <v>0</v>
      </c>
      <c r="O88">
        <f>'Pretax Fuel Prices'!O89+'Fuel Taxes'!O89</f>
        <v>0</v>
      </c>
      <c r="P88">
        <f>'Pretax Fuel Prices'!P89+'Fuel Taxes'!P89</f>
        <v>0</v>
      </c>
      <c r="Q88">
        <f>'Pretax Fuel Prices'!Q89+'Fuel Taxes'!Q89</f>
        <v>0</v>
      </c>
      <c r="R88">
        <f>'Pretax Fuel Prices'!R89+'Fuel Taxes'!R89</f>
        <v>0</v>
      </c>
      <c r="S88">
        <f>'Pretax Fuel Prices'!S89+'Fuel Taxes'!S89</f>
        <v>0</v>
      </c>
      <c r="T88">
        <f>'Pretax Fuel Prices'!T89+'Fuel Taxes'!T89</f>
        <v>0</v>
      </c>
      <c r="U88">
        <f>'Pretax Fuel Prices'!U89+'Fuel Taxes'!U89</f>
        <v>0</v>
      </c>
      <c r="V88">
        <f>'Pretax Fuel Prices'!V89+'Fuel Taxes'!V89</f>
        <v>0</v>
      </c>
      <c r="W88">
        <f>'Pretax Fuel Prices'!W89+'Fuel Taxes'!W89</f>
        <v>0</v>
      </c>
      <c r="X88">
        <f>'Pretax Fuel Prices'!X89+'Fuel Taxes'!X89</f>
        <v>0</v>
      </c>
      <c r="Y88">
        <f>'Pretax Fuel Prices'!Y89+'Fuel Taxes'!Y89</f>
        <v>0</v>
      </c>
      <c r="Z88">
        <f>'Pretax Fuel Prices'!Z89+'Fuel Taxes'!Z89</f>
        <v>0</v>
      </c>
      <c r="AA88">
        <f>'Pretax Fuel Prices'!AA89+'Fuel Taxes'!AA89</f>
        <v>0</v>
      </c>
      <c r="AB88">
        <f>'Pretax Fuel Prices'!AB89+'Fuel Taxes'!AB89</f>
        <v>0</v>
      </c>
      <c r="AC88">
        <f>'Pretax Fuel Prices'!AC89+'Fuel Taxes'!AC89</f>
        <v>0</v>
      </c>
      <c r="AD88">
        <f>'Pretax Fuel Prices'!AD89+'Fuel Taxes'!AD89</f>
        <v>0</v>
      </c>
      <c r="AE88">
        <f>'Pretax Fuel Prices'!AE89+'Fuel Taxes'!AE89</f>
        <v>0</v>
      </c>
      <c r="AF88">
        <f>'Pretax Fuel Prices'!AF89+'Fuel Taxes'!AF89</f>
        <v>0</v>
      </c>
    </row>
    <row r="89" spans="1:32" x14ac:dyDescent="0.25">
      <c r="A89" t="s">
        <v>58</v>
      </c>
      <c r="B89">
        <f>'Pretax Fuel Prices'!B90+'Fuel Taxes'!B90</f>
        <v>0</v>
      </c>
      <c r="C89">
        <f>'Pretax Fuel Prices'!C90+'Fuel Taxes'!C90</f>
        <v>0</v>
      </c>
      <c r="D89">
        <f>'Pretax Fuel Prices'!D90+'Fuel Taxes'!D90</f>
        <v>0</v>
      </c>
      <c r="E89">
        <f>'Pretax Fuel Prices'!E90+'Fuel Taxes'!E90</f>
        <v>0</v>
      </c>
      <c r="F89">
        <f>'Pretax Fuel Prices'!F90+'Fuel Taxes'!F90</f>
        <v>0</v>
      </c>
      <c r="G89">
        <f>'Pretax Fuel Prices'!G90+'Fuel Taxes'!G90</f>
        <v>0</v>
      </c>
      <c r="H89">
        <f>'Pretax Fuel Prices'!H90+'Fuel Taxes'!H90</f>
        <v>0</v>
      </c>
      <c r="I89">
        <f>'Pretax Fuel Prices'!I90+'Fuel Taxes'!I90</f>
        <v>0</v>
      </c>
      <c r="J89">
        <f>'Pretax Fuel Prices'!J90+'Fuel Taxes'!J90</f>
        <v>0</v>
      </c>
      <c r="K89">
        <f>'Pretax Fuel Prices'!K90+'Fuel Taxes'!K90</f>
        <v>0</v>
      </c>
      <c r="L89">
        <f>'Pretax Fuel Prices'!L90+'Fuel Taxes'!L90</f>
        <v>0</v>
      </c>
      <c r="M89">
        <f>'Pretax Fuel Prices'!M90+'Fuel Taxes'!M90</f>
        <v>0</v>
      </c>
      <c r="N89">
        <f>'Pretax Fuel Prices'!N90+'Fuel Taxes'!N90</f>
        <v>0</v>
      </c>
      <c r="O89">
        <f>'Pretax Fuel Prices'!O90+'Fuel Taxes'!O90</f>
        <v>0</v>
      </c>
      <c r="P89">
        <f>'Pretax Fuel Prices'!P90+'Fuel Taxes'!P90</f>
        <v>0</v>
      </c>
      <c r="Q89">
        <f>'Pretax Fuel Prices'!Q90+'Fuel Taxes'!Q90</f>
        <v>0</v>
      </c>
      <c r="R89">
        <f>'Pretax Fuel Prices'!R90+'Fuel Taxes'!R90</f>
        <v>0</v>
      </c>
      <c r="S89">
        <f>'Pretax Fuel Prices'!S90+'Fuel Taxes'!S90</f>
        <v>0</v>
      </c>
      <c r="T89">
        <f>'Pretax Fuel Prices'!T90+'Fuel Taxes'!T90</f>
        <v>0</v>
      </c>
      <c r="U89">
        <f>'Pretax Fuel Prices'!U90+'Fuel Taxes'!U90</f>
        <v>0</v>
      </c>
      <c r="V89">
        <f>'Pretax Fuel Prices'!V90+'Fuel Taxes'!V90</f>
        <v>0</v>
      </c>
      <c r="W89">
        <f>'Pretax Fuel Prices'!W90+'Fuel Taxes'!W90</f>
        <v>0</v>
      </c>
      <c r="X89">
        <f>'Pretax Fuel Prices'!X90+'Fuel Taxes'!X90</f>
        <v>0</v>
      </c>
      <c r="Y89">
        <f>'Pretax Fuel Prices'!Y90+'Fuel Taxes'!Y90</f>
        <v>0</v>
      </c>
      <c r="Z89">
        <f>'Pretax Fuel Prices'!Z90+'Fuel Taxes'!Z90</f>
        <v>0</v>
      </c>
      <c r="AA89">
        <f>'Pretax Fuel Prices'!AA90+'Fuel Taxes'!AA90</f>
        <v>0</v>
      </c>
      <c r="AB89">
        <f>'Pretax Fuel Prices'!AB90+'Fuel Taxes'!AB90</f>
        <v>0</v>
      </c>
      <c r="AC89">
        <f>'Pretax Fuel Prices'!AC90+'Fuel Taxes'!AC90</f>
        <v>0</v>
      </c>
      <c r="AD89">
        <f>'Pretax Fuel Prices'!AD90+'Fuel Taxes'!AD90</f>
        <v>0</v>
      </c>
      <c r="AE89">
        <f>'Pretax Fuel Prices'!AE90+'Fuel Taxes'!AE90</f>
        <v>0</v>
      </c>
      <c r="AF89">
        <f>'Pretax Fuel Prices'!AF90+'Fuel Taxes'!AF90</f>
        <v>0</v>
      </c>
    </row>
    <row r="90" spans="1:32" x14ac:dyDescent="0.25">
      <c r="A90" t="s">
        <v>59</v>
      </c>
      <c r="B90">
        <f>'Pretax Fuel Prices'!B91+'Fuel Taxes'!B91</f>
        <v>0</v>
      </c>
      <c r="C90">
        <f>'Pretax Fuel Prices'!C91+'Fuel Taxes'!C91</f>
        <v>0</v>
      </c>
      <c r="D90">
        <f>'Pretax Fuel Prices'!D91+'Fuel Taxes'!D91</f>
        <v>0</v>
      </c>
      <c r="E90">
        <f>'Pretax Fuel Prices'!E91+'Fuel Taxes'!E91</f>
        <v>0</v>
      </c>
      <c r="F90">
        <f>'Pretax Fuel Prices'!F91+'Fuel Taxes'!F91</f>
        <v>0</v>
      </c>
      <c r="G90">
        <f>'Pretax Fuel Prices'!G91+'Fuel Taxes'!G91</f>
        <v>0</v>
      </c>
      <c r="H90">
        <f>'Pretax Fuel Prices'!H91+'Fuel Taxes'!H91</f>
        <v>0</v>
      </c>
      <c r="I90">
        <f>'Pretax Fuel Prices'!I91+'Fuel Taxes'!I91</f>
        <v>0</v>
      </c>
      <c r="J90">
        <f>'Pretax Fuel Prices'!J91+'Fuel Taxes'!J91</f>
        <v>0</v>
      </c>
      <c r="K90">
        <f>'Pretax Fuel Prices'!K91+'Fuel Taxes'!K91</f>
        <v>0</v>
      </c>
      <c r="L90">
        <f>'Pretax Fuel Prices'!L91+'Fuel Taxes'!L91</f>
        <v>0</v>
      </c>
      <c r="M90">
        <f>'Pretax Fuel Prices'!M91+'Fuel Taxes'!M91</f>
        <v>0</v>
      </c>
      <c r="N90">
        <f>'Pretax Fuel Prices'!N91+'Fuel Taxes'!N91</f>
        <v>0</v>
      </c>
      <c r="O90">
        <f>'Pretax Fuel Prices'!O91+'Fuel Taxes'!O91</f>
        <v>0</v>
      </c>
      <c r="P90">
        <f>'Pretax Fuel Prices'!P91+'Fuel Taxes'!P91</f>
        <v>0</v>
      </c>
      <c r="Q90">
        <f>'Pretax Fuel Prices'!Q91+'Fuel Taxes'!Q91</f>
        <v>0</v>
      </c>
      <c r="R90">
        <f>'Pretax Fuel Prices'!R91+'Fuel Taxes'!R91</f>
        <v>0</v>
      </c>
      <c r="S90">
        <f>'Pretax Fuel Prices'!S91+'Fuel Taxes'!S91</f>
        <v>0</v>
      </c>
      <c r="T90">
        <f>'Pretax Fuel Prices'!T91+'Fuel Taxes'!T91</f>
        <v>0</v>
      </c>
      <c r="U90">
        <f>'Pretax Fuel Prices'!U91+'Fuel Taxes'!U91</f>
        <v>0</v>
      </c>
      <c r="V90">
        <f>'Pretax Fuel Prices'!V91+'Fuel Taxes'!V91</f>
        <v>0</v>
      </c>
      <c r="W90">
        <f>'Pretax Fuel Prices'!W91+'Fuel Taxes'!W91</f>
        <v>0</v>
      </c>
      <c r="X90">
        <f>'Pretax Fuel Prices'!X91+'Fuel Taxes'!X91</f>
        <v>0</v>
      </c>
      <c r="Y90">
        <f>'Pretax Fuel Prices'!Y91+'Fuel Taxes'!Y91</f>
        <v>0</v>
      </c>
      <c r="Z90">
        <f>'Pretax Fuel Prices'!Z91+'Fuel Taxes'!Z91</f>
        <v>0</v>
      </c>
      <c r="AA90">
        <f>'Pretax Fuel Prices'!AA91+'Fuel Taxes'!AA91</f>
        <v>0</v>
      </c>
      <c r="AB90">
        <f>'Pretax Fuel Prices'!AB91+'Fuel Taxes'!AB91</f>
        <v>0</v>
      </c>
      <c r="AC90">
        <f>'Pretax Fuel Prices'!AC91+'Fuel Taxes'!AC91</f>
        <v>0</v>
      </c>
      <c r="AD90">
        <f>'Pretax Fuel Prices'!AD91+'Fuel Taxes'!AD91</f>
        <v>0</v>
      </c>
      <c r="AE90">
        <f>'Pretax Fuel Prices'!AE91+'Fuel Taxes'!AE91</f>
        <v>0</v>
      </c>
      <c r="AF90">
        <f>'Pretax Fuel Prices'!AF91+'Fuel Taxes'!AF91</f>
        <v>0</v>
      </c>
    </row>
    <row r="91" spans="1:32" s="4" customFormat="1" x14ac:dyDescent="0.25">
      <c r="A91" s="6" t="s">
        <v>39</v>
      </c>
    </row>
    <row r="92" spans="1:32" x14ac:dyDescent="0.25">
      <c r="A92" t="s">
        <v>30</v>
      </c>
      <c r="B92" s="7">
        <f>'Fuel Taxes'!B$1</f>
        <v>2020</v>
      </c>
      <c r="C92" s="7">
        <f>'Fuel Taxes'!C$1</f>
        <v>2021</v>
      </c>
      <c r="D92" s="7">
        <f>'Fuel Taxes'!D$1</f>
        <v>2022</v>
      </c>
      <c r="E92" s="7">
        <f>'Fuel Taxes'!E$1</f>
        <v>2023</v>
      </c>
      <c r="F92" s="7">
        <f>'Fuel Taxes'!F$1</f>
        <v>2024</v>
      </c>
      <c r="G92" s="7">
        <f>'Fuel Taxes'!G$1</f>
        <v>2025</v>
      </c>
      <c r="H92" s="7">
        <f>'Fuel Taxes'!H$1</f>
        <v>2026</v>
      </c>
      <c r="I92" s="7">
        <f>'Fuel Taxes'!I$1</f>
        <v>2027</v>
      </c>
      <c r="J92" s="7">
        <f>'Fuel Taxes'!J$1</f>
        <v>2028</v>
      </c>
      <c r="K92" s="7">
        <f>'Fuel Taxes'!K$1</f>
        <v>2029</v>
      </c>
      <c r="L92" s="7">
        <f>'Fuel Taxes'!L$1</f>
        <v>2030</v>
      </c>
      <c r="M92" s="7">
        <f>'Fuel Taxes'!M$1</f>
        <v>2031</v>
      </c>
      <c r="N92" s="7">
        <f>'Fuel Taxes'!N$1</f>
        <v>2032</v>
      </c>
      <c r="O92" s="7">
        <f>'Fuel Taxes'!O$1</f>
        <v>2033</v>
      </c>
      <c r="P92" s="7">
        <f>'Fuel Taxes'!P$1</f>
        <v>2034</v>
      </c>
      <c r="Q92" s="7">
        <f>'Fuel Taxes'!Q$1</f>
        <v>2035</v>
      </c>
      <c r="R92" s="7">
        <f>'Fuel Taxes'!R$1</f>
        <v>2036</v>
      </c>
      <c r="S92" s="7">
        <f>'Fuel Taxes'!S$1</f>
        <v>2037</v>
      </c>
      <c r="T92" s="7">
        <f>'Fuel Taxes'!T$1</f>
        <v>2038</v>
      </c>
      <c r="U92" s="7">
        <f>'Fuel Taxes'!U$1</f>
        <v>2039</v>
      </c>
      <c r="V92" s="7">
        <f>'Fuel Taxes'!V$1</f>
        <v>2040</v>
      </c>
      <c r="W92" s="7">
        <f>'Fuel Taxes'!W$1</f>
        <v>2041</v>
      </c>
      <c r="X92" s="7">
        <f>'Fuel Taxes'!X$1</f>
        <v>2042</v>
      </c>
      <c r="Y92" s="7">
        <f>'Fuel Taxes'!Y$1</f>
        <v>2043</v>
      </c>
      <c r="Z92" s="7">
        <f>'Fuel Taxes'!Z$1</f>
        <v>2044</v>
      </c>
      <c r="AA92" s="7">
        <f>'Fuel Taxes'!AA$1</f>
        <v>2045</v>
      </c>
      <c r="AB92" s="7">
        <f>'Fuel Taxes'!AB$1</f>
        <v>2046</v>
      </c>
      <c r="AC92" s="7">
        <f>'Fuel Taxes'!AC$1</f>
        <v>2047</v>
      </c>
      <c r="AD92" s="7">
        <f>'Fuel Taxes'!AD$1</f>
        <v>2048</v>
      </c>
      <c r="AE92" s="7">
        <f>'Fuel Taxes'!AE$1</f>
        <v>2049</v>
      </c>
      <c r="AF92" s="7">
        <f>'Fuel Taxes'!AF$1</f>
        <v>2050</v>
      </c>
    </row>
    <row r="93" spans="1:32" x14ac:dyDescent="0.25">
      <c r="A93" t="s">
        <v>52</v>
      </c>
      <c r="B93">
        <f>'Pretax Fuel Prices'!B94+'Fuel Taxes'!B94</f>
        <v>0</v>
      </c>
      <c r="C93">
        <f>'Pretax Fuel Prices'!C94+'Fuel Taxes'!C94</f>
        <v>0</v>
      </c>
      <c r="D93">
        <f>'Pretax Fuel Prices'!D94+'Fuel Taxes'!D94</f>
        <v>0</v>
      </c>
      <c r="E93">
        <f>'Pretax Fuel Prices'!E94+'Fuel Taxes'!E94</f>
        <v>0</v>
      </c>
      <c r="F93">
        <f>'Pretax Fuel Prices'!F94+'Fuel Taxes'!F94</f>
        <v>0</v>
      </c>
      <c r="G93">
        <f>'Pretax Fuel Prices'!G94+'Fuel Taxes'!G94</f>
        <v>0</v>
      </c>
      <c r="H93">
        <f>'Pretax Fuel Prices'!H94+'Fuel Taxes'!H94</f>
        <v>0</v>
      </c>
      <c r="I93">
        <f>'Pretax Fuel Prices'!I94+'Fuel Taxes'!I94</f>
        <v>0</v>
      </c>
      <c r="J93">
        <f>'Pretax Fuel Prices'!J94+'Fuel Taxes'!J94</f>
        <v>0</v>
      </c>
      <c r="K93">
        <f>'Pretax Fuel Prices'!K94+'Fuel Taxes'!K94</f>
        <v>0</v>
      </c>
      <c r="L93">
        <f>'Pretax Fuel Prices'!L94+'Fuel Taxes'!L94</f>
        <v>0</v>
      </c>
      <c r="M93">
        <f>'Pretax Fuel Prices'!M94+'Fuel Taxes'!M94</f>
        <v>0</v>
      </c>
      <c r="N93">
        <f>'Pretax Fuel Prices'!N94+'Fuel Taxes'!N94</f>
        <v>0</v>
      </c>
      <c r="O93">
        <f>'Pretax Fuel Prices'!O94+'Fuel Taxes'!O94</f>
        <v>0</v>
      </c>
      <c r="P93">
        <f>'Pretax Fuel Prices'!P94+'Fuel Taxes'!P94</f>
        <v>0</v>
      </c>
      <c r="Q93">
        <f>'Pretax Fuel Prices'!Q94+'Fuel Taxes'!Q94</f>
        <v>0</v>
      </c>
      <c r="R93">
        <f>'Pretax Fuel Prices'!R94+'Fuel Taxes'!R94</f>
        <v>0</v>
      </c>
      <c r="S93">
        <f>'Pretax Fuel Prices'!S94+'Fuel Taxes'!S94</f>
        <v>0</v>
      </c>
      <c r="T93">
        <f>'Pretax Fuel Prices'!T94+'Fuel Taxes'!T94</f>
        <v>0</v>
      </c>
      <c r="U93">
        <f>'Pretax Fuel Prices'!U94+'Fuel Taxes'!U94</f>
        <v>0</v>
      </c>
      <c r="V93">
        <f>'Pretax Fuel Prices'!V94+'Fuel Taxes'!V94</f>
        <v>0</v>
      </c>
      <c r="W93">
        <f>'Pretax Fuel Prices'!W94+'Fuel Taxes'!W94</f>
        <v>0</v>
      </c>
      <c r="X93">
        <f>'Pretax Fuel Prices'!X94+'Fuel Taxes'!X94</f>
        <v>0</v>
      </c>
      <c r="Y93">
        <f>'Pretax Fuel Prices'!Y94+'Fuel Taxes'!Y94</f>
        <v>0</v>
      </c>
      <c r="Z93">
        <f>'Pretax Fuel Prices'!Z94+'Fuel Taxes'!Z94</f>
        <v>0</v>
      </c>
      <c r="AA93">
        <f>'Pretax Fuel Prices'!AA94+'Fuel Taxes'!AA94</f>
        <v>0</v>
      </c>
      <c r="AB93">
        <f>'Pretax Fuel Prices'!AB94+'Fuel Taxes'!AB94</f>
        <v>0</v>
      </c>
      <c r="AC93">
        <f>'Pretax Fuel Prices'!AC94+'Fuel Taxes'!AC94</f>
        <v>0</v>
      </c>
      <c r="AD93">
        <f>'Pretax Fuel Prices'!AD94+'Fuel Taxes'!AD94</f>
        <v>0</v>
      </c>
      <c r="AE93">
        <f>'Pretax Fuel Prices'!AE94+'Fuel Taxes'!AE94</f>
        <v>0</v>
      </c>
      <c r="AF93">
        <f>'Pretax Fuel Prices'!AF94+'Fuel Taxes'!AF94</f>
        <v>0</v>
      </c>
    </row>
    <row r="94" spans="1:32" x14ac:dyDescent="0.25">
      <c r="A94" t="s">
        <v>53</v>
      </c>
      <c r="B94">
        <f>'Pretax Fuel Prices'!B95+'Fuel Taxes'!B95</f>
        <v>1.6033945228538147E-6</v>
      </c>
      <c r="C94">
        <f>'Pretax Fuel Prices'!C95+'Fuel Taxes'!C95</f>
        <v>1.6047709638441597E-6</v>
      </c>
      <c r="D94">
        <f>'Pretax Fuel Prices'!D95+'Fuel Taxes'!D95</f>
        <v>1.5830184176916273E-6</v>
      </c>
      <c r="E94">
        <f>'Pretax Fuel Prices'!E95+'Fuel Taxes'!E95</f>
        <v>1.5696186745298908E-6</v>
      </c>
      <c r="F94">
        <f>'Pretax Fuel Prices'!F95+'Fuel Taxes'!F95</f>
        <v>1.56891740726348E-6</v>
      </c>
      <c r="G94">
        <f>'Pretax Fuel Prices'!G95+'Fuel Taxes'!G95</f>
        <v>1.5302580015645813E-6</v>
      </c>
      <c r="H94">
        <f>'Pretax Fuel Prices'!H95+'Fuel Taxes'!H95</f>
        <v>1.50496791697693E-6</v>
      </c>
      <c r="I94">
        <f>'Pretax Fuel Prices'!I95+'Fuel Taxes'!I95</f>
        <v>1.5038618024232366E-6</v>
      </c>
      <c r="J94">
        <f>'Pretax Fuel Prices'!J95+'Fuel Taxes'!J95</f>
        <v>1.4959107265094174E-6</v>
      </c>
      <c r="K94">
        <f>'Pretax Fuel Prices'!K95+'Fuel Taxes'!K95</f>
        <v>1.5015434861654255E-6</v>
      </c>
      <c r="L94">
        <f>'Pretax Fuel Prices'!L95+'Fuel Taxes'!L95</f>
        <v>1.4992961546920897E-6</v>
      </c>
      <c r="M94">
        <f>'Pretax Fuel Prices'!M95+'Fuel Taxes'!M95</f>
        <v>1.4983249892341572E-6</v>
      </c>
      <c r="N94">
        <f>'Pretax Fuel Prices'!N95+'Fuel Taxes'!N95</f>
        <v>1.4896141421106784E-6</v>
      </c>
      <c r="O94">
        <f>'Pretax Fuel Prices'!O95+'Fuel Taxes'!O95</f>
        <v>1.4868777176717817E-6</v>
      </c>
      <c r="P94">
        <f>'Pretax Fuel Prices'!P95+'Fuel Taxes'!P95</f>
        <v>1.4814852142093824E-6</v>
      </c>
      <c r="Q94">
        <f>'Pretax Fuel Prices'!Q95+'Fuel Taxes'!Q95</f>
        <v>1.4708452970638422E-6</v>
      </c>
      <c r="R94">
        <f>'Pretax Fuel Prices'!R95+'Fuel Taxes'!R95</f>
        <v>1.4589650963214244E-6</v>
      </c>
      <c r="S94">
        <f>'Pretax Fuel Prices'!S95+'Fuel Taxes'!S95</f>
        <v>1.456481408917363E-6</v>
      </c>
      <c r="T94">
        <f>'Pretax Fuel Prices'!T95+'Fuel Taxes'!T95</f>
        <v>1.4559556534806989E-6</v>
      </c>
      <c r="U94">
        <f>'Pretax Fuel Prices'!U95+'Fuel Taxes'!U95</f>
        <v>1.4538908543102998E-6</v>
      </c>
      <c r="V94">
        <f>'Pretax Fuel Prices'!V95+'Fuel Taxes'!V95</f>
        <v>1.4577762961946061E-6</v>
      </c>
      <c r="W94">
        <f>'Pretax Fuel Prices'!W95+'Fuel Taxes'!W95</f>
        <v>1.4545297173705783E-6</v>
      </c>
      <c r="X94">
        <f>'Pretax Fuel Prices'!X95+'Fuel Taxes'!X95</f>
        <v>1.4461792545375131E-6</v>
      </c>
      <c r="Y94">
        <f>'Pretax Fuel Prices'!Y95+'Fuel Taxes'!Y95</f>
        <v>1.4373631003161864E-6</v>
      </c>
      <c r="Z94">
        <f>'Pretax Fuel Prices'!Z95+'Fuel Taxes'!Z95</f>
        <v>1.4332389623434244E-6</v>
      </c>
      <c r="AA94">
        <f>'Pretax Fuel Prices'!AA95+'Fuel Taxes'!AA95</f>
        <v>1.4308418607753714E-6</v>
      </c>
      <c r="AB94">
        <f>'Pretax Fuel Prices'!AB95+'Fuel Taxes'!AB95</f>
        <v>1.4286343119834444E-6</v>
      </c>
      <c r="AC94">
        <f>'Pretax Fuel Prices'!AC95+'Fuel Taxes'!AC95</f>
        <v>1.4243432427592787E-6</v>
      </c>
      <c r="AD94">
        <f>'Pretax Fuel Prices'!AD95+'Fuel Taxes'!AD95</f>
        <v>1.4176285501794543E-6</v>
      </c>
      <c r="AE94">
        <f>'Pretax Fuel Prices'!AE95+'Fuel Taxes'!AE95</f>
        <v>1.4186589996332123E-6</v>
      </c>
      <c r="AF94">
        <f>'Pretax Fuel Prices'!AF95+'Fuel Taxes'!AF95</f>
        <v>1.4165450571504839E-6</v>
      </c>
    </row>
    <row r="95" spans="1:32" x14ac:dyDescent="0.25">
      <c r="A95" t="s">
        <v>54</v>
      </c>
      <c r="B95">
        <f>'Pretax Fuel Prices'!B96+'Fuel Taxes'!B96</f>
        <v>0</v>
      </c>
      <c r="C95">
        <f>'Pretax Fuel Prices'!C96+'Fuel Taxes'!C96</f>
        <v>0</v>
      </c>
      <c r="D95">
        <f>'Pretax Fuel Prices'!D96+'Fuel Taxes'!D96</f>
        <v>0</v>
      </c>
      <c r="E95">
        <f>'Pretax Fuel Prices'!E96+'Fuel Taxes'!E96</f>
        <v>0</v>
      </c>
      <c r="F95">
        <f>'Pretax Fuel Prices'!F96+'Fuel Taxes'!F96</f>
        <v>0</v>
      </c>
      <c r="G95">
        <f>'Pretax Fuel Prices'!G96+'Fuel Taxes'!G96</f>
        <v>0</v>
      </c>
      <c r="H95">
        <f>'Pretax Fuel Prices'!H96+'Fuel Taxes'!H96</f>
        <v>0</v>
      </c>
      <c r="I95">
        <f>'Pretax Fuel Prices'!I96+'Fuel Taxes'!I96</f>
        <v>0</v>
      </c>
      <c r="J95">
        <f>'Pretax Fuel Prices'!J96+'Fuel Taxes'!J96</f>
        <v>0</v>
      </c>
      <c r="K95">
        <f>'Pretax Fuel Prices'!K96+'Fuel Taxes'!K96</f>
        <v>0</v>
      </c>
      <c r="L95">
        <f>'Pretax Fuel Prices'!L96+'Fuel Taxes'!L96</f>
        <v>0</v>
      </c>
      <c r="M95">
        <f>'Pretax Fuel Prices'!M96+'Fuel Taxes'!M96</f>
        <v>0</v>
      </c>
      <c r="N95">
        <f>'Pretax Fuel Prices'!N96+'Fuel Taxes'!N96</f>
        <v>0</v>
      </c>
      <c r="O95">
        <f>'Pretax Fuel Prices'!O96+'Fuel Taxes'!O96</f>
        <v>0</v>
      </c>
      <c r="P95">
        <f>'Pretax Fuel Prices'!P96+'Fuel Taxes'!P96</f>
        <v>0</v>
      </c>
      <c r="Q95">
        <f>'Pretax Fuel Prices'!Q96+'Fuel Taxes'!Q96</f>
        <v>0</v>
      </c>
      <c r="R95">
        <f>'Pretax Fuel Prices'!R96+'Fuel Taxes'!R96</f>
        <v>0</v>
      </c>
      <c r="S95">
        <f>'Pretax Fuel Prices'!S96+'Fuel Taxes'!S96</f>
        <v>0</v>
      </c>
      <c r="T95">
        <f>'Pretax Fuel Prices'!T96+'Fuel Taxes'!T96</f>
        <v>0</v>
      </c>
      <c r="U95">
        <f>'Pretax Fuel Prices'!U96+'Fuel Taxes'!U96</f>
        <v>0</v>
      </c>
      <c r="V95">
        <f>'Pretax Fuel Prices'!V96+'Fuel Taxes'!V96</f>
        <v>0</v>
      </c>
      <c r="W95">
        <f>'Pretax Fuel Prices'!W96+'Fuel Taxes'!W96</f>
        <v>0</v>
      </c>
      <c r="X95">
        <f>'Pretax Fuel Prices'!X96+'Fuel Taxes'!X96</f>
        <v>0</v>
      </c>
      <c r="Y95">
        <f>'Pretax Fuel Prices'!Y96+'Fuel Taxes'!Y96</f>
        <v>0</v>
      </c>
      <c r="Z95">
        <f>'Pretax Fuel Prices'!Z96+'Fuel Taxes'!Z96</f>
        <v>0</v>
      </c>
      <c r="AA95">
        <f>'Pretax Fuel Prices'!AA96+'Fuel Taxes'!AA96</f>
        <v>0</v>
      </c>
      <c r="AB95">
        <f>'Pretax Fuel Prices'!AB96+'Fuel Taxes'!AB96</f>
        <v>0</v>
      </c>
      <c r="AC95">
        <f>'Pretax Fuel Prices'!AC96+'Fuel Taxes'!AC96</f>
        <v>0</v>
      </c>
      <c r="AD95">
        <f>'Pretax Fuel Prices'!AD96+'Fuel Taxes'!AD96</f>
        <v>0</v>
      </c>
      <c r="AE95">
        <f>'Pretax Fuel Prices'!AE96+'Fuel Taxes'!AE96</f>
        <v>0</v>
      </c>
      <c r="AF95">
        <f>'Pretax Fuel Prices'!AF96+'Fuel Taxes'!AF96</f>
        <v>0</v>
      </c>
    </row>
    <row r="96" spans="1:32" x14ac:dyDescent="0.25">
      <c r="A96" t="s">
        <v>55</v>
      </c>
      <c r="B96">
        <f>'Pretax Fuel Prices'!B97+'Fuel Taxes'!B97</f>
        <v>0</v>
      </c>
      <c r="C96">
        <f>'Pretax Fuel Prices'!C97+'Fuel Taxes'!C97</f>
        <v>0</v>
      </c>
      <c r="D96">
        <f>'Pretax Fuel Prices'!D97+'Fuel Taxes'!D97</f>
        <v>0</v>
      </c>
      <c r="E96">
        <f>'Pretax Fuel Prices'!E97+'Fuel Taxes'!E97</f>
        <v>0</v>
      </c>
      <c r="F96">
        <f>'Pretax Fuel Prices'!F97+'Fuel Taxes'!F97</f>
        <v>0</v>
      </c>
      <c r="G96">
        <f>'Pretax Fuel Prices'!G97+'Fuel Taxes'!G97</f>
        <v>0</v>
      </c>
      <c r="H96">
        <f>'Pretax Fuel Prices'!H97+'Fuel Taxes'!H97</f>
        <v>0</v>
      </c>
      <c r="I96">
        <f>'Pretax Fuel Prices'!I97+'Fuel Taxes'!I97</f>
        <v>0</v>
      </c>
      <c r="J96">
        <f>'Pretax Fuel Prices'!J97+'Fuel Taxes'!J97</f>
        <v>0</v>
      </c>
      <c r="K96">
        <f>'Pretax Fuel Prices'!K97+'Fuel Taxes'!K97</f>
        <v>0</v>
      </c>
      <c r="L96">
        <f>'Pretax Fuel Prices'!L97+'Fuel Taxes'!L97</f>
        <v>0</v>
      </c>
      <c r="M96">
        <f>'Pretax Fuel Prices'!M97+'Fuel Taxes'!M97</f>
        <v>0</v>
      </c>
      <c r="N96">
        <f>'Pretax Fuel Prices'!N97+'Fuel Taxes'!N97</f>
        <v>0</v>
      </c>
      <c r="O96">
        <f>'Pretax Fuel Prices'!O97+'Fuel Taxes'!O97</f>
        <v>0</v>
      </c>
      <c r="P96">
        <f>'Pretax Fuel Prices'!P97+'Fuel Taxes'!P97</f>
        <v>0</v>
      </c>
      <c r="Q96">
        <f>'Pretax Fuel Prices'!Q97+'Fuel Taxes'!Q97</f>
        <v>0</v>
      </c>
      <c r="R96">
        <f>'Pretax Fuel Prices'!R97+'Fuel Taxes'!R97</f>
        <v>0</v>
      </c>
      <c r="S96">
        <f>'Pretax Fuel Prices'!S97+'Fuel Taxes'!S97</f>
        <v>0</v>
      </c>
      <c r="T96">
        <f>'Pretax Fuel Prices'!T97+'Fuel Taxes'!T97</f>
        <v>0</v>
      </c>
      <c r="U96">
        <f>'Pretax Fuel Prices'!U97+'Fuel Taxes'!U97</f>
        <v>0</v>
      </c>
      <c r="V96">
        <f>'Pretax Fuel Prices'!V97+'Fuel Taxes'!V97</f>
        <v>0</v>
      </c>
      <c r="W96">
        <f>'Pretax Fuel Prices'!W97+'Fuel Taxes'!W97</f>
        <v>0</v>
      </c>
      <c r="X96">
        <f>'Pretax Fuel Prices'!X97+'Fuel Taxes'!X97</f>
        <v>0</v>
      </c>
      <c r="Y96">
        <f>'Pretax Fuel Prices'!Y97+'Fuel Taxes'!Y97</f>
        <v>0</v>
      </c>
      <c r="Z96">
        <f>'Pretax Fuel Prices'!Z97+'Fuel Taxes'!Z97</f>
        <v>0</v>
      </c>
      <c r="AA96">
        <f>'Pretax Fuel Prices'!AA97+'Fuel Taxes'!AA97</f>
        <v>0</v>
      </c>
      <c r="AB96">
        <f>'Pretax Fuel Prices'!AB97+'Fuel Taxes'!AB97</f>
        <v>0</v>
      </c>
      <c r="AC96">
        <f>'Pretax Fuel Prices'!AC97+'Fuel Taxes'!AC97</f>
        <v>0</v>
      </c>
      <c r="AD96">
        <f>'Pretax Fuel Prices'!AD97+'Fuel Taxes'!AD97</f>
        <v>0</v>
      </c>
      <c r="AE96">
        <f>'Pretax Fuel Prices'!AE97+'Fuel Taxes'!AE97</f>
        <v>0</v>
      </c>
      <c r="AF96">
        <f>'Pretax Fuel Prices'!AF97+'Fuel Taxes'!AF97</f>
        <v>0</v>
      </c>
    </row>
    <row r="97" spans="1:32" x14ac:dyDescent="0.25">
      <c r="A97" t="s">
        <v>56</v>
      </c>
      <c r="B97">
        <f>'Pretax Fuel Prices'!B98+'Fuel Taxes'!B98</f>
        <v>0</v>
      </c>
      <c r="C97">
        <f>'Pretax Fuel Prices'!C98+'Fuel Taxes'!C98</f>
        <v>0</v>
      </c>
      <c r="D97">
        <f>'Pretax Fuel Prices'!D98+'Fuel Taxes'!D98</f>
        <v>0</v>
      </c>
      <c r="E97">
        <f>'Pretax Fuel Prices'!E98+'Fuel Taxes'!E98</f>
        <v>0</v>
      </c>
      <c r="F97">
        <f>'Pretax Fuel Prices'!F98+'Fuel Taxes'!F98</f>
        <v>0</v>
      </c>
      <c r="G97">
        <f>'Pretax Fuel Prices'!G98+'Fuel Taxes'!G98</f>
        <v>0</v>
      </c>
      <c r="H97">
        <f>'Pretax Fuel Prices'!H98+'Fuel Taxes'!H98</f>
        <v>0</v>
      </c>
      <c r="I97">
        <f>'Pretax Fuel Prices'!I98+'Fuel Taxes'!I98</f>
        <v>0</v>
      </c>
      <c r="J97">
        <f>'Pretax Fuel Prices'!J98+'Fuel Taxes'!J98</f>
        <v>0</v>
      </c>
      <c r="K97">
        <f>'Pretax Fuel Prices'!K98+'Fuel Taxes'!K98</f>
        <v>0</v>
      </c>
      <c r="L97">
        <f>'Pretax Fuel Prices'!L98+'Fuel Taxes'!L98</f>
        <v>0</v>
      </c>
      <c r="M97">
        <f>'Pretax Fuel Prices'!M98+'Fuel Taxes'!M98</f>
        <v>0</v>
      </c>
      <c r="N97">
        <f>'Pretax Fuel Prices'!N98+'Fuel Taxes'!N98</f>
        <v>0</v>
      </c>
      <c r="O97">
        <f>'Pretax Fuel Prices'!O98+'Fuel Taxes'!O98</f>
        <v>0</v>
      </c>
      <c r="P97">
        <f>'Pretax Fuel Prices'!P98+'Fuel Taxes'!P98</f>
        <v>0</v>
      </c>
      <c r="Q97">
        <f>'Pretax Fuel Prices'!Q98+'Fuel Taxes'!Q98</f>
        <v>0</v>
      </c>
      <c r="R97">
        <f>'Pretax Fuel Prices'!R98+'Fuel Taxes'!R98</f>
        <v>0</v>
      </c>
      <c r="S97">
        <f>'Pretax Fuel Prices'!S98+'Fuel Taxes'!S98</f>
        <v>0</v>
      </c>
      <c r="T97">
        <f>'Pretax Fuel Prices'!T98+'Fuel Taxes'!T98</f>
        <v>0</v>
      </c>
      <c r="U97">
        <f>'Pretax Fuel Prices'!U98+'Fuel Taxes'!U98</f>
        <v>0</v>
      </c>
      <c r="V97">
        <f>'Pretax Fuel Prices'!V98+'Fuel Taxes'!V98</f>
        <v>0</v>
      </c>
      <c r="W97">
        <f>'Pretax Fuel Prices'!W98+'Fuel Taxes'!W98</f>
        <v>0</v>
      </c>
      <c r="X97">
        <f>'Pretax Fuel Prices'!X98+'Fuel Taxes'!X98</f>
        <v>0</v>
      </c>
      <c r="Y97">
        <f>'Pretax Fuel Prices'!Y98+'Fuel Taxes'!Y98</f>
        <v>0</v>
      </c>
      <c r="Z97">
        <f>'Pretax Fuel Prices'!Z98+'Fuel Taxes'!Z98</f>
        <v>0</v>
      </c>
      <c r="AA97">
        <f>'Pretax Fuel Prices'!AA98+'Fuel Taxes'!AA98</f>
        <v>0</v>
      </c>
      <c r="AB97">
        <f>'Pretax Fuel Prices'!AB98+'Fuel Taxes'!AB98</f>
        <v>0</v>
      </c>
      <c r="AC97">
        <f>'Pretax Fuel Prices'!AC98+'Fuel Taxes'!AC98</f>
        <v>0</v>
      </c>
      <c r="AD97">
        <f>'Pretax Fuel Prices'!AD98+'Fuel Taxes'!AD98</f>
        <v>0</v>
      </c>
      <c r="AE97">
        <f>'Pretax Fuel Prices'!AE98+'Fuel Taxes'!AE98</f>
        <v>0</v>
      </c>
      <c r="AF97">
        <f>'Pretax Fuel Prices'!AF98+'Fuel Taxes'!AF98</f>
        <v>0</v>
      </c>
    </row>
    <row r="98" spans="1:32" x14ac:dyDescent="0.25">
      <c r="A98" t="s">
        <v>57</v>
      </c>
      <c r="B98">
        <f>'Pretax Fuel Prices'!B99+'Fuel Taxes'!B99</f>
        <v>0</v>
      </c>
      <c r="C98">
        <f>'Pretax Fuel Prices'!C99+'Fuel Taxes'!C99</f>
        <v>0</v>
      </c>
      <c r="D98">
        <f>'Pretax Fuel Prices'!D99+'Fuel Taxes'!D99</f>
        <v>0</v>
      </c>
      <c r="E98">
        <f>'Pretax Fuel Prices'!E99+'Fuel Taxes'!E99</f>
        <v>0</v>
      </c>
      <c r="F98">
        <f>'Pretax Fuel Prices'!F99+'Fuel Taxes'!F99</f>
        <v>0</v>
      </c>
      <c r="G98">
        <f>'Pretax Fuel Prices'!G99+'Fuel Taxes'!G99</f>
        <v>0</v>
      </c>
      <c r="H98">
        <f>'Pretax Fuel Prices'!H99+'Fuel Taxes'!H99</f>
        <v>0</v>
      </c>
      <c r="I98">
        <f>'Pretax Fuel Prices'!I99+'Fuel Taxes'!I99</f>
        <v>0</v>
      </c>
      <c r="J98">
        <f>'Pretax Fuel Prices'!J99+'Fuel Taxes'!J99</f>
        <v>0</v>
      </c>
      <c r="K98">
        <f>'Pretax Fuel Prices'!K99+'Fuel Taxes'!K99</f>
        <v>0</v>
      </c>
      <c r="L98">
        <f>'Pretax Fuel Prices'!L99+'Fuel Taxes'!L99</f>
        <v>0</v>
      </c>
      <c r="M98">
        <f>'Pretax Fuel Prices'!M99+'Fuel Taxes'!M99</f>
        <v>0</v>
      </c>
      <c r="N98">
        <f>'Pretax Fuel Prices'!N99+'Fuel Taxes'!N99</f>
        <v>0</v>
      </c>
      <c r="O98">
        <f>'Pretax Fuel Prices'!O99+'Fuel Taxes'!O99</f>
        <v>0</v>
      </c>
      <c r="P98">
        <f>'Pretax Fuel Prices'!P99+'Fuel Taxes'!P99</f>
        <v>0</v>
      </c>
      <c r="Q98">
        <f>'Pretax Fuel Prices'!Q99+'Fuel Taxes'!Q99</f>
        <v>0</v>
      </c>
      <c r="R98">
        <f>'Pretax Fuel Prices'!R99+'Fuel Taxes'!R99</f>
        <v>0</v>
      </c>
      <c r="S98">
        <f>'Pretax Fuel Prices'!S99+'Fuel Taxes'!S99</f>
        <v>0</v>
      </c>
      <c r="T98">
        <f>'Pretax Fuel Prices'!T99+'Fuel Taxes'!T99</f>
        <v>0</v>
      </c>
      <c r="U98">
        <f>'Pretax Fuel Prices'!U99+'Fuel Taxes'!U99</f>
        <v>0</v>
      </c>
      <c r="V98">
        <f>'Pretax Fuel Prices'!V99+'Fuel Taxes'!V99</f>
        <v>0</v>
      </c>
      <c r="W98">
        <f>'Pretax Fuel Prices'!W99+'Fuel Taxes'!W99</f>
        <v>0</v>
      </c>
      <c r="X98">
        <f>'Pretax Fuel Prices'!X99+'Fuel Taxes'!X99</f>
        <v>0</v>
      </c>
      <c r="Y98">
        <f>'Pretax Fuel Prices'!Y99+'Fuel Taxes'!Y99</f>
        <v>0</v>
      </c>
      <c r="Z98">
        <f>'Pretax Fuel Prices'!Z99+'Fuel Taxes'!Z99</f>
        <v>0</v>
      </c>
      <c r="AA98">
        <f>'Pretax Fuel Prices'!AA99+'Fuel Taxes'!AA99</f>
        <v>0</v>
      </c>
      <c r="AB98">
        <f>'Pretax Fuel Prices'!AB99+'Fuel Taxes'!AB99</f>
        <v>0</v>
      </c>
      <c r="AC98">
        <f>'Pretax Fuel Prices'!AC99+'Fuel Taxes'!AC99</f>
        <v>0</v>
      </c>
      <c r="AD98">
        <f>'Pretax Fuel Prices'!AD99+'Fuel Taxes'!AD99</f>
        <v>0</v>
      </c>
      <c r="AE98">
        <f>'Pretax Fuel Prices'!AE99+'Fuel Taxes'!AE99</f>
        <v>0</v>
      </c>
      <c r="AF98">
        <f>'Pretax Fuel Prices'!AF99+'Fuel Taxes'!AF99</f>
        <v>0</v>
      </c>
    </row>
    <row r="99" spans="1:32" x14ac:dyDescent="0.25">
      <c r="A99" t="s">
        <v>58</v>
      </c>
      <c r="B99">
        <f>'Pretax Fuel Prices'!B100+'Fuel Taxes'!B100</f>
        <v>0</v>
      </c>
      <c r="C99">
        <f>'Pretax Fuel Prices'!C100+'Fuel Taxes'!C100</f>
        <v>0</v>
      </c>
      <c r="D99">
        <f>'Pretax Fuel Prices'!D100+'Fuel Taxes'!D100</f>
        <v>0</v>
      </c>
      <c r="E99">
        <f>'Pretax Fuel Prices'!E100+'Fuel Taxes'!E100</f>
        <v>0</v>
      </c>
      <c r="F99">
        <f>'Pretax Fuel Prices'!F100+'Fuel Taxes'!F100</f>
        <v>0</v>
      </c>
      <c r="G99">
        <f>'Pretax Fuel Prices'!G100+'Fuel Taxes'!G100</f>
        <v>0</v>
      </c>
      <c r="H99">
        <f>'Pretax Fuel Prices'!H100+'Fuel Taxes'!H100</f>
        <v>0</v>
      </c>
      <c r="I99">
        <f>'Pretax Fuel Prices'!I100+'Fuel Taxes'!I100</f>
        <v>0</v>
      </c>
      <c r="J99">
        <f>'Pretax Fuel Prices'!J100+'Fuel Taxes'!J100</f>
        <v>0</v>
      </c>
      <c r="K99">
        <f>'Pretax Fuel Prices'!K100+'Fuel Taxes'!K100</f>
        <v>0</v>
      </c>
      <c r="L99">
        <f>'Pretax Fuel Prices'!L100+'Fuel Taxes'!L100</f>
        <v>0</v>
      </c>
      <c r="M99">
        <f>'Pretax Fuel Prices'!M100+'Fuel Taxes'!M100</f>
        <v>0</v>
      </c>
      <c r="N99">
        <f>'Pretax Fuel Prices'!N100+'Fuel Taxes'!N100</f>
        <v>0</v>
      </c>
      <c r="O99">
        <f>'Pretax Fuel Prices'!O100+'Fuel Taxes'!O100</f>
        <v>0</v>
      </c>
      <c r="P99">
        <f>'Pretax Fuel Prices'!P100+'Fuel Taxes'!P100</f>
        <v>0</v>
      </c>
      <c r="Q99">
        <f>'Pretax Fuel Prices'!Q100+'Fuel Taxes'!Q100</f>
        <v>0</v>
      </c>
      <c r="R99">
        <f>'Pretax Fuel Prices'!R100+'Fuel Taxes'!R100</f>
        <v>0</v>
      </c>
      <c r="S99">
        <f>'Pretax Fuel Prices'!S100+'Fuel Taxes'!S100</f>
        <v>0</v>
      </c>
      <c r="T99">
        <f>'Pretax Fuel Prices'!T100+'Fuel Taxes'!T100</f>
        <v>0</v>
      </c>
      <c r="U99">
        <f>'Pretax Fuel Prices'!U100+'Fuel Taxes'!U100</f>
        <v>0</v>
      </c>
      <c r="V99">
        <f>'Pretax Fuel Prices'!V100+'Fuel Taxes'!V100</f>
        <v>0</v>
      </c>
      <c r="W99">
        <f>'Pretax Fuel Prices'!W100+'Fuel Taxes'!W100</f>
        <v>0</v>
      </c>
      <c r="X99">
        <f>'Pretax Fuel Prices'!X100+'Fuel Taxes'!X100</f>
        <v>0</v>
      </c>
      <c r="Y99">
        <f>'Pretax Fuel Prices'!Y100+'Fuel Taxes'!Y100</f>
        <v>0</v>
      </c>
      <c r="Z99">
        <f>'Pretax Fuel Prices'!Z100+'Fuel Taxes'!Z100</f>
        <v>0</v>
      </c>
      <c r="AA99">
        <f>'Pretax Fuel Prices'!AA100+'Fuel Taxes'!AA100</f>
        <v>0</v>
      </c>
      <c r="AB99">
        <f>'Pretax Fuel Prices'!AB100+'Fuel Taxes'!AB100</f>
        <v>0</v>
      </c>
      <c r="AC99">
        <f>'Pretax Fuel Prices'!AC100+'Fuel Taxes'!AC100</f>
        <v>0</v>
      </c>
      <c r="AD99">
        <f>'Pretax Fuel Prices'!AD100+'Fuel Taxes'!AD100</f>
        <v>0</v>
      </c>
      <c r="AE99">
        <f>'Pretax Fuel Prices'!AE100+'Fuel Taxes'!AE100</f>
        <v>0</v>
      </c>
      <c r="AF99">
        <f>'Pretax Fuel Prices'!AF100+'Fuel Taxes'!AF100</f>
        <v>0</v>
      </c>
    </row>
    <row r="100" spans="1:32" x14ac:dyDescent="0.25">
      <c r="A100" t="s">
        <v>59</v>
      </c>
      <c r="B100">
        <f>'Pretax Fuel Prices'!B101+'Fuel Taxes'!B101</f>
        <v>0</v>
      </c>
      <c r="C100">
        <f>'Pretax Fuel Prices'!C101+'Fuel Taxes'!C101</f>
        <v>0</v>
      </c>
      <c r="D100">
        <f>'Pretax Fuel Prices'!D101+'Fuel Taxes'!D101</f>
        <v>0</v>
      </c>
      <c r="E100">
        <f>'Pretax Fuel Prices'!E101+'Fuel Taxes'!E101</f>
        <v>0</v>
      </c>
      <c r="F100">
        <f>'Pretax Fuel Prices'!F101+'Fuel Taxes'!F101</f>
        <v>0</v>
      </c>
      <c r="G100">
        <f>'Pretax Fuel Prices'!G101+'Fuel Taxes'!G101</f>
        <v>0</v>
      </c>
      <c r="H100">
        <f>'Pretax Fuel Prices'!H101+'Fuel Taxes'!H101</f>
        <v>0</v>
      </c>
      <c r="I100">
        <f>'Pretax Fuel Prices'!I101+'Fuel Taxes'!I101</f>
        <v>0</v>
      </c>
      <c r="J100">
        <f>'Pretax Fuel Prices'!J101+'Fuel Taxes'!J101</f>
        <v>0</v>
      </c>
      <c r="K100">
        <f>'Pretax Fuel Prices'!K101+'Fuel Taxes'!K101</f>
        <v>0</v>
      </c>
      <c r="L100">
        <f>'Pretax Fuel Prices'!L101+'Fuel Taxes'!L101</f>
        <v>0</v>
      </c>
      <c r="M100">
        <f>'Pretax Fuel Prices'!M101+'Fuel Taxes'!M101</f>
        <v>0</v>
      </c>
      <c r="N100">
        <f>'Pretax Fuel Prices'!N101+'Fuel Taxes'!N101</f>
        <v>0</v>
      </c>
      <c r="O100">
        <f>'Pretax Fuel Prices'!O101+'Fuel Taxes'!O101</f>
        <v>0</v>
      </c>
      <c r="P100">
        <f>'Pretax Fuel Prices'!P101+'Fuel Taxes'!P101</f>
        <v>0</v>
      </c>
      <c r="Q100">
        <f>'Pretax Fuel Prices'!Q101+'Fuel Taxes'!Q101</f>
        <v>0</v>
      </c>
      <c r="R100">
        <f>'Pretax Fuel Prices'!R101+'Fuel Taxes'!R101</f>
        <v>0</v>
      </c>
      <c r="S100">
        <f>'Pretax Fuel Prices'!S101+'Fuel Taxes'!S101</f>
        <v>0</v>
      </c>
      <c r="T100">
        <f>'Pretax Fuel Prices'!T101+'Fuel Taxes'!T101</f>
        <v>0</v>
      </c>
      <c r="U100">
        <f>'Pretax Fuel Prices'!U101+'Fuel Taxes'!U101</f>
        <v>0</v>
      </c>
      <c r="V100">
        <f>'Pretax Fuel Prices'!V101+'Fuel Taxes'!V101</f>
        <v>0</v>
      </c>
      <c r="W100">
        <f>'Pretax Fuel Prices'!W101+'Fuel Taxes'!W101</f>
        <v>0</v>
      </c>
      <c r="X100">
        <f>'Pretax Fuel Prices'!X101+'Fuel Taxes'!X101</f>
        <v>0</v>
      </c>
      <c r="Y100">
        <f>'Pretax Fuel Prices'!Y101+'Fuel Taxes'!Y101</f>
        <v>0</v>
      </c>
      <c r="Z100">
        <f>'Pretax Fuel Prices'!Z101+'Fuel Taxes'!Z101</f>
        <v>0</v>
      </c>
      <c r="AA100">
        <f>'Pretax Fuel Prices'!AA101+'Fuel Taxes'!AA101</f>
        <v>0</v>
      </c>
      <c r="AB100">
        <f>'Pretax Fuel Prices'!AB101+'Fuel Taxes'!AB101</f>
        <v>0</v>
      </c>
      <c r="AC100">
        <f>'Pretax Fuel Prices'!AC101+'Fuel Taxes'!AC101</f>
        <v>0</v>
      </c>
      <c r="AD100">
        <f>'Pretax Fuel Prices'!AD101+'Fuel Taxes'!AD101</f>
        <v>0</v>
      </c>
      <c r="AE100">
        <f>'Pretax Fuel Prices'!AE101+'Fuel Taxes'!AE101</f>
        <v>0</v>
      </c>
      <c r="AF100">
        <f>'Pretax Fuel Prices'!AF101+'Fuel Taxes'!AF101</f>
        <v>0</v>
      </c>
    </row>
    <row r="101" spans="1:32" s="4" customFormat="1" x14ac:dyDescent="0.25">
      <c r="A101" s="6" t="s">
        <v>46</v>
      </c>
    </row>
    <row r="102" spans="1:32" x14ac:dyDescent="0.25">
      <c r="A102" t="s">
        <v>30</v>
      </c>
      <c r="B102" s="7">
        <f>'Fuel Taxes'!B$1</f>
        <v>2020</v>
      </c>
      <c r="C102" s="7">
        <f>'Fuel Taxes'!C$1</f>
        <v>2021</v>
      </c>
      <c r="D102" s="7">
        <f>'Fuel Taxes'!D$1</f>
        <v>2022</v>
      </c>
      <c r="E102" s="7">
        <f>'Fuel Taxes'!E$1</f>
        <v>2023</v>
      </c>
      <c r="F102" s="7">
        <f>'Fuel Taxes'!F$1</f>
        <v>2024</v>
      </c>
      <c r="G102" s="7">
        <f>'Fuel Taxes'!G$1</f>
        <v>2025</v>
      </c>
      <c r="H102" s="7">
        <f>'Fuel Taxes'!H$1</f>
        <v>2026</v>
      </c>
      <c r="I102" s="7">
        <f>'Fuel Taxes'!I$1</f>
        <v>2027</v>
      </c>
      <c r="J102" s="7">
        <f>'Fuel Taxes'!J$1</f>
        <v>2028</v>
      </c>
      <c r="K102" s="7">
        <f>'Fuel Taxes'!K$1</f>
        <v>2029</v>
      </c>
      <c r="L102" s="7">
        <f>'Fuel Taxes'!L$1</f>
        <v>2030</v>
      </c>
      <c r="M102" s="7">
        <f>'Fuel Taxes'!M$1</f>
        <v>2031</v>
      </c>
      <c r="N102" s="7">
        <f>'Fuel Taxes'!N$1</f>
        <v>2032</v>
      </c>
      <c r="O102" s="7">
        <f>'Fuel Taxes'!O$1</f>
        <v>2033</v>
      </c>
      <c r="P102" s="7">
        <f>'Fuel Taxes'!P$1</f>
        <v>2034</v>
      </c>
      <c r="Q102" s="7">
        <f>'Fuel Taxes'!Q$1</f>
        <v>2035</v>
      </c>
      <c r="R102" s="7">
        <f>'Fuel Taxes'!R$1</f>
        <v>2036</v>
      </c>
      <c r="S102" s="7">
        <f>'Fuel Taxes'!S$1</f>
        <v>2037</v>
      </c>
      <c r="T102" s="7">
        <f>'Fuel Taxes'!T$1</f>
        <v>2038</v>
      </c>
      <c r="U102" s="7">
        <f>'Fuel Taxes'!U$1</f>
        <v>2039</v>
      </c>
      <c r="V102" s="7">
        <f>'Fuel Taxes'!V$1</f>
        <v>2040</v>
      </c>
      <c r="W102" s="7">
        <f>'Fuel Taxes'!W$1</f>
        <v>2041</v>
      </c>
      <c r="X102" s="7">
        <f>'Fuel Taxes'!X$1</f>
        <v>2042</v>
      </c>
      <c r="Y102" s="7">
        <f>'Fuel Taxes'!Y$1</f>
        <v>2043</v>
      </c>
      <c r="Z102" s="7">
        <f>'Fuel Taxes'!Z$1</f>
        <v>2044</v>
      </c>
      <c r="AA102" s="7">
        <f>'Fuel Taxes'!AA$1</f>
        <v>2045</v>
      </c>
      <c r="AB102" s="7">
        <f>'Fuel Taxes'!AB$1</f>
        <v>2046</v>
      </c>
      <c r="AC102" s="7">
        <f>'Fuel Taxes'!AC$1</f>
        <v>2047</v>
      </c>
      <c r="AD102" s="7">
        <f>'Fuel Taxes'!AD$1</f>
        <v>2048</v>
      </c>
      <c r="AE102" s="7">
        <f>'Fuel Taxes'!AE$1</f>
        <v>2049</v>
      </c>
      <c r="AF102" s="7">
        <f>'Fuel Taxes'!AF$1</f>
        <v>2050</v>
      </c>
    </row>
    <row r="103" spans="1:32" x14ac:dyDescent="0.25">
      <c r="A103" t="s">
        <v>52</v>
      </c>
      <c r="B103">
        <f>'Pretax Fuel Prices'!B104+'Fuel Taxes'!B104</f>
        <v>0</v>
      </c>
      <c r="C103">
        <f>'Pretax Fuel Prices'!C104+'Fuel Taxes'!C104</f>
        <v>0</v>
      </c>
      <c r="D103">
        <f>'Pretax Fuel Prices'!D104+'Fuel Taxes'!D104</f>
        <v>0</v>
      </c>
      <c r="E103">
        <f>'Pretax Fuel Prices'!E104+'Fuel Taxes'!E104</f>
        <v>0</v>
      </c>
      <c r="F103">
        <f>'Pretax Fuel Prices'!F104+'Fuel Taxes'!F104</f>
        <v>0</v>
      </c>
      <c r="G103">
        <f>'Pretax Fuel Prices'!G104+'Fuel Taxes'!G104</f>
        <v>0</v>
      </c>
      <c r="H103">
        <f>'Pretax Fuel Prices'!H104+'Fuel Taxes'!H104</f>
        <v>0</v>
      </c>
      <c r="I103">
        <f>'Pretax Fuel Prices'!I104+'Fuel Taxes'!I104</f>
        <v>0</v>
      </c>
      <c r="J103">
        <f>'Pretax Fuel Prices'!J104+'Fuel Taxes'!J104</f>
        <v>0</v>
      </c>
      <c r="K103">
        <f>'Pretax Fuel Prices'!K104+'Fuel Taxes'!K104</f>
        <v>0</v>
      </c>
      <c r="L103">
        <f>'Pretax Fuel Prices'!L104+'Fuel Taxes'!L104</f>
        <v>0</v>
      </c>
      <c r="M103">
        <f>'Pretax Fuel Prices'!M104+'Fuel Taxes'!M104</f>
        <v>0</v>
      </c>
      <c r="N103">
        <f>'Pretax Fuel Prices'!N104+'Fuel Taxes'!N104</f>
        <v>0</v>
      </c>
      <c r="O103">
        <f>'Pretax Fuel Prices'!O104+'Fuel Taxes'!O104</f>
        <v>0</v>
      </c>
      <c r="P103">
        <f>'Pretax Fuel Prices'!P104+'Fuel Taxes'!P104</f>
        <v>0</v>
      </c>
      <c r="Q103">
        <f>'Pretax Fuel Prices'!Q104+'Fuel Taxes'!Q104</f>
        <v>0</v>
      </c>
      <c r="R103">
        <f>'Pretax Fuel Prices'!R104+'Fuel Taxes'!R104</f>
        <v>0</v>
      </c>
      <c r="S103">
        <f>'Pretax Fuel Prices'!S104+'Fuel Taxes'!S104</f>
        <v>0</v>
      </c>
      <c r="T103">
        <f>'Pretax Fuel Prices'!T104+'Fuel Taxes'!T104</f>
        <v>0</v>
      </c>
      <c r="U103">
        <f>'Pretax Fuel Prices'!U104+'Fuel Taxes'!U104</f>
        <v>0</v>
      </c>
      <c r="V103">
        <f>'Pretax Fuel Prices'!V104+'Fuel Taxes'!V104</f>
        <v>0</v>
      </c>
      <c r="W103">
        <f>'Pretax Fuel Prices'!W104+'Fuel Taxes'!W104</f>
        <v>0</v>
      </c>
      <c r="X103">
        <f>'Pretax Fuel Prices'!X104+'Fuel Taxes'!X104</f>
        <v>0</v>
      </c>
      <c r="Y103">
        <f>'Pretax Fuel Prices'!Y104+'Fuel Taxes'!Y104</f>
        <v>0</v>
      </c>
      <c r="Z103">
        <f>'Pretax Fuel Prices'!Z104+'Fuel Taxes'!Z104</f>
        <v>0</v>
      </c>
      <c r="AA103">
        <f>'Pretax Fuel Prices'!AA104+'Fuel Taxes'!AA104</f>
        <v>0</v>
      </c>
      <c r="AB103">
        <f>'Pretax Fuel Prices'!AB104+'Fuel Taxes'!AB104</f>
        <v>0</v>
      </c>
      <c r="AC103">
        <f>'Pretax Fuel Prices'!AC104+'Fuel Taxes'!AC104</f>
        <v>0</v>
      </c>
      <c r="AD103">
        <f>'Pretax Fuel Prices'!AD104+'Fuel Taxes'!AD104</f>
        <v>0</v>
      </c>
      <c r="AE103">
        <f>'Pretax Fuel Prices'!AE104+'Fuel Taxes'!AE104</f>
        <v>0</v>
      </c>
      <c r="AF103">
        <f>'Pretax Fuel Prices'!AF104+'Fuel Taxes'!AF104</f>
        <v>0</v>
      </c>
    </row>
    <row r="104" spans="1:32" x14ac:dyDescent="0.25">
      <c r="A104" t="s">
        <v>53</v>
      </c>
      <c r="B104">
        <f>'Pretax Fuel Prices'!B105+'Fuel Taxes'!B105</f>
        <v>5.8032702844488082E-6</v>
      </c>
      <c r="C104">
        <f>'Pretax Fuel Prices'!C105+'Fuel Taxes'!C105</f>
        <v>1.010572034981499E-5</v>
      </c>
      <c r="D104">
        <f>'Pretax Fuel Prices'!D105+'Fuel Taxes'!D105</f>
        <v>1.4548918609468291E-5</v>
      </c>
      <c r="E104">
        <f>'Pretax Fuel Prices'!E105+'Fuel Taxes'!E105</f>
        <v>1.3814064879295553E-5</v>
      </c>
      <c r="F104">
        <f>'Pretax Fuel Prices'!F105+'Fuel Taxes'!F105</f>
        <v>1.3102705815542782E-5</v>
      </c>
      <c r="G104">
        <f>'Pretax Fuel Prices'!G105+'Fuel Taxes'!G105</f>
        <v>1.2391346751790012E-5</v>
      </c>
      <c r="H104">
        <f>'Pretax Fuel Prices'!H105+'Fuel Taxes'!H105</f>
        <v>1.1679987688037241E-5</v>
      </c>
      <c r="I104">
        <f>'Pretax Fuel Prices'!I105+'Fuel Taxes'!I105</f>
        <v>1.096862862428447E-5</v>
      </c>
      <c r="J104">
        <f>'Pretax Fuel Prices'!J105+'Fuel Taxes'!J105</f>
        <v>1.0257269560531699E-5</v>
      </c>
      <c r="K104">
        <f>'Pretax Fuel Prices'!K105+'Fuel Taxes'!K105</f>
        <v>1.0408034285260253E-5</v>
      </c>
      <c r="L104">
        <f>'Pretax Fuel Prices'!L105+'Fuel Taxes'!L105</f>
        <v>1.0568057722521E-5</v>
      </c>
      <c r="M104">
        <f>'Pretax Fuel Prices'!M105+'Fuel Taxes'!M105</f>
        <v>1.0789191951557296E-5</v>
      </c>
      <c r="N104">
        <f>'Pretax Fuel Prices'!N105+'Fuel Taxes'!N105</f>
        <v>1.0962604245994599E-5</v>
      </c>
      <c r="O104">
        <f>'Pretax Fuel Prices'!O105+'Fuel Taxes'!O105</f>
        <v>1.1079859048003297E-5</v>
      </c>
      <c r="P104">
        <f>'Pretax Fuel Prices'!P105+'Fuel Taxes'!P105</f>
        <v>1.1139624583353451E-5</v>
      </c>
      <c r="Q104">
        <f>'Pretax Fuel Prices'!Q105+'Fuel Taxes'!Q105</f>
        <v>1.1245470781201217E-5</v>
      </c>
      <c r="R104">
        <f>'Pretax Fuel Prices'!R105+'Fuel Taxes'!R105</f>
        <v>1.1425356603639763E-5</v>
      </c>
      <c r="S104">
        <f>'Pretax Fuel Prices'!S105+'Fuel Taxes'!S105</f>
        <v>1.1557046984922532E-5</v>
      </c>
      <c r="T104">
        <f>'Pretax Fuel Prices'!T105+'Fuel Taxes'!T105</f>
        <v>1.1709809000606015E-5</v>
      </c>
      <c r="U104">
        <f>'Pretax Fuel Prices'!U105+'Fuel Taxes'!U105</f>
        <v>1.1748037247266352E-5</v>
      </c>
      <c r="V104">
        <f>'Pretax Fuel Prices'!V105+'Fuel Taxes'!V105</f>
        <v>1.1971575603617068E-5</v>
      </c>
      <c r="W104">
        <f>'Pretax Fuel Prices'!W105+'Fuel Taxes'!W105</f>
        <v>1.2108322993442573E-5</v>
      </c>
      <c r="X104">
        <f>'Pretax Fuel Prices'!X105+'Fuel Taxes'!X105</f>
        <v>1.2166028123384359E-5</v>
      </c>
      <c r="Y104">
        <f>'Pretax Fuel Prices'!Y105+'Fuel Taxes'!Y105</f>
        <v>1.2377163304386512E-5</v>
      </c>
      <c r="Z104">
        <f>'Pretax Fuel Prices'!Z105+'Fuel Taxes'!Z105</f>
        <v>1.2631320319234431E-5</v>
      </c>
      <c r="AA104">
        <f>'Pretax Fuel Prices'!AA105+'Fuel Taxes'!AA105</f>
        <v>1.2700802369138198E-5</v>
      </c>
      <c r="AB104">
        <f>'Pretax Fuel Prices'!AB105+'Fuel Taxes'!AB105</f>
        <v>1.2885034347660337E-5</v>
      </c>
      <c r="AC104">
        <f>'Pretax Fuel Prices'!AC105+'Fuel Taxes'!AC105</f>
        <v>1.2877523135077211E-5</v>
      </c>
      <c r="AD104">
        <f>'Pretax Fuel Prices'!AD105+'Fuel Taxes'!AD105</f>
        <v>1.2895332818958327E-5</v>
      </c>
      <c r="AE104">
        <f>'Pretax Fuel Prices'!AE105+'Fuel Taxes'!AE105</f>
        <v>1.2940666330778267E-5</v>
      </c>
      <c r="AF104">
        <f>'Pretax Fuel Prices'!AF105+'Fuel Taxes'!AF105</f>
        <v>1.2899894838325157E-5</v>
      </c>
    </row>
    <row r="105" spans="1:32" x14ac:dyDescent="0.25">
      <c r="A105" t="s">
        <v>54</v>
      </c>
      <c r="B105">
        <f>'Pretax Fuel Prices'!B106+'Fuel Taxes'!B106</f>
        <v>0</v>
      </c>
      <c r="C105">
        <f>'Pretax Fuel Prices'!C106+'Fuel Taxes'!C106</f>
        <v>0</v>
      </c>
      <c r="D105">
        <f>'Pretax Fuel Prices'!D106+'Fuel Taxes'!D106</f>
        <v>0</v>
      </c>
      <c r="E105">
        <f>'Pretax Fuel Prices'!E106+'Fuel Taxes'!E106</f>
        <v>0</v>
      </c>
      <c r="F105">
        <f>'Pretax Fuel Prices'!F106+'Fuel Taxes'!F106</f>
        <v>0</v>
      </c>
      <c r="G105">
        <f>'Pretax Fuel Prices'!G106+'Fuel Taxes'!G106</f>
        <v>0</v>
      </c>
      <c r="H105">
        <f>'Pretax Fuel Prices'!H106+'Fuel Taxes'!H106</f>
        <v>0</v>
      </c>
      <c r="I105">
        <f>'Pretax Fuel Prices'!I106+'Fuel Taxes'!I106</f>
        <v>0</v>
      </c>
      <c r="J105">
        <f>'Pretax Fuel Prices'!J106+'Fuel Taxes'!J106</f>
        <v>0</v>
      </c>
      <c r="K105">
        <f>'Pretax Fuel Prices'!K106+'Fuel Taxes'!K106</f>
        <v>0</v>
      </c>
      <c r="L105">
        <f>'Pretax Fuel Prices'!L106+'Fuel Taxes'!L106</f>
        <v>0</v>
      </c>
      <c r="M105">
        <f>'Pretax Fuel Prices'!M106+'Fuel Taxes'!M106</f>
        <v>0</v>
      </c>
      <c r="N105">
        <f>'Pretax Fuel Prices'!N106+'Fuel Taxes'!N106</f>
        <v>0</v>
      </c>
      <c r="O105">
        <f>'Pretax Fuel Prices'!O106+'Fuel Taxes'!O106</f>
        <v>0</v>
      </c>
      <c r="P105">
        <f>'Pretax Fuel Prices'!P106+'Fuel Taxes'!P106</f>
        <v>0</v>
      </c>
      <c r="Q105">
        <f>'Pretax Fuel Prices'!Q106+'Fuel Taxes'!Q106</f>
        <v>0</v>
      </c>
      <c r="R105">
        <f>'Pretax Fuel Prices'!R106+'Fuel Taxes'!R106</f>
        <v>0</v>
      </c>
      <c r="S105">
        <f>'Pretax Fuel Prices'!S106+'Fuel Taxes'!S106</f>
        <v>0</v>
      </c>
      <c r="T105">
        <f>'Pretax Fuel Prices'!T106+'Fuel Taxes'!T106</f>
        <v>0</v>
      </c>
      <c r="U105">
        <f>'Pretax Fuel Prices'!U106+'Fuel Taxes'!U106</f>
        <v>0</v>
      </c>
      <c r="V105">
        <f>'Pretax Fuel Prices'!V106+'Fuel Taxes'!V106</f>
        <v>0</v>
      </c>
      <c r="W105">
        <f>'Pretax Fuel Prices'!W106+'Fuel Taxes'!W106</f>
        <v>0</v>
      </c>
      <c r="X105">
        <f>'Pretax Fuel Prices'!X106+'Fuel Taxes'!X106</f>
        <v>0</v>
      </c>
      <c r="Y105">
        <f>'Pretax Fuel Prices'!Y106+'Fuel Taxes'!Y106</f>
        <v>0</v>
      </c>
      <c r="Z105">
        <f>'Pretax Fuel Prices'!Z106+'Fuel Taxes'!Z106</f>
        <v>0</v>
      </c>
      <c r="AA105">
        <f>'Pretax Fuel Prices'!AA106+'Fuel Taxes'!AA106</f>
        <v>0</v>
      </c>
      <c r="AB105">
        <f>'Pretax Fuel Prices'!AB106+'Fuel Taxes'!AB106</f>
        <v>0</v>
      </c>
      <c r="AC105">
        <f>'Pretax Fuel Prices'!AC106+'Fuel Taxes'!AC106</f>
        <v>0</v>
      </c>
      <c r="AD105">
        <f>'Pretax Fuel Prices'!AD106+'Fuel Taxes'!AD106</f>
        <v>0</v>
      </c>
      <c r="AE105">
        <f>'Pretax Fuel Prices'!AE106+'Fuel Taxes'!AE106</f>
        <v>0</v>
      </c>
      <c r="AF105">
        <f>'Pretax Fuel Prices'!AF106+'Fuel Taxes'!AF106</f>
        <v>0</v>
      </c>
    </row>
    <row r="106" spans="1:32" x14ac:dyDescent="0.25">
      <c r="A106" t="s">
        <v>55</v>
      </c>
      <c r="B106">
        <f>'Pretax Fuel Prices'!B107+'Fuel Taxes'!B107</f>
        <v>0</v>
      </c>
      <c r="C106">
        <f>'Pretax Fuel Prices'!C107+'Fuel Taxes'!C107</f>
        <v>0</v>
      </c>
      <c r="D106">
        <f>'Pretax Fuel Prices'!D107+'Fuel Taxes'!D107</f>
        <v>0</v>
      </c>
      <c r="E106">
        <f>'Pretax Fuel Prices'!E107+'Fuel Taxes'!E107</f>
        <v>0</v>
      </c>
      <c r="F106">
        <f>'Pretax Fuel Prices'!F107+'Fuel Taxes'!F107</f>
        <v>0</v>
      </c>
      <c r="G106">
        <f>'Pretax Fuel Prices'!G107+'Fuel Taxes'!G107</f>
        <v>0</v>
      </c>
      <c r="H106">
        <f>'Pretax Fuel Prices'!H107+'Fuel Taxes'!H107</f>
        <v>0</v>
      </c>
      <c r="I106">
        <f>'Pretax Fuel Prices'!I107+'Fuel Taxes'!I107</f>
        <v>0</v>
      </c>
      <c r="J106">
        <f>'Pretax Fuel Prices'!J107+'Fuel Taxes'!J107</f>
        <v>0</v>
      </c>
      <c r="K106">
        <f>'Pretax Fuel Prices'!K107+'Fuel Taxes'!K107</f>
        <v>0</v>
      </c>
      <c r="L106">
        <f>'Pretax Fuel Prices'!L107+'Fuel Taxes'!L107</f>
        <v>0</v>
      </c>
      <c r="M106">
        <f>'Pretax Fuel Prices'!M107+'Fuel Taxes'!M107</f>
        <v>0</v>
      </c>
      <c r="N106">
        <f>'Pretax Fuel Prices'!N107+'Fuel Taxes'!N107</f>
        <v>0</v>
      </c>
      <c r="O106">
        <f>'Pretax Fuel Prices'!O107+'Fuel Taxes'!O107</f>
        <v>0</v>
      </c>
      <c r="P106">
        <f>'Pretax Fuel Prices'!P107+'Fuel Taxes'!P107</f>
        <v>0</v>
      </c>
      <c r="Q106">
        <f>'Pretax Fuel Prices'!Q107+'Fuel Taxes'!Q107</f>
        <v>0</v>
      </c>
      <c r="R106">
        <f>'Pretax Fuel Prices'!R107+'Fuel Taxes'!R107</f>
        <v>0</v>
      </c>
      <c r="S106">
        <f>'Pretax Fuel Prices'!S107+'Fuel Taxes'!S107</f>
        <v>0</v>
      </c>
      <c r="T106">
        <f>'Pretax Fuel Prices'!T107+'Fuel Taxes'!T107</f>
        <v>0</v>
      </c>
      <c r="U106">
        <f>'Pretax Fuel Prices'!U107+'Fuel Taxes'!U107</f>
        <v>0</v>
      </c>
      <c r="V106">
        <f>'Pretax Fuel Prices'!V107+'Fuel Taxes'!V107</f>
        <v>0</v>
      </c>
      <c r="W106">
        <f>'Pretax Fuel Prices'!W107+'Fuel Taxes'!W107</f>
        <v>0</v>
      </c>
      <c r="X106">
        <f>'Pretax Fuel Prices'!X107+'Fuel Taxes'!X107</f>
        <v>0</v>
      </c>
      <c r="Y106">
        <f>'Pretax Fuel Prices'!Y107+'Fuel Taxes'!Y107</f>
        <v>0</v>
      </c>
      <c r="Z106">
        <f>'Pretax Fuel Prices'!Z107+'Fuel Taxes'!Z107</f>
        <v>0</v>
      </c>
      <c r="AA106">
        <f>'Pretax Fuel Prices'!AA107+'Fuel Taxes'!AA107</f>
        <v>0</v>
      </c>
      <c r="AB106">
        <f>'Pretax Fuel Prices'!AB107+'Fuel Taxes'!AB107</f>
        <v>0</v>
      </c>
      <c r="AC106">
        <f>'Pretax Fuel Prices'!AC107+'Fuel Taxes'!AC107</f>
        <v>0</v>
      </c>
      <c r="AD106">
        <f>'Pretax Fuel Prices'!AD107+'Fuel Taxes'!AD107</f>
        <v>0</v>
      </c>
      <c r="AE106">
        <f>'Pretax Fuel Prices'!AE107+'Fuel Taxes'!AE107</f>
        <v>0</v>
      </c>
      <c r="AF106">
        <f>'Pretax Fuel Prices'!AF107+'Fuel Taxes'!AF107</f>
        <v>0</v>
      </c>
    </row>
    <row r="107" spans="1:32" x14ac:dyDescent="0.25">
      <c r="A107" t="s">
        <v>56</v>
      </c>
      <c r="B107">
        <f>'Pretax Fuel Prices'!B108+'Fuel Taxes'!B108</f>
        <v>5.8032702844488082E-6</v>
      </c>
      <c r="C107">
        <f>'Pretax Fuel Prices'!C108+'Fuel Taxes'!C108</f>
        <v>1.010572034981499E-5</v>
      </c>
      <c r="D107">
        <f>'Pretax Fuel Prices'!D108+'Fuel Taxes'!D108</f>
        <v>1.4548918609468291E-5</v>
      </c>
      <c r="E107">
        <f>'Pretax Fuel Prices'!E108+'Fuel Taxes'!E108</f>
        <v>1.3814064879295553E-5</v>
      </c>
      <c r="F107">
        <f>'Pretax Fuel Prices'!F108+'Fuel Taxes'!F108</f>
        <v>1.3102705815542782E-5</v>
      </c>
      <c r="G107">
        <f>'Pretax Fuel Prices'!G108+'Fuel Taxes'!G108</f>
        <v>1.2391346751790012E-5</v>
      </c>
      <c r="H107">
        <f>'Pretax Fuel Prices'!H108+'Fuel Taxes'!H108</f>
        <v>1.1679987688037241E-5</v>
      </c>
      <c r="I107">
        <f>'Pretax Fuel Prices'!I108+'Fuel Taxes'!I108</f>
        <v>1.096862862428447E-5</v>
      </c>
      <c r="J107">
        <f>'Pretax Fuel Prices'!J108+'Fuel Taxes'!J108</f>
        <v>1.0257269560531699E-5</v>
      </c>
      <c r="K107">
        <f>'Pretax Fuel Prices'!K108+'Fuel Taxes'!K108</f>
        <v>1.0408034285260253E-5</v>
      </c>
      <c r="L107">
        <f>'Pretax Fuel Prices'!L108+'Fuel Taxes'!L108</f>
        <v>1.0568057722521E-5</v>
      </c>
      <c r="M107">
        <f>'Pretax Fuel Prices'!M108+'Fuel Taxes'!M108</f>
        <v>1.0789191951557296E-5</v>
      </c>
      <c r="N107">
        <f>'Pretax Fuel Prices'!N108+'Fuel Taxes'!N108</f>
        <v>1.0962604245994599E-5</v>
      </c>
      <c r="O107">
        <f>'Pretax Fuel Prices'!O108+'Fuel Taxes'!O108</f>
        <v>1.1079859048003297E-5</v>
      </c>
      <c r="P107">
        <f>'Pretax Fuel Prices'!P108+'Fuel Taxes'!P108</f>
        <v>1.1139624583353451E-5</v>
      </c>
      <c r="Q107">
        <f>'Pretax Fuel Prices'!Q108+'Fuel Taxes'!Q108</f>
        <v>1.1245470781201217E-5</v>
      </c>
      <c r="R107">
        <f>'Pretax Fuel Prices'!R108+'Fuel Taxes'!R108</f>
        <v>1.1425356603639763E-5</v>
      </c>
      <c r="S107">
        <f>'Pretax Fuel Prices'!S108+'Fuel Taxes'!S108</f>
        <v>1.1557046984922532E-5</v>
      </c>
      <c r="T107">
        <f>'Pretax Fuel Prices'!T108+'Fuel Taxes'!T108</f>
        <v>1.1709809000606015E-5</v>
      </c>
      <c r="U107">
        <f>'Pretax Fuel Prices'!U108+'Fuel Taxes'!U108</f>
        <v>1.1748037247266352E-5</v>
      </c>
      <c r="V107">
        <f>'Pretax Fuel Prices'!V108+'Fuel Taxes'!V108</f>
        <v>1.1971575603617068E-5</v>
      </c>
      <c r="W107">
        <f>'Pretax Fuel Prices'!W108+'Fuel Taxes'!W108</f>
        <v>1.2108322993442573E-5</v>
      </c>
      <c r="X107">
        <f>'Pretax Fuel Prices'!X108+'Fuel Taxes'!X108</f>
        <v>1.2166028123384359E-5</v>
      </c>
      <c r="Y107">
        <f>'Pretax Fuel Prices'!Y108+'Fuel Taxes'!Y108</f>
        <v>1.2377163304386512E-5</v>
      </c>
      <c r="Z107">
        <f>'Pretax Fuel Prices'!Z108+'Fuel Taxes'!Z108</f>
        <v>1.2631320319234431E-5</v>
      </c>
      <c r="AA107">
        <f>'Pretax Fuel Prices'!AA108+'Fuel Taxes'!AA108</f>
        <v>1.2700802369138198E-5</v>
      </c>
      <c r="AB107">
        <f>'Pretax Fuel Prices'!AB108+'Fuel Taxes'!AB108</f>
        <v>1.2885034347660337E-5</v>
      </c>
      <c r="AC107">
        <f>'Pretax Fuel Prices'!AC108+'Fuel Taxes'!AC108</f>
        <v>1.2877523135077211E-5</v>
      </c>
      <c r="AD107">
        <f>'Pretax Fuel Prices'!AD108+'Fuel Taxes'!AD108</f>
        <v>1.2895332818958327E-5</v>
      </c>
      <c r="AE107">
        <f>'Pretax Fuel Prices'!AE108+'Fuel Taxes'!AE108</f>
        <v>1.2940666330778267E-5</v>
      </c>
      <c r="AF107">
        <f>'Pretax Fuel Prices'!AF108+'Fuel Taxes'!AF108</f>
        <v>1.2899894838325157E-5</v>
      </c>
    </row>
    <row r="108" spans="1:32" x14ac:dyDescent="0.25">
      <c r="A108" t="s">
        <v>57</v>
      </c>
      <c r="B108">
        <f>'Pretax Fuel Prices'!B109+'Fuel Taxes'!B109</f>
        <v>0</v>
      </c>
      <c r="C108">
        <f>'Pretax Fuel Prices'!C109+'Fuel Taxes'!C109</f>
        <v>0</v>
      </c>
      <c r="D108">
        <f>'Pretax Fuel Prices'!D109+'Fuel Taxes'!D109</f>
        <v>0</v>
      </c>
      <c r="E108">
        <f>'Pretax Fuel Prices'!E109+'Fuel Taxes'!E109</f>
        <v>0</v>
      </c>
      <c r="F108">
        <f>'Pretax Fuel Prices'!F109+'Fuel Taxes'!F109</f>
        <v>0</v>
      </c>
      <c r="G108">
        <f>'Pretax Fuel Prices'!G109+'Fuel Taxes'!G109</f>
        <v>0</v>
      </c>
      <c r="H108">
        <f>'Pretax Fuel Prices'!H109+'Fuel Taxes'!H109</f>
        <v>0</v>
      </c>
      <c r="I108">
        <f>'Pretax Fuel Prices'!I109+'Fuel Taxes'!I109</f>
        <v>0</v>
      </c>
      <c r="J108">
        <f>'Pretax Fuel Prices'!J109+'Fuel Taxes'!J109</f>
        <v>0</v>
      </c>
      <c r="K108">
        <f>'Pretax Fuel Prices'!K109+'Fuel Taxes'!K109</f>
        <v>0</v>
      </c>
      <c r="L108">
        <f>'Pretax Fuel Prices'!L109+'Fuel Taxes'!L109</f>
        <v>0</v>
      </c>
      <c r="M108">
        <f>'Pretax Fuel Prices'!M109+'Fuel Taxes'!M109</f>
        <v>0</v>
      </c>
      <c r="N108">
        <f>'Pretax Fuel Prices'!N109+'Fuel Taxes'!N109</f>
        <v>0</v>
      </c>
      <c r="O108">
        <f>'Pretax Fuel Prices'!O109+'Fuel Taxes'!O109</f>
        <v>0</v>
      </c>
      <c r="P108">
        <f>'Pretax Fuel Prices'!P109+'Fuel Taxes'!P109</f>
        <v>0</v>
      </c>
      <c r="Q108">
        <f>'Pretax Fuel Prices'!Q109+'Fuel Taxes'!Q109</f>
        <v>0</v>
      </c>
      <c r="R108">
        <f>'Pretax Fuel Prices'!R109+'Fuel Taxes'!R109</f>
        <v>0</v>
      </c>
      <c r="S108">
        <f>'Pretax Fuel Prices'!S109+'Fuel Taxes'!S109</f>
        <v>0</v>
      </c>
      <c r="T108">
        <f>'Pretax Fuel Prices'!T109+'Fuel Taxes'!T109</f>
        <v>0</v>
      </c>
      <c r="U108">
        <f>'Pretax Fuel Prices'!U109+'Fuel Taxes'!U109</f>
        <v>0</v>
      </c>
      <c r="V108">
        <f>'Pretax Fuel Prices'!V109+'Fuel Taxes'!V109</f>
        <v>0</v>
      </c>
      <c r="W108">
        <f>'Pretax Fuel Prices'!W109+'Fuel Taxes'!W109</f>
        <v>0</v>
      </c>
      <c r="X108">
        <f>'Pretax Fuel Prices'!X109+'Fuel Taxes'!X109</f>
        <v>0</v>
      </c>
      <c r="Y108">
        <f>'Pretax Fuel Prices'!Y109+'Fuel Taxes'!Y109</f>
        <v>0</v>
      </c>
      <c r="Z108">
        <f>'Pretax Fuel Prices'!Z109+'Fuel Taxes'!Z109</f>
        <v>0</v>
      </c>
      <c r="AA108">
        <f>'Pretax Fuel Prices'!AA109+'Fuel Taxes'!AA109</f>
        <v>0</v>
      </c>
      <c r="AB108">
        <f>'Pretax Fuel Prices'!AB109+'Fuel Taxes'!AB109</f>
        <v>0</v>
      </c>
      <c r="AC108">
        <f>'Pretax Fuel Prices'!AC109+'Fuel Taxes'!AC109</f>
        <v>0</v>
      </c>
      <c r="AD108">
        <f>'Pretax Fuel Prices'!AD109+'Fuel Taxes'!AD109</f>
        <v>0</v>
      </c>
      <c r="AE108">
        <f>'Pretax Fuel Prices'!AE109+'Fuel Taxes'!AE109</f>
        <v>0</v>
      </c>
      <c r="AF108">
        <f>'Pretax Fuel Prices'!AF109+'Fuel Taxes'!AF109</f>
        <v>0</v>
      </c>
    </row>
    <row r="109" spans="1:32" x14ac:dyDescent="0.25">
      <c r="A109" t="s">
        <v>58</v>
      </c>
      <c r="B109">
        <f>'Pretax Fuel Prices'!B110+'Fuel Taxes'!B110</f>
        <v>0</v>
      </c>
      <c r="C109">
        <f>'Pretax Fuel Prices'!C110+'Fuel Taxes'!C110</f>
        <v>0</v>
      </c>
      <c r="D109">
        <f>'Pretax Fuel Prices'!D110+'Fuel Taxes'!D110</f>
        <v>0</v>
      </c>
      <c r="E109">
        <f>'Pretax Fuel Prices'!E110+'Fuel Taxes'!E110</f>
        <v>0</v>
      </c>
      <c r="F109">
        <f>'Pretax Fuel Prices'!F110+'Fuel Taxes'!F110</f>
        <v>0</v>
      </c>
      <c r="G109">
        <f>'Pretax Fuel Prices'!G110+'Fuel Taxes'!G110</f>
        <v>0</v>
      </c>
      <c r="H109">
        <f>'Pretax Fuel Prices'!H110+'Fuel Taxes'!H110</f>
        <v>0</v>
      </c>
      <c r="I109">
        <f>'Pretax Fuel Prices'!I110+'Fuel Taxes'!I110</f>
        <v>0</v>
      </c>
      <c r="J109">
        <f>'Pretax Fuel Prices'!J110+'Fuel Taxes'!J110</f>
        <v>0</v>
      </c>
      <c r="K109">
        <f>'Pretax Fuel Prices'!K110+'Fuel Taxes'!K110</f>
        <v>0</v>
      </c>
      <c r="L109">
        <f>'Pretax Fuel Prices'!L110+'Fuel Taxes'!L110</f>
        <v>0</v>
      </c>
      <c r="M109">
        <f>'Pretax Fuel Prices'!M110+'Fuel Taxes'!M110</f>
        <v>0</v>
      </c>
      <c r="N109">
        <f>'Pretax Fuel Prices'!N110+'Fuel Taxes'!N110</f>
        <v>0</v>
      </c>
      <c r="O109">
        <f>'Pretax Fuel Prices'!O110+'Fuel Taxes'!O110</f>
        <v>0</v>
      </c>
      <c r="P109">
        <f>'Pretax Fuel Prices'!P110+'Fuel Taxes'!P110</f>
        <v>0</v>
      </c>
      <c r="Q109">
        <f>'Pretax Fuel Prices'!Q110+'Fuel Taxes'!Q110</f>
        <v>0</v>
      </c>
      <c r="R109">
        <f>'Pretax Fuel Prices'!R110+'Fuel Taxes'!R110</f>
        <v>0</v>
      </c>
      <c r="S109">
        <f>'Pretax Fuel Prices'!S110+'Fuel Taxes'!S110</f>
        <v>0</v>
      </c>
      <c r="T109">
        <f>'Pretax Fuel Prices'!T110+'Fuel Taxes'!T110</f>
        <v>0</v>
      </c>
      <c r="U109">
        <f>'Pretax Fuel Prices'!U110+'Fuel Taxes'!U110</f>
        <v>0</v>
      </c>
      <c r="V109">
        <f>'Pretax Fuel Prices'!V110+'Fuel Taxes'!V110</f>
        <v>0</v>
      </c>
      <c r="W109">
        <f>'Pretax Fuel Prices'!W110+'Fuel Taxes'!W110</f>
        <v>0</v>
      </c>
      <c r="X109">
        <f>'Pretax Fuel Prices'!X110+'Fuel Taxes'!X110</f>
        <v>0</v>
      </c>
      <c r="Y109">
        <f>'Pretax Fuel Prices'!Y110+'Fuel Taxes'!Y110</f>
        <v>0</v>
      </c>
      <c r="Z109">
        <f>'Pretax Fuel Prices'!Z110+'Fuel Taxes'!Z110</f>
        <v>0</v>
      </c>
      <c r="AA109">
        <f>'Pretax Fuel Prices'!AA110+'Fuel Taxes'!AA110</f>
        <v>0</v>
      </c>
      <c r="AB109">
        <f>'Pretax Fuel Prices'!AB110+'Fuel Taxes'!AB110</f>
        <v>0</v>
      </c>
      <c r="AC109">
        <f>'Pretax Fuel Prices'!AC110+'Fuel Taxes'!AC110</f>
        <v>0</v>
      </c>
      <c r="AD109">
        <f>'Pretax Fuel Prices'!AD110+'Fuel Taxes'!AD110</f>
        <v>0</v>
      </c>
      <c r="AE109">
        <f>'Pretax Fuel Prices'!AE110+'Fuel Taxes'!AE110</f>
        <v>0</v>
      </c>
      <c r="AF109">
        <f>'Pretax Fuel Prices'!AF110+'Fuel Taxes'!AF110</f>
        <v>0</v>
      </c>
    </row>
    <row r="110" spans="1:32" x14ac:dyDescent="0.25">
      <c r="A110" t="s">
        <v>59</v>
      </c>
      <c r="B110">
        <f>'Pretax Fuel Prices'!B111+'Fuel Taxes'!B111</f>
        <v>5.8032702844488082E-6</v>
      </c>
      <c r="C110">
        <f>'Pretax Fuel Prices'!C111+'Fuel Taxes'!C111</f>
        <v>1.010572034981499E-5</v>
      </c>
      <c r="D110">
        <f>'Pretax Fuel Prices'!D111+'Fuel Taxes'!D111</f>
        <v>1.4548918609468291E-5</v>
      </c>
      <c r="E110">
        <f>'Pretax Fuel Prices'!E111+'Fuel Taxes'!E111</f>
        <v>1.3814064879295553E-5</v>
      </c>
      <c r="F110">
        <f>'Pretax Fuel Prices'!F111+'Fuel Taxes'!F111</f>
        <v>1.3102705815542782E-5</v>
      </c>
      <c r="G110">
        <f>'Pretax Fuel Prices'!G111+'Fuel Taxes'!G111</f>
        <v>1.2391346751790012E-5</v>
      </c>
      <c r="H110">
        <f>'Pretax Fuel Prices'!H111+'Fuel Taxes'!H111</f>
        <v>1.1679987688037241E-5</v>
      </c>
      <c r="I110">
        <f>'Pretax Fuel Prices'!I111+'Fuel Taxes'!I111</f>
        <v>1.096862862428447E-5</v>
      </c>
      <c r="J110">
        <f>'Pretax Fuel Prices'!J111+'Fuel Taxes'!J111</f>
        <v>1.0257269560531699E-5</v>
      </c>
      <c r="K110">
        <f>'Pretax Fuel Prices'!K111+'Fuel Taxes'!K111</f>
        <v>1.0408034285260253E-5</v>
      </c>
      <c r="L110">
        <f>'Pretax Fuel Prices'!L111+'Fuel Taxes'!L111</f>
        <v>1.0568057722521E-5</v>
      </c>
      <c r="M110">
        <f>'Pretax Fuel Prices'!M111+'Fuel Taxes'!M111</f>
        <v>1.0789191951557296E-5</v>
      </c>
      <c r="N110">
        <f>'Pretax Fuel Prices'!N111+'Fuel Taxes'!N111</f>
        <v>1.0962604245994599E-5</v>
      </c>
      <c r="O110">
        <f>'Pretax Fuel Prices'!O111+'Fuel Taxes'!O111</f>
        <v>1.1079859048003297E-5</v>
      </c>
      <c r="P110">
        <f>'Pretax Fuel Prices'!P111+'Fuel Taxes'!P111</f>
        <v>1.1139624583353451E-5</v>
      </c>
      <c r="Q110">
        <f>'Pretax Fuel Prices'!Q111+'Fuel Taxes'!Q111</f>
        <v>1.1245470781201217E-5</v>
      </c>
      <c r="R110">
        <f>'Pretax Fuel Prices'!R111+'Fuel Taxes'!R111</f>
        <v>1.1425356603639763E-5</v>
      </c>
      <c r="S110">
        <f>'Pretax Fuel Prices'!S111+'Fuel Taxes'!S111</f>
        <v>1.1557046984922532E-5</v>
      </c>
      <c r="T110">
        <f>'Pretax Fuel Prices'!T111+'Fuel Taxes'!T111</f>
        <v>1.1709809000606015E-5</v>
      </c>
      <c r="U110">
        <f>'Pretax Fuel Prices'!U111+'Fuel Taxes'!U111</f>
        <v>1.1748037247266352E-5</v>
      </c>
      <c r="V110">
        <f>'Pretax Fuel Prices'!V111+'Fuel Taxes'!V111</f>
        <v>1.1971575603617068E-5</v>
      </c>
      <c r="W110">
        <f>'Pretax Fuel Prices'!W111+'Fuel Taxes'!W111</f>
        <v>1.2108322993442573E-5</v>
      </c>
      <c r="X110">
        <f>'Pretax Fuel Prices'!X111+'Fuel Taxes'!X111</f>
        <v>1.2166028123384359E-5</v>
      </c>
      <c r="Y110">
        <f>'Pretax Fuel Prices'!Y111+'Fuel Taxes'!Y111</f>
        <v>1.2377163304386512E-5</v>
      </c>
      <c r="Z110">
        <f>'Pretax Fuel Prices'!Z111+'Fuel Taxes'!Z111</f>
        <v>1.2631320319234431E-5</v>
      </c>
      <c r="AA110">
        <f>'Pretax Fuel Prices'!AA111+'Fuel Taxes'!AA111</f>
        <v>1.2700802369138198E-5</v>
      </c>
      <c r="AB110">
        <f>'Pretax Fuel Prices'!AB111+'Fuel Taxes'!AB111</f>
        <v>1.2885034347660337E-5</v>
      </c>
      <c r="AC110">
        <f>'Pretax Fuel Prices'!AC111+'Fuel Taxes'!AC111</f>
        <v>1.2877523135077211E-5</v>
      </c>
      <c r="AD110">
        <f>'Pretax Fuel Prices'!AD111+'Fuel Taxes'!AD111</f>
        <v>1.2895332818958327E-5</v>
      </c>
      <c r="AE110">
        <f>'Pretax Fuel Prices'!AE111+'Fuel Taxes'!AE111</f>
        <v>1.2940666330778267E-5</v>
      </c>
      <c r="AF110">
        <f>'Pretax Fuel Prices'!AF111+'Fuel Taxes'!AF111</f>
        <v>1.2899894838325157E-5</v>
      </c>
    </row>
    <row r="111" spans="1:32" s="4" customFormat="1" x14ac:dyDescent="0.25">
      <c r="A111" s="6" t="s">
        <v>47</v>
      </c>
    </row>
    <row r="112" spans="1:32" x14ac:dyDescent="0.25">
      <c r="A112" t="s">
        <v>30</v>
      </c>
      <c r="B112" s="7">
        <f>'Fuel Taxes'!B$1</f>
        <v>2020</v>
      </c>
      <c r="C112" s="7">
        <f>'Fuel Taxes'!C$1</f>
        <v>2021</v>
      </c>
      <c r="D112" s="7">
        <f>'Fuel Taxes'!D$1</f>
        <v>2022</v>
      </c>
      <c r="E112" s="7">
        <f>'Fuel Taxes'!E$1</f>
        <v>2023</v>
      </c>
      <c r="F112" s="7">
        <f>'Fuel Taxes'!F$1</f>
        <v>2024</v>
      </c>
      <c r="G112" s="7">
        <f>'Fuel Taxes'!G$1</f>
        <v>2025</v>
      </c>
      <c r="H112" s="7">
        <f>'Fuel Taxes'!H$1</f>
        <v>2026</v>
      </c>
      <c r="I112" s="7">
        <f>'Fuel Taxes'!I$1</f>
        <v>2027</v>
      </c>
      <c r="J112" s="7">
        <f>'Fuel Taxes'!J$1</f>
        <v>2028</v>
      </c>
      <c r="K112" s="7">
        <f>'Fuel Taxes'!K$1</f>
        <v>2029</v>
      </c>
      <c r="L112" s="7">
        <f>'Fuel Taxes'!L$1</f>
        <v>2030</v>
      </c>
      <c r="M112" s="7">
        <f>'Fuel Taxes'!M$1</f>
        <v>2031</v>
      </c>
      <c r="N112" s="7">
        <f>'Fuel Taxes'!N$1</f>
        <v>2032</v>
      </c>
      <c r="O112" s="7">
        <f>'Fuel Taxes'!O$1</f>
        <v>2033</v>
      </c>
      <c r="P112" s="7">
        <f>'Fuel Taxes'!P$1</f>
        <v>2034</v>
      </c>
      <c r="Q112" s="7">
        <f>'Fuel Taxes'!Q$1</f>
        <v>2035</v>
      </c>
      <c r="R112" s="7">
        <f>'Fuel Taxes'!R$1</f>
        <v>2036</v>
      </c>
      <c r="S112" s="7">
        <f>'Fuel Taxes'!S$1</f>
        <v>2037</v>
      </c>
      <c r="T112" s="7">
        <f>'Fuel Taxes'!T$1</f>
        <v>2038</v>
      </c>
      <c r="U112" s="7">
        <f>'Fuel Taxes'!U$1</f>
        <v>2039</v>
      </c>
      <c r="V112" s="7">
        <f>'Fuel Taxes'!V$1</f>
        <v>2040</v>
      </c>
      <c r="W112" s="7">
        <f>'Fuel Taxes'!W$1</f>
        <v>2041</v>
      </c>
      <c r="X112" s="7">
        <f>'Fuel Taxes'!X$1</f>
        <v>2042</v>
      </c>
      <c r="Y112" s="7">
        <f>'Fuel Taxes'!Y$1</f>
        <v>2043</v>
      </c>
      <c r="Z112" s="7">
        <f>'Fuel Taxes'!Z$1</f>
        <v>2044</v>
      </c>
      <c r="AA112" s="7">
        <f>'Fuel Taxes'!AA$1</f>
        <v>2045</v>
      </c>
      <c r="AB112" s="7">
        <f>'Fuel Taxes'!AB$1</f>
        <v>2046</v>
      </c>
      <c r="AC112" s="7">
        <f>'Fuel Taxes'!AC$1</f>
        <v>2047</v>
      </c>
      <c r="AD112" s="7">
        <f>'Fuel Taxes'!AD$1</f>
        <v>2048</v>
      </c>
      <c r="AE112" s="7">
        <f>'Fuel Taxes'!AE$1</f>
        <v>2049</v>
      </c>
      <c r="AF112" s="7">
        <f>'Fuel Taxes'!AF$1</f>
        <v>2050</v>
      </c>
    </row>
    <row r="113" spans="1:32" x14ac:dyDescent="0.25">
      <c r="A113" t="s">
        <v>52</v>
      </c>
      <c r="B113">
        <f>'Pretax Fuel Prices'!B114+'Fuel Taxes'!B114</f>
        <v>1.4927235207542256E-5</v>
      </c>
      <c r="C113">
        <f>'Pretax Fuel Prices'!C114+'Fuel Taxes'!C114</f>
        <v>1.835315804206015E-5</v>
      </c>
      <c r="D113">
        <f>'Pretax Fuel Prices'!D114+'Fuel Taxes'!D114</f>
        <v>2.6795610741407819E-5</v>
      </c>
      <c r="E113">
        <f>'Pretax Fuel Prices'!E114+'Fuel Taxes'!E114</f>
        <v>2.3369687906889925E-5</v>
      </c>
      <c r="F113">
        <f>'Pretax Fuel Prices'!F114+'Fuel Taxes'!F114</f>
        <v>2.117401763410256E-5</v>
      </c>
      <c r="G113">
        <f>'Pretax Fuel Prices'!G114+'Fuel Taxes'!G114</f>
        <v>1.8978347361315195E-5</v>
      </c>
      <c r="H113">
        <f>'Pretax Fuel Prices'!H114+'Fuel Taxes'!H114</f>
        <v>1.678267708852783E-5</v>
      </c>
      <c r="I113">
        <f>'Pretax Fuel Prices'!I114+'Fuel Taxes'!I114</f>
        <v>1.4587006815740463E-5</v>
      </c>
      <c r="J113">
        <f>'Pretax Fuel Prices'!J114+'Fuel Taxes'!J114</f>
        <v>1.2391336542953093E-5</v>
      </c>
      <c r="K113">
        <f>'Pretax Fuel Prices'!K114+'Fuel Taxes'!K114</f>
        <v>1.2477675986456064E-5</v>
      </c>
      <c r="L113">
        <f>'Pretax Fuel Prices'!L114+'Fuel Taxes'!L114</f>
        <v>1.2579748173037605E-5</v>
      </c>
      <c r="M113">
        <f>'Pretax Fuel Prices'!M114+'Fuel Taxes'!M114</f>
        <v>1.2772463260796397E-5</v>
      </c>
      <c r="N113">
        <f>'Pretax Fuel Prices'!N114+'Fuel Taxes'!N114</f>
        <v>1.2863922115850461E-5</v>
      </c>
      <c r="O113">
        <f>'Pretax Fuel Prices'!O114+'Fuel Taxes'!O114</f>
        <v>1.2974373292969698E-5</v>
      </c>
      <c r="P113">
        <f>'Pretax Fuel Prices'!P114+'Fuel Taxes'!P114</f>
        <v>1.2986282999815475E-5</v>
      </c>
      <c r="Q113">
        <f>'Pretax Fuel Prices'!Q114+'Fuel Taxes'!Q114</f>
        <v>1.3015132858124513E-5</v>
      </c>
      <c r="R113">
        <f>'Pretax Fuel Prices'!R114+'Fuel Taxes'!R114</f>
        <v>1.3002682571244048E-5</v>
      </c>
      <c r="S113">
        <f>'Pretax Fuel Prices'!S114+'Fuel Taxes'!S114</f>
        <v>1.3031510399645716E-5</v>
      </c>
      <c r="T113">
        <f>'Pretax Fuel Prices'!T114+'Fuel Taxes'!T114</f>
        <v>1.3191422955330845E-5</v>
      </c>
      <c r="U113">
        <f>'Pretax Fuel Prices'!U114+'Fuel Taxes'!U114</f>
        <v>1.3147735107104103E-5</v>
      </c>
      <c r="V113">
        <f>'Pretax Fuel Prices'!V114+'Fuel Taxes'!V114</f>
        <v>1.3424564617721518E-5</v>
      </c>
      <c r="W113">
        <f>'Pretax Fuel Prices'!W114+'Fuel Taxes'!W114</f>
        <v>1.3535538581488725E-5</v>
      </c>
      <c r="X113">
        <f>'Pretax Fuel Prices'!X114+'Fuel Taxes'!X114</f>
        <v>1.360756621093848E-5</v>
      </c>
      <c r="Y113">
        <f>'Pretax Fuel Prices'!Y114+'Fuel Taxes'!Y114</f>
        <v>1.3866842969206922E-5</v>
      </c>
      <c r="Z113">
        <f>'Pretax Fuel Prices'!Z114+'Fuel Taxes'!Z114</f>
        <v>1.4050525794944086E-5</v>
      </c>
      <c r="AA113">
        <f>'Pretax Fuel Prices'!AA114+'Fuel Taxes'!AA114</f>
        <v>1.413115017209285E-5</v>
      </c>
      <c r="AB113">
        <f>'Pretax Fuel Prices'!AB114+'Fuel Taxes'!AB114</f>
        <v>1.4257588283529538E-5</v>
      </c>
      <c r="AC113">
        <f>'Pretax Fuel Prices'!AC114+'Fuel Taxes'!AC114</f>
        <v>1.4303693490438054E-5</v>
      </c>
      <c r="AD113">
        <f>'Pretax Fuel Prices'!AD114+'Fuel Taxes'!AD114</f>
        <v>1.427933264940768E-5</v>
      </c>
      <c r="AE113">
        <f>'Pretax Fuel Prices'!AE114+'Fuel Taxes'!AE114</f>
        <v>1.4307708017404141E-5</v>
      </c>
      <c r="AF113">
        <f>'Pretax Fuel Prices'!AF114+'Fuel Taxes'!AF114</f>
        <v>1.4275271520714466E-5</v>
      </c>
    </row>
    <row r="114" spans="1:32" x14ac:dyDescent="0.25">
      <c r="A114" t="s">
        <v>53</v>
      </c>
      <c r="B114">
        <f>'Pretax Fuel Prices'!B115+'Fuel Taxes'!B115</f>
        <v>1.3440227052039288E-5</v>
      </c>
      <c r="C114">
        <f>'Pretax Fuel Prices'!C115+'Fuel Taxes'!C115</f>
        <v>1.9314501239121262E-5</v>
      </c>
      <c r="D114">
        <f>'Pretax Fuel Prices'!D115+'Fuel Taxes'!D115</f>
        <v>3.4260821340317909E-5</v>
      </c>
      <c r="E114">
        <f>'Pretax Fuel Prices'!E115+'Fuel Taxes'!E115</f>
        <v>2.3289665132092304E-5</v>
      </c>
      <c r="F114">
        <f>'Pretax Fuel Prices'!F115+'Fuel Taxes'!F115</f>
        <v>2.1121113671993361E-5</v>
      </c>
      <c r="G114">
        <f>'Pretax Fuel Prices'!G115+'Fuel Taxes'!G115</f>
        <v>1.8952562211894418E-5</v>
      </c>
      <c r="H114">
        <f>'Pretax Fuel Prices'!H115+'Fuel Taxes'!H115</f>
        <v>1.6784010751795474E-5</v>
      </c>
      <c r="I114">
        <f>'Pretax Fuel Prices'!I115+'Fuel Taxes'!I115</f>
        <v>1.4615459291696531E-5</v>
      </c>
      <c r="J114">
        <f>'Pretax Fuel Prices'!J115+'Fuel Taxes'!J115</f>
        <v>1.2446907831597591E-5</v>
      </c>
      <c r="K114">
        <f>'Pretax Fuel Prices'!K115+'Fuel Taxes'!K115</f>
        <v>1.2529524220755063E-5</v>
      </c>
      <c r="L114">
        <f>'Pretax Fuel Prices'!L115+'Fuel Taxes'!L115</f>
        <v>1.2607007641495365E-5</v>
      </c>
      <c r="M114">
        <f>'Pretax Fuel Prices'!M115+'Fuel Taxes'!M115</f>
        <v>1.28450789193121E-5</v>
      </c>
      <c r="N114">
        <f>'Pretax Fuel Prices'!N115+'Fuel Taxes'!N115</f>
        <v>1.2923944293087793E-5</v>
      </c>
      <c r="O114">
        <f>'Pretax Fuel Prices'!O115+'Fuel Taxes'!O115</f>
        <v>1.3038766712211682E-5</v>
      </c>
      <c r="P114">
        <f>'Pretax Fuel Prices'!P115+'Fuel Taxes'!P115</f>
        <v>1.3061193157914159E-5</v>
      </c>
      <c r="Q114">
        <f>'Pretax Fuel Prices'!Q115+'Fuel Taxes'!Q115</f>
        <v>1.3094616763914823E-5</v>
      </c>
      <c r="R114">
        <f>'Pretax Fuel Prices'!R115+'Fuel Taxes'!R115</f>
        <v>1.3079316993246483E-5</v>
      </c>
      <c r="S114">
        <f>'Pretax Fuel Prices'!S115+'Fuel Taxes'!S115</f>
        <v>1.3118923377480901E-5</v>
      </c>
      <c r="T114">
        <f>'Pretax Fuel Prices'!T115+'Fuel Taxes'!T115</f>
        <v>1.3262904920921133E-5</v>
      </c>
      <c r="U114">
        <f>'Pretax Fuel Prices'!U115+'Fuel Taxes'!U115</f>
        <v>1.3248684615713915E-5</v>
      </c>
      <c r="V114">
        <f>'Pretax Fuel Prices'!V115+'Fuel Taxes'!V115</f>
        <v>1.3432568252529797E-5</v>
      </c>
      <c r="W114">
        <f>'Pretax Fuel Prices'!W115+'Fuel Taxes'!W115</f>
        <v>1.3464638713835477E-5</v>
      </c>
      <c r="X114">
        <f>'Pretax Fuel Prices'!X115+'Fuel Taxes'!X115</f>
        <v>1.3417280344119274E-5</v>
      </c>
      <c r="Y114">
        <f>'Pretax Fuel Prices'!Y115+'Fuel Taxes'!Y115</f>
        <v>1.3534054104653649E-5</v>
      </c>
      <c r="Z114">
        <f>'Pretax Fuel Prices'!Z115+'Fuel Taxes'!Z115</f>
        <v>1.3544019248521975E-5</v>
      </c>
      <c r="AA114">
        <f>'Pretax Fuel Prices'!AA115+'Fuel Taxes'!AA115</f>
        <v>1.3389006652618371E-5</v>
      </c>
      <c r="AB114">
        <f>'Pretax Fuel Prices'!AB115+'Fuel Taxes'!AB115</f>
        <v>1.3578085111052882E-5</v>
      </c>
      <c r="AC114">
        <f>'Pretax Fuel Prices'!AC115+'Fuel Taxes'!AC115</f>
        <v>1.3650717715651176E-5</v>
      </c>
      <c r="AD114">
        <f>'Pretax Fuel Prices'!AD115+'Fuel Taxes'!AD115</f>
        <v>1.368319403563494E-5</v>
      </c>
      <c r="AE114">
        <f>'Pretax Fuel Prices'!AE115+'Fuel Taxes'!AE115</f>
        <v>1.37311692427575E-5</v>
      </c>
      <c r="AF114">
        <f>'Pretax Fuel Prices'!AF115+'Fuel Taxes'!AF115</f>
        <v>1.3726539572993318E-5</v>
      </c>
    </row>
    <row r="115" spans="1:32" x14ac:dyDescent="0.25">
      <c r="A115" t="s">
        <v>54</v>
      </c>
      <c r="B115">
        <f>'Pretax Fuel Prices'!B116+'Fuel Taxes'!B116</f>
        <v>8.5051560296238753E-6</v>
      </c>
      <c r="C115">
        <f>'Pretax Fuel Prices'!C116+'Fuel Taxes'!C116</f>
        <v>9.6681985880672616E-6</v>
      </c>
      <c r="D115">
        <f>'Pretax Fuel Prices'!D116+'Fuel Taxes'!D116</f>
        <v>1.9380993332185943E-5</v>
      </c>
      <c r="E115">
        <f>'Pretax Fuel Prices'!E116+'Fuel Taxes'!E116</f>
        <v>1.3941376221413941E-5</v>
      </c>
      <c r="F115">
        <f>'Pretax Fuel Prices'!F116+'Fuel Taxes'!F116</f>
        <v>1.3034456083278697E-5</v>
      </c>
      <c r="G115">
        <f>'Pretax Fuel Prices'!G116+'Fuel Taxes'!G116</f>
        <v>1.2127535945143453E-5</v>
      </c>
      <c r="H115">
        <f>'Pretax Fuel Prices'!H116+'Fuel Taxes'!H116</f>
        <v>1.1220615807008209E-5</v>
      </c>
      <c r="I115">
        <f>'Pretax Fuel Prices'!I116+'Fuel Taxes'!I116</f>
        <v>1.0313695668872966E-5</v>
      </c>
      <c r="J115">
        <f>'Pretax Fuel Prices'!J116+'Fuel Taxes'!J116</f>
        <v>9.4067755307377185E-6</v>
      </c>
      <c r="K115">
        <f>'Pretax Fuel Prices'!K116+'Fuel Taxes'!K116</f>
        <v>9.4895249466435392E-6</v>
      </c>
      <c r="L115">
        <f>'Pretax Fuel Prices'!L116+'Fuel Taxes'!L116</f>
        <v>9.620852850212199E-6</v>
      </c>
      <c r="M115">
        <f>'Pretax Fuel Prices'!M116+'Fuel Taxes'!M116</f>
        <v>9.7740496733660521E-6</v>
      </c>
      <c r="N115">
        <f>'Pretax Fuel Prices'!N116+'Fuel Taxes'!N116</f>
        <v>9.8933348433405903E-6</v>
      </c>
      <c r="O115">
        <f>'Pretax Fuel Prices'!O116+'Fuel Taxes'!O116</f>
        <v>9.9951545332915061E-6</v>
      </c>
      <c r="P115">
        <f>'Pretax Fuel Prices'!P116+'Fuel Taxes'!P116</f>
        <v>1.0004276609550872E-5</v>
      </c>
      <c r="Q115">
        <f>'Pretax Fuel Prices'!Q116+'Fuel Taxes'!Q116</f>
        <v>1.0019889035443037E-5</v>
      </c>
      <c r="R115">
        <f>'Pretax Fuel Prices'!R116+'Fuel Taxes'!R116</f>
        <v>9.9776890532678871E-6</v>
      </c>
      <c r="S115">
        <f>'Pretax Fuel Prices'!S116+'Fuel Taxes'!S116</f>
        <v>9.959061919282575E-6</v>
      </c>
      <c r="T115">
        <f>'Pretax Fuel Prices'!T116+'Fuel Taxes'!T116</f>
        <v>1.0128836247732221E-5</v>
      </c>
      <c r="U115">
        <f>'Pretax Fuel Prices'!U116+'Fuel Taxes'!U116</f>
        <v>9.9825957914824492E-6</v>
      </c>
      <c r="V115">
        <f>'Pretax Fuel Prices'!V116+'Fuel Taxes'!V116</f>
        <v>1.0427620255651916E-5</v>
      </c>
      <c r="W115">
        <f>'Pretax Fuel Prices'!W116+'Fuel Taxes'!W116</f>
        <v>1.0573672610384912E-5</v>
      </c>
      <c r="X115">
        <f>'Pretax Fuel Prices'!X116+'Fuel Taxes'!X116</f>
        <v>1.0693172995608367E-5</v>
      </c>
      <c r="Y115">
        <f>'Pretax Fuel Prices'!Y116+'Fuel Taxes'!Y116</f>
        <v>1.100867092478872E-5</v>
      </c>
      <c r="Z115">
        <f>'Pretax Fuel Prices'!Z116+'Fuel Taxes'!Z116</f>
        <v>1.1241573647414841E-5</v>
      </c>
      <c r="AA115">
        <f>'Pretax Fuel Prices'!AA116+'Fuel Taxes'!AA116</f>
        <v>1.1319719659984498E-5</v>
      </c>
      <c r="AB115">
        <f>'Pretax Fuel Prices'!AB116+'Fuel Taxes'!AB116</f>
        <v>1.1444550435487321E-5</v>
      </c>
      <c r="AC115">
        <f>'Pretax Fuel Prices'!AC116+'Fuel Taxes'!AC116</f>
        <v>1.1542895331202714E-5</v>
      </c>
      <c r="AD115">
        <f>'Pretax Fuel Prices'!AD116+'Fuel Taxes'!AD116</f>
        <v>1.1463989286828799E-5</v>
      </c>
      <c r="AE115">
        <f>'Pretax Fuel Prices'!AE116+'Fuel Taxes'!AE116</f>
        <v>1.1512050071668448E-5</v>
      </c>
      <c r="AF115">
        <f>'Pretax Fuel Prices'!AF116+'Fuel Taxes'!AF116</f>
        <v>1.1440579121031846E-5</v>
      </c>
    </row>
    <row r="116" spans="1:32" x14ac:dyDescent="0.25">
      <c r="A116" t="s">
        <v>55</v>
      </c>
      <c r="B116">
        <f>'Pretax Fuel Prices'!B117+'Fuel Taxes'!B117</f>
        <v>8.5051560296238753E-6</v>
      </c>
      <c r="C116">
        <f>'Pretax Fuel Prices'!C117+'Fuel Taxes'!C117</f>
        <v>9.6681985880672616E-6</v>
      </c>
      <c r="D116">
        <f>'Pretax Fuel Prices'!D117+'Fuel Taxes'!D117</f>
        <v>1.9380993332185943E-5</v>
      </c>
      <c r="E116">
        <f>'Pretax Fuel Prices'!E117+'Fuel Taxes'!E117</f>
        <v>1.3941376221413941E-5</v>
      </c>
      <c r="F116">
        <f>'Pretax Fuel Prices'!F117+'Fuel Taxes'!F117</f>
        <v>1.3034456083278697E-5</v>
      </c>
      <c r="G116">
        <f>'Pretax Fuel Prices'!G117+'Fuel Taxes'!G117</f>
        <v>1.2127535945143453E-5</v>
      </c>
      <c r="H116">
        <f>'Pretax Fuel Prices'!H117+'Fuel Taxes'!H117</f>
        <v>1.1220615807008209E-5</v>
      </c>
      <c r="I116">
        <f>'Pretax Fuel Prices'!I117+'Fuel Taxes'!I117</f>
        <v>1.0313695668872966E-5</v>
      </c>
      <c r="J116">
        <f>'Pretax Fuel Prices'!J117+'Fuel Taxes'!J117</f>
        <v>9.4067755307377185E-6</v>
      </c>
      <c r="K116">
        <f>'Pretax Fuel Prices'!K117+'Fuel Taxes'!K117</f>
        <v>9.4895249466435392E-6</v>
      </c>
      <c r="L116">
        <f>'Pretax Fuel Prices'!L117+'Fuel Taxes'!L117</f>
        <v>9.620852850212199E-6</v>
      </c>
      <c r="M116">
        <f>'Pretax Fuel Prices'!M117+'Fuel Taxes'!M117</f>
        <v>9.7740496733660521E-6</v>
      </c>
      <c r="N116">
        <f>'Pretax Fuel Prices'!N117+'Fuel Taxes'!N117</f>
        <v>9.8933348433405903E-6</v>
      </c>
      <c r="O116">
        <f>'Pretax Fuel Prices'!O117+'Fuel Taxes'!O117</f>
        <v>9.9951545332915061E-6</v>
      </c>
      <c r="P116">
        <f>'Pretax Fuel Prices'!P117+'Fuel Taxes'!P117</f>
        <v>1.0004276609550872E-5</v>
      </c>
      <c r="Q116">
        <f>'Pretax Fuel Prices'!Q117+'Fuel Taxes'!Q117</f>
        <v>1.0019889035443037E-5</v>
      </c>
      <c r="R116">
        <f>'Pretax Fuel Prices'!R117+'Fuel Taxes'!R117</f>
        <v>9.9776890532678871E-6</v>
      </c>
      <c r="S116">
        <f>'Pretax Fuel Prices'!S117+'Fuel Taxes'!S117</f>
        <v>9.959061919282575E-6</v>
      </c>
      <c r="T116">
        <f>'Pretax Fuel Prices'!T117+'Fuel Taxes'!T117</f>
        <v>1.0128836247732221E-5</v>
      </c>
      <c r="U116">
        <f>'Pretax Fuel Prices'!U117+'Fuel Taxes'!U117</f>
        <v>9.9825957914824492E-6</v>
      </c>
      <c r="V116">
        <f>'Pretax Fuel Prices'!V117+'Fuel Taxes'!V117</f>
        <v>1.0427620255651916E-5</v>
      </c>
      <c r="W116">
        <f>'Pretax Fuel Prices'!W117+'Fuel Taxes'!W117</f>
        <v>1.0573672610384912E-5</v>
      </c>
      <c r="X116">
        <f>'Pretax Fuel Prices'!X117+'Fuel Taxes'!X117</f>
        <v>1.0693172995608367E-5</v>
      </c>
      <c r="Y116">
        <f>'Pretax Fuel Prices'!Y117+'Fuel Taxes'!Y117</f>
        <v>1.100867092478872E-5</v>
      </c>
      <c r="Z116">
        <f>'Pretax Fuel Prices'!Z117+'Fuel Taxes'!Z117</f>
        <v>1.1241573647414841E-5</v>
      </c>
      <c r="AA116">
        <f>'Pretax Fuel Prices'!AA117+'Fuel Taxes'!AA117</f>
        <v>1.1319719659984498E-5</v>
      </c>
      <c r="AB116">
        <f>'Pretax Fuel Prices'!AB117+'Fuel Taxes'!AB117</f>
        <v>1.1444550435487321E-5</v>
      </c>
      <c r="AC116">
        <f>'Pretax Fuel Prices'!AC117+'Fuel Taxes'!AC117</f>
        <v>1.1542895331202714E-5</v>
      </c>
      <c r="AD116">
        <f>'Pretax Fuel Prices'!AD117+'Fuel Taxes'!AD117</f>
        <v>1.1463989286828799E-5</v>
      </c>
      <c r="AE116">
        <f>'Pretax Fuel Prices'!AE117+'Fuel Taxes'!AE117</f>
        <v>1.1512050071668448E-5</v>
      </c>
      <c r="AF116">
        <f>'Pretax Fuel Prices'!AF117+'Fuel Taxes'!AF117</f>
        <v>1.1440579121031846E-5</v>
      </c>
    </row>
    <row r="117" spans="1:32" x14ac:dyDescent="0.25">
      <c r="A117" t="s">
        <v>56</v>
      </c>
      <c r="B117">
        <f>'Pretax Fuel Prices'!B118+'Fuel Taxes'!B118</f>
        <v>8.7907978460530088E-6</v>
      </c>
      <c r="C117">
        <f>'Pretax Fuel Prices'!C118+'Fuel Taxes'!C118</f>
        <v>1.0532853075767043E-5</v>
      </c>
      <c r="D117">
        <f>'Pretax Fuel Prices'!D118+'Fuel Taxes'!D118</f>
        <v>2.127032890654978E-5</v>
      </c>
      <c r="E117">
        <f>'Pretax Fuel Prices'!E118+'Fuel Taxes'!E118</f>
        <v>1.5683538562914313E-5</v>
      </c>
      <c r="F117">
        <f>'Pretax Fuel Prices'!F118+'Fuel Taxes'!F118</f>
        <v>1.4738694620022559E-5</v>
      </c>
      <c r="G117">
        <f>'Pretax Fuel Prices'!G118+'Fuel Taxes'!G118</f>
        <v>1.3793850677130806E-5</v>
      </c>
      <c r="H117">
        <f>'Pretax Fuel Prices'!H118+'Fuel Taxes'!H118</f>
        <v>1.2849006734239053E-5</v>
      </c>
      <c r="I117">
        <f>'Pretax Fuel Prices'!I118+'Fuel Taxes'!I118</f>
        <v>1.19041627913473E-5</v>
      </c>
      <c r="J117">
        <f>'Pretax Fuel Prices'!J118+'Fuel Taxes'!J118</f>
        <v>1.0959318848455545E-5</v>
      </c>
      <c r="K117">
        <f>'Pretax Fuel Prices'!K118+'Fuel Taxes'!K118</f>
        <v>1.1060770808414214E-5</v>
      </c>
      <c r="L117">
        <f>'Pretax Fuel Prices'!L118+'Fuel Taxes'!L118</f>
        <v>1.120498197127357E-5</v>
      </c>
      <c r="M117">
        <f>'Pretax Fuel Prices'!M118+'Fuel Taxes'!M118</f>
        <v>1.1375702738435987E-5</v>
      </c>
      <c r="N117">
        <f>'Pretax Fuel Prices'!N118+'Fuel Taxes'!N118</f>
        <v>1.1506722223301469E-5</v>
      </c>
      <c r="O117">
        <f>'Pretax Fuel Prices'!O118+'Fuel Taxes'!O118</f>
        <v>1.1620780374100452E-5</v>
      </c>
      <c r="P117">
        <f>'Pretax Fuel Prices'!P118+'Fuel Taxes'!P118</f>
        <v>1.164121396049009E-5</v>
      </c>
      <c r="Q117">
        <f>'Pretax Fuel Prices'!Q118+'Fuel Taxes'!Q118</f>
        <v>1.1671604217706756E-5</v>
      </c>
      <c r="R117">
        <f>'Pretax Fuel Prices'!R118+'Fuel Taxes'!R118</f>
        <v>1.1636764766505515E-5</v>
      </c>
      <c r="S117">
        <f>'Pretax Fuel Prices'!S118+'Fuel Taxes'!S118</f>
        <v>1.1608711374078309E-5</v>
      </c>
      <c r="T117">
        <f>'Pretax Fuel Prices'!T118+'Fuel Taxes'!T118</f>
        <v>1.1809786811683947E-5</v>
      </c>
      <c r="U117">
        <f>'Pretax Fuel Prices'!U118+'Fuel Taxes'!U118</f>
        <v>1.1701001434483519E-5</v>
      </c>
      <c r="V117">
        <f>'Pretax Fuel Prices'!V118+'Fuel Taxes'!V118</f>
        <v>1.2136292916116174E-5</v>
      </c>
      <c r="W117">
        <f>'Pretax Fuel Prices'!W118+'Fuel Taxes'!W118</f>
        <v>1.2288257759065575E-5</v>
      </c>
      <c r="X117">
        <f>'Pretax Fuel Prices'!X118+'Fuel Taxes'!X118</f>
        <v>1.2410101787511531E-5</v>
      </c>
      <c r="Y117">
        <f>'Pretax Fuel Prices'!Y118+'Fuel Taxes'!Y118</f>
        <v>1.2723622956157506E-5</v>
      </c>
      <c r="Z117">
        <f>'Pretax Fuel Prices'!Z118+'Fuel Taxes'!Z118</f>
        <v>1.2937252051747422E-5</v>
      </c>
      <c r="AA117">
        <f>'Pretax Fuel Prices'!AA118+'Fuel Taxes'!AA118</f>
        <v>1.3010755684990955E-5</v>
      </c>
      <c r="AB117">
        <f>'Pretax Fuel Prices'!AB118+'Fuel Taxes'!AB118</f>
        <v>1.3156353884710482E-5</v>
      </c>
      <c r="AC117">
        <f>'Pretax Fuel Prices'!AC118+'Fuel Taxes'!AC118</f>
        <v>1.3221510724973242E-5</v>
      </c>
      <c r="AD117">
        <f>'Pretax Fuel Prices'!AD118+'Fuel Taxes'!AD118</f>
        <v>1.3194303789371515E-5</v>
      </c>
      <c r="AE117">
        <f>'Pretax Fuel Prices'!AE118+'Fuel Taxes'!AE118</f>
        <v>1.3219168776359003E-5</v>
      </c>
      <c r="AF117">
        <f>'Pretax Fuel Prices'!AF118+'Fuel Taxes'!AF118</f>
        <v>1.3178508345787353E-5</v>
      </c>
    </row>
    <row r="118" spans="1:32" x14ac:dyDescent="0.25">
      <c r="A118" t="s">
        <v>57</v>
      </c>
      <c r="B118">
        <f>'Pretax Fuel Prices'!B119+'Fuel Taxes'!B119</f>
        <v>8.7907978460530088E-6</v>
      </c>
      <c r="C118">
        <f>'Pretax Fuel Prices'!C119+'Fuel Taxes'!C119</f>
        <v>1.0532853075767043E-5</v>
      </c>
      <c r="D118">
        <f>'Pretax Fuel Prices'!D119+'Fuel Taxes'!D119</f>
        <v>2.127032890654978E-5</v>
      </c>
      <c r="E118">
        <f>'Pretax Fuel Prices'!E119+'Fuel Taxes'!E119</f>
        <v>1.5683538562914313E-5</v>
      </c>
      <c r="F118">
        <f>'Pretax Fuel Prices'!F119+'Fuel Taxes'!F119</f>
        <v>1.4738694620022559E-5</v>
      </c>
      <c r="G118">
        <f>'Pretax Fuel Prices'!G119+'Fuel Taxes'!G119</f>
        <v>1.3793850677130806E-5</v>
      </c>
      <c r="H118">
        <f>'Pretax Fuel Prices'!H119+'Fuel Taxes'!H119</f>
        <v>1.2849006734239053E-5</v>
      </c>
      <c r="I118">
        <f>'Pretax Fuel Prices'!I119+'Fuel Taxes'!I119</f>
        <v>1.19041627913473E-5</v>
      </c>
      <c r="J118">
        <f>'Pretax Fuel Prices'!J119+'Fuel Taxes'!J119</f>
        <v>1.0959318848455545E-5</v>
      </c>
      <c r="K118">
        <f>'Pretax Fuel Prices'!K119+'Fuel Taxes'!K119</f>
        <v>1.1060770808414214E-5</v>
      </c>
      <c r="L118">
        <f>'Pretax Fuel Prices'!L119+'Fuel Taxes'!L119</f>
        <v>1.120498197127357E-5</v>
      </c>
      <c r="M118">
        <f>'Pretax Fuel Prices'!M119+'Fuel Taxes'!M119</f>
        <v>1.1375702738435987E-5</v>
      </c>
      <c r="N118">
        <f>'Pretax Fuel Prices'!N119+'Fuel Taxes'!N119</f>
        <v>1.1506722223301469E-5</v>
      </c>
      <c r="O118">
        <f>'Pretax Fuel Prices'!O119+'Fuel Taxes'!O119</f>
        <v>1.1620780374100452E-5</v>
      </c>
      <c r="P118">
        <f>'Pretax Fuel Prices'!P119+'Fuel Taxes'!P119</f>
        <v>1.164121396049009E-5</v>
      </c>
      <c r="Q118">
        <f>'Pretax Fuel Prices'!Q119+'Fuel Taxes'!Q119</f>
        <v>1.1671604217706756E-5</v>
      </c>
      <c r="R118">
        <f>'Pretax Fuel Prices'!R119+'Fuel Taxes'!R119</f>
        <v>1.1636764766505515E-5</v>
      </c>
      <c r="S118">
        <f>'Pretax Fuel Prices'!S119+'Fuel Taxes'!S119</f>
        <v>1.1608711374078309E-5</v>
      </c>
      <c r="T118">
        <f>'Pretax Fuel Prices'!T119+'Fuel Taxes'!T119</f>
        <v>1.1809786811683947E-5</v>
      </c>
      <c r="U118">
        <f>'Pretax Fuel Prices'!U119+'Fuel Taxes'!U119</f>
        <v>1.1701001434483519E-5</v>
      </c>
      <c r="V118">
        <f>'Pretax Fuel Prices'!V119+'Fuel Taxes'!V119</f>
        <v>1.2136292916116174E-5</v>
      </c>
      <c r="W118">
        <f>'Pretax Fuel Prices'!W119+'Fuel Taxes'!W119</f>
        <v>1.2288257759065575E-5</v>
      </c>
      <c r="X118">
        <f>'Pretax Fuel Prices'!X119+'Fuel Taxes'!X119</f>
        <v>1.2410101787511531E-5</v>
      </c>
      <c r="Y118">
        <f>'Pretax Fuel Prices'!Y119+'Fuel Taxes'!Y119</f>
        <v>1.2723622956157506E-5</v>
      </c>
      <c r="Z118">
        <f>'Pretax Fuel Prices'!Z119+'Fuel Taxes'!Z119</f>
        <v>1.2937252051747422E-5</v>
      </c>
      <c r="AA118">
        <f>'Pretax Fuel Prices'!AA119+'Fuel Taxes'!AA119</f>
        <v>1.3010755684990955E-5</v>
      </c>
      <c r="AB118">
        <f>'Pretax Fuel Prices'!AB119+'Fuel Taxes'!AB119</f>
        <v>1.3156353884710482E-5</v>
      </c>
      <c r="AC118">
        <f>'Pretax Fuel Prices'!AC119+'Fuel Taxes'!AC119</f>
        <v>1.3221510724973242E-5</v>
      </c>
      <c r="AD118">
        <f>'Pretax Fuel Prices'!AD119+'Fuel Taxes'!AD119</f>
        <v>1.3194303789371515E-5</v>
      </c>
      <c r="AE118">
        <f>'Pretax Fuel Prices'!AE119+'Fuel Taxes'!AE119</f>
        <v>1.3219168776359003E-5</v>
      </c>
      <c r="AF118">
        <f>'Pretax Fuel Prices'!AF119+'Fuel Taxes'!AF119</f>
        <v>1.3178508345787353E-5</v>
      </c>
    </row>
    <row r="119" spans="1:32" x14ac:dyDescent="0.25">
      <c r="A119" t="s">
        <v>58</v>
      </c>
      <c r="B119">
        <f>'Pretax Fuel Prices'!B120+'Fuel Taxes'!B120</f>
        <v>0</v>
      </c>
      <c r="C119">
        <f>'Pretax Fuel Prices'!C120+'Fuel Taxes'!C120</f>
        <v>0</v>
      </c>
      <c r="D119">
        <f>'Pretax Fuel Prices'!D120+'Fuel Taxes'!D120</f>
        <v>0</v>
      </c>
      <c r="E119">
        <f>'Pretax Fuel Prices'!E120+'Fuel Taxes'!E120</f>
        <v>0</v>
      </c>
      <c r="F119">
        <f>'Pretax Fuel Prices'!F120+'Fuel Taxes'!F120</f>
        <v>0</v>
      </c>
      <c r="G119">
        <f>'Pretax Fuel Prices'!G120+'Fuel Taxes'!G120</f>
        <v>0</v>
      </c>
      <c r="H119">
        <f>'Pretax Fuel Prices'!H120+'Fuel Taxes'!H120</f>
        <v>0</v>
      </c>
      <c r="I119">
        <f>'Pretax Fuel Prices'!I120+'Fuel Taxes'!I120</f>
        <v>0</v>
      </c>
      <c r="J119">
        <f>'Pretax Fuel Prices'!J120+'Fuel Taxes'!J120</f>
        <v>0</v>
      </c>
      <c r="K119">
        <f>'Pretax Fuel Prices'!K120+'Fuel Taxes'!K120</f>
        <v>0</v>
      </c>
      <c r="L119">
        <f>'Pretax Fuel Prices'!L120+'Fuel Taxes'!L120</f>
        <v>0</v>
      </c>
      <c r="M119">
        <f>'Pretax Fuel Prices'!M120+'Fuel Taxes'!M120</f>
        <v>0</v>
      </c>
      <c r="N119">
        <f>'Pretax Fuel Prices'!N120+'Fuel Taxes'!N120</f>
        <v>0</v>
      </c>
      <c r="O119">
        <f>'Pretax Fuel Prices'!O120+'Fuel Taxes'!O120</f>
        <v>0</v>
      </c>
      <c r="P119">
        <f>'Pretax Fuel Prices'!P120+'Fuel Taxes'!P120</f>
        <v>0</v>
      </c>
      <c r="Q119">
        <f>'Pretax Fuel Prices'!Q120+'Fuel Taxes'!Q120</f>
        <v>0</v>
      </c>
      <c r="R119">
        <f>'Pretax Fuel Prices'!R120+'Fuel Taxes'!R120</f>
        <v>0</v>
      </c>
      <c r="S119">
        <f>'Pretax Fuel Prices'!S120+'Fuel Taxes'!S120</f>
        <v>0</v>
      </c>
      <c r="T119">
        <f>'Pretax Fuel Prices'!T120+'Fuel Taxes'!T120</f>
        <v>0</v>
      </c>
      <c r="U119">
        <f>'Pretax Fuel Prices'!U120+'Fuel Taxes'!U120</f>
        <v>0</v>
      </c>
      <c r="V119">
        <f>'Pretax Fuel Prices'!V120+'Fuel Taxes'!V120</f>
        <v>0</v>
      </c>
      <c r="W119">
        <f>'Pretax Fuel Prices'!W120+'Fuel Taxes'!W120</f>
        <v>0</v>
      </c>
      <c r="X119">
        <f>'Pretax Fuel Prices'!X120+'Fuel Taxes'!X120</f>
        <v>0</v>
      </c>
      <c r="Y119">
        <f>'Pretax Fuel Prices'!Y120+'Fuel Taxes'!Y120</f>
        <v>0</v>
      </c>
      <c r="Z119">
        <f>'Pretax Fuel Prices'!Z120+'Fuel Taxes'!Z120</f>
        <v>0</v>
      </c>
      <c r="AA119">
        <f>'Pretax Fuel Prices'!AA120+'Fuel Taxes'!AA120</f>
        <v>0</v>
      </c>
      <c r="AB119">
        <f>'Pretax Fuel Prices'!AB120+'Fuel Taxes'!AB120</f>
        <v>0</v>
      </c>
      <c r="AC119">
        <f>'Pretax Fuel Prices'!AC120+'Fuel Taxes'!AC120</f>
        <v>0</v>
      </c>
      <c r="AD119">
        <f>'Pretax Fuel Prices'!AD120+'Fuel Taxes'!AD120</f>
        <v>0</v>
      </c>
      <c r="AE119">
        <f>'Pretax Fuel Prices'!AE120+'Fuel Taxes'!AE120</f>
        <v>0</v>
      </c>
      <c r="AF119">
        <f>'Pretax Fuel Prices'!AF120+'Fuel Taxes'!AF120</f>
        <v>0</v>
      </c>
    </row>
    <row r="120" spans="1:32" x14ac:dyDescent="0.25">
      <c r="A120" t="s">
        <v>59</v>
      </c>
      <c r="B120">
        <f>'Pretax Fuel Prices'!B121+'Fuel Taxes'!B121</f>
        <v>8.7907978460530088E-6</v>
      </c>
      <c r="C120">
        <f>'Pretax Fuel Prices'!C121+'Fuel Taxes'!C121</f>
        <v>1.0532853075767043E-5</v>
      </c>
      <c r="D120">
        <f>'Pretax Fuel Prices'!D121+'Fuel Taxes'!D121</f>
        <v>2.127032890654978E-5</v>
      </c>
      <c r="E120">
        <f>'Pretax Fuel Prices'!E121+'Fuel Taxes'!E121</f>
        <v>1.5683538562914313E-5</v>
      </c>
      <c r="F120">
        <f>'Pretax Fuel Prices'!F121+'Fuel Taxes'!F121</f>
        <v>1.4738694620022559E-5</v>
      </c>
      <c r="G120">
        <f>'Pretax Fuel Prices'!G121+'Fuel Taxes'!G121</f>
        <v>1.3793850677130806E-5</v>
      </c>
      <c r="H120">
        <f>'Pretax Fuel Prices'!H121+'Fuel Taxes'!H121</f>
        <v>1.2849006734239053E-5</v>
      </c>
      <c r="I120">
        <f>'Pretax Fuel Prices'!I121+'Fuel Taxes'!I121</f>
        <v>1.19041627913473E-5</v>
      </c>
      <c r="J120">
        <f>'Pretax Fuel Prices'!J121+'Fuel Taxes'!J121</f>
        <v>1.0959318848455545E-5</v>
      </c>
      <c r="K120">
        <f>'Pretax Fuel Prices'!K121+'Fuel Taxes'!K121</f>
        <v>1.1060770808414214E-5</v>
      </c>
      <c r="L120">
        <f>'Pretax Fuel Prices'!L121+'Fuel Taxes'!L121</f>
        <v>1.120498197127357E-5</v>
      </c>
      <c r="M120">
        <f>'Pretax Fuel Prices'!M121+'Fuel Taxes'!M121</f>
        <v>1.1375702738435987E-5</v>
      </c>
      <c r="N120">
        <f>'Pretax Fuel Prices'!N121+'Fuel Taxes'!N121</f>
        <v>1.1506722223301469E-5</v>
      </c>
      <c r="O120">
        <f>'Pretax Fuel Prices'!O121+'Fuel Taxes'!O121</f>
        <v>1.1620780374100452E-5</v>
      </c>
      <c r="P120">
        <f>'Pretax Fuel Prices'!P121+'Fuel Taxes'!P121</f>
        <v>1.164121396049009E-5</v>
      </c>
      <c r="Q120">
        <f>'Pretax Fuel Prices'!Q121+'Fuel Taxes'!Q121</f>
        <v>1.1671604217706756E-5</v>
      </c>
      <c r="R120">
        <f>'Pretax Fuel Prices'!R121+'Fuel Taxes'!R121</f>
        <v>1.1636764766505515E-5</v>
      </c>
      <c r="S120">
        <f>'Pretax Fuel Prices'!S121+'Fuel Taxes'!S121</f>
        <v>1.1608711374078309E-5</v>
      </c>
      <c r="T120">
        <f>'Pretax Fuel Prices'!T121+'Fuel Taxes'!T121</f>
        <v>1.1809786811683947E-5</v>
      </c>
      <c r="U120">
        <f>'Pretax Fuel Prices'!U121+'Fuel Taxes'!U121</f>
        <v>1.1701001434483519E-5</v>
      </c>
      <c r="V120">
        <f>'Pretax Fuel Prices'!V121+'Fuel Taxes'!V121</f>
        <v>1.2136292916116174E-5</v>
      </c>
      <c r="W120">
        <f>'Pretax Fuel Prices'!W121+'Fuel Taxes'!W121</f>
        <v>1.2288257759065575E-5</v>
      </c>
      <c r="X120">
        <f>'Pretax Fuel Prices'!X121+'Fuel Taxes'!X121</f>
        <v>1.2410101787511531E-5</v>
      </c>
      <c r="Y120">
        <f>'Pretax Fuel Prices'!Y121+'Fuel Taxes'!Y121</f>
        <v>1.2723622956157506E-5</v>
      </c>
      <c r="Z120">
        <f>'Pretax Fuel Prices'!Z121+'Fuel Taxes'!Z121</f>
        <v>1.2937252051747422E-5</v>
      </c>
      <c r="AA120">
        <f>'Pretax Fuel Prices'!AA121+'Fuel Taxes'!AA121</f>
        <v>1.3010755684990955E-5</v>
      </c>
      <c r="AB120">
        <f>'Pretax Fuel Prices'!AB121+'Fuel Taxes'!AB121</f>
        <v>1.3156353884710482E-5</v>
      </c>
      <c r="AC120">
        <f>'Pretax Fuel Prices'!AC121+'Fuel Taxes'!AC121</f>
        <v>1.3221510724973242E-5</v>
      </c>
      <c r="AD120">
        <f>'Pretax Fuel Prices'!AD121+'Fuel Taxes'!AD121</f>
        <v>1.3194303789371515E-5</v>
      </c>
      <c r="AE120">
        <f>'Pretax Fuel Prices'!AE121+'Fuel Taxes'!AE121</f>
        <v>1.3219168776359003E-5</v>
      </c>
      <c r="AF120">
        <f>'Pretax Fuel Prices'!AF121+'Fuel Taxes'!AF121</f>
        <v>1.3178508345787353E-5</v>
      </c>
    </row>
    <row r="121" spans="1:32" s="4" customFormat="1" x14ac:dyDescent="0.25">
      <c r="A121" s="6" t="s">
        <v>48</v>
      </c>
    </row>
    <row r="122" spans="1:32" x14ac:dyDescent="0.25">
      <c r="A122" t="s">
        <v>30</v>
      </c>
      <c r="B122" s="7">
        <f>'Fuel Taxes'!B$1</f>
        <v>2020</v>
      </c>
      <c r="C122" s="7">
        <f>'Fuel Taxes'!C$1</f>
        <v>2021</v>
      </c>
      <c r="D122" s="7">
        <f>'Fuel Taxes'!D$1</f>
        <v>2022</v>
      </c>
      <c r="E122" s="7">
        <f>'Fuel Taxes'!E$1</f>
        <v>2023</v>
      </c>
      <c r="F122" s="7">
        <f>'Fuel Taxes'!F$1</f>
        <v>2024</v>
      </c>
      <c r="G122" s="7">
        <f>'Fuel Taxes'!G$1</f>
        <v>2025</v>
      </c>
      <c r="H122" s="7">
        <f>'Fuel Taxes'!H$1</f>
        <v>2026</v>
      </c>
      <c r="I122" s="7">
        <f>'Fuel Taxes'!I$1</f>
        <v>2027</v>
      </c>
      <c r="J122" s="7">
        <f>'Fuel Taxes'!J$1</f>
        <v>2028</v>
      </c>
      <c r="K122" s="7">
        <f>'Fuel Taxes'!K$1</f>
        <v>2029</v>
      </c>
      <c r="L122" s="7">
        <f>'Fuel Taxes'!L$1</f>
        <v>2030</v>
      </c>
      <c r="M122" s="7">
        <f>'Fuel Taxes'!M$1</f>
        <v>2031</v>
      </c>
      <c r="N122" s="7">
        <f>'Fuel Taxes'!N$1</f>
        <v>2032</v>
      </c>
      <c r="O122" s="7">
        <f>'Fuel Taxes'!O$1</f>
        <v>2033</v>
      </c>
      <c r="P122" s="7">
        <f>'Fuel Taxes'!P$1</f>
        <v>2034</v>
      </c>
      <c r="Q122" s="7">
        <f>'Fuel Taxes'!Q$1</f>
        <v>2035</v>
      </c>
      <c r="R122" s="7">
        <f>'Fuel Taxes'!R$1</f>
        <v>2036</v>
      </c>
      <c r="S122" s="7">
        <f>'Fuel Taxes'!S$1</f>
        <v>2037</v>
      </c>
      <c r="T122" s="7">
        <f>'Fuel Taxes'!T$1</f>
        <v>2038</v>
      </c>
      <c r="U122" s="7">
        <f>'Fuel Taxes'!U$1</f>
        <v>2039</v>
      </c>
      <c r="V122" s="7">
        <f>'Fuel Taxes'!V$1</f>
        <v>2040</v>
      </c>
      <c r="W122" s="7">
        <f>'Fuel Taxes'!W$1</f>
        <v>2041</v>
      </c>
      <c r="X122" s="7">
        <f>'Fuel Taxes'!X$1</f>
        <v>2042</v>
      </c>
      <c r="Y122" s="7">
        <f>'Fuel Taxes'!Y$1</f>
        <v>2043</v>
      </c>
      <c r="Z122" s="7">
        <f>'Fuel Taxes'!Z$1</f>
        <v>2044</v>
      </c>
      <c r="AA122" s="7">
        <f>'Fuel Taxes'!AA$1</f>
        <v>2045</v>
      </c>
      <c r="AB122" s="7">
        <f>'Fuel Taxes'!AB$1</f>
        <v>2046</v>
      </c>
      <c r="AC122" s="7">
        <f>'Fuel Taxes'!AC$1</f>
        <v>2047</v>
      </c>
      <c r="AD122" s="7">
        <f>'Fuel Taxes'!AD$1</f>
        <v>2048</v>
      </c>
      <c r="AE122" s="7">
        <f>'Fuel Taxes'!AE$1</f>
        <v>2049</v>
      </c>
      <c r="AF122" s="7">
        <f>'Fuel Taxes'!AF$1</f>
        <v>2050</v>
      </c>
    </row>
    <row r="123" spans="1:32" x14ac:dyDescent="0.25">
      <c r="A123" t="s">
        <v>52</v>
      </c>
      <c r="B123">
        <f>'Pretax Fuel Prices'!B124+'Fuel Taxes'!B124</f>
        <v>1.063381424852112E-5</v>
      </c>
      <c r="C123">
        <f>'Pretax Fuel Prices'!C124+'Fuel Taxes'!C124</f>
        <v>1.5033772246411039E-5</v>
      </c>
      <c r="D123">
        <f>'Pretax Fuel Prices'!D124+'Fuel Taxes'!D124</f>
        <v>1.5550752319179242E-5</v>
      </c>
      <c r="E123">
        <f>'Pretax Fuel Prices'!E124+'Fuel Taxes'!E124</f>
        <v>1.4272275453312171E-5</v>
      </c>
      <c r="F123">
        <f>'Pretax Fuel Prices'!F124+'Fuel Taxes'!F124</f>
        <v>1.4274338638867767E-5</v>
      </c>
      <c r="G123">
        <f>'Pretax Fuel Prices'!G124+'Fuel Taxes'!G124</f>
        <v>1.4189911560785323E-5</v>
      </c>
      <c r="H123">
        <f>'Pretax Fuel Prices'!H124+'Fuel Taxes'!H124</f>
        <v>1.430004160963944E-5</v>
      </c>
      <c r="I123">
        <f>'Pretax Fuel Prices'!I124+'Fuel Taxes'!I124</f>
        <v>1.4592905503605561E-5</v>
      </c>
      <c r="J123">
        <f>'Pretax Fuel Prices'!J124+'Fuel Taxes'!J124</f>
        <v>1.499192304814555E-5</v>
      </c>
      <c r="K123">
        <f>'Pretax Fuel Prices'!K124+'Fuel Taxes'!K124</f>
        <v>1.5248679923932534E-5</v>
      </c>
      <c r="L123">
        <f>'Pretax Fuel Prices'!L124+'Fuel Taxes'!L124</f>
        <v>1.5519683371354758E-5</v>
      </c>
      <c r="M123">
        <f>'Pretax Fuel Prices'!M124+'Fuel Taxes'!M124</f>
        <v>1.604612444203417E-5</v>
      </c>
      <c r="N123">
        <f>'Pretax Fuel Prices'!N124+'Fuel Taxes'!N124</f>
        <v>1.6240413820865775E-5</v>
      </c>
      <c r="O123">
        <f>'Pretax Fuel Prices'!O124+'Fuel Taxes'!O124</f>
        <v>1.6467995473557952E-5</v>
      </c>
      <c r="P123">
        <f>'Pretax Fuel Prices'!P124+'Fuel Taxes'!P124</f>
        <v>1.6578363614872495E-5</v>
      </c>
      <c r="Q123">
        <f>'Pretax Fuel Prices'!Q124+'Fuel Taxes'!Q124</f>
        <v>1.665231547200059E-5</v>
      </c>
      <c r="R123">
        <f>'Pretax Fuel Prices'!R124+'Fuel Taxes'!R124</f>
        <v>1.6756330526951322E-5</v>
      </c>
      <c r="S123">
        <f>'Pretax Fuel Prices'!S124+'Fuel Taxes'!S124</f>
        <v>1.6890409627028819E-5</v>
      </c>
      <c r="T123">
        <f>'Pretax Fuel Prices'!T124+'Fuel Taxes'!T124</f>
        <v>1.7012333302062957E-5</v>
      </c>
      <c r="U123">
        <f>'Pretax Fuel Prices'!U124+'Fuel Taxes'!U124</f>
        <v>1.7070320254780968E-5</v>
      </c>
      <c r="V123">
        <f>'Pretax Fuel Prices'!V124+'Fuel Taxes'!V124</f>
        <v>1.7271088968291689E-5</v>
      </c>
      <c r="W123">
        <f>'Pretax Fuel Prices'!W124+'Fuel Taxes'!W124</f>
        <v>1.7386892565597664E-5</v>
      </c>
      <c r="X123">
        <f>'Pretax Fuel Prices'!X124+'Fuel Taxes'!X124</f>
        <v>1.739384893250175E-5</v>
      </c>
      <c r="Y123">
        <f>'Pretax Fuel Prices'!Y124+'Fuel Taxes'!Y124</f>
        <v>1.7518039993386719E-5</v>
      </c>
      <c r="Z123">
        <f>'Pretax Fuel Prices'!Z124+'Fuel Taxes'!Z124</f>
        <v>1.766648682958999E-5</v>
      </c>
      <c r="AA123">
        <f>'Pretax Fuel Prices'!AA124+'Fuel Taxes'!AA124</f>
        <v>1.7684873329202493E-5</v>
      </c>
      <c r="AB123">
        <f>'Pretax Fuel Prices'!AB124+'Fuel Taxes'!AB124</f>
        <v>1.7757342404103775E-5</v>
      </c>
      <c r="AC123">
        <f>'Pretax Fuel Prices'!AC124+'Fuel Taxes'!AC124</f>
        <v>1.7804625363752442E-5</v>
      </c>
      <c r="AD123">
        <f>'Pretax Fuel Prices'!AD124+'Fuel Taxes'!AD124</f>
        <v>1.7827588152968962E-5</v>
      </c>
      <c r="AE123">
        <f>'Pretax Fuel Prices'!AE124+'Fuel Taxes'!AE124</f>
        <v>1.7810205708750046E-5</v>
      </c>
      <c r="AF123">
        <f>'Pretax Fuel Prices'!AF124+'Fuel Taxes'!AF124</f>
        <v>1.7791193898689886E-5</v>
      </c>
    </row>
    <row r="124" spans="1:32" x14ac:dyDescent="0.25">
      <c r="A124" t="s">
        <v>53</v>
      </c>
      <c r="B124">
        <f>'Pretax Fuel Prices'!B125+'Fuel Taxes'!B125</f>
        <v>0</v>
      </c>
      <c r="C124">
        <f>'Pretax Fuel Prices'!C125+'Fuel Taxes'!C125</f>
        <v>0</v>
      </c>
      <c r="D124">
        <f>'Pretax Fuel Prices'!D125+'Fuel Taxes'!D125</f>
        <v>0</v>
      </c>
      <c r="E124">
        <f>'Pretax Fuel Prices'!E125+'Fuel Taxes'!E125</f>
        <v>0</v>
      </c>
      <c r="F124">
        <f>'Pretax Fuel Prices'!F125+'Fuel Taxes'!F125</f>
        <v>0</v>
      </c>
      <c r="G124">
        <f>'Pretax Fuel Prices'!G125+'Fuel Taxes'!G125</f>
        <v>0</v>
      </c>
      <c r="H124">
        <f>'Pretax Fuel Prices'!H125+'Fuel Taxes'!H125</f>
        <v>0</v>
      </c>
      <c r="I124">
        <f>'Pretax Fuel Prices'!I125+'Fuel Taxes'!I125</f>
        <v>0</v>
      </c>
      <c r="J124">
        <f>'Pretax Fuel Prices'!J125+'Fuel Taxes'!J125</f>
        <v>0</v>
      </c>
      <c r="K124">
        <f>'Pretax Fuel Prices'!K125+'Fuel Taxes'!K125</f>
        <v>0</v>
      </c>
      <c r="L124">
        <f>'Pretax Fuel Prices'!L125+'Fuel Taxes'!L125</f>
        <v>0</v>
      </c>
      <c r="M124">
        <f>'Pretax Fuel Prices'!M125+'Fuel Taxes'!M125</f>
        <v>0</v>
      </c>
      <c r="N124">
        <f>'Pretax Fuel Prices'!N125+'Fuel Taxes'!N125</f>
        <v>0</v>
      </c>
      <c r="O124">
        <f>'Pretax Fuel Prices'!O125+'Fuel Taxes'!O125</f>
        <v>0</v>
      </c>
      <c r="P124">
        <f>'Pretax Fuel Prices'!P125+'Fuel Taxes'!P125</f>
        <v>0</v>
      </c>
      <c r="Q124">
        <f>'Pretax Fuel Prices'!Q125+'Fuel Taxes'!Q125</f>
        <v>0</v>
      </c>
      <c r="R124">
        <f>'Pretax Fuel Prices'!R125+'Fuel Taxes'!R125</f>
        <v>0</v>
      </c>
      <c r="S124">
        <f>'Pretax Fuel Prices'!S125+'Fuel Taxes'!S125</f>
        <v>0</v>
      </c>
      <c r="T124">
        <f>'Pretax Fuel Prices'!T125+'Fuel Taxes'!T125</f>
        <v>0</v>
      </c>
      <c r="U124">
        <f>'Pretax Fuel Prices'!U125+'Fuel Taxes'!U125</f>
        <v>0</v>
      </c>
      <c r="V124">
        <f>'Pretax Fuel Prices'!V125+'Fuel Taxes'!V125</f>
        <v>0</v>
      </c>
      <c r="W124">
        <f>'Pretax Fuel Prices'!W125+'Fuel Taxes'!W125</f>
        <v>0</v>
      </c>
      <c r="X124">
        <f>'Pretax Fuel Prices'!X125+'Fuel Taxes'!X125</f>
        <v>0</v>
      </c>
      <c r="Y124">
        <f>'Pretax Fuel Prices'!Y125+'Fuel Taxes'!Y125</f>
        <v>0</v>
      </c>
      <c r="Z124">
        <f>'Pretax Fuel Prices'!Z125+'Fuel Taxes'!Z125</f>
        <v>0</v>
      </c>
      <c r="AA124">
        <f>'Pretax Fuel Prices'!AA125+'Fuel Taxes'!AA125</f>
        <v>0</v>
      </c>
      <c r="AB124">
        <f>'Pretax Fuel Prices'!AB125+'Fuel Taxes'!AB125</f>
        <v>0</v>
      </c>
      <c r="AC124">
        <f>'Pretax Fuel Prices'!AC125+'Fuel Taxes'!AC125</f>
        <v>0</v>
      </c>
      <c r="AD124">
        <f>'Pretax Fuel Prices'!AD125+'Fuel Taxes'!AD125</f>
        <v>0</v>
      </c>
      <c r="AE124">
        <f>'Pretax Fuel Prices'!AE125+'Fuel Taxes'!AE125</f>
        <v>0</v>
      </c>
      <c r="AF124">
        <f>'Pretax Fuel Prices'!AF125+'Fuel Taxes'!AF125</f>
        <v>0</v>
      </c>
    </row>
    <row r="125" spans="1:32" x14ac:dyDescent="0.25">
      <c r="A125" t="s">
        <v>54</v>
      </c>
      <c r="B125">
        <f>'Pretax Fuel Prices'!B126+'Fuel Taxes'!B126</f>
        <v>1.5343880454841564E-5</v>
      </c>
      <c r="C125">
        <f>'Pretax Fuel Prices'!C126+'Fuel Taxes'!C126</f>
        <v>1.8204437679565998E-5</v>
      </c>
      <c r="D125">
        <f>'Pretax Fuel Prices'!D126+'Fuel Taxes'!D126</f>
        <v>1.9674945858759268E-5</v>
      </c>
      <c r="E125">
        <f>'Pretax Fuel Prices'!E126+'Fuel Taxes'!E126</f>
        <v>1.9487733164018152E-5</v>
      </c>
      <c r="F125">
        <f>'Pretax Fuel Prices'!F126+'Fuel Taxes'!F126</f>
        <v>1.9525317033295192E-5</v>
      </c>
      <c r="G125">
        <f>'Pretax Fuel Prices'!G126+'Fuel Taxes'!G126</f>
        <v>1.9477834109871938E-5</v>
      </c>
      <c r="H125">
        <f>'Pretax Fuel Prices'!H126+'Fuel Taxes'!H126</f>
        <v>1.9550357412237516E-5</v>
      </c>
      <c r="I125">
        <f>'Pretax Fuel Prices'!I126+'Fuel Taxes'!I126</f>
        <v>1.9816616803838061E-5</v>
      </c>
      <c r="J125">
        <f>'Pretax Fuel Prices'!J126+'Fuel Taxes'!J126</f>
        <v>2.0258450320655421E-5</v>
      </c>
      <c r="K125">
        <f>'Pretax Fuel Prices'!K126+'Fuel Taxes'!K126</f>
        <v>2.0676214469062992E-5</v>
      </c>
      <c r="L125">
        <f>'Pretax Fuel Prices'!L126+'Fuel Taxes'!L126</f>
        <v>2.1108417527143222E-5</v>
      </c>
      <c r="M125">
        <f>'Pretax Fuel Prices'!M126+'Fuel Taxes'!M126</f>
        <v>2.1674109114322615E-5</v>
      </c>
      <c r="N125">
        <f>'Pretax Fuel Prices'!N126+'Fuel Taxes'!N126</f>
        <v>2.2045189347101149E-5</v>
      </c>
      <c r="O125">
        <f>'Pretax Fuel Prices'!O126+'Fuel Taxes'!O126</f>
        <v>2.2412960857253566E-5</v>
      </c>
      <c r="P125">
        <f>'Pretax Fuel Prices'!P126+'Fuel Taxes'!P126</f>
        <v>2.2683255111119305E-5</v>
      </c>
      <c r="Q125">
        <f>'Pretax Fuel Prices'!Q126+'Fuel Taxes'!Q126</f>
        <v>2.2888277291360661E-5</v>
      </c>
      <c r="R125">
        <f>'Pretax Fuel Prices'!R126+'Fuel Taxes'!R126</f>
        <v>2.3084784065099455E-5</v>
      </c>
      <c r="S125">
        <f>'Pretax Fuel Prices'!S126+'Fuel Taxes'!S126</f>
        <v>2.329800306549064E-5</v>
      </c>
      <c r="T125">
        <f>'Pretax Fuel Prices'!T126+'Fuel Taxes'!T126</f>
        <v>2.3507239736472668E-5</v>
      </c>
      <c r="U125">
        <f>'Pretax Fuel Prices'!U126+'Fuel Taxes'!U126</f>
        <v>2.3662520080481232E-5</v>
      </c>
      <c r="V125">
        <f>'Pretax Fuel Prices'!V126+'Fuel Taxes'!V126</f>
        <v>2.3913354300402255E-5</v>
      </c>
      <c r="W125">
        <f>'Pretax Fuel Prices'!W126+'Fuel Taxes'!W126</f>
        <v>2.4131720673380811E-5</v>
      </c>
      <c r="X125">
        <f>'Pretax Fuel Prices'!X126+'Fuel Taxes'!X126</f>
        <v>2.4250578802074028E-5</v>
      </c>
      <c r="Y125">
        <f>'Pretax Fuel Prices'!Y126+'Fuel Taxes'!Y126</f>
        <v>2.4423375464353984E-5</v>
      </c>
      <c r="Z125">
        <f>'Pretax Fuel Prices'!Z126+'Fuel Taxes'!Z126</f>
        <v>2.4633366236011362E-5</v>
      </c>
      <c r="AA125">
        <f>'Pretax Fuel Prices'!AA126+'Fuel Taxes'!AA126</f>
        <v>2.4752896276879357E-5</v>
      </c>
      <c r="AB125">
        <f>'Pretax Fuel Prices'!AB126+'Fuel Taxes'!AB126</f>
        <v>2.4881529753315858E-5</v>
      </c>
      <c r="AC125">
        <f>'Pretax Fuel Prices'!AC126+'Fuel Taxes'!AC126</f>
        <v>2.4987685098497985E-5</v>
      </c>
      <c r="AD125">
        <f>'Pretax Fuel Prices'!AD126+'Fuel Taxes'!AD126</f>
        <v>2.5063334953101819E-5</v>
      </c>
      <c r="AE125">
        <f>'Pretax Fuel Prices'!AE126+'Fuel Taxes'!AE126</f>
        <v>2.5090511385754874E-5</v>
      </c>
      <c r="AF125">
        <f>'Pretax Fuel Prices'!AF126+'Fuel Taxes'!AF126</f>
        <v>2.5093519315414986E-5</v>
      </c>
    </row>
    <row r="126" spans="1:32" x14ac:dyDescent="0.25">
      <c r="A126" t="s">
        <v>55</v>
      </c>
      <c r="B126">
        <f>'Pretax Fuel Prices'!B127+'Fuel Taxes'!B127</f>
        <v>1.1328563842008262E-5</v>
      </c>
      <c r="C126">
        <f>'Pretax Fuel Prices'!C127+'Fuel Taxes'!C127</f>
        <v>1.5922701038690627E-5</v>
      </c>
      <c r="D126">
        <f>'Pretax Fuel Prices'!D127+'Fuel Taxes'!D127</f>
        <v>1.6784696574602351E-5</v>
      </c>
      <c r="E126">
        <f>'Pretax Fuel Prices'!E127+'Fuel Taxes'!E127</f>
        <v>1.5469792409595152E-5</v>
      </c>
      <c r="F126">
        <f>'Pretax Fuel Prices'!F127+'Fuel Taxes'!F127</f>
        <v>1.5406669099243457E-5</v>
      </c>
      <c r="G126">
        <f>'Pretax Fuel Prices'!G127+'Fuel Taxes'!G127</f>
        <v>1.530015280250212E-5</v>
      </c>
      <c r="H126">
        <f>'Pretax Fuel Prices'!H127+'Fuel Taxes'!H127</f>
        <v>1.5412087609152301E-5</v>
      </c>
      <c r="I126">
        <f>'Pretax Fuel Prices'!I127+'Fuel Taxes'!I127</f>
        <v>1.5739649454530017E-5</v>
      </c>
      <c r="J126">
        <f>'Pretax Fuel Prices'!J127+'Fuel Taxes'!J127</f>
        <v>1.6200370227700481E-5</v>
      </c>
      <c r="K126">
        <f>'Pretax Fuel Prices'!K127+'Fuel Taxes'!K127</f>
        <v>1.6516043548835662E-5</v>
      </c>
      <c r="L126">
        <f>'Pretax Fuel Prices'!L127+'Fuel Taxes'!L127</f>
        <v>1.684015347718935E-5</v>
      </c>
      <c r="M126">
        <f>'Pretax Fuel Prices'!M127+'Fuel Taxes'!M127</f>
        <v>1.7337982782020146E-5</v>
      </c>
      <c r="N126">
        <f>'Pretax Fuel Prices'!N127+'Fuel Taxes'!N127</f>
        <v>1.7575164390500785E-5</v>
      </c>
      <c r="O126">
        <f>'Pretax Fuel Prices'!O127+'Fuel Taxes'!O127</f>
        <v>1.7830311388441525E-5</v>
      </c>
      <c r="P126">
        <f>'Pretax Fuel Prices'!P127+'Fuel Taxes'!P127</f>
        <v>1.7970070815403914E-5</v>
      </c>
      <c r="Q126">
        <f>'Pretax Fuel Prices'!Q127+'Fuel Taxes'!Q127</f>
        <v>1.8063961433309959E-5</v>
      </c>
      <c r="R126">
        <f>'Pretax Fuel Prices'!R127+'Fuel Taxes'!R127</f>
        <v>1.8187716132568177E-5</v>
      </c>
      <c r="S126">
        <f>'Pretax Fuel Prices'!S127+'Fuel Taxes'!S127</f>
        <v>1.8346535665926109E-5</v>
      </c>
      <c r="T126">
        <f>'Pretax Fuel Prices'!T127+'Fuel Taxes'!T127</f>
        <v>1.849418773085581E-5</v>
      </c>
      <c r="U126">
        <f>'Pretax Fuel Prices'!U127+'Fuel Taxes'!U127</f>
        <v>1.8570280725519426E-5</v>
      </c>
      <c r="V126">
        <f>'Pretax Fuel Prices'!V127+'Fuel Taxes'!V127</f>
        <v>1.8801293112632387E-5</v>
      </c>
      <c r="W126">
        <f>'Pretax Fuel Prices'!W127+'Fuel Taxes'!W127</f>
        <v>1.8946834542975234E-5</v>
      </c>
      <c r="X126">
        <f>'Pretax Fuel Prices'!X127+'Fuel Taxes'!X127</f>
        <v>1.8966670779953498E-5</v>
      </c>
      <c r="Y126">
        <f>'Pretax Fuel Prices'!Y127+'Fuel Taxes'!Y127</f>
        <v>1.9109191571074281E-5</v>
      </c>
      <c r="Z126">
        <f>'Pretax Fuel Prices'!Z127+'Fuel Taxes'!Z127</f>
        <v>1.9285475737151708E-5</v>
      </c>
      <c r="AA126">
        <f>'Pretax Fuel Prices'!AA127+'Fuel Taxes'!AA127</f>
        <v>1.9319105238055869E-5</v>
      </c>
      <c r="AB126">
        <f>'Pretax Fuel Prices'!AB127+'Fuel Taxes'!AB127</f>
        <v>1.9404775311296452E-5</v>
      </c>
      <c r="AC126">
        <f>'Pretax Fuel Prices'!AC127+'Fuel Taxes'!AC127</f>
        <v>1.9464257755803221E-5</v>
      </c>
      <c r="AD126">
        <f>'Pretax Fuel Prices'!AD127+'Fuel Taxes'!AD127</f>
        <v>1.9495108946466397E-5</v>
      </c>
      <c r="AE126">
        <f>'Pretax Fuel Prices'!AE127+'Fuel Taxes'!AE127</f>
        <v>1.9478845791002691E-5</v>
      </c>
      <c r="AF126">
        <f>'Pretax Fuel Prices'!AF127+'Fuel Taxes'!AF127</f>
        <v>1.9457719109835037E-5</v>
      </c>
    </row>
    <row r="127" spans="1:32" x14ac:dyDescent="0.25">
      <c r="A127" t="s">
        <v>56</v>
      </c>
      <c r="B127">
        <f>'Pretax Fuel Prices'!B128+'Fuel Taxes'!B128</f>
        <v>6.7619363343830057E-6</v>
      </c>
      <c r="C127">
        <f>'Pretax Fuel Prices'!C128+'Fuel Taxes'!C128</f>
        <v>1.1558906837339924E-5</v>
      </c>
      <c r="D127">
        <f>'Pretax Fuel Prices'!D128+'Fuel Taxes'!D128</f>
        <v>1.2263759654766206E-5</v>
      </c>
      <c r="E127">
        <f>'Pretax Fuel Prices'!E128+'Fuel Taxes'!E128</f>
        <v>1.0752880823013616E-5</v>
      </c>
      <c r="F127">
        <f>'Pretax Fuel Prices'!F128+'Fuel Taxes'!F128</f>
        <v>1.0738552062877806E-5</v>
      </c>
      <c r="G127">
        <f>'Pretax Fuel Prices'!G128+'Fuel Taxes'!G128</f>
        <v>1.0637570356711074E-5</v>
      </c>
      <c r="H127">
        <f>'Pretax Fuel Prices'!H128+'Fuel Taxes'!H128</f>
        <v>1.0764577856522861E-5</v>
      </c>
      <c r="I127">
        <f>'Pretax Fuel Prices'!I128+'Fuel Taxes'!I128</f>
        <v>1.1110932907495294E-5</v>
      </c>
      <c r="J127">
        <f>'Pretax Fuel Prices'!J128+'Fuel Taxes'!J128</f>
        <v>1.159232366490755E-5</v>
      </c>
      <c r="K127">
        <f>'Pretax Fuel Prices'!K128+'Fuel Taxes'!K128</f>
        <v>1.1910725305340073E-5</v>
      </c>
      <c r="L127">
        <f>'Pretax Fuel Prices'!L128+'Fuel Taxes'!L128</f>
        <v>1.2247354999512859E-5</v>
      </c>
      <c r="M127">
        <f>'Pretax Fuel Prices'!M128+'Fuel Taxes'!M128</f>
        <v>1.2548870715946412E-5</v>
      </c>
      <c r="N127">
        <f>'Pretax Fuel Prices'!N128+'Fuel Taxes'!N128</f>
        <v>1.2796825796435027E-5</v>
      </c>
      <c r="O127">
        <f>'Pretax Fuel Prices'!O128+'Fuel Taxes'!O128</f>
        <v>1.3036781478636008E-5</v>
      </c>
      <c r="P127">
        <f>'Pretax Fuel Prices'!P128+'Fuel Taxes'!P128</f>
        <v>1.3181539152658962E-5</v>
      </c>
      <c r="Q127">
        <f>'Pretax Fuel Prices'!Q128+'Fuel Taxes'!Q128</f>
        <v>1.3279468022046719E-5</v>
      </c>
      <c r="R127">
        <f>'Pretax Fuel Prices'!R128+'Fuel Taxes'!R128</f>
        <v>1.3414871458478797E-5</v>
      </c>
      <c r="S127">
        <f>'Pretax Fuel Prices'!S128+'Fuel Taxes'!S128</f>
        <v>1.3589587264612316E-5</v>
      </c>
      <c r="T127">
        <f>'Pretax Fuel Prices'!T128+'Fuel Taxes'!T128</f>
        <v>1.3750077681713843E-5</v>
      </c>
      <c r="U127">
        <f>'Pretax Fuel Prices'!U128+'Fuel Taxes'!U128</f>
        <v>1.3829116752836105E-5</v>
      </c>
      <c r="V127">
        <f>'Pretax Fuel Prices'!V128+'Fuel Taxes'!V128</f>
        <v>1.4090926950452079E-5</v>
      </c>
      <c r="W127">
        <f>'Pretax Fuel Prices'!W128+'Fuel Taxes'!W128</f>
        <v>1.4246947838269918E-5</v>
      </c>
      <c r="X127">
        <f>'Pretax Fuel Prices'!X128+'Fuel Taxes'!X128</f>
        <v>1.4261104595667415E-5</v>
      </c>
      <c r="Y127">
        <f>'Pretax Fuel Prices'!Y128+'Fuel Taxes'!Y128</f>
        <v>1.4425249435479938E-5</v>
      </c>
      <c r="Z127">
        <f>'Pretax Fuel Prices'!Z128+'Fuel Taxes'!Z128</f>
        <v>1.4623517754504186E-5</v>
      </c>
      <c r="AA127">
        <f>'Pretax Fuel Prices'!AA128+'Fuel Taxes'!AA128</f>
        <v>1.4652922597018119E-5</v>
      </c>
      <c r="AB127">
        <f>'Pretax Fuel Prices'!AB128+'Fuel Taxes'!AB128</f>
        <v>1.4750884511266923E-5</v>
      </c>
      <c r="AC127">
        <f>'Pretax Fuel Prices'!AC128+'Fuel Taxes'!AC128</f>
        <v>1.481650313228032E-5</v>
      </c>
      <c r="AD127">
        <f>'Pretax Fuel Prices'!AD128+'Fuel Taxes'!AD128</f>
        <v>1.4849753040934418E-5</v>
      </c>
      <c r="AE127">
        <f>'Pretax Fuel Prices'!AE128+'Fuel Taxes'!AE128</f>
        <v>1.4829572798479534E-5</v>
      </c>
      <c r="AF127">
        <f>'Pretax Fuel Prices'!AF128+'Fuel Taxes'!AF128</f>
        <v>1.4806620176912568E-5</v>
      </c>
    </row>
    <row r="128" spans="1:32" x14ac:dyDescent="0.25">
      <c r="A128" t="s">
        <v>57</v>
      </c>
      <c r="B128">
        <f>'Pretax Fuel Prices'!B129+'Fuel Taxes'!B129</f>
        <v>0</v>
      </c>
      <c r="C128">
        <f>'Pretax Fuel Prices'!C129+'Fuel Taxes'!C129</f>
        <v>0</v>
      </c>
      <c r="D128">
        <f>'Pretax Fuel Prices'!D129+'Fuel Taxes'!D129</f>
        <v>0</v>
      </c>
      <c r="E128">
        <f>'Pretax Fuel Prices'!E129+'Fuel Taxes'!E129</f>
        <v>0</v>
      </c>
      <c r="F128">
        <f>'Pretax Fuel Prices'!F129+'Fuel Taxes'!F129</f>
        <v>0</v>
      </c>
      <c r="G128">
        <f>'Pretax Fuel Prices'!G129+'Fuel Taxes'!G129</f>
        <v>0</v>
      </c>
      <c r="H128">
        <f>'Pretax Fuel Prices'!H129+'Fuel Taxes'!H129</f>
        <v>0</v>
      </c>
      <c r="I128">
        <f>'Pretax Fuel Prices'!I129+'Fuel Taxes'!I129</f>
        <v>0</v>
      </c>
      <c r="J128">
        <f>'Pretax Fuel Prices'!J129+'Fuel Taxes'!J129</f>
        <v>0</v>
      </c>
      <c r="K128">
        <f>'Pretax Fuel Prices'!K129+'Fuel Taxes'!K129</f>
        <v>0</v>
      </c>
      <c r="L128">
        <f>'Pretax Fuel Prices'!L129+'Fuel Taxes'!L129</f>
        <v>0</v>
      </c>
      <c r="M128">
        <f>'Pretax Fuel Prices'!M129+'Fuel Taxes'!M129</f>
        <v>0</v>
      </c>
      <c r="N128">
        <f>'Pretax Fuel Prices'!N129+'Fuel Taxes'!N129</f>
        <v>0</v>
      </c>
      <c r="O128">
        <f>'Pretax Fuel Prices'!O129+'Fuel Taxes'!O129</f>
        <v>0</v>
      </c>
      <c r="P128">
        <f>'Pretax Fuel Prices'!P129+'Fuel Taxes'!P129</f>
        <v>0</v>
      </c>
      <c r="Q128">
        <f>'Pretax Fuel Prices'!Q129+'Fuel Taxes'!Q129</f>
        <v>0</v>
      </c>
      <c r="R128">
        <f>'Pretax Fuel Prices'!R129+'Fuel Taxes'!R129</f>
        <v>0</v>
      </c>
      <c r="S128">
        <f>'Pretax Fuel Prices'!S129+'Fuel Taxes'!S129</f>
        <v>0</v>
      </c>
      <c r="T128">
        <f>'Pretax Fuel Prices'!T129+'Fuel Taxes'!T129</f>
        <v>0</v>
      </c>
      <c r="U128">
        <f>'Pretax Fuel Prices'!U129+'Fuel Taxes'!U129</f>
        <v>0</v>
      </c>
      <c r="V128">
        <f>'Pretax Fuel Prices'!V129+'Fuel Taxes'!V129</f>
        <v>0</v>
      </c>
      <c r="W128">
        <f>'Pretax Fuel Prices'!W129+'Fuel Taxes'!W129</f>
        <v>0</v>
      </c>
      <c r="X128">
        <f>'Pretax Fuel Prices'!X129+'Fuel Taxes'!X129</f>
        <v>0</v>
      </c>
      <c r="Y128">
        <f>'Pretax Fuel Prices'!Y129+'Fuel Taxes'!Y129</f>
        <v>0</v>
      </c>
      <c r="Z128">
        <f>'Pretax Fuel Prices'!Z129+'Fuel Taxes'!Z129</f>
        <v>0</v>
      </c>
      <c r="AA128">
        <f>'Pretax Fuel Prices'!AA129+'Fuel Taxes'!AA129</f>
        <v>0</v>
      </c>
      <c r="AB128">
        <f>'Pretax Fuel Prices'!AB129+'Fuel Taxes'!AB129</f>
        <v>0</v>
      </c>
      <c r="AC128">
        <f>'Pretax Fuel Prices'!AC129+'Fuel Taxes'!AC129</f>
        <v>0</v>
      </c>
      <c r="AD128">
        <f>'Pretax Fuel Prices'!AD129+'Fuel Taxes'!AD129</f>
        <v>0</v>
      </c>
      <c r="AE128">
        <f>'Pretax Fuel Prices'!AE129+'Fuel Taxes'!AE129</f>
        <v>0</v>
      </c>
      <c r="AF128">
        <f>'Pretax Fuel Prices'!AF129+'Fuel Taxes'!AF129</f>
        <v>0</v>
      </c>
    </row>
    <row r="129" spans="1:32" x14ac:dyDescent="0.25">
      <c r="A129" t="s">
        <v>58</v>
      </c>
      <c r="B129">
        <f>'Pretax Fuel Prices'!B130+'Fuel Taxes'!B130</f>
        <v>0</v>
      </c>
      <c r="C129">
        <f>'Pretax Fuel Prices'!C130+'Fuel Taxes'!C130</f>
        <v>0</v>
      </c>
      <c r="D129">
        <f>'Pretax Fuel Prices'!D130+'Fuel Taxes'!D130</f>
        <v>0</v>
      </c>
      <c r="E129">
        <f>'Pretax Fuel Prices'!E130+'Fuel Taxes'!E130</f>
        <v>0</v>
      </c>
      <c r="F129">
        <f>'Pretax Fuel Prices'!F130+'Fuel Taxes'!F130</f>
        <v>0</v>
      </c>
      <c r="G129">
        <f>'Pretax Fuel Prices'!G130+'Fuel Taxes'!G130</f>
        <v>0</v>
      </c>
      <c r="H129">
        <f>'Pretax Fuel Prices'!H130+'Fuel Taxes'!H130</f>
        <v>0</v>
      </c>
      <c r="I129">
        <f>'Pretax Fuel Prices'!I130+'Fuel Taxes'!I130</f>
        <v>0</v>
      </c>
      <c r="J129">
        <f>'Pretax Fuel Prices'!J130+'Fuel Taxes'!J130</f>
        <v>0</v>
      </c>
      <c r="K129">
        <f>'Pretax Fuel Prices'!K130+'Fuel Taxes'!K130</f>
        <v>0</v>
      </c>
      <c r="L129">
        <f>'Pretax Fuel Prices'!L130+'Fuel Taxes'!L130</f>
        <v>0</v>
      </c>
      <c r="M129">
        <f>'Pretax Fuel Prices'!M130+'Fuel Taxes'!M130</f>
        <v>0</v>
      </c>
      <c r="N129">
        <f>'Pretax Fuel Prices'!N130+'Fuel Taxes'!N130</f>
        <v>0</v>
      </c>
      <c r="O129">
        <f>'Pretax Fuel Prices'!O130+'Fuel Taxes'!O130</f>
        <v>0</v>
      </c>
      <c r="P129">
        <f>'Pretax Fuel Prices'!P130+'Fuel Taxes'!P130</f>
        <v>0</v>
      </c>
      <c r="Q129">
        <f>'Pretax Fuel Prices'!Q130+'Fuel Taxes'!Q130</f>
        <v>0</v>
      </c>
      <c r="R129">
        <f>'Pretax Fuel Prices'!R130+'Fuel Taxes'!R130</f>
        <v>0</v>
      </c>
      <c r="S129">
        <f>'Pretax Fuel Prices'!S130+'Fuel Taxes'!S130</f>
        <v>0</v>
      </c>
      <c r="T129">
        <f>'Pretax Fuel Prices'!T130+'Fuel Taxes'!T130</f>
        <v>0</v>
      </c>
      <c r="U129">
        <f>'Pretax Fuel Prices'!U130+'Fuel Taxes'!U130</f>
        <v>0</v>
      </c>
      <c r="V129">
        <f>'Pretax Fuel Prices'!V130+'Fuel Taxes'!V130</f>
        <v>0</v>
      </c>
      <c r="W129">
        <f>'Pretax Fuel Prices'!W130+'Fuel Taxes'!W130</f>
        <v>0</v>
      </c>
      <c r="X129">
        <f>'Pretax Fuel Prices'!X130+'Fuel Taxes'!X130</f>
        <v>0</v>
      </c>
      <c r="Y129">
        <f>'Pretax Fuel Prices'!Y130+'Fuel Taxes'!Y130</f>
        <v>0</v>
      </c>
      <c r="Z129">
        <f>'Pretax Fuel Prices'!Z130+'Fuel Taxes'!Z130</f>
        <v>0</v>
      </c>
      <c r="AA129">
        <f>'Pretax Fuel Prices'!AA130+'Fuel Taxes'!AA130</f>
        <v>0</v>
      </c>
      <c r="AB129">
        <f>'Pretax Fuel Prices'!AB130+'Fuel Taxes'!AB130</f>
        <v>0</v>
      </c>
      <c r="AC129">
        <f>'Pretax Fuel Prices'!AC130+'Fuel Taxes'!AC130</f>
        <v>0</v>
      </c>
      <c r="AD129">
        <f>'Pretax Fuel Prices'!AD130+'Fuel Taxes'!AD130</f>
        <v>0</v>
      </c>
      <c r="AE129">
        <f>'Pretax Fuel Prices'!AE130+'Fuel Taxes'!AE130</f>
        <v>0</v>
      </c>
      <c r="AF129">
        <f>'Pretax Fuel Prices'!AF130+'Fuel Taxes'!AF130</f>
        <v>0</v>
      </c>
    </row>
    <row r="130" spans="1:32" x14ac:dyDescent="0.25">
      <c r="A130" t="s">
        <v>59</v>
      </c>
      <c r="B130">
        <f>'Pretax Fuel Prices'!B131+'Fuel Taxes'!B131</f>
        <v>6.7619363343830057E-6</v>
      </c>
      <c r="C130">
        <f>'Pretax Fuel Prices'!C131+'Fuel Taxes'!C131</f>
        <v>1.1558906837339924E-5</v>
      </c>
      <c r="D130">
        <f>'Pretax Fuel Prices'!D131+'Fuel Taxes'!D131</f>
        <v>1.2263759654766206E-5</v>
      </c>
      <c r="E130">
        <f>'Pretax Fuel Prices'!E131+'Fuel Taxes'!E131</f>
        <v>1.0752880823013616E-5</v>
      </c>
      <c r="F130">
        <f>'Pretax Fuel Prices'!F131+'Fuel Taxes'!F131</f>
        <v>1.0738552062877806E-5</v>
      </c>
      <c r="G130">
        <f>'Pretax Fuel Prices'!G131+'Fuel Taxes'!G131</f>
        <v>1.0637570356711074E-5</v>
      </c>
      <c r="H130">
        <f>'Pretax Fuel Prices'!H131+'Fuel Taxes'!H131</f>
        <v>1.0764577856522861E-5</v>
      </c>
      <c r="I130">
        <f>'Pretax Fuel Prices'!I131+'Fuel Taxes'!I131</f>
        <v>1.1110932907495294E-5</v>
      </c>
      <c r="J130">
        <f>'Pretax Fuel Prices'!J131+'Fuel Taxes'!J131</f>
        <v>1.159232366490755E-5</v>
      </c>
      <c r="K130">
        <f>'Pretax Fuel Prices'!K131+'Fuel Taxes'!K131</f>
        <v>1.1910725305340073E-5</v>
      </c>
      <c r="L130">
        <f>'Pretax Fuel Prices'!L131+'Fuel Taxes'!L131</f>
        <v>1.2247354999512859E-5</v>
      </c>
      <c r="M130">
        <f>'Pretax Fuel Prices'!M131+'Fuel Taxes'!M131</f>
        <v>1.2548870715946412E-5</v>
      </c>
      <c r="N130">
        <f>'Pretax Fuel Prices'!N131+'Fuel Taxes'!N131</f>
        <v>1.2796825796435027E-5</v>
      </c>
      <c r="O130">
        <f>'Pretax Fuel Prices'!O131+'Fuel Taxes'!O131</f>
        <v>1.3036781478636008E-5</v>
      </c>
      <c r="P130">
        <f>'Pretax Fuel Prices'!P131+'Fuel Taxes'!P131</f>
        <v>1.3181539152658962E-5</v>
      </c>
      <c r="Q130">
        <f>'Pretax Fuel Prices'!Q131+'Fuel Taxes'!Q131</f>
        <v>1.3279468022046719E-5</v>
      </c>
      <c r="R130">
        <f>'Pretax Fuel Prices'!R131+'Fuel Taxes'!R131</f>
        <v>1.3414871458478797E-5</v>
      </c>
      <c r="S130">
        <f>'Pretax Fuel Prices'!S131+'Fuel Taxes'!S131</f>
        <v>1.3589587264612316E-5</v>
      </c>
      <c r="T130">
        <f>'Pretax Fuel Prices'!T131+'Fuel Taxes'!T131</f>
        <v>1.3750077681713843E-5</v>
      </c>
      <c r="U130">
        <f>'Pretax Fuel Prices'!U131+'Fuel Taxes'!U131</f>
        <v>1.3829116752836105E-5</v>
      </c>
      <c r="V130">
        <f>'Pretax Fuel Prices'!V131+'Fuel Taxes'!V131</f>
        <v>1.4090926950452079E-5</v>
      </c>
      <c r="W130">
        <f>'Pretax Fuel Prices'!W131+'Fuel Taxes'!W131</f>
        <v>1.4246947838269918E-5</v>
      </c>
      <c r="X130">
        <f>'Pretax Fuel Prices'!X131+'Fuel Taxes'!X131</f>
        <v>1.4261104595667415E-5</v>
      </c>
      <c r="Y130">
        <f>'Pretax Fuel Prices'!Y131+'Fuel Taxes'!Y131</f>
        <v>1.4425249435479938E-5</v>
      </c>
      <c r="Z130">
        <f>'Pretax Fuel Prices'!Z131+'Fuel Taxes'!Z131</f>
        <v>1.4623517754504186E-5</v>
      </c>
      <c r="AA130">
        <f>'Pretax Fuel Prices'!AA131+'Fuel Taxes'!AA131</f>
        <v>1.4652922597018119E-5</v>
      </c>
      <c r="AB130">
        <f>'Pretax Fuel Prices'!AB131+'Fuel Taxes'!AB131</f>
        <v>1.4750884511266923E-5</v>
      </c>
      <c r="AC130">
        <f>'Pretax Fuel Prices'!AC131+'Fuel Taxes'!AC131</f>
        <v>1.481650313228032E-5</v>
      </c>
      <c r="AD130">
        <f>'Pretax Fuel Prices'!AD131+'Fuel Taxes'!AD131</f>
        <v>1.4849753040934418E-5</v>
      </c>
      <c r="AE130">
        <f>'Pretax Fuel Prices'!AE131+'Fuel Taxes'!AE131</f>
        <v>1.4829572798479534E-5</v>
      </c>
      <c r="AF130">
        <f>'Pretax Fuel Prices'!AF131+'Fuel Taxes'!AF131</f>
        <v>1.4806620176912568E-5</v>
      </c>
    </row>
    <row r="131" spans="1:32" s="4" customFormat="1" x14ac:dyDescent="0.25">
      <c r="A131" s="6" t="s">
        <v>49</v>
      </c>
    </row>
    <row r="132" spans="1:32" x14ac:dyDescent="0.25">
      <c r="A132" t="s">
        <v>30</v>
      </c>
      <c r="B132" s="7">
        <f>'Fuel Taxes'!B$1</f>
        <v>2020</v>
      </c>
      <c r="C132" s="7">
        <f>'Fuel Taxes'!C$1</f>
        <v>2021</v>
      </c>
      <c r="D132" s="7">
        <f>'Fuel Taxes'!D$1</f>
        <v>2022</v>
      </c>
      <c r="E132" s="7">
        <f>'Fuel Taxes'!E$1</f>
        <v>2023</v>
      </c>
      <c r="F132" s="7">
        <f>'Fuel Taxes'!F$1</f>
        <v>2024</v>
      </c>
      <c r="G132" s="7">
        <f>'Fuel Taxes'!G$1</f>
        <v>2025</v>
      </c>
      <c r="H132" s="7">
        <f>'Fuel Taxes'!H$1</f>
        <v>2026</v>
      </c>
      <c r="I132" s="7">
        <f>'Fuel Taxes'!I$1</f>
        <v>2027</v>
      </c>
      <c r="J132" s="7">
        <f>'Fuel Taxes'!J$1</f>
        <v>2028</v>
      </c>
      <c r="K132" s="7">
        <f>'Fuel Taxes'!K$1</f>
        <v>2029</v>
      </c>
      <c r="L132" s="7">
        <f>'Fuel Taxes'!L$1</f>
        <v>2030</v>
      </c>
      <c r="M132" s="7">
        <f>'Fuel Taxes'!M$1</f>
        <v>2031</v>
      </c>
      <c r="N132" s="7">
        <f>'Fuel Taxes'!N$1</f>
        <v>2032</v>
      </c>
      <c r="O132" s="7">
        <f>'Fuel Taxes'!O$1</f>
        <v>2033</v>
      </c>
      <c r="P132" s="7">
        <f>'Fuel Taxes'!P$1</f>
        <v>2034</v>
      </c>
      <c r="Q132" s="7">
        <f>'Fuel Taxes'!Q$1</f>
        <v>2035</v>
      </c>
      <c r="R132" s="7">
        <f>'Fuel Taxes'!R$1</f>
        <v>2036</v>
      </c>
      <c r="S132" s="7">
        <f>'Fuel Taxes'!S$1</f>
        <v>2037</v>
      </c>
      <c r="T132" s="7">
        <f>'Fuel Taxes'!T$1</f>
        <v>2038</v>
      </c>
      <c r="U132" s="7">
        <f>'Fuel Taxes'!U$1</f>
        <v>2039</v>
      </c>
      <c r="V132" s="7">
        <f>'Fuel Taxes'!V$1</f>
        <v>2040</v>
      </c>
      <c r="W132" s="7">
        <f>'Fuel Taxes'!W$1</f>
        <v>2041</v>
      </c>
      <c r="X132" s="7">
        <f>'Fuel Taxes'!X$1</f>
        <v>2042</v>
      </c>
      <c r="Y132" s="7">
        <f>'Fuel Taxes'!Y$1</f>
        <v>2043</v>
      </c>
      <c r="Z132" s="7">
        <f>'Fuel Taxes'!Z$1</f>
        <v>2044</v>
      </c>
      <c r="AA132" s="7">
        <f>'Fuel Taxes'!AA$1</f>
        <v>2045</v>
      </c>
      <c r="AB132" s="7">
        <f>'Fuel Taxes'!AB$1</f>
        <v>2046</v>
      </c>
      <c r="AC132" s="7">
        <f>'Fuel Taxes'!AC$1</f>
        <v>2047</v>
      </c>
      <c r="AD132" s="7">
        <f>'Fuel Taxes'!AD$1</f>
        <v>2048</v>
      </c>
      <c r="AE132" s="7">
        <f>'Fuel Taxes'!AE$1</f>
        <v>2049</v>
      </c>
      <c r="AF132" s="7">
        <f>'Fuel Taxes'!AF$1</f>
        <v>2050</v>
      </c>
    </row>
    <row r="133" spans="1:32" x14ac:dyDescent="0.25">
      <c r="A133" t="s">
        <v>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27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28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s="4" customFormat="1" x14ac:dyDescent="0.25">
      <c r="A141" s="6" t="s">
        <v>50</v>
      </c>
    </row>
    <row r="142" spans="1:32" x14ac:dyDescent="0.25">
      <c r="A142" t="s">
        <v>30</v>
      </c>
      <c r="B142" s="7">
        <f>'Fuel Taxes'!B$1</f>
        <v>2020</v>
      </c>
      <c r="C142" s="7">
        <f>'Fuel Taxes'!C$1</f>
        <v>2021</v>
      </c>
      <c r="D142" s="7">
        <f>'Fuel Taxes'!D$1</f>
        <v>2022</v>
      </c>
      <c r="E142" s="7">
        <f>'Fuel Taxes'!E$1</f>
        <v>2023</v>
      </c>
      <c r="F142" s="7">
        <f>'Fuel Taxes'!F$1</f>
        <v>2024</v>
      </c>
      <c r="G142" s="7">
        <f>'Fuel Taxes'!G$1</f>
        <v>2025</v>
      </c>
      <c r="H142" s="7">
        <f>'Fuel Taxes'!H$1</f>
        <v>2026</v>
      </c>
      <c r="I142" s="7">
        <f>'Fuel Taxes'!I$1</f>
        <v>2027</v>
      </c>
      <c r="J142" s="7">
        <f>'Fuel Taxes'!J$1</f>
        <v>2028</v>
      </c>
      <c r="K142" s="7">
        <f>'Fuel Taxes'!K$1</f>
        <v>2029</v>
      </c>
      <c r="L142" s="7">
        <f>'Fuel Taxes'!L$1</f>
        <v>2030</v>
      </c>
      <c r="M142" s="7">
        <f>'Fuel Taxes'!M$1</f>
        <v>2031</v>
      </c>
      <c r="N142" s="7">
        <f>'Fuel Taxes'!N$1</f>
        <v>2032</v>
      </c>
      <c r="O142" s="7">
        <f>'Fuel Taxes'!O$1</f>
        <v>2033</v>
      </c>
      <c r="P142" s="7">
        <f>'Fuel Taxes'!P$1</f>
        <v>2034</v>
      </c>
      <c r="Q142" s="7">
        <f>'Fuel Taxes'!Q$1</f>
        <v>2035</v>
      </c>
      <c r="R142" s="7">
        <f>'Fuel Taxes'!R$1</f>
        <v>2036</v>
      </c>
      <c r="S142" s="7">
        <f>'Fuel Taxes'!S$1</f>
        <v>2037</v>
      </c>
      <c r="T142" s="7">
        <f>'Fuel Taxes'!T$1</f>
        <v>2038</v>
      </c>
      <c r="U142" s="7">
        <f>'Fuel Taxes'!U$1</f>
        <v>2039</v>
      </c>
      <c r="V142" s="7">
        <f>'Fuel Taxes'!V$1</f>
        <v>2040</v>
      </c>
      <c r="W142" s="7">
        <f>'Fuel Taxes'!W$1</f>
        <v>2041</v>
      </c>
      <c r="X142" s="7">
        <f>'Fuel Taxes'!X$1</f>
        <v>2042</v>
      </c>
      <c r="Y142" s="7">
        <f>'Fuel Taxes'!Y$1</f>
        <v>2043</v>
      </c>
      <c r="Z142" s="7">
        <f>'Fuel Taxes'!Z$1</f>
        <v>2044</v>
      </c>
      <c r="AA142" s="7">
        <f>'Fuel Taxes'!AA$1</f>
        <v>2045</v>
      </c>
      <c r="AB142" s="7">
        <f>'Fuel Taxes'!AB$1</f>
        <v>2046</v>
      </c>
      <c r="AC142" s="7">
        <f>'Fuel Taxes'!AC$1</f>
        <v>2047</v>
      </c>
      <c r="AD142" s="7">
        <f>'Fuel Taxes'!AD$1</f>
        <v>2048</v>
      </c>
      <c r="AE142" s="7">
        <f>'Fuel Taxes'!AE$1</f>
        <v>2049</v>
      </c>
      <c r="AF142" s="7">
        <f>'Fuel Taxes'!AF$1</f>
        <v>2050</v>
      </c>
    </row>
    <row r="143" spans="1:32" x14ac:dyDescent="0.25">
      <c r="A143" t="s">
        <v>52</v>
      </c>
      <c r="B143">
        <f>'Pretax Fuel Prices'!B144+'Fuel Taxes'!B144</f>
        <v>7.7600766078083947E-5</v>
      </c>
      <c r="C143">
        <f>'Pretax Fuel Prices'!C144+'Fuel Taxes'!C144</f>
        <v>7.1252833465009711E-5</v>
      </c>
      <c r="D143">
        <f>'Pretax Fuel Prices'!D144+'Fuel Taxes'!D144</f>
        <v>6.4904900851937169E-5</v>
      </c>
      <c r="E143">
        <f>'Pretax Fuel Prices'!E144+'Fuel Taxes'!E144</f>
        <v>5.855696823886294E-5</v>
      </c>
      <c r="F143">
        <f>'Pretax Fuel Prices'!F144+'Fuel Taxes'!F144</f>
        <v>5.2209035625788711E-5</v>
      </c>
      <c r="G143">
        <f>'Pretax Fuel Prices'!G144+'Fuel Taxes'!G144</f>
        <v>4.5861103012714481E-5</v>
      </c>
      <c r="H143">
        <f>'Pretax Fuel Prices'!H144+'Fuel Taxes'!H144</f>
        <v>3.9513170399641933E-5</v>
      </c>
      <c r="I143">
        <f>'Pretax Fuel Prices'!I144+'Fuel Taxes'!I144</f>
        <v>3.3165237786567717E-5</v>
      </c>
      <c r="J143">
        <f>'Pretax Fuel Prices'!J144+'Fuel Taxes'!J144</f>
        <v>2.6817305173493488E-5</v>
      </c>
      <c r="K143">
        <f>'Pretax Fuel Prices'!K144+'Fuel Taxes'!K144</f>
        <v>2.0469372560420939E-5</v>
      </c>
      <c r="L143">
        <f>'Pretax Fuel Prices'!L144+'Fuel Taxes'!L144</f>
        <v>1.4121439947346712E-5</v>
      </c>
      <c r="M143">
        <f>'Pretax Fuel Prices'!M144+'Fuel Taxes'!M144</f>
        <v>1.3777364253197018E-5</v>
      </c>
      <c r="N143">
        <f>'Pretax Fuel Prices'!N144+'Fuel Taxes'!N144</f>
        <v>1.3433288559048477E-5</v>
      </c>
      <c r="O143">
        <f>'Pretax Fuel Prices'!O144+'Fuel Taxes'!O144</f>
        <v>1.3089212864899936E-5</v>
      </c>
      <c r="P143">
        <f>'Pretax Fuel Prices'!P144+'Fuel Taxes'!P144</f>
        <v>1.2745137170751397E-5</v>
      </c>
      <c r="Q143">
        <f>'Pretax Fuel Prices'!Q144+'Fuel Taxes'!Q144</f>
        <v>1.240106147660296E-5</v>
      </c>
      <c r="R143">
        <f>'Pretax Fuel Prices'!R144+'Fuel Taxes'!R144</f>
        <v>1.2056985782454419E-5</v>
      </c>
      <c r="S143">
        <f>'Pretax Fuel Prices'!S144+'Fuel Taxes'!S144</f>
        <v>1.1712910088305878E-5</v>
      </c>
      <c r="T143">
        <f>'Pretax Fuel Prices'!T144+'Fuel Taxes'!T144</f>
        <v>1.1368834394157339E-5</v>
      </c>
      <c r="U143">
        <f>'Pretax Fuel Prices'!U144+'Fuel Taxes'!U144</f>
        <v>1.1024758700008799E-5</v>
      </c>
      <c r="V143">
        <f>'Pretax Fuel Prices'!V144+'Fuel Taxes'!V144</f>
        <v>1.0680683005860363E-5</v>
      </c>
      <c r="W143">
        <f>'Pretax Fuel Prices'!W144+'Fuel Taxes'!W144</f>
        <v>1.0336607311711822E-5</v>
      </c>
      <c r="X143">
        <f>'Pretax Fuel Prices'!X144+'Fuel Taxes'!X144</f>
        <v>9.9925316175632831E-6</v>
      </c>
      <c r="Y143">
        <f>'Pretax Fuel Prices'!Y144+'Fuel Taxes'!Y144</f>
        <v>9.6484559234147441E-6</v>
      </c>
      <c r="Z143">
        <f>'Pretax Fuel Prices'!Z144+'Fuel Taxes'!Z144</f>
        <v>9.3043802292662017E-6</v>
      </c>
      <c r="AA143">
        <f>'Pretax Fuel Prices'!AA144+'Fuel Taxes'!AA144</f>
        <v>8.9603045351176627E-6</v>
      </c>
      <c r="AB143">
        <f>'Pretax Fuel Prices'!AB144+'Fuel Taxes'!AB144</f>
        <v>8.6162288409692287E-6</v>
      </c>
      <c r="AC143">
        <f>'Pretax Fuel Prices'!AC144+'Fuel Taxes'!AC144</f>
        <v>8.2721531468206879E-6</v>
      </c>
      <c r="AD143">
        <f>'Pretax Fuel Prices'!AD144+'Fuel Taxes'!AD144</f>
        <v>7.9280774526721472E-6</v>
      </c>
      <c r="AE143">
        <f>'Pretax Fuel Prices'!AE144+'Fuel Taxes'!AE144</f>
        <v>7.5840017585236074E-6</v>
      </c>
      <c r="AF143">
        <f>'Pretax Fuel Prices'!AF144+'Fuel Taxes'!AF144</f>
        <v>7.2399260643750666E-6</v>
      </c>
    </row>
    <row r="144" spans="1:32" x14ac:dyDescent="0.25">
      <c r="A144" t="s">
        <v>53</v>
      </c>
      <c r="B144">
        <f>'Pretax Fuel Prices'!B145+'Fuel Taxes'!B145</f>
        <v>0</v>
      </c>
      <c r="C144">
        <f>'Pretax Fuel Prices'!C145+'Fuel Taxes'!C145</f>
        <v>0</v>
      </c>
      <c r="D144">
        <f>'Pretax Fuel Prices'!D145+'Fuel Taxes'!D145</f>
        <v>0</v>
      </c>
      <c r="E144">
        <f>'Pretax Fuel Prices'!E145+'Fuel Taxes'!E145</f>
        <v>0</v>
      </c>
      <c r="F144">
        <f>'Pretax Fuel Prices'!F145+'Fuel Taxes'!F145</f>
        <v>0</v>
      </c>
      <c r="G144">
        <f>'Pretax Fuel Prices'!G145+'Fuel Taxes'!G145</f>
        <v>0</v>
      </c>
      <c r="H144">
        <f>'Pretax Fuel Prices'!H145+'Fuel Taxes'!H145</f>
        <v>0</v>
      </c>
      <c r="I144">
        <f>'Pretax Fuel Prices'!I145+'Fuel Taxes'!I145</f>
        <v>0</v>
      </c>
      <c r="J144">
        <f>'Pretax Fuel Prices'!J145+'Fuel Taxes'!J145</f>
        <v>0</v>
      </c>
      <c r="K144">
        <f>'Pretax Fuel Prices'!K145+'Fuel Taxes'!K145</f>
        <v>0</v>
      </c>
      <c r="L144">
        <f>'Pretax Fuel Prices'!L145+'Fuel Taxes'!L145</f>
        <v>0</v>
      </c>
      <c r="M144">
        <f>'Pretax Fuel Prices'!M145+'Fuel Taxes'!M145</f>
        <v>0</v>
      </c>
      <c r="N144">
        <f>'Pretax Fuel Prices'!N145+'Fuel Taxes'!N145</f>
        <v>0</v>
      </c>
      <c r="O144">
        <f>'Pretax Fuel Prices'!O145+'Fuel Taxes'!O145</f>
        <v>0</v>
      </c>
      <c r="P144">
        <f>'Pretax Fuel Prices'!P145+'Fuel Taxes'!P145</f>
        <v>0</v>
      </c>
      <c r="Q144">
        <f>'Pretax Fuel Prices'!Q145+'Fuel Taxes'!Q145</f>
        <v>0</v>
      </c>
      <c r="R144">
        <f>'Pretax Fuel Prices'!R145+'Fuel Taxes'!R145</f>
        <v>0</v>
      </c>
      <c r="S144">
        <f>'Pretax Fuel Prices'!S145+'Fuel Taxes'!S145</f>
        <v>0</v>
      </c>
      <c r="T144">
        <f>'Pretax Fuel Prices'!T145+'Fuel Taxes'!T145</f>
        <v>0</v>
      </c>
      <c r="U144">
        <f>'Pretax Fuel Prices'!U145+'Fuel Taxes'!U145</f>
        <v>0</v>
      </c>
      <c r="V144">
        <f>'Pretax Fuel Prices'!V145+'Fuel Taxes'!V145</f>
        <v>0</v>
      </c>
      <c r="W144">
        <f>'Pretax Fuel Prices'!W145+'Fuel Taxes'!W145</f>
        <v>0</v>
      </c>
      <c r="X144">
        <f>'Pretax Fuel Prices'!X145+'Fuel Taxes'!X145</f>
        <v>0</v>
      </c>
      <c r="Y144">
        <f>'Pretax Fuel Prices'!Y145+'Fuel Taxes'!Y145</f>
        <v>0</v>
      </c>
      <c r="Z144">
        <f>'Pretax Fuel Prices'!Z145+'Fuel Taxes'!Z145</f>
        <v>0</v>
      </c>
      <c r="AA144">
        <f>'Pretax Fuel Prices'!AA145+'Fuel Taxes'!AA145</f>
        <v>0</v>
      </c>
      <c r="AB144">
        <f>'Pretax Fuel Prices'!AB145+'Fuel Taxes'!AB145</f>
        <v>0</v>
      </c>
      <c r="AC144">
        <f>'Pretax Fuel Prices'!AC145+'Fuel Taxes'!AC145</f>
        <v>0</v>
      </c>
      <c r="AD144">
        <f>'Pretax Fuel Prices'!AD145+'Fuel Taxes'!AD145</f>
        <v>0</v>
      </c>
      <c r="AE144">
        <f>'Pretax Fuel Prices'!AE145+'Fuel Taxes'!AE145</f>
        <v>0</v>
      </c>
      <c r="AF144">
        <f>'Pretax Fuel Prices'!AF145+'Fuel Taxes'!AF145</f>
        <v>0</v>
      </c>
    </row>
    <row r="145" spans="1:32" x14ac:dyDescent="0.25">
      <c r="A145" t="s">
        <v>54</v>
      </c>
      <c r="B145">
        <f>'Pretax Fuel Prices'!B146+'Fuel Taxes'!B146</f>
        <v>7.7600766078083947E-5</v>
      </c>
      <c r="C145">
        <f>'Pretax Fuel Prices'!C146+'Fuel Taxes'!C146</f>
        <v>7.1252833465009711E-5</v>
      </c>
      <c r="D145">
        <f>'Pretax Fuel Prices'!D146+'Fuel Taxes'!D146</f>
        <v>6.4904900851937169E-5</v>
      </c>
      <c r="E145">
        <f>'Pretax Fuel Prices'!E146+'Fuel Taxes'!E146</f>
        <v>5.855696823886294E-5</v>
      </c>
      <c r="F145">
        <f>'Pretax Fuel Prices'!F146+'Fuel Taxes'!F146</f>
        <v>5.2209035625788711E-5</v>
      </c>
      <c r="G145">
        <f>'Pretax Fuel Prices'!G146+'Fuel Taxes'!G146</f>
        <v>4.5861103012714481E-5</v>
      </c>
      <c r="H145">
        <f>'Pretax Fuel Prices'!H146+'Fuel Taxes'!H146</f>
        <v>3.9513170399641933E-5</v>
      </c>
      <c r="I145">
        <f>'Pretax Fuel Prices'!I146+'Fuel Taxes'!I146</f>
        <v>3.3165237786567717E-5</v>
      </c>
      <c r="J145">
        <f>'Pretax Fuel Prices'!J146+'Fuel Taxes'!J146</f>
        <v>2.6817305173493488E-5</v>
      </c>
      <c r="K145">
        <f>'Pretax Fuel Prices'!K146+'Fuel Taxes'!K146</f>
        <v>2.0469372560420939E-5</v>
      </c>
      <c r="L145">
        <f>'Pretax Fuel Prices'!L146+'Fuel Taxes'!L146</f>
        <v>1.4121439947346712E-5</v>
      </c>
      <c r="M145">
        <f>'Pretax Fuel Prices'!M146+'Fuel Taxes'!M146</f>
        <v>1.3777364253197018E-5</v>
      </c>
      <c r="N145">
        <f>'Pretax Fuel Prices'!N146+'Fuel Taxes'!N146</f>
        <v>1.3433288559048477E-5</v>
      </c>
      <c r="O145">
        <f>'Pretax Fuel Prices'!O146+'Fuel Taxes'!O146</f>
        <v>1.3089212864899936E-5</v>
      </c>
      <c r="P145">
        <f>'Pretax Fuel Prices'!P146+'Fuel Taxes'!P146</f>
        <v>1.2745137170751397E-5</v>
      </c>
      <c r="Q145">
        <f>'Pretax Fuel Prices'!Q146+'Fuel Taxes'!Q146</f>
        <v>1.240106147660296E-5</v>
      </c>
      <c r="R145">
        <f>'Pretax Fuel Prices'!R146+'Fuel Taxes'!R146</f>
        <v>1.2056985782454419E-5</v>
      </c>
      <c r="S145">
        <f>'Pretax Fuel Prices'!S146+'Fuel Taxes'!S146</f>
        <v>1.1712910088305878E-5</v>
      </c>
      <c r="T145">
        <f>'Pretax Fuel Prices'!T146+'Fuel Taxes'!T146</f>
        <v>1.1368834394157339E-5</v>
      </c>
      <c r="U145">
        <f>'Pretax Fuel Prices'!U146+'Fuel Taxes'!U146</f>
        <v>1.1024758700008799E-5</v>
      </c>
      <c r="V145">
        <f>'Pretax Fuel Prices'!V146+'Fuel Taxes'!V146</f>
        <v>1.0680683005860363E-5</v>
      </c>
      <c r="W145">
        <f>'Pretax Fuel Prices'!W146+'Fuel Taxes'!W146</f>
        <v>1.0336607311711822E-5</v>
      </c>
      <c r="X145">
        <f>'Pretax Fuel Prices'!X146+'Fuel Taxes'!X146</f>
        <v>9.9925316175632831E-6</v>
      </c>
      <c r="Y145">
        <f>'Pretax Fuel Prices'!Y146+'Fuel Taxes'!Y146</f>
        <v>9.6484559234147441E-6</v>
      </c>
      <c r="Z145">
        <f>'Pretax Fuel Prices'!Z146+'Fuel Taxes'!Z146</f>
        <v>9.3043802292662017E-6</v>
      </c>
      <c r="AA145">
        <f>'Pretax Fuel Prices'!AA146+'Fuel Taxes'!AA146</f>
        <v>8.9603045351176627E-6</v>
      </c>
      <c r="AB145">
        <f>'Pretax Fuel Prices'!AB146+'Fuel Taxes'!AB146</f>
        <v>8.6162288409692287E-6</v>
      </c>
      <c r="AC145">
        <f>'Pretax Fuel Prices'!AC146+'Fuel Taxes'!AC146</f>
        <v>8.2721531468206879E-6</v>
      </c>
      <c r="AD145">
        <f>'Pretax Fuel Prices'!AD146+'Fuel Taxes'!AD146</f>
        <v>7.9280774526721472E-6</v>
      </c>
      <c r="AE145">
        <f>'Pretax Fuel Prices'!AE146+'Fuel Taxes'!AE146</f>
        <v>7.5840017585236074E-6</v>
      </c>
      <c r="AF145">
        <f>'Pretax Fuel Prices'!AF146+'Fuel Taxes'!AF146</f>
        <v>7.2399260643750666E-6</v>
      </c>
    </row>
    <row r="146" spans="1:32" x14ac:dyDescent="0.25">
      <c r="A146" t="s">
        <v>55</v>
      </c>
      <c r="B146">
        <f>'Pretax Fuel Prices'!B147+'Fuel Taxes'!B147</f>
        <v>7.7600766078083947E-5</v>
      </c>
      <c r="C146">
        <f>'Pretax Fuel Prices'!C147+'Fuel Taxes'!C147</f>
        <v>7.1252833465009711E-5</v>
      </c>
      <c r="D146">
        <f>'Pretax Fuel Prices'!D147+'Fuel Taxes'!D147</f>
        <v>6.4904900851937169E-5</v>
      </c>
      <c r="E146">
        <f>'Pretax Fuel Prices'!E147+'Fuel Taxes'!E147</f>
        <v>5.855696823886294E-5</v>
      </c>
      <c r="F146">
        <f>'Pretax Fuel Prices'!F147+'Fuel Taxes'!F147</f>
        <v>5.2209035625788711E-5</v>
      </c>
      <c r="G146">
        <f>'Pretax Fuel Prices'!G147+'Fuel Taxes'!G147</f>
        <v>4.5861103012714481E-5</v>
      </c>
      <c r="H146">
        <f>'Pretax Fuel Prices'!H147+'Fuel Taxes'!H147</f>
        <v>3.9513170399641933E-5</v>
      </c>
      <c r="I146">
        <f>'Pretax Fuel Prices'!I147+'Fuel Taxes'!I147</f>
        <v>3.3165237786567717E-5</v>
      </c>
      <c r="J146">
        <f>'Pretax Fuel Prices'!J147+'Fuel Taxes'!J147</f>
        <v>2.6817305173493488E-5</v>
      </c>
      <c r="K146">
        <f>'Pretax Fuel Prices'!K147+'Fuel Taxes'!K147</f>
        <v>2.0469372560420939E-5</v>
      </c>
      <c r="L146">
        <f>'Pretax Fuel Prices'!L147+'Fuel Taxes'!L147</f>
        <v>1.4121439947346712E-5</v>
      </c>
      <c r="M146">
        <f>'Pretax Fuel Prices'!M147+'Fuel Taxes'!M147</f>
        <v>1.3777364253197018E-5</v>
      </c>
      <c r="N146">
        <f>'Pretax Fuel Prices'!N147+'Fuel Taxes'!N147</f>
        <v>1.3433288559048477E-5</v>
      </c>
      <c r="O146">
        <f>'Pretax Fuel Prices'!O147+'Fuel Taxes'!O147</f>
        <v>1.3089212864899936E-5</v>
      </c>
      <c r="P146">
        <f>'Pretax Fuel Prices'!P147+'Fuel Taxes'!P147</f>
        <v>1.2745137170751397E-5</v>
      </c>
      <c r="Q146">
        <f>'Pretax Fuel Prices'!Q147+'Fuel Taxes'!Q147</f>
        <v>1.240106147660296E-5</v>
      </c>
      <c r="R146">
        <f>'Pretax Fuel Prices'!R147+'Fuel Taxes'!R147</f>
        <v>1.2056985782454419E-5</v>
      </c>
      <c r="S146">
        <f>'Pretax Fuel Prices'!S147+'Fuel Taxes'!S147</f>
        <v>1.1712910088305878E-5</v>
      </c>
      <c r="T146">
        <f>'Pretax Fuel Prices'!T147+'Fuel Taxes'!T147</f>
        <v>1.1368834394157339E-5</v>
      </c>
      <c r="U146">
        <f>'Pretax Fuel Prices'!U147+'Fuel Taxes'!U147</f>
        <v>1.1024758700008799E-5</v>
      </c>
      <c r="V146">
        <f>'Pretax Fuel Prices'!V147+'Fuel Taxes'!V147</f>
        <v>1.0680683005860363E-5</v>
      </c>
      <c r="W146">
        <f>'Pretax Fuel Prices'!W147+'Fuel Taxes'!W147</f>
        <v>1.0336607311711822E-5</v>
      </c>
      <c r="X146">
        <f>'Pretax Fuel Prices'!X147+'Fuel Taxes'!X147</f>
        <v>9.9925316175632831E-6</v>
      </c>
      <c r="Y146">
        <f>'Pretax Fuel Prices'!Y147+'Fuel Taxes'!Y147</f>
        <v>9.6484559234147441E-6</v>
      </c>
      <c r="Z146">
        <f>'Pretax Fuel Prices'!Z147+'Fuel Taxes'!Z147</f>
        <v>9.3043802292662017E-6</v>
      </c>
      <c r="AA146">
        <f>'Pretax Fuel Prices'!AA147+'Fuel Taxes'!AA147</f>
        <v>8.9603045351176627E-6</v>
      </c>
      <c r="AB146">
        <f>'Pretax Fuel Prices'!AB147+'Fuel Taxes'!AB147</f>
        <v>8.6162288409692287E-6</v>
      </c>
      <c r="AC146">
        <f>'Pretax Fuel Prices'!AC147+'Fuel Taxes'!AC147</f>
        <v>8.2721531468206879E-6</v>
      </c>
      <c r="AD146">
        <f>'Pretax Fuel Prices'!AD147+'Fuel Taxes'!AD147</f>
        <v>7.9280774526721472E-6</v>
      </c>
      <c r="AE146">
        <f>'Pretax Fuel Prices'!AE147+'Fuel Taxes'!AE147</f>
        <v>7.5840017585236074E-6</v>
      </c>
      <c r="AF146">
        <f>'Pretax Fuel Prices'!AF147+'Fuel Taxes'!AF147</f>
        <v>7.2399260643750666E-6</v>
      </c>
    </row>
    <row r="147" spans="1:32" x14ac:dyDescent="0.25">
      <c r="A147" t="s">
        <v>56</v>
      </c>
      <c r="B147">
        <f>'Pretax Fuel Prices'!B148+'Fuel Taxes'!B148</f>
        <v>7.7600766078083947E-5</v>
      </c>
      <c r="C147">
        <f>'Pretax Fuel Prices'!C148+'Fuel Taxes'!C148</f>
        <v>7.1252833465009711E-5</v>
      </c>
      <c r="D147">
        <f>'Pretax Fuel Prices'!D148+'Fuel Taxes'!D148</f>
        <v>6.4904900851937169E-5</v>
      </c>
      <c r="E147">
        <f>'Pretax Fuel Prices'!E148+'Fuel Taxes'!E148</f>
        <v>5.855696823886294E-5</v>
      </c>
      <c r="F147">
        <f>'Pretax Fuel Prices'!F148+'Fuel Taxes'!F148</f>
        <v>5.2209035625788711E-5</v>
      </c>
      <c r="G147">
        <f>'Pretax Fuel Prices'!G148+'Fuel Taxes'!G148</f>
        <v>4.5861103012714481E-5</v>
      </c>
      <c r="H147">
        <f>'Pretax Fuel Prices'!H148+'Fuel Taxes'!H148</f>
        <v>3.9513170399641933E-5</v>
      </c>
      <c r="I147">
        <f>'Pretax Fuel Prices'!I148+'Fuel Taxes'!I148</f>
        <v>3.3165237786567717E-5</v>
      </c>
      <c r="J147">
        <f>'Pretax Fuel Prices'!J148+'Fuel Taxes'!J148</f>
        <v>2.6817305173493488E-5</v>
      </c>
      <c r="K147">
        <f>'Pretax Fuel Prices'!K148+'Fuel Taxes'!K148</f>
        <v>2.0469372560420939E-5</v>
      </c>
      <c r="L147">
        <f>'Pretax Fuel Prices'!L148+'Fuel Taxes'!L148</f>
        <v>1.4121439947346712E-5</v>
      </c>
      <c r="M147">
        <f>'Pretax Fuel Prices'!M148+'Fuel Taxes'!M148</f>
        <v>1.3777364253197018E-5</v>
      </c>
      <c r="N147">
        <f>'Pretax Fuel Prices'!N148+'Fuel Taxes'!N148</f>
        <v>1.3433288559048477E-5</v>
      </c>
      <c r="O147">
        <f>'Pretax Fuel Prices'!O148+'Fuel Taxes'!O148</f>
        <v>1.3089212864899936E-5</v>
      </c>
      <c r="P147">
        <f>'Pretax Fuel Prices'!P148+'Fuel Taxes'!P148</f>
        <v>1.2745137170751397E-5</v>
      </c>
      <c r="Q147">
        <f>'Pretax Fuel Prices'!Q148+'Fuel Taxes'!Q148</f>
        <v>1.240106147660296E-5</v>
      </c>
      <c r="R147">
        <f>'Pretax Fuel Prices'!R148+'Fuel Taxes'!R148</f>
        <v>1.2056985782454419E-5</v>
      </c>
      <c r="S147">
        <f>'Pretax Fuel Prices'!S148+'Fuel Taxes'!S148</f>
        <v>1.1712910088305878E-5</v>
      </c>
      <c r="T147">
        <f>'Pretax Fuel Prices'!T148+'Fuel Taxes'!T148</f>
        <v>1.1368834394157339E-5</v>
      </c>
      <c r="U147">
        <f>'Pretax Fuel Prices'!U148+'Fuel Taxes'!U148</f>
        <v>1.1024758700008799E-5</v>
      </c>
      <c r="V147">
        <f>'Pretax Fuel Prices'!V148+'Fuel Taxes'!V148</f>
        <v>1.0680683005860363E-5</v>
      </c>
      <c r="W147">
        <f>'Pretax Fuel Prices'!W148+'Fuel Taxes'!W148</f>
        <v>1.0336607311711822E-5</v>
      </c>
      <c r="X147">
        <f>'Pretax Fuel Prices'!X148+'Fuel Taxes'!X148</f>
        <v>9.9925316175632831E-6</v>
      </c>
      <c r="Y147">
        <f>'Pretax Fuel Prices'!Y148+'Fuel Taxes'!Y148</f>
        <v>9.6484559234147441E-6</v>
      </c>
      <c r="Z147">
        <f>'Pretax Fuel Prices'!Z148+'Fuel Taxes'!Z148</f>
        <v>9.3043802292662017E-6</v>
      </c>
      <c r="AA147">
        <f>'Pretax Fuel Prices'!AA148+'Fuel Taxes'!AA148</f>
        <v>8.9603045351176627E-6</v>
      </c>
      <c r="AB147">
        <f>'Pretax Fuel Prices'!AB148+'Fuel Taxes'!AB148</f>
        <v>8.6162288409692287E-6</v>
      </c>
      <c r="AC147">
        <f>'Pretax Fuel Prices'!AC148+'Fuel Taxes'!AC148</f>
        <v>8.2721531468206879E-6</v>
      </c>
      <c r="AD147">
        <f>'Pretax Fuel Prices'!AD148+'Fuel Taxes'!AD148</f>
        <v>7.9280774526721472E-6</v>
      </c>
      <c r="AE147">
        <f>'Pretax Fuel Prices'!AE148+'Fuel Taxes'!AE148</f>
        <v>7.5840017585236074E-6</v>
      </c>
      <c r="AF147">
        <f>'Pretax Fuel Prices'!AF148+'Fuel Taxes'!AF148</f>
        <v>7.2399260643750666E-6</v>
      </c>
    </row>
    <row r="148" spans="1:32" x14ac:dyDescent="0.25">
      <c r="A148" t="s">
        <v>57</v>
      </c>
      <c r="B148">
        <f>'Pretax Fuel Prices'!B149+'Fuel Taxes'!B149</f>
        <v>7.7600766078083947E-5</v>
      </c>
      <c r="C148">
        <f>'Pretax Fuel Prices'!C149+'Fuel Taxes'!C149</f>
        <v>7.1252833465009711E-5</v>
      </c>
      <c r="D148">
        <f>'Pretax Fuel Prices'!D149+'Fuel Taxes'!D149</f>
        <v>6.4904900851937169E-5</v>
      </c>
      <c r="E148">
        <f>'Pretax Fuel Prices'!E149+'Fuel Taxes'!E149</f>
        <v>5.855696823886294E-5</v>
      </c>
      <c r="F148">
        <f>'Pretax Fuel Prices'!F149+'Fuel Taxes'!F149</f>
        <v>5.2209035625788711E-5</v>
      </c>
      <c r="G148">
        <f>'Pretax Fuel Prices'!G149+'Fuel Taxes'!G149</f>
        <v>4.5861103012714481E-5</v>
      </c>
      <c r="H148">
        <f>'Pretax Fuel Prices'!H149+'Fuel Taxes'!H149</f>
        <v>3.9513170399641933E-5</v>
      </c>
      <c r="I148">
        <f>'Pretax Fuel Prices'!I149+'Fuel Taxes'!I149</f>
        <v>3.3165237786567717E-5</v>
      </c>
      <c r="J148">
        <f>'Pretax Fuel Prices'!J149+'Fuel Taxes'!J149</f>
        <v>2.6817305173493488E-5</v>
      </c>
      <c r="K148">
        <f>'Pretax Fuel Prices'!K149+'Fuel Taxes'!K149</f>
        <v>2.0469372560420939E-5</v>
      </c>
      <c r="L148">
        <f>'Pretax Fuel Prices'!L149+'Fuel Taxes'!L149</f>
        <v>1.4121439947346712E-5</v>
      </c>
      <c r="M148">
        <f>'Pretax Fuel Prices'!M149+'Fuel Taxes'!M149</f>
        <v>1.3777364253197018E-5</v>
      </c>
      <c r="N148">
        <f>'Pretax Fuel Prices'!N149+'Fuel Taxes'!N149</f>
        <v>1.3433288559048477E-5</v>
      </c>
      <c r="O148">
        <f>'Pretax Fuel Prices'!O149+'Fuel Taxes'!O149</f>
        <v>1.3089212864899936E-5</v>
      </c>
      <c r="P148">
        <f>'Pretax Fuel Prices'!P149+'Fuel Taxes'!P149</f>
        <v>1.2745137170751397E-5</v>
      </c>
      <c r="Q148">
        <f>'Pretax Fuel Prices'!Q149+'Fuel Taxes'!Q149</f>
        <v>1.240106147660296E-5</v>
      </c>
      <c r="R148">
        <f>'Pretax Fuel Prices'!R149+'Fuel Taxes'!R149</f>
        <v>1.2056985782454419E-5</v>
      </c>
      <c r="S148">
        <f>'Pretax Fuel Prices'!S149+'Fuel Taxes'!S149</f>
        <v>1.1712910088305878E-5</v>
      </c>
      <c r="T148">
        <f>'Pretax Fuel Prices'!T149+'Fuel Taxes'!T149</f>
        <v>1.1368834394157339E-5</v>
      </c>
      <c r="U148">
        <f>'Pretax Fuel Prices'!U149+'Fuel Taxes'!U149</f>
        <v>1.1024758700008799E-5</v>
      </c>
      <c r="V148">
        <f>'Pretax Fuel Prices'!V149+'Fuel Taxes'!V149</f>
        <v>1.0680683005860363E-5</v>
      </c>
      <c r="W148">
        <f>'Pretax Fuel Prices'!W149+'Fuel Taxes'!W149</f>
        <v>1.0336607311711822E-5</v>
      </c>
      <c r="X148">
        <f>'Pretax Fuel Prices'!X149+'Fuel Taxes'!X149</f>
        <v>9.9925316175632831E-6</v>
      </c>
      <c r="Y148">
        <f>'Pretax Fuel Prices'!Y149+'Fuel Taxes'!Y149</f>
        <v>9.6484559234147441E-6</v>
      </c>
      <c r="Z148">
        <f>'Pretax Fuel Prices'!Z149+'Fuel Taxes'!Z149</f>
        <v>9.3043802292662017E-6</v>
      </c>
      <c r="AA148">
        <f>'Pretax Fuel Prices'!AA149+'Fuel Taxes'!AA149</f>
        <v>8.9603045351176627E-6</v>
      </c>
      <c r="AB148">
        <f>'Pretax Fuel Prices'!AB149+'Fuel Taxes'!AB149</f>
        <v>8.6162288409692287E-6</v>
      </c>
      <c r="AC148">
        <f>'Pretax Fuel Prices'!AC149+'Fuel Taxes'!AC149</f>
        <v>8.2721531468206879E-6</v>
      </c>
      <c r="AD148">
        <f>'Pretax Fuel Prices'!AD149+'Fuel Taxes'!AD149</f>
        <v>7.9280774526721472E-6</v>
      </c>
      <c r="AE148">
        <f>'Pretax Fuel Prices'!AE149+'Fuel Taxes'!AE149</f>
        <v>7.5840017585236074E-6</v>
      </c>
      <c r="AF148">
        <f>'Pretax Fuel Prices'!AF149+'Fuel Taxes'!AF149</f>
        <v>7.2399260643750666E-6</v>
      </c>
    </row>
    <row r="149" spans="1:32" x14ac:dyDescent="0.25">
      <c r="A149" t="s">
        <v>58</v>
      </c>
      <c r="B149">
        <f>'Pretax Fuel Prices'!B150+'Fuel Taxes'!B150</f>
        <v>0</v>
      </c>
      <c r="C149">
        <f>'Pretax Fuel Prices'!C150+'Fuel Taxes'!C150</f>
        <v>0</v>
      </c>
      <c r="D149">
        <f>'Pretax Fuel Prices'!D150+'Fuel Taxes'!D150</f>
        <v>0</v>
      </c>
      <c r="E149">
        <f>'Pretax Fuel Prices'!E150+'Fuel Taxes'!E150</f>
        <v>0</v>
      </c>
      <c r="F149">
        <f>'Pretax Fuel Prices'!F150+'Fuel Taxes'!F150</f>
        <v>0</v>
      </c>
      <c r="G149">
        <f>'Pretax Fuel Prices'!G150+'Fuel Taxes'!G150</f>
        <v>0</v>
      </c>
      <c r="H149">
        <f>'Pretax Fuel Prices'!H150+'Fuel Taxes'!H150</f>
        <v>0</v>
      </c>
      <c r="I149">
        <f>'Pretax Fuel Prices'!I150+'Fuel Taxes'!I150</f>
        <v>0</v>
      </c>
      <c r="J149">
        <f>'Pretax Fuel Prices'!J150+'Fuel Taxes'!J150</f>
        <v>0</v>
      </c>
      <c r="K149">
        <f>'Pretax Fuel Prices'!K150+'Fuel Taxes'!K150</f>
        <v>0</v>
      </c>
      <c r="L149">
        <f>'Pretax Fuel Prices'!L150+'Fuel Taxes'!L150</f>
        <v>0</v>
      </c>
      <c r="M149">
        <f>'Pretax Fuel Prices'!M150+'Fuel Taxes'!M150</f>
        <v>0</v>
      </c>
      <c r="N149">
        <f>'Pretax Fuel Prices'!N150+'Fuel Taxes'!N150</f>
        <v>0</v>
      </c>
      <c r="O149">
        <f>'Pretax Fuel Prices'!O150+'Fuel Taxes'!O150</f>
        <v>0</v>
      </c>
      <c r="P149">
        <f>'Pretax Fuel Prices'!P150+'Fuel Taxes'!P150</f>
        <v>0</v>
      </c>
      <c r="Q149">
        <f>'Pretax Fuel Prices'!Q150+'Fuel Taxes'!Q150</f>
        <v>0</v>
      </c>
      <c r="R149">
        <f>'Pretax Fuel Prices'!R150+'Fuel Taxes'!R150</f>
        <v>0</v>
      </c>
      <c r="S149">
        <f>'Pretax Fuel Prices'!S150+'Fuel Taxes'!S150</f>
        <v>0</v>
      </c>
      <c r="T149">
        <f>'Pretax Fuel Prices'!T150+'Fuel Taxes'!T150</f>
        <v>0</v>
      </c>
      <c r="U149">
        <f>'Pretax Fuel Prices'!U150+'Fuel Taxes'!U150</f>
        <v>0</v>
      </c>
      <c r="V149">
        <f>'Pretax Fuel Prices'!V150+'Fuel Taxes'!V150</f>
        <v>0</v>
      </c>
      <c r="W149">
        <f>'Pretax Fuel Prices'!W150+'Fuel Taxes'!W150</f>
        <v>0</v>
      </c>
      <c r="X149">
        <f>'Pretax Fuel Prices'!X150+'Fuel Taxes'!X150</f>
        <v>0</v>
      </c>
      <c r="Y149">
        <f>'Pretax Fuel Prices'!Y150+'Fuel Taxes'!Y150</f>
        <v>0</v>
      </c>
      <c r="Z149">
        <f>'Pretax Fuel Prices'!Z150+'Fuel Taxes'!Z150</f>
        <v>0</v>
      </c>
      <c r="AA149">
        <f>'Pretax Fuel Prices'!AA150+'Fuel Taxes'!AA150</f>
        <v>0</v>
      </c>
      <c r="AB149">
        <f>'Pretax Fuel Prices'!AB150+'Fuel Taxes'!AB150</f>
        <v>0</v>
      </c>
      <c r="AC149">
        <f>'Pretax Fuel Prices'!AC150+'Fuel Taxes'!AC150</f>
        <v>0</v>
      </c>
      <c r="AD149">
        <f>'Pretax Fuel Prices'!AD150+'Fuel Taxes'!AD150</f>
        <v>0</v>
      </c>
      <c r="AE149">
        <f>'Pretax Fuel Prices'!AE150+'Fuel Taxes'!AE150</f>
        <v>0</v>
      </c>
      <c r="AF149">
        <f>'Pretax Fuel Prices'!AF150+'Fuel Taxes'!AF150</f>
        <v>0</v>
      </c>
    </row>
    <row r="150" spans="1:32" x14ac:dyDescent="0.25">
      <c r="A150" t="s">
        <v>59</v>
      </c>
      <c r="B150">
        <f>'Pretax Fuel Prices'!B151+'Fuel Taxes'!B151</f>
        <v>7.7600766078083947E-5</v>
      </c>
      <c r="C150">
        <f>'Pretax Fuel Prices'!C151+'Fuel Taxes'!C151</f>
        <v>7.1252833465009711E-5</v>
      </c>
      <c r="D150">
        <f>'Pretax Fuel Prices'!D151+'Fuel Taxes'!D151</f>
        <v>6.4904900851937169E-5</v>
      </c>
      <c r="E150">
        <f>'Pretax Fuel Prices'!E151+'Fuel Taxes'!E151</f>
        <v>5.855696823886294E-5</v>
      </c>
      <c r="F150">
        <f>'Pretax Fuel Prices'!F151+'Fuel Taxes'!F151</f>
        <v>5.2209035625788711E-5</v>
      </c>
      <c r="G150">
        <f>'Pretax Fuel Prices'!G151+'Fuel Taxes'!G151</f>
        <v>4.5861103012714481E-5</v>
      </c>
      <c r="H150">
        <f>'Pretax Fuel Prices'!H151+'Fuel Taxes'!H151</f>
        <v>3.9513170399641933E-5</v>
      </c>
      <c r="I150">
        <f>'Pretax Fuel Prices'!I151+'Fuel Taxes'!I151</f>
        <v>3.3165237786567717E-5</v>
      </c>
      <c r="J150">
        <f>'Pretax Fuel Prices'!J151+'Fuel Taxes'!J151</f>
        <v>2.6817305173493488E-5</v>
      </c>
      <c r="K150">
        <f>'Pretax Fuel Prices'!K151+'Fuel Taxes'!K151</f>
        <v>2.0469372560420939E-5</v>
      </c>
      <c r="L150">
        <f>'Pretax Fuel Prices'!L151+'Fuel Taxes'!L151</f>
        <v>1.4121439947346712E-5</v>
      </c>
      <c r="M150">
        <f>'Pretax Fuel Prices'!M151+'Fuel Taxes'!M151</f>
        <v>1.3777364253197018E-5</v>
      </c>
      <c r="N150">
        <f>'Pretax Fuel Prices'!N151+'Fuel Taxes'!N151</f>
        <v>1.3433288559048477E-5</v>
      </c>
      <c r="O150">
        <f>'Pretax Fuel Prices'!O151+'Fuel Taxes'!O151</f>
        <v>1.3089212864899936E-5</v>
      </c>
      <c r="P150">
        <f>'Pretax Fuel Prices'!P151+'Fuel Taxes'!P151</f>
        <v>1.2745137170751397E-5</v>
      </c>
      <c r="Q150">
        <f>'Pretax Fuel Prices'!Q151+'Fuel Taxes'!Q151</f>
        <v>1.240106147660296E-5</v>
      </c>
      <c r="R150">
        <f>'Pretax Fuel Prices'!R151+'Fuel Taxes'!R151</f>
        <v>1.2056985782454419E-5</v>
      </c>
      <c r="S150">
        <f>'Pretax Fuel Prices'!S151+'Fuel Taxes'!S151</f>
        <v>1.1712910088305878E-5</v>
      </c>
      <c r="T150">
        <f>'Pretax Fuel Prices'!T151+'Fuel Taxes'!T151</f>
        <v>1.1368834394157339E-5</v>
      </c>
      <c r="U150">
        <f>'Pretax Fuel Prices'!U151+'Fuel Taxes'!U151</f>
        <v>1.1024758700008799E-5</v>
      </c>
      <c r="V150">
        <f>'Pretax Fuel Prices'!V151+'Fuel Taxes'!V151</f>
        <v>1.0680683005860363E-5</v>
      </c>
      <c r="W150">
        <f>'Pretax Fuel Prices'!W151+'Fuel Taxes'!W151</f>
        <v>1.0336607311711822E-5</v>
      </c>
      <c r="X150">
        <f>'Pretax Fuel Prices'!X151+'Fuel Taxes'!X151</f>
        <v>9.9925316175632831E-6</v>
      </c>
      <c r="Y150">
        <f>'Pretax Fuel Prices'!Y151+'Fuel Taxes'!Y151</f>
        <v>9.6484559234147441E-6</v>
      </c>
      <c r="Z150">
        <f>'Pretax Fuel Prices'!Z151+'Fuel Taxes'!Z151</f>
        <v>9.3043802292662017E-6</v>
      </c>
      <c r="AA150">
        <f>'Pretax Fuel Prices'!AA151+'Fuel Taxes'!AA151</f>
        <v>8.9603045351176627E-6</v>
      </c>
      <c r="AB150">
        <f>'Pretax Fuel Prices'!AB151+'Fuel Taxes'!AB151</f>
        <v>8.6162288409692287E-6</v>
      </c>
      <c r="AC150">
        <f>'Pretax Fuel Prices'!AC151+'Fuel Taxes'!AC151</f>
        <v>8.2721531468206879E-6</v>
      </c>
      <c r="AD150">
        <f>'Pretax Fuel Prices'!AD151+'Fuel Taxes'!AD151</f>
        <v>7.9280774526721472E-6</v>
      </c>
      <c r="AE150">
        <f>'Pretax Fuel Prices'!AE151+'Fuel Taxes'!AE151</f>
        <v>7.5840017585236074E-6</v>
      </c>
      <c r="AF150">
        <f>'Pretax Fuel Prices'!AF151+'Fuel Taxes'!AF151</f>
        <v>7.2399260643750666E-6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AI23"/>
  <sheetViews>
    <sheetView workbookViewId="0">
      <selection activeCell="D24" sqref="D24"/>
    </sheetView>
  </sheetViews>
  <sheetFormatPr defaultRowHeight="15" x14ac:dyDescent="0.25"/>
  <cols>
    <col min="1" max="1" width="29.5703125" customWidth="1"/>
    <col min="2" max="2" width="9.140625" customWidth="1"/>
  </cols>
  <sheetData>
    <row r="1" spans="1:35" ht="30" x14ac:dyDescent="0.25">
      <c r="A1" s="11" t="s">
        <v>51</v>
      </c>
      <c r="B1" s="8">
        <f>'Fuel Price Data'!B2</f>
        <v>2020</v>
      </c>
      <c r="C1" s="8">
        <f>'Fuel Price Data'!C2</f>
        <v>2021</v>
      </c>
      <c r="D1" s="8">
        <f>'Fuel Price Data'!D2</f>
        <v>2022</v>
      </c>
      <c r="E1" s="8">
        <f>'Fuel Price Data'!E2</f>
        <v>2023</v>
      </c>
      <c r="F1" s="8">
        <f>'Fuel Price Data'!F2</f>
        <v>2024</v>
      </c>
      <c r="G1" s="8">
        <f>'Fuel Price Data'!G2</f>
        <v>2025</v>
      </c>
      <c r="H1" s="8">
        <f>'Fuel Price Data'!H2</f>
        <v>2026</v>
      </c>
      <c r="I1" s="8">
        <f>'Fuel Price Data'!I2</f>
        <v>2027</v>
      </c>
      <c r="J1" s="8">
        <f>'Fuel Price Data'!J2</f>
        <v>2028</v>
      </c>
      <c r="K1" s="8">
        <f>'Fuel Price Data'!K2</f>
        <v>2029</v>
      </c>
      <c r="L1" s="8">
        <f>'Fuel Price Data'!L2</f>
        <v>2030</v>
      </c>
      <c r="M1" s="8">
        <f>'Fuel Price Data'!M2</f>
        <v>2031</v>
      </c>
      <c r="N1" s="8">
        <f>'Fuel Price Data'!N2</f>
        <v>2032</v>
      </c>
      <c r="O1" s="8">
        <f>'Fuel Price Data'!O2</f>
        <v>2033</v>
      </c>
      <c r="P1" s="8">
        <f>'Fuel Price Data'!P2</f>
        <v>2034</v>
      </c>
      <c r="Q1" s="8">
        <f>'Fuel Price Data'!Q2</f>
        <v>2035</v>
      </c>
      <c r="R1" s="8">
        <f>'Fuel Price Data'!R2</f>
        <v>2036</v>
      </c>
      <c r="S1" s="8">
        <f>'Fuel Price Data'!S2</f>
        <v>2037</v>
      </c>
      <c r="T1" s="8">
        <f>'Fuel Price Data'!T2</f>
        <v>2038</v>
      </c>
      <c r="U1" s="8">
        <f>'Fuel Price Data'!U2</f>
        <v>2039</v>
      </c>
      <c r="V1" s="8">
        <f>'Fuel Price Data'!V2</f>
        <v>2040</v>
      </c>
      <c r="W1" s="8">
        <f>'Fuel Price Data'!W2</f>
        <v>2041</v>
      </c>
      <c r="X1" s="8">
        <f>'Fuel Price Data'!X2</f>
        <v>2042</v>
      </c>
      <c r="Y1" s="8">
        <f>'Fuel Price Data'!Y2</f>
        <v>2043</v>
      </c>
      <c r="Z1" s="8">
        <f>'Fuel Price Data'!Z2</f>
        <v>2044</v>
      </c>
      <c r="AA1" s="8">
        <f>'Fuel Price Data'!AA2</f>
        <v>2045</v>
      </c>
      <c r="AB1" s="8">
        <f>'Fuel Price Data'!AB2</f>
        <v>2046</v>
      </c>
      <c r="AC1" s="8">
        <f>'Fuel Price Data'!AC2</f>
        <v>2047</v>
      </c>
      <c r="AD1" s="8">
        <f>'Fuel Price Data'!AD2</f>
        <v>2048</v>
      </c>
      <c r="AE1" s="8">
        <f>'Fuel Price Data'!AE2</f>
        <v>2049</v>
      </c>
      <c r="AF1" s="8">
        <f>'Fuel Price Data'!AF2</f>
        <v>2050</v>
      </c>
      <c r="AG1" s="8"/>
      <c r="AH1" s="8"/>
      <c r="AI1" s="8"/>
    </row>
    <row r="2" spans="1:35" x14ac:dyDescent="0.25">
      <c r="A2" s="3" t="s">
        <v>21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/>
      <c r="AH2" s="4"/>
      <c r="AI2" s="4"/>
    </row>
    <row r="3" spans="1:35" x14ac:dyDescent="0.25">
      <c r="A3" s="3" t="s">
        <v>2</v>
      </c>
      <c r="B3" s="5">
        <f>SUMPRODUCT('Fuel Price Data'!B3:B7,'BAU Fuel Use by Sector'!$AL$3:$AL$7)/SUM('BAU Fuel Use by Sector'!$AL$3:$AL$7)</f>
        <v>1.8924251588940698E-6</v>
      </c>
      <c r="C3" s="5">
        <f>SUMPRODUCT('Fuel Price Data'!C3:C7,'BAU Fuel Use by Sector'!$AL$3:$AL$7)/SUM('BAU Fuel Use by Sector'!$AL$3:$AL$7)</f>
        <v>1.8663925808625354E-6</v>
      </c>
      <c r="D3" s="5">
        <f>SUMPRODUCT('Fuel Price Data'!D3:D7,'BAU Fuel Use by Sector'!$AL$3:$AL$7)/SUM('BAU Fuel Use by Sector'!$AL$3:$AL$7)</f>
        <v>1.8274112677514048E-6</v>
      </c>
      <c r="E3" s="5">
        <f>SUMPRODUCT('Fuel Price Data'!E3:E7,'BAU Fuel Use by Sector'!$AL$3:$AL$7)/SUM('BAU Fuel Use by Sector'!$AL$3:$AL$7)</f>
        <v>1.8071298829392645E-6</v>
      </c>
      <c r="F3" s="5">
        <f>SUMPRODUCT('Fuel Price Data'!F3:F7,'BAU Fuel Use by Sector'!$AL$3:$AL$7)/SUM('BAU Fuel Use by Sector'!$AL$3:$AL$7)</f>
        <v>1.7973806444156505E-6</v>
      </c>
      <c r="G3" s="5">
        <f>SUMPRODUCT('Fuel Price Data'!G3:G7,'BAU Fuel Use by Sector'!$AL$3:$AL$7)/SUM('BAU Fuel Use by Sector'!$AL$3:$AL$7)</f>
        <v>1.7552663639075901E-6</v>
      </c>
      <c r="H3" s="5">
        <f>SUMPRODUCT('Fuel Price Data'!H3:H7,'BAU Fuel Use by Sector'!$AL$3:$AL$7)/SUM('BAU Fuel Use by Sector'!$AL$3:$AL$7)</f>
        <v>1.7274149179357952E-6</v>
      </c>
      <c r="I3" s="5">
        <f>SUMPRODUCT('Fuel Price Data'!I3:I7,'BAU Fuel Use by Sector'!$AL$3:$AL$7)/SUM('BAU Fuel Use by Sector'!$AL$3:$AL$7)</f>
        <v>1.724275057639585E-6</v>
      </c>
      <c r="J3" s="5">
        <f>SUMPRODUCT('Fuel Price Data'!J3:J7,'BAU Fuel Use by Sector'!$AL$3:$AL$7)/SUM('BAU Fuel Use by Sector'!$AL$3:$AL$7)</f>
        <v>1.7165691338751597E-6</v>
      </c>
      <c r="K3" s="5">
        <f>SUMPRODUCT('Fuel Price Data'!K3:K7,'BAU Fuel Use by Sector'!$AL$3:$AL$7)/SUM('BAU Fuel Use by Sector'!$AL$3:$AL$7)</f>
        <v>1.7224081224794133E-6</v>
      </c>
      <c r="L3" s="5">
        <f>SUMPRODUCT('Fuel Price Data'!L3:L7,'BAU Fuel Use by Sector'!$AL$3:$AL$7)/SUM('BAU Fuel Use by Sector'!$AL$3:$AL$7)</f>
        <v>1.7216494776060262E-6</v>
      </c>
      <c r="M3" s="5">
        <f>SUMPRODUCT('Fuel Price Data'!M3:M7,'BAU Fuel Use by Sector'!$AL$3:$AL$7)/SUM('BAU Fuel Use by Sector'!$AL$3:$AL$7)</f>
        <v>1.7218990666008237E-6</v>
      </c>
      <c r="N3" s="5">
        <f>SUMPRODUCT('Fuel Price Data'!N3:N7,'BAU Fuel Use by Sector'!$AL$3:$AL$7)/SUM('BAU Fuel Use by Sector'!$AL$3:$AL$7)</f>
        <v>1.7153512334950405E-6</v>
      </c>
      <c r="O3" s="5">
        <f>SUMPRODUCT('Fuel Price Data'!O3:O7,'BAU Fuel Use by Sector'!$AL$3:$AL$7)/SUM('BAU Fuel Use by Sector'!$AL$3:$AL$7)</f>
        <v>1.7141579796959011E-6</v>
      </c>
      <c r="P3" s="5">
        <f>SUMPRODUCT('Fuel Price Data'!P3:P7,'BAU Fuel Use by Sector'!$AL$3:$AL$7)/SUM('BAU Fuel Use by Sector'!$AL$3:$AL$7)</f>
        <v>1.7104339446584036E-6</v>
      </c>
      <c r="Q3" s="5">
        <f>SUMPRODUCT('Fuel Price Data'!Q3:Q7,'BAU Fuel Use by Sector'!$AL$3:$AL$7)/SUM('BAU Fuel Use by Sector'!$AL$3:$AL$7)</f>
        <v>1.7015246877184777E-6</v>
      </c>
      <c r="R3" s="5">
        <f>SUMPRODUCT('Fuel Price Data'!R3:R7,'BAU Fuel Use by Sector'!$AL$3:$AL$7)/SUM('BAU Fuel Use by Sector'!$AL$3:$AL$7)</f>
        <v>1.6914832570221308E-6</v>
      </c>
      <c r="S3" s="5">
        <f>SUMPRODUCT('Fuel Price Data'!S3:S7,'BAU Fuel Use by Sector'!$AL$3:$AL$7)/SUM('BAU Fuel Use by Sector'!$AL$3:$AL$7)</f>
        <v>1.6906957386919399E-6</v>
      </c>
      <c r="T3" s="5">
        <f>SUMPRODUCT('Fuel Price Data'!T3:T7,'BAU Fuel Use by Sector'!$AL$3:$AL$7)/SUM('BAU Fuel Use by Sector'!$AL$3:$AL$7)</f>
        <v>1.6918586515575271E-6</v>
      </c>
      <c r="U3" s="5">
        <f>SUMPRODUCT('Fuel Price Data'!U3:U7,'BAU Fuel Use by Sector'!$AL$3:$AL$7)/SUM('BAU Fuel Use by Sector'!$AL$3:$AL$7)</f>
        <v>1.6911495516493188E-6</v>
      </c>
      <c r="V3" s="5">
        <f>SUMPRODUCT('Fuel Price Data'!V3:V7,'BAU Fuel Use by Sector'!$AL$3:$AL$7)/SUM('BAU Fuel Use by Sector'!$AL$3:$AL$7)</f>
        <v>1.6962680735601525E-6</v>
      </c>
      <c r="W3" s="5">
        <f>SUMPRODUCT('Fuel Price Data'!W3:W7,'BAU Fuel Use by Sector'!$AL$3:$AL$7)/SUM('BAU Fuel Use by Sector'!$AL$3:$AL$7)</f>
        <v>1.6947680008334817E-6</v>
      </c>
      <c r="X3" s="5">
        <f>SUMPRODUCT('Fuel Price Data'!X3:X7,'BAU Fuel Use by Sector'!$AL$3:$AL$7)/SUM('BAU Fuel Use by Sector'!$AL$3:$AL$7)</f>
        <v>1.6878784223185749E-6</v>
      </c>
      <c r="Y3" s="5">
        <f>SUMPRODUCT('Fuel Price Data'!Y3:Y7,'BAU Fuel Use by Sector'!$AL$3:$AL$7)/SUM('BAU Fuel Use by Sector'!$AL$3:$AL$7)</f>
        <v>1.680880496525548E-6</v>
      </c>
      <c r="Z3" s="5">
        <f>SUMPRODUCT('Fuel Price Data'!Z3:Z7,'BAU Fuel Use by Sector'!$AL$3:$AL$7)/SUM('BAU Fuel Use by Sector'!$AL$3:$AL$7)</f>
        <v>1.6785566347376708E-6</v>
      </c>
      <c r="AA3" s="5">
        <f>SUMPRODUCT('Fuel Price Data'!AA3:AA7,'BAU Fuel Use by Sector'!$AL$3:$AL$7)/SUM('BAU Fuel Use by Sector'!$AL$3:$AL$7)</f>
        <v>1.6779262169738057E-6</v>
      </c>
      <c r="AB3" s="5">
        <f>SUMPRODUCT('Fuel Price Data'!AB3:AB7,'BAU Fuel Use by Sector'!$AL$3:$AL$7)/SUM('BAU Fuel Use by Sector'!$AL$3:$AL$7)</f>
        <v>1.677538906841118E-6</v>
      </c>
      <c r="AC3" s="5">
        <f>SUMPRODUCT('Fuel Price Data'!AC3:AC7,'BAU Fuel Use by Sector'!$AL$3:$AL$7)/SUM('BAU Fuel Use by Sector'!$AL$3:$AL$7)</f>
        <v>1.6747843597487989E-6</v>
      </c>
      <c r="AD3" s="5">
        <f>SUMPRODUCT('Fuel Price Data'!AD3:AD7,'BAU Fuel Use by Sector'!$AL$3:$AL$7)/SUM('BAU Fuel Use by Sector'!$AL$3:$AL$7)</f>
        <v>1.6692553347889195E-6</v>
      </c>
      <c r="AE3" s="5">
        <f>SUMPRODUCT('Fuel Price Data'!AE3:AE7,'BAU Fuel Use by Sector'!$AL$3:$AL$7)/SUM('BAU Fuel Use by Sector'!$AL$3:$AL$7)</f>
        <v>1.6715143527569381E-6</v>
      </c>
      <c r="AF3" s="5">
        <f>SUMPRODUCT('Fuel Price Data'!AF3:AF7,'BAU Fuel Use by Sector'!$AL$3:$AL$7)/SUM('BAU Fuel Use by Sector'!$AL$3:$AL$7)</f>
        <v>1.6712467860957978E-6</v>
      </c>
      <c r="AG3" s="5"/>
      <c r="AH3" s="5"/>
      <c r="AI3" s="5"/>
    </row>
    <row r="4" spans="1:35" x14ac:dyDescent="0.25">
      <c r="A4" s="3" t="s">
        <v>3</v>
      </c>
      <c r="B4" s="32" cm="1">
        <f t="array" ref="B4:AF4">TRANSPOSE('Natural Gas Prices'!D91:D121)</f>
        <v>3.3640431901572894E-6</v>
      </c>
      <c r="C4" s="32">
        <v>5.58742929536906E-6</v>
      </c>
      <c r="D4" s="32">
        <v>1.0029435997859815E-5</v>
      </c>
      <c r="E4" s="32">
        <v>8.7215666205089458E-6</v>
      </c>
      <c r="F4" s="32">
        <v>6.5875872812997719E-6</v>
      </c>
      <c r="G4" s="32">
        <v>6.1442291452230091E-6</v>
      </c>
      <c r="H4" s="32">
        <v>5.8762665668182228E-6</v>
      </c>
      <c r="I4" s="32">
        <v>5.6164849369690513E-6</v>
      </c>
      <c r="J4" s="32">
        <v>5.360970220809711E-6</v>
      </c>
      <c r="K4" s="32">
        <v>5.1019666898453374E-6</v>
      </c>
      <c r="L4" s="32">
        <v>4.8507364361360788E-6</v>
      </c>
      <c r="M4" s="32">
        <v>4.9561538903538221E-6</v>
      </c>
      <c r="N4" s="32">
        <v>5.0281218417189303E-6</v>
      </c>
      <c r="O4" s="32">
        <v>5.1784883683272704E-6</v>
      </c>
      <c r="P4" s="32">
        <v>5.1713858330442802E-6</v>
      </c>
      <c r="Q4" s="32">
        <v>5.0617329653488135E-6</v>
      </c>
      <c r="R4" s="32">
        <v>5.0051713958503191E-6</v>
      </c>
      <c r="S4" s="32">
        <v>5.0048017411003118E-6</v>
      </c>
      <c r="T4" s="32">
        <v>5.0461313286506297E-6</v>
      </c>
      <c r="U4" s="32">
        <v>5.0806289668985744E-6</v>
      </c>
      <c r="V4" s="32">
        <v>5.1251665249024947E-6</v>
      </c>
      <c r="W4" s="32">
        <v>5.2027426545322138E-6</v>
      </c>
      <c r="X4" s="32">
        <v>5.2267167604682806E-6</v>
      </c>
      <c r="Y4" s="32">
        <v>5.1355798676413009E-6</v>
      </c>
      <c r="Z4" s="32">
        <v>5.0910365314944137E-6</v>
      </c>
      <c r="AA4" s="32">
        <v>4.9582629130435384E-6</v>
      </c>
      <c r="AB4" s="32">
        <v>4.8970732032561762E-6</v>
      </c>
      <c r="AC4" s="32">
        <v>4.863024929765971E-6</v>
      </c>
      <c r="AD4" s="32">
        <v>4.8552297247679382E-6</v>
      </c>
      <c r="AE4" s="32">
        <v>4.8720003704143164E-6</v>
      </c>
      <c r="AF4" s="32">
        <v>4.8820162325692083E-6</v>
      </c>
      <c r="AG4" s="5"/>
      <c r="AH4" s="5"/>
      <c r="AI4" s="5"/>
    </row>
    <row r="5" spans="1:35" x14ac:dyDescent="0.25">
      <c r="A5" s="3" t="s">
        <v>4</v>
      </c>
      <c r="B5" s="5">
        <f>SUMPRODUCT('Fuel Price Data'!B23:B27,'BAU Fuel Use by Sector'!$AN$3:$AN$7)/SUM('BAU Fuel Use by Sector'!$AN$3:$AN$7)</f>
        <v>6.0866703525738859E-7</v>
      </c>
      <c r="C5" s="5">
        <f>SUMPRODUCT('Fuel Price Data'!C23:C27,'BAU Fuel Use by Sector'!$AN$3:$AN$7)/SUM('BAU Fuel Use by Sector'!$AN$3:$AN$7)</f>
        <v>6.0723236674170564E-7</v>
      </c>
      <c r="D5" s="5">
        <f>SUMPRODUCT('Fuel Price Data'!D23:D27,'BAU Fuel Use by Sector'!$AN$3:$AN$7)/SUM('BAU Fuel Use by Sector'!$AN$3:$AN$7)</f>
        <v>6.081211887736649E-7</v>
      </c>
      <c r="E5" s="5">
        <f>SUMPRODUCT('Fuel Price Data'!E23:E27,'BAU Fuel Use by Sector'!$AN$3:$AN$7)/SUM('BAU Fuel Use by Sector'!$AN$3:$AN$7)</f>
        <v>6.0989968014171304E-7</v>
      </c>
      <c r="F5" s="5">
        <f>SUMPRODUCT('Fuel Price Data'!F23:F27,'BAU Fuel Use by Sector'!$AN$3:$AN$7)/SUM('BAU Fuel Use by Sector'!$AN$3:$AN$7)</f>
        <v>6.1078850217367219E-7</v>
      </c>
      <c r="G5" s="5">
        <f>SUMPRODUCT('Fuel Price Data'!G23:G27,'BAU Fuel Use by Sector'!$AN$3:$AN$7)/SUM('BAU Fuel Use by Sector'!$AN$3:$AN$7)</f>
        <v>6.1256614623759071E-7</v>
      </c>
      <c r="H5" s="5">
        <f>SUMPRODUCT('Fuel Price Data'!H23:H27,'BAU Fuel Use by Sector'!$AN$3:$AN$7)/SUM('BAU Fuel Use by Sector'!$AN$3:$AN$7)</f>
        <v>6.1345581557367969E-7</v>
      </c>
      <c r="I5" s="5">
        <f>SUMPRODUCT('Fuel Price Data'!I23:I27,'BAU Fuel Use by Sector'!$AN$3:$AN$7)/SUM('BAU Fuel Use by Sector'!$AN$3:$AN$7)</f>
        <v>6.1523345963759811E-7</v>
      </c>
      <c r="J5" s="5">
        <f>SUMPRODUCT('Fuel Price Data'!J23:J27,'BAU Fuel Use by Sector'!$AN$3:$AN$7)/SUM('BAU Fuel Use by Sector'!$AN$3:$AN$7)</f>
        <v>6.1612228166955747E-7</v>
      </c>
      <c r="K5" s="5">
        <f>SUMPRODUCT('Fuel Price Data'!K23:K27,'BAU Fuel Use by Sector'!$AN$3:$AN$7)/SUM('BAU Fuel Use by Sector'!$AN$3:$AN$7)</f>
        <v>6.179007730376054E-7</v>
      </c>
      <c r="L5" s="5">
        <f>SUMPRODUCT('Fuel Price Data'!L23:L27,'BAU Fuel Use by Sector'!$AN$3:$AN$7)/SUM('BAU Fuel Use by Sector'!$AN$3:$AN$7)</f>
        <v>6.1967926440565353E-7</v>
      </c>
      <c r="M5" s="5">
        <f>SUMPRODUCT('Fuel Price Data'!M23:M27,'BAU Fuel Use by Sector'!$AN$3:$AN$7)/SUM('BAU Fuel Use by Sector'!$AN$3:$AN$7)</f>
        <v>6.20568086437613E-7</v>
      </c>
      <c r="N5" s="5">
        <f>SUMPRODUCT('Fuel Price Data'!N23:N27,'BAU Fuel Use by Sector'!$AN$3:$AN$7)/SUM('BAU Fuel Use by Sector'!$AN$3:$AN$7)</f>
        <v>6.2234657780566103E-7</v>
      </c>
      <c r="O5" s="5">
        <f>SUMPRODUCT('Fuel Price Data'!O23:O27,'BAU Fuel Use by Sector'!$AN$3:$AN$7)/SUM('BAU Fuel Use by Sector'!$AN$3:$AN$7)</f>
        <v>6.2412422186957977E-7</v>
      </c>
      <c r="P5" s="5">
        <f>SUMPRODUCT('Fuel Price Data'!P23:P27,'BAU Fuel Use by Sector'!$AN$3:$AN$7)/SUM('BAU Fuel Use by Sector'!$AN$3:$AN$7)</f>
        <v>6.2501304390153881E-7</v>
      </c>
      <c r="Q5" s="5">
        <f>SUMPRODUCT('Fuel Price Data'!Q23:Q27,'BAU Fuel Use by Sector'!$AN$3:$AN$7)/SUM('BAU Fuel Use by Sector'!$AN$3:$AN$7)</f>
        <v>6.2679153526958684E-7</v>
      </c>
      <c r="R5" s="5">
        <f>SUMPRODUCT('Fuel Price Data'!R23:R27,'BAU Fuel Use by Sector'!$AN$3:$AN$7)/SUM('BAU Fuel Use by Sector'!$AN$3:$AN$7)</f>
        <v>6.2857002663763508E-7</v>
      </c>
      <c r="S5" s="5">
        <f>SUMPRODUCT('Fuel Price Data'!S23:S27,'BAU Fuel Use by Sector'!$AN$3:$AN$7)/SUM('BAU Fuel Use by Sector'!$AN$3:$AN$7)</f>
        <v>6.2945884866959424E-7</v>
      </c>
      <c r="T5" s="5">
        <f>SUMPRODUCT('Fuel Price Data'!T23:T27,'BAU Fuel Use by Sector'!$AN$3:$AN$7)/SUM('BAU Fuel Use by Sector'!$AN$3:$AN$7)</f>
        <v>6.3123649273351276E-7</v>
      </c>
      <c r="U5" s="5">
        <f>SUMPRODUCT('Fuel Price Data'!U23:U27,'BAU Fuel Use by Sector'!$AN$3:$AN$7)/SUM('BAU Fuel Use by Sector'!$AN$3:$AN$7)</f>
        <v>6.3301498410156089E-7</v>
      </c>
      <c r="V5" s="5">
        <f>SUMPRODUCT('Fuel Price Data'!V23:V27,'BAU Fuel Use by Sector'!$AN$3:$AN$7)/SUM('BAU Fuel Use by Sector'!$AN$3:$AN$7)</f>
        <v>6.3479347546960903E-7</v>
      </c>
      <c r="W5" s="5">
        <f>SUMPRODUCT('Fuel Price Data'!W23:W27,'BAU Fuel Use by Sector'!$AN$3:$AN$7)/SUM('BAU Fuel Use by Sector'!$AN$3:$AN$7)</f>
        <v>6.3657111953352755E-7</v>
      </c>
      <c r="X5" s="5">
        <f>SUMPRODUCT('Fuel Price Data'!X23:X27,'BAU Fuel Use by Sector'!$AN$3:$AN$7)/SUM('BAU Fuel Use by Sector'!$AN$3:$AN$7)</f>
        <v>6.3834961090157558E-7</v>
      </c>
      <c r="Y5" s="5">
        <f>SUMPRODUCT('Fuel Price Data'!Y23:Y27,'BAU Fuel Use by Sector'!$AN$3:$AN$7)/SUM('BAU Fuel Use by Sector'!$AN$3:$AN$7)</f>
        <v>6.401272549654942E-7</v>
      </c>
      <c r="Z5" s="5">
        <f>SUMPRODUCT('Fuel Price Data'!Z23:Z27,'BAU Fuel Use by Sector'!$AN$3:$AN$7)/SUM('BAU Fuel Use by Sector'!$AN$3:$AN$7)</f>
        <v>6.4190574633354234E-7</v>
      </c>
      <c r="AA5" s="5">
        <f>SUMPRODUCT('Fuel Price Data'!AA23:AA27,'BAU Fuel Use by Sector'!$AN$3:$AN$7)/SUM('BAU Fuel Use by Sector'!$AN$3:$AN$7)</f>
        <v>6.4368423770159037E-7</v>
      </c>
      <c r="AB5" s="5">
        <f>SUMPRODUCT('Fuel Price Data'!AB23:AB27,'BAU Fuel Use by Sector'!$AN$3:$AN$7)/SUM('BAU Fuel Use by Sector'!$AN$3:$AN$7)</f>
        <v>6.45461881765509E-7</v>
      </c>
      <c r="AC5" s="5">
        <f>SUMPRODUCT('Fuel Price Data'!AC23:AC27,'BAU Fuel Use by Sector'!$AN$3:$AN$7)/SUM('BAU Fuel Use by Sector'!$AN$3:$AN$7)</f>
        <v>6.4724037313355703E-7</v>
      </c>
      <c r="AD5" s="5">
        <f>SUMPRODUCT('Fuel Price Data'!AD23:AD27,'BAU Fuel Use by Sector'!$AN$3:$AN$7)/SUM('BAU Fuel Use by Sector'!$AN$3:$AN$7)</f>
        <v>6.4901801719747565E-7</v>
      </c>
      <c r="AE5" s="5">
        <f>SUMPRODUCT('Fuel Price Data'!AE23:AE27,'BAU Fuel Use by Sector'!$AN$3:$AN$7)/SUM('BAU Fuel Use by Sector'!$AN$3:$AN$7)</f>
        <v>6.5079650856552368E-7</v>
      </c>
      <c r="AF5" s="5">
        <f>SUMPRODUCT('Fuel Price Data'!AF23:AF27,'BAU Fuel Use by Sector'!$AN$3:$AN$7)/SUM('BAU Fuel Use by Sector'!$AN$3:$AN$7)</f>
        <v>6.525741526294422E-7</v>
      </c>
      <c r="AG5" s="5"/>
      <c r="AH5" s="5"/>
      <c r="AI5" s="5"/>
    </row>
    <row r="6" spans="1:35" x14ac:dyDescent="0.25">
      <c r="A6" t="s">
        <v>12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/>
      <c r="AH6" s="4"/>
      <c r="AI6" s="4"/>
    </row>
    <row r="7" spans="1:35" x14ac:dyDescent="0.25">
      <c r="A7" t="s">
        <v>13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/>
      <c r="AH7" s="4"/>
      <c r="AI7" s="4"/>
    </row>
    <row r="8" spans="1:35" x14ac:dyDescent="0.25">
      <c r="A8" t="s">
        <v>14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/>
      <c r="AH8" s="4"/>
      <c r="AI8" s="4"/>
    </row>
    <row r="9" spans="1:35" x14ac:dyDescent="0.25">
      <c r="A9" t="s">
        <v>5</v>
      </c>
      <c r="B9" s="5">
        <f>SUMPRODUCT('Fuel Price Data'!B33:B37,'BAU Fuel Use by Sector'!$AR$3:$AR$7)/SUM('BAU Fuel Use by Sector'!$AR$3:$AR$7)</f>
        <v>3.8317893838245514E-6</v>
      </c>
      <c r="C9" s="5">
        <f>SUMPRODUCT('Fuel Price Data'!C33:C37,'BAU Fuel Use by Sector'!$AR$3:$AR$7)/SUM('BAU Fuel Use by Sector'!$AR$3:$AR$7)</f>
        <v>3.8317893838245514E-6</v>
      </c>
      <c r="D9" s="5">
        <f>SUMPRODUCT('Fuel Price Data'!D33:D37,'BAU Fuel Use by Sector'!$AR$3:$AR$7)/SUM('BAU Fuel Use by Sector'!$AR$3:$AR$7)</f>
        <v>3.8317893838245514E-6</v>
      </c>
      <c r="E9" s="5">
        <f>SUMPRODUCT('Fuel Price Data'!E33:E37,'BAU Fuel Use by Sector'!$AR$3:$AR$7)/SUM('BAU Fuel Use by Sector'!$AR$3:$AR$7)</f>
        <v>3.8317893838245514E-6</v>
      </c>
      <c r="F9" s="5">
        <f>SUMPRODUCT('Fuel Price Data'!F33:F37,'BAU Fuel Use by Sector'!$AR$3:$AR$7)/SUM('BAU Fuel Use by Sector'!$AR$3:$AR$7)</f>
        <v>3.8317893838245514E-6</v>
      </c>
      <c r="G9" s="5">
        <f>SUMPRODUCT('Fuel Price Data'!G33:G37,'BAU Fuel Use by Sector'!$AR$3:$AR$7)/SUM('BAU Fuel Use by Sector'!$AR$3:$AR$7)</f>
        <v>3.8317893838245514E-6</v>
      </c>
      <c r="H9" s="5">
        <f>SUMPRODUCT('Fuel Price Data'!H33:H37,'BAU Fuel Use by Sector'!$AR$3:$AR$7)/SUM('BAU Fuel Use by Sector'!$AR$3:$AR$7)</f>
        <v>3.8317893838245514E-6</v>
      </c>
      <c r="I9" s="5">
        <f>SUMPRODUCT('Fuel Price Data'!I33:I37,'BAU Fuel Use by Sector'!$AR$3:$AR$7)/SUM('BAU Fuel Use by Sector'!$AR$3:$AR$7)</f>
        <v>3.8317893838245514E-6</v>
      </c>
      <c r="J9" s="5">
        <f>SUMPRODUCT('Fuel Price Data'!J33:J37,'BAU Fuel Use by Sector'!$AR$3:$AR$7)/SUM('BAU Fuel Use by Sector'!$AR$3:$AR$7)</f>
        <v>3.8317893838245514E-6</v>
      </c>
      <c r="K9" s="5">
        <f>SUMPRODUCT('Fuel Price Data'!K33:K37,'BAU Fuel Use by Sector'!$AR$3:$AR$7)/SUM('BAU Fuel Use by Sector'!$AR$3:$AR$7)</f>
        <v>3.8317893838245514E-6</v>
      </c>
      <c r="L9" s="5">
        <f>SUMPRODUCT('Fuel Price Data'!L33:L37,'BAU Fuel Use by Sector'!$AR$3:$AR$7)/SUM('BAU Fuel Use by Sector'!$AR$3:$AR$7)</f>
        <v>3.8317893838245514E-6</v>
      </c>
      <c r="M9" s="5">
        <f>SUMPRODUCT('Fuel Price Data'!M33:M37,'BAU Fuel Use by Sector'!$AR$3:$AR$7)/SUM('BAU Fuel Use by Sector'!$AR$3:$AR$7)</f>
        <v>3.8317893838245514E-6</v>
      </c>
      <c r="N9" s="5">
        <f>SUMPRODUCT('Fuel Price Data'!N33:N37,'BAU Fuel Use by Sector'!$AR$3:$AR$7)/SUM('BAU Fuel Use by Sector'!$AR$3:$AR$7)</f>
        <v>3.8317893838245514E-6</v>
      </c>
      <c r="O9" s="5">
        <f>SUMPRODUCT('Fuel Price Data'!O33:O37,'BAU Fuel Use by Sector'!$AR$3:$AR$7)/SUM('BAU Fuel Use by Sector'!$AR$3:$AR$7)</f>
        <v>3.8317893838245514E-6</v>
      </c>
      <c r="P9" s="5">
        <f>SUMPRODUCT('Fuel Price Data'!P33:P37,'BAU Fuel Use by Sector'!$AR$3:$AR$7)/SUM('BAU Fuel Use by Sector'!$AR$3:$AR$7)</f>
        <v>3.8317893838245514E-6</v>
      </c>
      <c r="Q9" s="5">
        <f>SUMPRODUCT('Fuel Price Data'!Q33:Q37,'BAU Fuel Use by Sector'!$AR$3:$AR$7)/SUM('BAU Fuel Use by Sector'!$AR$3:$AR$7)</f>
        <v>3.8317893838245514E-6</v>
      </c>
      <c r="R9" s="5">
        <f>SUMPRODUCT('Fuel Price Data'!R33:R37,'BAU Fuel Use by Sector'!$AR$3:$AR$7)/SUM('BAU Fuel Use by Sector'!$AR$3:$AR$7)</f>
        <v>3.8317893838245514E-6</v>
      </c>
      <c r="S9" s="5">
        <f>SUMPRODUCT('Fuel Price Data'!S33:S37,'BAU Fuel Use by Sector'!$AR$3:$AR$7)/SUM('BAU Fuel Use by Sector'!$AR$3:$AR$7)</f>
        <v>3.8317893838245514E-6</v>
      </c>
      <c r="T9" s="5">
        <f>SUMPRODUCT('Fuel Price Data'!T33:T37,'BAU Fuel Use by Sector'!$AR$3:$AR$7)/SUM('BAU Fuel Use by Sector'!$AR$3:$AR$7)</f>
        <v>3.8317893838245514E-6</v>
      </c>
      <c r="U9" s="5">
        <f>SUMPRODUCT('Fuel Price Data'!U33:U37,'BAU Fuel Use by Sector'!$AR$3:$AR$7)/SUM('BAU Fuel Use by Sector'!$AR$3:$AR$7)</f>
        <v>3.8317893838245514E-6</v>
      </c>
      <c r="V9" s="5">
        <f>SUMPRODUCT('Fuel Price Data'!V33:V37,'BAU Fuel Use by Sector'!$AR$3:$AR$7)/SUM('BAU Fuel Use by Sector'!$AR$3:$AR$7)</f>
        <v>3.8317893838245514E-6</v>
      </c>
      <c r="W9" s="5">
        <f>SUMPRODUCT('Fuel Price Data'!W33:W37,'BAU Fuel Use by Sector'!$AR$3:$AR$7)/SUM('BAU Fuel Use by Sector'!$AR$3:$AR$7)</f>
        <v>3.8317893838245514E-6</v>
      </c>
      <c r="X9" s="5">
        <f>SUMPRODUCT('Fuel Price Data'!X33:X37,'BAU Fuel Use by Sector'!$AR$3:$AR$7)/SUM('BAU Fuel Use by Sector'!$AR$3:$AR$7)</f>
        <v>3.8317893838245514E-6</v>
      </c>
      <c r="Y9" s="5">
        <f>SUMPRODUCT('Fuel Price Data'!Y33:Y37,'BAU Fuel Use by Sector'!$AR$3:$AR$7)/SUM('BAU Fuel Use by Sector'!$AR$3:$AR$7)</f>
        <v>3.8317893838245514E-6</v>
      </c>
      <c r="Z9" s="5">
        <f>SUMPRODUCT('Fuel Price Data'!Z33:Z37,'BAU Fuel Use by Sector'!$AR$3:$AR$7)/SUM('BAU Fuel Use by Sector'!$AR$3:$AR$7)</f>
        <v>3.8317893838245514E-6</v>
      </c>
      <c r="AA9" s="5">
        <f>SUMPRODUCT('Fuel Price Data'!AA33:AA37,'BAU Fuel Use by Sector'!$AR$3:$AR$7)/SUM('BAU Fuel Use by Sector'!$AR$3:$AR$7)</f>
        <v>3.8317893838245514E-6</v>
      </c>
      <c r="AB9" s="5">
        <f>SUMPRODUCT('Fuel Price Data'!AB33:AB37,'BAU Fuel Use by Sector'!$AR$3:$AR$7)/SUM('BAU Fuel Use by Sector'!$AR$3:$AR$7)</f>
        <v>3.8317893838245514E-6</v>
      </c>
      <c r="AC9" s="5">
        <f>SUMPRODUCT('Fuel Price Data'!AC33:AC37,'BAU Fuel Use by Sector'!$AR$3:$AR$7)/SUM('BAU Fuel Use by Sector'!$AR$3:$AR$7)</f>
        <v>3.8317893838245514E-6</v>
      </c>
      <c r="AD9" s="5">
        <f>SUMPRODUCT('Fuel Price Data'!AD33:AD37,'BAU Fuel Use by Sector'!$AR$3:$AR$7)/SUM('BAU Fuel Use by Sector'!$AR$3:$AR$7)</f>
        <v>3.8317893838245514E-6</v>
      </c>
      <c r="AE9" s="5">
        <f>SUMPRODUCT('Fuel Price Data'!AE33:AE37,'BAU Fuel Use by Sector'!$AR$3:$AR$7)/SUM('BAU Fuel Use by Sector'!$AR$3:$AR$7)</f>
        <v>3.8317893838245514E-6</v>
      </c>
      <c r="AF9" s="5">
        <f>SUMPRODUCT('Fuel Price Data'!AF33:AF37,'BAU Fuel Use by Sector'!$AR$3:$AR$7)/SUM('BAU Fuel Use by Sector'!$AR$3:$AR$7)</f>
        <v>3.8317893838245514E-6</v>
      </c>
      <c r="AG9" s="5"/>
      <c r="AH9" s="5"/>
      <c r="AI9" s="5"/>
    </row>
    <row r="10" spans="1:35" x14ac:dyDescent="0.25">
      <c r="A10" t="s">
        <v>6</v>
      </c>
      <c r="B10" s="5">
        <f>SUMPRODUCT('Fuel Price Data'!B43:B47,'BAU Fuel Use by Sector'!$AS$3:$AS$7)/SUM('BAU Fuel Use by Sector'!$AS$3:$AS$7)</f>
        <v>1.6094861360251106E-5</v>
      </c>
      <c r="C10" s="5">
        <f>SUMPRODUCT('Fuel Price Data'!C43:C47,'BAU Fuel Use by Sector'!$AS$3:$AS$7)/SUM('BAU Fuel Use by Sector'!$AS$3:$AS$7)</f>
        <v>2.227982536027916E-5</v>
      </c>
      <c r="D10" s="5">
        <f>SUMPRODUCT('Fuel Price Data'!D43:D47,'BAU Fuel Use by Sector'!$AS$3:$AS$7)/SUM('BAU Fuel Use by Sector'!$AS$3:$AS$7)</f>
        <v>2.7679807958294331E-5</v>
      </c>
      <c r="E10" s="5">
        <f>SUMPRODUCT('Fuel Price Data'!E43:E47,'BAU Fuel Use by Sector'!$AS$3:$AS$7)/SUM('BAU Fuel Use by Sector'!$AS$3:$AS$7)</f>
        <v>2.5766523333354168E-5</v>
      </c>
      <c r="F10" s="5">
        <f>SUMPRODUCT('Fuel Price Data'!F43:F47,'BAU Fuel Use by Sector'!$AS$3:$AS$7)/SUM('BAU Fuel Use by Sector'!$AS$3:$AS$7)</f>
        <v>2.4432968376218707E-5</v>
      </c>
      <c r="G10" s="5">
        <f>SUMPRODUCT('Fuel Price Data'!G43:G47,'BAU Fuel Use by Sector'!$AS$3:$AS$7)/SUM('BAU Fuel Use by Sector'!$AS$3:$AS$7)</f>
        <v>2.3099413419083242E-5</v>
      </c>
      <c r="H10" s="5">
        <f>SUMPRODUCT('Fuel Price Data'!H43:H47,'BAU Fuel Use by Sector'!$AS$3:$AS$7)/SUM('BAU Fuel Use by Sector'!$AS$3:$AS$7)</f>
        <v>2.1765858461947784E-5</v>
      </c>
      <c r="I10" s="5">
        <f>SUMPRODUCT('Fuel Price Data'!I43:I47,'BAU Fuel Use by Sector'!$AS$3:$AS$7)/SUM('BAU Fuel Use by Sector'!$AS$3:$AS$7)</f>
        <v>2.0432303504812323E-5</v>
      </c>
      <c r="J10" s="5">
        <f>SUMPRODUCT('Fuel Price Data'!J43:J47,'BAU Fuel Use by Sector'!$AS$3:$AS$7)/SUM('BAU Fuel Use by Sector'!$AS$3:$AS$7)</f>
        <v>1.9098748547676859E-5</v>
      </c>
      <c r="K10" s="5">
        <f>SUMPRODUCT('Fuel Price Data'!K43:K47,'BAU Fuel Use by Sector'!$AS$3:$AS$7)/SUM('BAU Fuel Use by Sector'!$AS$3:$AS$7)</f>
        <v>1.9242083598066203E-5</v>
      </c>
      <c r="L10" s="5">
        <f>SUMPRODUCT('Fuel Price Data'!L43:L47,'BAU Fuel Use by Sector'!$AS$3:$AS$7)/SUM('BAU Fuel Use by Sector'!$AS$3:$AS$7)</f>
        <v>1.9717594912123109E-5</v>
      </c>
      <c r="M10" s="5">
        <f>SUMPRODUCT('Fuel Price Data'!M43:M47,'BAU Fuel Use by Sector'!$AS$3:$AS$7)/SUM('BAU Fuel Use by Sector'!$AS$3:$AS$7)</f>
        <v>2.0349110167915265E-5</v>
      </c>
      <c r="N10" s="5">
        <f>SUMPRODUCT('Fuel Price Data'!N43:N47,'BAU Fuel Use by Sector'!$AS$3:$AS$7)/SUM('BAU Fuel Use by Sector'!$AS$3:$AS$7)</f>
        <v>2.0555685456626195E-5</v>
      </c>
      <c r="O10" s="5">
        <f>SUMPRODUCT('Fuel Price Data'!O43:O47,'BAU Fuel Use by Sector'!$AS$3:$AS$7)/SUM('BAU Fuel Use by Sector'!$AS$3:$AS$7)</f>
        <v>2.0725959694512304E-5</v>
      </c>
      <c r="P10" s="5">
        <f>SUMPRODUCT('Fuel Price Data'!P43:P47,'BAU Fuel Use by Sector'!$AS$3:$AS$7)/SUM('BAU Fuel Use by Sector'!$AS$3:$AS$7)</f>
        <v>2.0886622114352136E-5</v>
      </c>
      <c r="Q10" s="5">
        <f>SUMPRODUCT('Fuel Price Data'!Q43:Q47,'BAU Fuel Use by Sector'!$AS$3:$AS$7)/SUM('BAU Fuel Use by Sector'!$AS$3:$AS$7)</f>
        <v>2.0965239228017855E-5</v>
      </c>
      <c r="R10" s="5">
        <f>SUMPRODUCT('Fuel Price Data'!R43:R47,'BAU Fuel Use by Sector'!$AS$3:$AS$7)/SUM('BAU Fuel Use by Sector'!$AS$3:$AS$7)</f>
        <v>2.111427748250359E-5</v>
      </c>
      <c r="S10" s="5">
        <f>SUMPRODUCT('Fuel Price Data'!S43:S47,'BAU Fuel Use by Sector'!$AS$3:$AS$7)/SUM('BAU Fuel Use by Sector'!$AS$3:$AS$7)</f>
        <v>2.1246611983378236E-5</v>
      </c>
      <c r="T10" s="5">
        <f>SUMPRODUCT('Fuel Price Data'!T43:T47,'BAU Fuel Use by Sector'!$AS$3:$AS$7)/SUM('BAU Fuel Use by Sector'!$AS$3:$AS$7)</f>
        <v>2.1479640107015535E-5</v>
      </c>
      <c r="U10" s="5">
        <f>SUMPRODUCT('Fuel Price Data'!U43:U47,'BAU Fuel Use by Sector'!$AS$3:$AS$7)/SUM('BAU Fuel Use by Sector'!$AS$3:$AS$7)</f>
        <v>2.1491016012259652E-5</v>
      </c>
      <c r="V10" s="5">
        <f>SUMPRODUCT('Fuel Price Data'!V43:V47,'BAU Fuel Use by Sector'!$AS$3:$AS$7)/SUM('BAU Fuel Use by Sector'!$AS$3:$AS$7)</f>
        <v>2.1659783743403327E-5</v>
      </c>
      <c r="W10" s="5">
        <f>SUMPRODUCT('Fuel Price Data'!W43:W47,'BAU Fuel Use by Sector'!$AS$3:$AS$7)/SUM('BAU Fuel Use by Sector'!$AS$3:$AS$7)</f>
        <v>2.1797003799889282E-5</v>
      </c>
      <c r="X10" s="5">
        <f>SUMPRODUCT('Fuel Price Data'!X43:X47,'BAU Fuel Use by Sector'!$AS$3:$AS$7)/SUM('BAU Fuel Use by Sector'!$AS$3:$AS$7)</f>
        <v>2.183173225424954E-5</v>
      </c>
      <c r="Y10" s="5">
        <f>SUMPRODUCT('Fuel Price Data'!Y43:Y47,'BAU Fuel Use by Sector'!$AS$3:$AS$7)/SUM('BAU Fuel Use by Sector'!$AS$3:$AS$7)</f>
        <v>2.2048387920190422E-5</v>
      </c>
      <c r="Z10" s="5">
        <f>SUMPRODUCT('Fuel Price Data'!Z43:Z47,'BAU Fuel Use by Sector'!$AS$3:$AS$7)/SUM('BAU Fuel Use by Sector'!$AS$3:$AS$7)</f>
        <v>2.2256889131187951E-5</v>
      </c>
      <c r="AA10" s="5">
        <f>SUMPRODUCT('Fuel Price Data'!AA43:AA47,'BAU Fuel Use by Sector'!$AS$3:$AS$7)/SUM('BAU Fuel Use by Sector'!$AS$3:$AS$7)</f>
        <v>2.2328227055076205E-5</v>
      </c>
      <c r="AB10" s="5">
        <f>SUMPRODUCT('Fuel Price Data'!AB43:AB47,'BAU Fuel Use by Sector'!$AS$3:$AS$7)/SUM('BAU Fuel Use by Sector'!$AS$3:$AS$7)</f>
        <v>2.2507032798243345E-5</v>
      </c>
      <c r="AC10" s="5">
        <f>SUMPRODUCT('Fuel Price Data'!AC43:AC47,'BAU Fuel Use by Sector'!$AS$3:$AS$7)/SUM('BAU Fuel Use by Sector'!$AS$3:$AS$7)</f>
        <v>2.2576357527519643E-5</v>
      </c>
      <c r="AD10" s="5">
        <f>SUMPRODUCT('Fuel Price Data'!AD43:AD47,'BAU Fuel Use by Sector'!$AS$3:$AS$7)/SUM('BAU Fuel Use by Sector'!$AS$3:$AS$7)</f>
        <v>2.2515685468014907E-5</v>
      </c>
      <c r="AE10" s="5">
        <f>SUMPRODUCT('Fuel Price Data'!AE43:AE47,'BAU Fuel Use by Sector'!$AS$3:$AS$7)/SUM('BAU Fuel Use by Sector'!$AS$3:$AS$7)</f>
        <v>2.2529005936236478E-5</v>
      </c>
      <c r="AF10" s="5">
        <f>SUMPRODUCT('Fuel Price Data'!AF43:AF47,'BAU Fuel Use by Sector'!$AS$3:$AS$7)/SUM('BAU Fuel Use by Sector'!$AS$3:$AS$7)</f>
        <v>2.2524595718241866E-5</v>
      </c>
      <c r="AG10" s="5"/>
      <c r="AH10" s="5"/>
      <c r="AI10" s="5"/>
    </row>
    <row r="11" spans="1:35" x14ac:dyDescent="0.25">
      <c r="A11" t="s">
        <v>7</v>
      </c>
      <c r="B11" s="5">
        <f>SUMPRODUCT('Fuel Price Data'!B53:B57,'BAU Fuel Use by Sector'!$AT$3:$AT$7)/SUM('BAU Fuel Use by Sector'!$AT$3:$AT$7)</f>
        <v>1.5591409486992275E-5</v>
      </c>
      <c r="C11" s="5">
        <f>SUMPRODUCT('Fuel Price Data'!C53:C57,'BAU Fuel Use by Sector'!$AT$3:$AT$7)/SUM('BAU Fuel Use by Sector'!$AT$3:$AT$7)</f>
        <v>1.9619935025452246E-5</v>
      </c>
      <c r="D11" s="5">
        <f>SUMPRODUCT('Fuel Price Data'!D53:D57,'BAU Fuel Use by Sector'!$AT$3:$AT$7)/SUM('BAU Fuel Use by Sector'!$AT$3:$AT$7)</f>
        <v>2.8721086274235462E-5</v>
      </c>
      <c r="E11" s="5">
        <f>SUMPRODUCT('Fuel Price Data'!E53:E57,'BAU Fuel Use by Sector'!$AT$3:$AT$7)/SUM('BAU Fuel Use by Sector'!$AT$3:$AT$7)</f>
        <v>2.451787282617029E-5</v>
      </c>
      <c r="F11" s="5">
        <f>SUMPRODUCT('Fuel Price Data'!F53:F57,'BAU Fuel Use by Sector'!$AT$3:$AT$7)/SUM('BAU Fuel Use by Sector'!$AT$3:$AT$7)</f>
        <v>2.3357168796003505E-5</v>
      </c>
      <c r="G11" s="5">
        <f>SUMPRODUCT('Fuel Price Data'!G53:G57,'BAU Fuel Use by Sector'!$AT$3:$AT$7)/SUM('BAU Fuel Use by Sector'!$AT$3:$AT$7)</f>
        <v>2.2196464765836716E-5</v>
      </c>
      <c r="H11" s="5">
        <f>SUMPRODUCT('Fuel Price Data'!H53:H57,'BAU Fuel Use by Sector'!$AT$3:$AT$7)/SUM('BAU Fuel Use by Sector'!$AT$3:$AT$7)</f>
        <v>2.1035760735669924E-5</v>
      </c>
      <c r="I11" s="5">
        <f>SUMPRODUCT('Fuel Price Data'!I53:I57,'BAU Fuel Use by Sector'!$AT$3:$AT$7)/SUM('BAU Fuel Use by Sector'!$AT$3:$AT$7)</f>
        <v>1.9875056705503139E-5</v>
      </c>
      <c r="J11" s="5">
        <f>SUMPRODUCT('Fuel Price Data'!J53:J57,'BAU Fuel Use by Sector'!$AT$3:$AT$7)/SUM('BAU Fuel Use by Sector'!$AT$3:$AT$7)</f>
        <v>1.8714352675336347E-5</v>
      </c>
      <c r="K11" s="5">
        <f>SUMPRODUCT('Fuel Price Data'!K53:K57,'BAU Fuel Use by Sector'!$AT$3:$AT$7)/SUM('BAU Fuel Use by Sector'!$AT$3:$AT$7)</f>
        <v>1.882438511127454E-5</v>
      </c>
      <c r="L11" s="5">
        <f>SUMPRODUCT('Fuel Price Data'!L53:L57,'BAU Fuel Use by Sector'!$AT$3:$AT$7)/SUM('BAU Fuel Use by Sector'!$AT$3:$AT$7)</f>
        <v>1.8795177302666176E-5</v>
      </c>
      <c r="M11" s="5">
        <f>SUMPRODUCT('Fuel Price Data'!M53:M57,'BAU Fuel Use by Sector'!$AT$3:$AT$7)/SUM('BAU Fuel Use by Sector'!$AT$3:$AT$7)</f>
        <v>1.922543062003265E-5</v>
      </c>
      <c r="N11" s="5">
        <f>SUMPRODUCT('Fuel Price Data'!N53:N57,'BAU Fuel Use by Sector'!$AT$3:$AT$7)/SUM('BAU Fuel Use by Sector'!$AT$3:$AT$7)</f>
        <v>1.9311272299543494E-5</v>
      </c>
      <c r="O11" s="5">
        <f>SUMPRODUCT('Fuel Price Data'!O53:O57,'BAU Fuel Use by Sector'!$AT$3:$AT$7)/SUM('BAU Fuel Use by Sector'!$AT$3:$AT$7)</f>
        <v>1.9407338365656226E-5</v>
      </c>
      <c r="P11" s="5">
        <f>SUMPRODUCT('Fuel Price Data'!P53:P57,'BAU Fuel Use by Sector'!$AT$3:$AT$7)/SUM('BAU Fuel Use by Sector'!$AT$3:$AT$7)</f>
        <v>1.9444803591988784E-5</v>
      </c>
      <c r="Q11" s="5">
        <f>SUMPRODUCT('Fuel Price Data'!Q53:Q57,'BAU Fuel Use by Sector'!$AT$3:$AT$7)/SUM('BAU Fuel Use by Sector'!$AT$3:$AT$7)</f>
        <v>1.9527995231079695E-5</v>
      </c>
      <c r="R11" s="5">
        <f>SUMPRODUCT('Fuel Price Data'!R53:R57,'BAU Fuel Use by Sector'!$AT$3:$AT$7)/SUM('BAU Fuel Use by Sector'!$AT$3:$AT$7)</f>
        <v>1.9680581030430852E-5</v>
      </c>
      <c r="S11" s="5">
        <f>SUMPRODUCT('Fuel Price Data'!S53:S57,'BAU Fuel Use by Sector'!$AT$3:$AT$7)/SUM('BAU Fuel Use by Sector'!$AT$3:$AT$7)</f>
        <v>1.9857475827415148E-5</v>
      </c>
      <c r="T11" s="5">
        <f>SUMPRODUCT('Fuel Price Data'!T53:T57,'BAU Fuel Use by Sector'!$AT$3:$AT$7)/SUM('BAU Fuel Use by Sector'!$AT$3:$AT$7)</f>
        <v>1.9970946299004119E-5</v>
      </c>
      <c r="U11" s="5">
        <f>SUMPRODUCT('Fuel Price Data'!U53:U57,'BAU Fuel Use by Sector'!$AT$3:$AT$7)/SUM('BAU Fuel Use by Sector'!$AT$3:$AT$7)</f>
        <v>2.0040620584052352E-5</v>
      </c>
      <c r="V11" s="5">
        <f>SUMPRODUCT('Fuel Price Data'!V53:V57,'BAU Fuel Use by Sector'!$AT$3:$AT$7)/SUM('BAU Fuel Use by Sector'!$AT$3:$AT$7)</f>
        <v>2.021461725359595E-5</v>
      </c>
      <c r="W11" s="5">
        <f>SUMPRODUCT('Fuel Price Data'!W53:W57,'BAU Fuel Use by Sector'!$AT$3:$AT$7)/SUM('BAU Fuel Use by Sector'!$AT$3:$AT$7)</f>
        <v>2.0309946954771875E-5</v>
      </c>
      <c r="X11" s="5">
        <f>SUMPRODUCT('Fuel Price Data'!X53:X57,'BAU Fuel Use by Sector'!$AT$3:$AT$7)/SUM('BAU Fuel Use by Sector'!$AT$3:$AT$7)</f>
        <v>2.0322299759788626E-5</v>
      </c>
      <c r="Y11" s="5">
        <f>SUMPRODUCT('Fuel Price Data'!Y53:Y57,'BAU Fuel Use by Sector'!$AT$3:$AT$7)/SUM('BAU Fuel Use by Sector'!$AT$3:$AT$7)</f>
        <v>2.0540227368406539E-5</v>
      </c>
      <c r="Z11" s="5">
        <f>SUMPRODUCT('Fuel Price Data'!Z53:Z57,'BAU Fuel Use by Sector'!$AT$3:$AT$7)/SUM('BAU Fuel Use by Sector'!$AT$3:$AT$7)</f>
        <v>2.0780113973790384E-5</v>
      </c>
      <c r="AA11" s="5">
        <f>SUMPRODUCT('Fuel Price Data'!AA53:AA57,'BAU Fuel Use by Sector'!$AT$3:$AT$7)/SUM('BAU Fuel Use by Sector'!$AT$3:$AT$7)</f>
        <v>2.0868874762694644E-5</v>
      </c>
      <c r="AB11" s="5">
        <f>SUMPRODUCT('Fuel Price Data'!AB53:AB57,'BAU Fuel Use by Sector'!$AT$3:$AT$7)/SUM('BAU Fuel Use by Sector'!$AT$3:$AT$7)</f>
        <v>2.1026144039739007E-5</v>
      </c>
      <c r="AC11" s="5">
        <f>SUMPRODUCT('Fuel Price Data'!AC53:AC57,'BAU Fuel Use by Sector'!$AT$3:$AT$7)/SUM('BAU Fuel Use by Sector'!$AT$3:$AT$7)</f>
        <v>2.107300201883301E-5</v>
      </c>
      <c r="AD11" s="5">
        <f>SUMPRODUCT('Fuel Price Data'!AD53:AD57,'BAU Fuel Use by Sector'!$AT$3:$AT$7)/SUM('BAU Fuel Use by Sector'!$AT$3:$AT$7)</f>
        <v>2.1028712295319908E-5</v>
      </c>
      <c r="AE11" s="5">
        <f>SUMPRODUCT('Fuel Price Data'!AE53:AE57,'BAU Fuel Use by Sector'!$AT$3:$AT$7)/SUM('BAU Fuel Use by Sector'!$AT$3:$AT$7)</f>
        <v>2.1011352632479002E-5</v>
      </c>
      <c r="AF11" s="5">
        <f>SUMPRODUCT('Fuel Price Data'!AF53:AF57,'BAU Fuel Use by Sector'!$AT$3:$AT$7)/SUM('BAU Fuel Use by Sector'!$AT$3:$AT$7)</f>
        <v>2.0957195323023498E-5</v>
      </c>
      <c r="AG11" s="5"/>
      <c r="AH11" s="5"/>
      <c r="AI11" s="5"/>
    </row>
    <row r="12" spans="1:35" x14ac:dyDescent="0.25">
      <c r="A12" t="s">
        <v>8</v>
      </c>
      <c r="B12" s="5">
        <f>SUMPRODUCT('Fuel Price Data'!B63:B67,'BAU Fuel Use by Sector'!$AU$3:$AU$7)/SUM('BAU Fuel Use by Sector'!$AU$3:$AU$7)</f>
        <v>1.8683067927182387E-5</v>
      </c>
      <c r="C12" s="5">
        <f>SUMPRODUCT('Fuel Price Data'!C63:C67,'BAU Fuel Use by Sector'!$AU$3:$AU$7)/SUM('BAU Fuel Use by Sector'!$AU$3:$AU$7)</f>
        <v>2.1771832936111003E-5</v>
      </c>
      <c r="D12" s="5">
        <f>SUMPRODUCT('Fuel Price Data'!D63:D67,'BAU Fuel Use by Sector'!$AU$3:$AU$7)/SUM('BAU Fuel Use by Sector'!$AU$3:$AU$7)</f>
        <v>2.1766218698948214E-5</v>
      </c>
      <c r="E12" s="5">
        <f>SUMPRODUCT('Fuel Price Data'!E63:E67,'BAU Fuel Use by Sector'!$AU$3:$AU$7)/SUM('BAU Fuel Use by Sector'!$AU$3:$AU$7)</f>
        <v>2.1891300276473406E-5</v>
      </c>
      <c r="F12" s="5">
        <f>SUMPRODUCT('Fuel Price Data'!F63:F67,'BAU Fuel Use by Sector'!$AU$3:$AU$7)/SUM('BAU Fuel Use by Sector'!$AU$3:$AU$7)</f>
        <v>2.1701422810244675E-5</v>
      </c>
      <c r="G12" s="5">
        <f>SUMPRODUCT('Fuel Price Data'!G63:G67,'BAU Fuel Use by Sector'!$AU$3:$AU$7)/SUM('BAU Fuel Use by Sector'!$AU$3:$AU$7)</f>
        <v>2.1442532422659328E-5</v>
      </c>
      <c r="H12" s="5">
        <f>SUMPRODUCT('Fuel Price Data'!H63:H67,'BAU Fuel Use by Sector'!$AU$3:$AU$7)/SUM('BAU Fuel Use by Sector'!$AU$3:$AU$7)</f>
        <v>2.1682626215433441E-5</v>
      </c>
      <c r="I12" s="5">
        <f>SUMPRODUCT('Fuel Price Data'!I63:I67,'BAU Fuel Use by Sector'!$AU$3:$AU$7)/SUM('BAU Fuel Use by Sector'!$AU$3:$AU$7)</f>
        <v>2.1961814620747681E-5</v>
      </c>
      <c r="J12" s="5">
        <f>SUMPRODUCT('Fuel Price Data'!J63:J67,'BAU Fuel Use by Sector'!$AU$3:$AU$7)/SUM('BAU Fuel Use by Sector'!$AU$3:$AU$7)</f>
        <v>2.2232382553847283E-5</v>
      </c>
      <c r="K12" s="5">
        <f>SUMPRODUCT('Fuel Price Data'!K63:K67,'BAU Fuel Use by Sector'!$AU$3:$AU$7)/SUM('BAU Fuel Use by Sector'!$AU$3:$AU$7)</f>
        <v>2.2428669875816509E-5</v>
      </c>
      <c r="L12" s="5">
        <f>SUMPRODUCT('Fuel Price Data'!L63:L67,'BAU Fuel Use by Sector'!$AU$3:$AU$7)/SUM('BAU Fuel Use by Sector'!$AU$3:$AU$7)</f>
        <v>2.3013385982617997E-5</v>
      </c>
      <c r="M12" s="5">
        <f>SUMPRODUCT('Fuel Price Data'!M63:M67,'BAU Fuel Use by Sector'!$AU$3:$AU$7)/SUM('BAU Fuel Use by Sector'!$AU$3:$AU$7)</f>
        <v>2.3637559348127092E-5</v>
      </c>
      <c r="N12" s="5">
        <f>SUMPRODUCT('Fuel Price Data'!N63:N67,'BAU Fuel Use by Sector'!$AU$3:$AU$7)/SUM('BAU Fuel Use by Sector'!$AU$3:$AU$7)</f>
        <v>2.3943622545824263E-5</v>
      </c>
      <c r="O12" s="5">
        <f>SUMPRODUCT('Fuel Price Data'!O63:O67,'BAU Fuel Use by Sector'!$AU$3:$AU$7)/SUM('BAU Fuel Use by Sector'!$AU$3:$AU$7)</f>
        <v>2.4084837641281317E-5</v>
      </c>
      <c r="P12" s="5">
        <f>SUMPRODUCT('Fuel Price Data'!P63:P67,'BAU Fuel Use by Sector'!$AU$3:$AU$7)/SUM('BAU Fuel Use by Sector'!$AU$3:$AU$7)</f>
        <v>2.448968463823301E-5</v>
      </c>
      <c r="Q12" s="5">
        <f>SUMPRODUCT('Fuel Price Data'!Q63:Q67,'BAU Fuel Use by Sector'!$AU$3:$AU$7)/SUM('BAU Fuel Use by Sector'!$AU$3:$AU$7)</f>
        <v>2.4635355706107683E-5</v>
      </c>
      <c r="R12" s="5">
        <f>SUMPRODUCT('Fuel Price Data'!R63:R67,'BAU Fuel Use by Sector'!$AU$3:$AU$7)/SUM('BAU Fuel Use by Sector'!$AU$3:$AU$7)</f>
        <v>2.4670563734605298E-5</v>
      </c>
      <c r="S12" s="5">
        <f>SUMPRODUCT('Fuel Price Data'!S63:S67,'BAU Fuel Use by Sector'!$AU$3:$AU$7)/SUM('BAU Fuel Use by Sector'!$AU$3:$AU$7)</f>
        <v>2.4784404128242974E-5</v>
      </c>
      <c r="T12" s="5">
        <f>SUMPRODUCT('Fuel Price Data'!T63:T67,'BAU Fuel Use by Sector'!$AU$3:$AU$7)/SUM('BAU Fuel Use by Sector'!$AU$3:$AU$7)</f>
        <v>2.5103267549426133E-5</v>
      </c>
      <c r="U12" s="5">
        <f>SUMPRODUCT('Fuel Price Data'!U63:U67,'BAU Fuel Use by Sector'!$AU$3:$AU$7)/SUM('BAU Fuel Use by Sector'!$AU$3:$AU$7)</f>
        <v>2.5094315781296816E-5</v>
      </c>
      <c r="V12" s="5">
        <f>SUMPRODUCT('Fuel Price Data'!V63:V67,'BAU Fuel Use by Sector'!$AU$3:$AU$7)/SUM('BAU Fuel Use by Sector'!$AU$3:$AU$7)</f>
        <v>2.5291750353057536E-5</v>
      </c>
      <c r="W12" s="5">
        <f>SUMPRODUCT('Fuel Price Data'!W63:W67,'BAU Fuel Use by Sector'!$AU$3:$AU$7)/SUM('BAU Fuel Use by Sector'!$AU$3:$AU$7)</f>
        <v>2.5473037002716156E-5</v>
      </c>
      <c r="X12" s="5">
        <f>SUMPRODUCT('Fuel Price Data'!X63:X67,'BAU Fuel Use by Sector'!$AU$3:$AU$7)/SUM('BAU Fuel Use by Sector'!$AU$3:$AU$7)</f>
        <v>2.5489487412392507E-5</v>
      </c>
      <c r="Y12" s="5">
        <f>SUMPRODUCT('Fuel Price Data'!Y63:Y67,'BAU Fuel Use by Sector'!$AU$3:$AU$7)/SUM('BAU Fuel Use by Sector'!$AU$3:$AU$7)</f>
        <v>2.5737881396420257E-5</v>
      </c>
      <c r="Z12" s="5">
        <f>SUMPRODUCT('Fuel Price Data'!Z63:Z67,'BAU Fuel Use by Sector'!$AU$3:$AU$7)/SUM('BAU Fuel Use by Sector'!$AU$3:$AU$7)</f>
        <v>2.5988377541993575E-5</v>
      </c>
      <c r="AA12" s="5">
        <f>SUMPRODUCT('Fuel Price Data'!AA63:AA67,'BAU Fuel Use by Sector'!$AU$3:$AU$7)/SUM('BAU Fuel Use by Sector'!$AU$3:$AU$7)</f>
        <v>2.6076020139247887E-5</v>
      </c>
      <c r="AB12" s="5">
        <f>SUMPRODUCT('Fuel Price Data'!AB63:AB67,'BAU Fuel Use by Sector'!$AU$3:$AU$7)/SUM('BAU Fuel Use by Sector'!$AU$3:$AU$7)</f>
        <v>2.6299400010761328E-5</v>
      </c>
      <c r="AC12" s="5">
        <f>SUMPRODUCT('Fuel Price Data'!AC63:AC67,'BAU Fuel Use by Sector'!$AU$3:$AU$7)/SUM('BAU Fuel Use by Sector'!$AU$3:$AU$7)</f>
        <v>2.6389554017455804E-5</v>
      </c>
      <c r="AD12" s="5">
        <f>SUMPRODUCT('Fuel Price Data'!AD63:AD67,'BAU Fuel Use by Sector'!$AU$3:$AU$7)/SUM('BAU Fuel Use by Sector'!$AU$3:$AU$7)</f>
        <v>2.632414044404177E-5</v>
      </c>
      <c r="AE12" s="5">
        <f>SUMPRODUCT('Fuel Price Data'!AE63:AE67,'BAU Fuel Use by Sector'!$AU$3:$AU$7)/SUM('BAU Fuel Use by Sector'!$AU$3:$AU$7)</f>
        <v>2.6349594307399339E-5</v>
      </c>
      <c r="AF12" s="5">
        <f>SUMPRODUCT('Fuel Price Data'!AF63:AF67,'BAU Fuel Use by Sector'!$AU$3:$AU$7)/SUM('BAU Fuel Use by Sector'!$AU$3:$AU$7)</f>
        <v>2.6346966817293421E-5</v>
      </c>
      <c r="AG12" s="5"/>
      <c r="AH12" s="5"/>
      <c r="AI12" s="5"/>
    </row>
    <row r="13" spans="1:35" x14ac:dyDescent="0.25">
      <c r="A13" t="s">
        <v>9</v>
      </c>
      <c r="B13" s="5">
        <f>SUMPRODUCT('Fuel Price Data'!B73:B77,'BAU Fuel Use by Sector'!$AV$3:$AV$7)/SUM('BAU Fuel Use by Sector'!$AV$3:$AV$7)</f>
        <v>1.7893022244031361E-5</v>
      </c>
      <c r="C13" s="5">
        <f>SUMPRODUCT('Fuel Price Data'!C73:C77,'BAU Fuel Use by Sector'!$AV$3:$AV$7)/SUM('BAU Fuel Use by Sector'!$AV$3:$AV$7)</f>
        <v>1.7838467224886931E-5</v>
      </c>
      <c r="D13" s="5">
        <f>SUMPRODUCT('Fuel Price Data'!D73:D77,'BAU Fuel Use by Sector'!$AV$3:$AV$7)/SUM('BAU Fuel Use by Sector'!$AV$3:$AV$7)</f>
        <v>1.8592756624233452E-5</v>
      </c>
      <c r="E13" s="5">
        <f>SUMPRODUCT('Fuel Price Data'!E73:E77,'BAU Fuel Use by Sector'!$AV$3:$AV$7)/SUM('BAU Fuel Use by Sector'!$AV$3:$AV$7)</f>
        <v>2.0132598274999515E-5</v>
      </c>
      <c r="F13" s="5">
        <f>SUMPRODUCT('Fuel Price Data'!F73:F77,'BAU Fuel Use by Sector'!$AV$3:$AV$7)/SUM('BAU Fuel Use by Sector'!$AV$3:$AV$7)</f>
        <v>2.0790355015795156E-5</v>
      </c>
      <c r="G13" s="5">
        <f>SUMPRODUCT('Fuel Price Data'!G73:G77,'BAU Fuel Use by Sector'!$AV$3:$AV$7)/SUM('BAU Fuel Use by Sector'!$AV$3:$AV$7)</f>
        <v>2.1267480317610926E-5</v>
      </c>
      <c r="H13" s="5">
        <f>SUMPRODUCT('Fuel Price Data'!H73:H77,'BAU Fuel Use by Sector'!$AV$3:$AV$7)/SUM('BAU Fuel Use by Sector'!$AV$3:$AV$7)</f>
        <v>2.1682402061765727E-5</v>
      </c>
      <c r="I13" s="5">
        <f>SUMPRODUCT('Fuel Price Data'!I73:I77,'BAU Fuel Use by Sector'!$AV$3:$AV$7)/SUM('BAU Fuel Use by Sector'!$AV$3:$AV$7)</f>
        <v>2.2055863553293128E-5</v>
      </c>
      <c r="J13" s="5">
        <f>SUMPRODUCT('Fuel Price Data'!J73:J77,'BAU Fuel Use by Sector'!$AV$3:$AV$7)/SUM('BAU Fuel Use by Sector'!$AV$3:$AV$7)</f>
        <v>2.2424448918478451E-5</v>
      </c>
      <c r="K13" s="5">
        <f>SUMPRODUCT('Fuel Price Data'!K73:K77,'BAU Fuel Use by Sector'!$AV$3:$AV$7)/SUM('BAU Fuel Use by Sector'!$AV$3:$AV$7)</f>
        <v>2.2643761364500976E-5</v>
      </c>
      <c r="L13" s="5">
        <f>SUMPRODUCT('Fuel Price Data'!L73:L77,'BAU Fuel Use by Sector'!$AV$3:$AV$7)/SUM('BAU Fuel Use by Sector'!$AV$3:$AV$7)</f>
        <v>2.3377231315099294E-5</v>
      </c>
      <c r="M13" s="5">
        <f>SUMPRODUCT('Fuel Price Data'!M73:M77,'BAU Fuel Use by Sector'!$AV$3:$AV$7)/SUM('BAU Fuel Use by Sector'!$AV$3:$AV$7)</f>
        <v>2.3623573803621416E-5</v>
      </c>
      <c r="N13" s="5">
        <f>SUMPRODUCT('Fuel Price Data'!N73:N77,'BAU Fuel Use by Sector'!$AV$3:$AV$7)/SUM('BAU Fuel Use by Sector'!$AV$3:$AV$7)</f>
        <v>2.391132187748864E-5</v>
      </c>
      <c r="O13" s="5">
        <f>SUMPRODUCT('Fuel Price Data'!O73:O77,'BAU Fuel Use by Sector'!$AV$3:$AV$7)/SUM('BAU Fuel Use by Sector'!$AV$3:$AV$7)</f>
        <v>2.4041885895481124E-5</v>
      </c>
      <c r="P13" s="5">
        <f>SUMPRODUCT('Fuel Price Data'!P73:P77,'BAU Fuel Use by Sector'!$AV$3:$AV$7)/SUM('BAU Fuel Use by Sector'!$AV$3:$AV$7)</f>
        <v>2.4140783890193536E-5</v>
      </c>
      <c r="Q13" s="5">
        <f>SUMPRODUCT('Fuel Price Data'!Q73:Q77,'BAU Fuel Use by Sector'!$AV$3:$AV$7)/SUM('BAU Fuel Use by Sector'!$AV$3:$AV$7)</f>
        <v>2.4267696914688657E-5</v>
      </c>
      <c r="R13" s="5">
        <f>SUMPRODUCT('Fuel Price Data'!R73:R77,'BAU Fuel Use by Sector'!$AV$3:$AV$7)/SUM('BAU Fuel Use by Sector'!$AV$3:$AV$7)</f>
        <v>2.4319657190326141E-5</v>
      </c>
      <c r="S13" s="5">
        <f>SUMPRODUCT('Fuel Price Data'!S73:S77,'BAU Fuel Use by Sector'!$AV$3:$AV$7)/SUM('BAU Fuel Use by Sector'!$AV$3:$AV$7)</f>
        <v>2.4577208424125468E-5</v>
      </c>
      <c r="T13" s="5">
        <f>SUMPRODUCT('Fuel Price Data'!T73:T77,'BAU Fuel Use by Sector'!$AV$3:$AV$7)/SUM('BAU Fuel Use by Sector'!$AV$3:$AV$7)</f>
        <v>2.4764312078850662E-5</v>
      </c>
      <c r="U13" s="5">
        <f>SUMPRODUCT('Fuel Price Data'!U73:U77,'BAU Fuel Use by Sector'!$AV$3:$AV$7)/SUM('BAU Fuel Use by Sector'!$AV$3:$AV$7)</f>
        <v>2.4762620321703351E-5</v>
      </c>
      <c r="V13" s="5">
        <f>SUMPRODUCT('Fuel Price Data'!V73:V77,'BAU Fuel Use by Sector'!$AV$3:$AV$7)/SUM('BAU Fuel Use by Sector'!$AV$3:$AV$7)</f>
        <v>2.5138435434974629E-5</v>
      </c>
      <c r="W13" s="5">
        <f>SUMPRODUCT('Fuel Price Data'!W73:W77,'BAU Fuel Use by Sector'!$AV$3:$AV$7)/SUM('BAU Fuel Use by Sector'!$AV$3:$AV$7)</f>
        <v>2.5362116382574875E-5</v>
      </c>
      <c r="X13" s="5">
        <f>SUMPRODUCT('Fuel Price Data'!X73:X77,'BAU Fuel Use by Sector'!$AV$3:$AV$7)/SUM('BAU Fuel Use by Sector'!$AV$3:$AV$7)</f>
        <v>2.5496620349699816E-5</v>
      </c>
      <c r="Y13" s="5">
        <f>SUMPRODUCT('Fuel Price Data'!Y73:Y77,'BAU Fuel Use by Sector'!$AV$3:$AV$7)/SUM('BAU Fuel Use by Sector'!$AV$3:$AV$7)</f>
        <v>2.5735920520818198E-5</v>
      </c>
      <c r="Z13" s="5">
        <f>SUMPRODUCT('Fuel Price Data'!Z73:Z77,'BAU Fuel Use by Sector'!$AV$3:$AV$7)/SUM('BAU Fuel Use by Sector'!$AV$3:$AV$7)</f>
        <v>2.5791717268232321E-5</v>
      </c>
      <c r="AA13" s="5">
        <f>SUMPRODUCT('Fuel Price Data'!AA73:AA77,'BAU Fuel Use by Sector'!$AV$3:$AV$7)/SUM('BAU Fuel Use by Sector'!$AV$3:$AV$7)</f>
        <v>2.5749312052582061E-5</v>
      </c>
      <c r="AB13" s="5">
        <f>SUMPRODUCT('Fuel Price Data'!AB73:AB77,'BAU Fuel Use by Sector'!$AV$3:$AV$7)/SUM('BAU Fuel Use by Sector'!$AV$3:$AV$7)</f>
        <v>2.6045766867359177E-5</v>
      </c>
      <c r="AC13" s="5">
        <f>SUMPRODUCT('Fuel Price Data'!AC73:AC77,'BAU Fuel Use by Sector'!$AV$3:$AV$7)/SUM('BAU Fuel Use by Sector'!$AV$3:$AV$7)</f>
        <v>2.615305433750376E-5</v>
      </c>
      <c r="AD13" s="5">
        <f>SUMPRODUCT('Fuel Price Data'!AD73:AD77,'BAU Fuel Use by Sector'!$AV$3:$AV$7)/SUM('BAU Fuel Use by Sector'!$AV$3:$AV$7)</f>
        <v>2.6165674670106414E-5</v>
      </c>
      <c r="AE13" s="5">
        <f>SUMPRODUCT('Fuel Price Data'!AE73:AE77,'BAU Fuel Use by Sector'!$AV$3:$AV$7)/SUM('BAU Fuel Use by Sector'!$AV$3:$AV$7)</f>
        <v>2.628560004448011E-5</v>
      </c>
      <c r="AF13" s="5">
        <f>SUMPRODUCT('Fuel Price Data'!AF73:AF77,'BAU Fuel Use by Sector'!$AV$3:$AV$7)/SUM('BAU Fuel Use by Sector'!$AV$3:$AV$7)</f>
        <v>2.625935584416377E-5</v>
      </c>
      <c r="AG13" s="5"/>
      <c r="AH13" s="5"/>
      <c r="AI13" s="5"/>
    </row>
    <row r="14" spans="1:35" x14ac:dyDescent="0.25">
      <c r="A14" t="s">
        <v>10</v>
      </c>
      <c r="B14" s="5">
        <f>SUMPRODUCT('Fuel Price Data'!B83:B87,'BAU Fuel Use by Sector'!$AW$3:$AW$7)/SUM('BAU Fuel Use by Sector'!$AW$3:$AW$7)</f>
        <v>8.2402408832182343E-6</v>
      </c>
      <c r="C14" s="5">
        <f>SUMPRODUCT('Fuel Price Data'!C83:C87,'BAU Fuel Use by Sector'!$AW$3:$AW$7)/SUM('BAU Fuel Use by Sector'!$AW$3:$AW$7)</f>
        <v>1.2255974215131284E-5</v>
      </c>
      <c r="D14" s="5">
        <f>SUMPRODUCT('Fuel Price Data'!D83:D87,'BAU Fuel Use by Sector'!$AW$3:$AW$7)/SUM('BAU Fuel Use by Sector'!$AW$3:$AW$7)</f>
        <v>2.2066075345013406E-5</v>
      </c>
      <c r="E14" s="5">
        <f>SUMPRODUCT('Fuel Price Data'!E83:E87,'BAU Fuel Use by Sector'!$AW$3:$AW$7)/SUM('BAU Fuel Use by Sector'!$AW$3:$AW$7)</f>
        <v>1.7657019153600988E-5</v>
      </c>
      <c r="F14" s="5">
        <f>SUMPRODUCT('Fuel Price Data'!F83:F87,'BAU Fuel Use by Sector'!$AW$3:$AW$7)/SUM('BAU Fuel Use by Sector'!$AW$3:$AW$7)</f>
        <v>1.6884785810883153E-5</v>
      </c>
      <c r="G14" s="5">
        <f>SUMPRODUCT('Fuel Price Data'!G83:G87,'BAU Fuel Use by Sector'!$AW$3:$AW$7)/SUM('BAU Fuel Use by Sector'!$AW$3:$AW$7)</f>
        <v>1.6112552468165316E-5</v>
      </c>
      <c r="H14" s="5">
        <f>SUMPRODUCT('Fuel Price Data'!H83:H87,'BAU Fuel Use by Sector'!$AW$3:$AW$7)/SUM('BAU Fuel Use by Sector'!$AW$3:$AW$7)</f>
        <v>1.5340319125447478E-5</v>
      </c>
      <c r="I14" s="5">
        <f>SUMPRODUCT('Fuel Price Data'!I83:I87,'BAU Fuel Use by Sector'!$AW$3:$AW$7)/SUM('BAU Fuel Use by Sector'!$AW$3:$AW$7)</f>
        <v>1.4568085782729642E-5</v>
      </c>
      <c r="J14" s="5">
        <f>SUMPRODUCT('Fuel Price Data'!J83:J87,'BAU Fuel Use by Sector'!$AW$3:$AW$7)/SUM('BAU Fuel Use by Sector'!$AW$3:$AW$7)</f>
        <v>1.3795852440011805E-5</v>
      </c>
      <c r="K14" s="5">
        <f>SUMPRODUCT('Fuel Price Data'!K83:K87,'BAU Fuel Use by Sector'!$AW$3:$AW$7)/SUM('BAU Fuel Use by Sector'!$AW$3:$AW$7)</f>
        <v>1.3939162071277261E-5</v>
      </c>
      <c r="L14" s="5">
        <f>SUMPRODUCT('Fuel Price Data'!L83:L87,'BAU Fuel Use by Sector'!$AW$3:$AW$7)/SUM('BAU Fuel Use by Sector'!$AW$3:$AW$7)</f>
        <v>1.3890819134162453E-5</v>
      </c>
      <c r="M14" s="5">
        <f>SUMPRODUCT('Fuel Price Data'!M83:M87,'BAU Fuel Use by Sector'!$AW$3:$AW$7)/SUM('BAU Fuel Use by Sector'!$AW$3:$AW$7)</f>
        <v>1.4302081070679405E-5</v>
      </c>
      <c r="N14" s="5">
        <f>SUMPRODUCT('Fuel Price Data'!N83:N87,'BAU Fuel Use by Sector'!$AW$3:$AW$7)/SUM('BAU Fuel Use by Sector'!$AW$3:$AW$7)</f>
        <v>1.4458083317806396E-5</v>
      </c>
      <c r="O14" s="5">
        <f>SUMPRODUCT('Fuel Price Data'!O83:O87,'BAU Fuel Use by Sector'!$AW$3:$AW$7)/SUM('BAU Fuel Use by Sector'!$AW$3:$AW$7)</f>
        <v>1.4552284896328007E-5</v>
      </c>
      <c r="P14" s="5">
        <f>SUMPRODUCT('Fuel Price Data'!P83:P87,'BAU Fuel Use by Sector'!$AW$3:$AW$7)/SUM('BAU Fuel Use by Sector'!$AW$3:$AW$7)</f>
        <v>1.4695461500845112E-5</v>
      </c>
      <c r="Q14" s="5">
        <f>SUMPRODUCT('Fuel Price Data'!Q83:Q87,'BAU Fuel Use by Sector'!$AW$3:$AW$7)/SUM('BAU Fuel Use by Sector'!$AW$3:$AW$7)</f>
        <v>1.4790573084001917E-5</v>
      </c>
      <c r="R14" s="5">
        <f>SUMPRODUCT('Fuel Price Data'!R83:R87,'BAU Fuel Use by Sector'!$AW$3:$AW$7)/SUM('BAU Fuel Use by Sector'!$AW$3:$AW$7)</f>
        <v>1.4957511485529762E-5</v>
      </c>
      <c r="S14" s="5">
        <f>SUMPRODUCT('Fuel Price Data'!S83:S87,'BAU Fuel Use by Sector'!$AW$3:$AW$7)/SUM('BAU Fuel Use by Sector'!$AW$3:$AW$7)</f>
        <v>1.5175163581127059E-5</v>
      </c>
      <c r="T14" s="5">
        <f>SUMPRODUCT('Fuel Price Data'!T83:T87,'BAU Fuel Use by Sector'!$AW$3:$AW$7)/SUM('BAU Fuel Use by Sector'!$AW$3:$AW$7)</f>
        <v>1.5327129271380592E-5</v>
      </c>
      <c r="U14" s="5">
        <f>SUMPRODUCT('Fuel Price Data'!U83:U87,'BAU Fuel Use by Sector'!$AW$3:$AW$7)/SUM('BAU Fuel Use by Sector'!$AW$3:$AW$7)</f>
        <v>1.5415203146436875E-5</v>
      </c>
      <c r="V14" s="5">
        <f>SUMPRODUCT('Fuel Price Data'!V83:V87,'BAU Fuel Use by Sector'!$AW$3:$AW$7)/SUM('BAU Fuel Use by Sector'!$AW$3:$AW$7)</f>
        <v>1.5573919308690995E-5</v>
      </c>
      <c r="W14" s="5">
        <f>SUMPRODUCT('Fuel Price Data'!W83:W87,'BAU Fuel Use by Sector'!$AW$3:$AW$7)/SUM('BAU Fuel Use by Sector'!$AW$3:$AW$7)</f>
        <v>1.5694389009838725E-5</v>
      </c>
      <c r="X14" s="5">
        <f>SUMPRODUCT('Fuel Price Data'!X83:X87,'BAU Fuel Use by Sector'!$AW$3:$AW$7)/SUM('BAU Fuel Use by Sector'!$AW$3:$AW$7)</f>
        <v>1.5729087808554452E-5</v>
      </c>
      <c r="Y14" s="5">
        <f>SUMPRODUCT('Fuel Price Data'!Y83:Y87,'BAU Fuel Use by Sector'!$AW$3:$AW$7)/SUM('BAU Fuel Use by Sector'!$AW$3:$AW$7)</f>
        <v>1.5976199821434106E-5</v>
      </c>
      <c r="Z14" s="5">
        <f>SUMPRODUCT('Fuel Price Data'!Z83:Z87,'BAU Fuel Use by Sector'!$AW$3:$AW$7)/SUM('BAU Fuel Use by Sector'!$AW$3:$AW$7)</f>
        <v>1.6239930857511899E-5</v>
      </c>
      <c r="AA14" s="5">
        <f>SUMPRODUCT('Fuel Price Data'!AA83:AA87,'BAU Fuel Use by Sector'!$AW$3:$AW$7)/SUM('BAU Fuel Use by Sector'!$AW$3:$AW$7)</f>
        <v>1.6332129409071114E-5</v>
      </c>
      <c r="AB14" s="5">
        <f>SUMPRODUCT('Fuel Price Data'!AB83:AB87,'BAU Fuel Use by Sector'!$AW$3:$AW$7)/SUM('BAU Fuel Use by Sector'!$AW$3:$AW$7)</f>
        <v>1.6509579465630875E-5</v>
      </c>
      <c r="AC14" s="5">
        <f>SUMPRODUCT('Fuel Price Data'!AC83:AC87,'BAU Fuel Use by Sector'!$AW$3:$AW$7)/SUM('BAU Fuel Use by Sector'!$AW$3:$AW$7)</f>
        <v>1.6587051871417496E-5</v>
      </c>
      <c r="AD14" s="5">
        <f>SUMPRODUCT('Fuel Price Data'!AD83:AD87,'BAU Fuel Use by Sector'!$AW$3:$AW$7)/SUM('BAU Fuel Use by Sector'!$AW$3:$AW$7)</f>
        <v>1.6563312951618257E-5</v>
      </c>
      <c r="AE14" s="5">
        <f>SUMPRODUCT('Fuel Price Data'!AE83:AE87,'BAU Fuel Use by Sector'!$AW$3:$AW$7)/SUM('BAU Fuel Use by Sector'!$AW$3:$AW$7)</f>
        <v>1.659851504898697E-5</v>
      </c>
      <c r="AF14" s="5">
        <f>SUMPRODUCT('Fuel Price Data'!AF83:AF87,'BAU Fuel Use by Sector'!$AW$3:$AW$7)/SUM('BAU Fuel Use by Sector'!$AW$3:$AW$7)</f>
        <v>1.6549241771937848E-5</v>
      </c>
      <c r="AG14" s="5"/>
      <c r="AH14" s="5"/>
      <c r="AI14" s="5"/>
    </row>
    <row r="15" spans="1:35" x14ac:dyDescent="0.25">
      <c r="A15" t="s">
        <v>20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/>
      <c r="AH15" s="4"/>
      <c r="AI15" s="4"/>
    </row>
    <row r="16" spans="1:35" x14ac:dyDescent="0.25">
      <c r="A16" t="s">
        <v>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/>
      <c r="AH16" s="4"/>
      <c r="AI16" s="4"/>
    </row>
    <row r="17" spans="1:35" x14ac:dyDescent="0.25">
      <c r="A17" s="3" t="s">
        <v>11</v>
      </c>
      <c r="B17" s="12">
        <f>SUMPRODUCT('Fuel Price Data'!B93:B97,'BAU Fuel Use by Sector'!$AZ$3:$AZ$7)/SUM('BAU Fuel Use by Sector'!$AZ$3:$AZ$7)</f>
        <v>1.6033945228538147E-6</v>
      </c>
      <c r="C17" s="12">
        <f>SUMPRODUCT('Fuel Price Data'!C93:C97,'BAU Fuel Use by Sector'!$AZ$3:$AZ$7)/SUM('BAU Fuel Use by Sector'!$AZ$3:$AZ$7)</f>
        <v>1.6047709638441597E-6</v>
      </c>
      <c r="D17" s="12">
        <f>SUMPRODUCT('Fuel Price Data'!D93:D97,'BAU Fuel Use by Sector'!$AZ$3:$AZ$7)/SUM('BAU Fuel Use by Sector'!$AZ$3:$AZ$7)</f>
        <v>1.5830184176916275E-6</v>
      </c>
      <c r="E17" s="12">
        <f>SUMPRODUCT('Fuel Price Data'!E93:E97,'BAU Fuel Use by Sector'!$AZ$3:$AZ$7)/SUM('BAU Fuel Use by Sector'!$AZ$3:$AZ$7)</f>
        <v>1.5696186745298908E-6</v>
      </c>
      <c r="F17" s="12">
        <f>SUMPRODUCT('Fuel Price Data'!F93:F97,'BAU Fuel Use by Sector'!$AZ$3:$AZ$7)/SUM('BAU Fuel Use by Sector'!$AZ$3:$AZ$7)</f>
        <v>1.56891740726348E-6</v>
      </c>
      <c r="G17" s="12">
        <f>SUMPRODUCT('Fuel Price Data'!G93:G97,'BAU Fuel Use by Sector'!$AZ$3:$AZ$7)/SUM('BAU Fuel Use by Sector'!$AZ$3:$AZ$7)</f>
        <v>1.5302580015645813E-6</v>
      </c>
      <c r="H17" s="12">
        <f>SUMPRODUCT('Fuel Price Data'!H93:H97,'BAU Fuel Use by Sector'!$AZ$3:$AZ$7)/SUM('BAU Fuel Use by Sector'!$AZ$3:$AZ$7)</f>
        <v>1.5049679169769298E-6</v>
      </c>
      <c r="I17" s="12">
        <f>SUMPRODUCT('Fuel Price Data'!I93:I97,'BAU Fuel Use by Sector'!$AZ$3:$AZ$7)/SUM('BAU Fuel Use by Sector'!$AZ$3:$AZ$7)</f>
        <v>1.5038618024232364E-6</v>
      </c>
      <c r="J17" s="12">
        <f>SUMPRODUCT('Fuel Price Data'!J93:J97,'BAU Fuel Use by Sector'!$AZ$3:$AZ$7)/SUM('BAU Fuel Use by Sector'!$AZ$3:$AZ$7)</f>
        <v>1.4959107265094171E-6</v>
      </c>
      <c r="K17" s="12">
        <f>SUMPRODUCT('Fuel Price Data'!K93:K97,'BAU Fuel Use by Sector'!$AZ$3:$AZ$7)/SUM('BAU Fuel Use by Sector'!$AZ$3:$AZ$7)</f>
        <v>1.5015434861654255E-6</v>
      </c>
      <c r="L17" s="12">
        <f>SUMPRODUCT('Fuel Price Data'!L93:L97,'BAU Fuel Use by Sector'!$AZ$3:$AZ$7)/SUM('BAU Fuel Use by Sector'!$AZ$3:$AZ$7)</f>
        <v>1.4992961546920895E-6</v>
      </c>
      <c r="M17" s="12">
        <f>SUMPRODUCT('Fuel Price Data'!M93:M97,'BAU Fuel Use by Sector'!$AZ$3:$AZ$7)/SUM('BAU Fuel Use by Sector'!$AZ$3:$AZ$7)</f>
        <v>1.4983249892341574E-6</v>
      </c>
      <c r="N17" s="12">
        <f>SUMPRODUCT('Fuel Price Data'!N93:N97,'BAU Fuel Use by Sector'!$AZ$3:$AZ$7)/SUM('BAU Fuel Use by Sector'!$AZ$3:$AZ$7)</f>
        <v>1.4896141421106784E-6</v>
      </c>
      <c r="O17" s="12">
        <f>SUMPRODUCT('Fuel Price Data'!O93:O97,'BAU Fuel Use by Sector'!$AZ$3:$AZ$7)/SUM('BAU Fuel Use by Sector'!$AZ$3:$AZ$7)</f>
        <v>1.4868777176717817E-6</v>
      </c>
      <c r="P17" s="12">
        <f>SUMPRODUCT('Fuel Price Data'!P93:P97,'BAU Fuel Use by Sector'!$AZ$3:$AZ$7)/SUM('BAU Fuel Use by Sector'!$AZ$3:$AZ$7)</f>
        <v>1.4814852142093824E-6</v>
      </c>
      <c r="Q17" s="12">
        <f>SUMPRODUCT('Fuel Price Data'!Q93:Q97,'BAU Fuel Use by Sector'!$AZ$3:$AZ$7)/SUM('BAU Fuel Use by Sector'!$AZ$3:$AZ$7)</f>
        <v>1.470845297063842E-6</v>
      </c>
      <c r="R17" s="12">
        <f>SUMPRODUCT('Fuel Price Data'!R93:R97,'BAU Fuel Use by Sector'!$AZ$3:$AZ$7)/SUM('BAU Fuel Use by Sector'!$AZ$3:$AZ$7)</f>
        <v>1.4589650963214244E-6</v>
      </c>
      <c r="S17" s="12">
        <f>SUMPRODUCT('Fuel Price Data'!S93:S97,'BAU Fuel Use by Sector'!$AZ$3:$AZ$7)/SUM('BAU Fuel Use by Sector'!$AZ$3:$AZ$7)</f>
        <v>1.456481408917363E-6</v>
      </c>
      <c r="T17" s="12">
        <f>SUMPRODUCT('Fuel Price Data'!T93:T97,'BAU Fuel Use by Sector'!$AZ$3:$AZ$7)/SUM('BAU Fuel Use by Sector'!$AZ$3:$AZ$7)</f>
        <v>1.4559556534806991E-6</v>
      </c>
      <c r="U17" s="12">
        <f>SUMPRODUCT('Fuel Price Data'!U93:U97,'BAU Fuel Use by Sector'!$AZ$3:$AZ$7)/SUM('BAU Fuel Use by Sector'!$AZ$3:$AZ$7)</f>
        <v>1.4538908543102995E-6</v>
      </c>
      <c r="V17" s="12">
        <f>SUMPRODUCT('Fuel Price Data'!V93:V97,'BAU Fuel Use by Sector'!$AZ$3:$AZ$7)/SUM('BAU Fuel Use by Sector'!$AZ$3:$AZ$7)</f>
        <v>1.4577762961946061E-6</v>
      </c>
      <c r="W17" s="12">
        <f>SUMPRODUCT('Fuel Price Data'!W93:W97,'BAU Fuel Use by Sector'!$AZ$3:$AZ$7)/SUM('BAU Fuel Use by Sector'!$AZ$3:$AZ$7)</f>
        <v>1.4545297173705781E-6</v>
      </c>
      <c r="X17" s="12">
        <f>SUMPRODUCT('Fuel Price Data'!X93:X97,'BAU Fuel Use by Sector'!$AZ$3:$AZ$7)/SUM('BAU Fuel Use by Sector'!$AZ$3:$AZ$7)</f>
        <v>1.4461792545375131E-6</v>
      </c>
      <c r="Y17" s="12">
        <f>SUMPRODUCT('Fuel Price Data'!Y93:Y97,'BAU Fuel Use by Sector'!$AZ$3:$AZ$7)/SUM('BAU Fuel Use by Sector'!$AZ$3:$AZ$7)</f>
        <v>1.4373631003161864E-6</v>
      </c>
      <c r="Z17" s="12">
        <f>SUMPRODUCT('Fuel Price Data'!Z93:Z97,'BAU Fuel Use by Sector'!$AZ$3:$AZ$7)/SUM('BAU Fuel Use by Sector'!$AZ$3:$AZ$7)</f>
        <v>1.4332389623434244E-6</v>
      </c>
      <c r="AA17" s="12">
        <f>SUMPRODUCT('Fuel Price Data'!AA93:AA97,'BAU Fuel Use by Sector'!$AZ$3:$AZ$7)/SUM('BAU Fuel Use by Sector'!$AZ$3:$AZ$7)</f>
        <v>1.4308418607753714E-6</v>
      </c>
      <c r="AB17" s="12">
        <f>SUMPRODUCT('Fuel Price Data'!AB93:AB97,'BAU Fuel Use by Sector'!$AZ$3:$AZ$7)/SUM('BAU Fuel Use by Sector'!$AZ$3:$AZ$7)</f>
        <v>1.4286343119834444E-6</v>
      </c>
      <c r="AC17" s="12">
        <f>SUMPRODUCT('Fuel Price Data'!AC93:AC97,'BAU Fuel Use by Sector'!$AZ$3:$AZ$7)/SUM('BAU Fuel Use by Sector'!$AZ$3:$AZ$7)</f>
        <v>1.4243432427592787E-6</v>
      </c>
      <c r="AD17" s="12">
        <f>SUMPRODUCT('Fuel Price Data'!AD93:AD97,'BAU Fuel Use by Sector'!$AZ$3:$AZ$7)/SUM('BAU Fuel Use by Sector'!$AZ$3:$AZ$7)</f>
        <v>1.4176285501794543E-6</v>
      </c>
      <c r="AE17" s="12">
        <f>SUMPRODUCT('Fuel Price Data'!AE93:AE97,'BAU Fuel Use by Sector'!$AZ$3:$AZ$7)/SUM('BAU Fuel Use by Sector'!$AZ$3:$AZ$7)</f>
        <v>1.4186589996332123E-6</v>
      </c>
      <c r="AF17" s="12">
        <f>SUMPRODUCT('Fuel Price Data'!AF93:AF97,'BAU Fuel Use by Sector'!$AZ$3:$AZ$7)/SUM('BAU Fuel Use by Sector'!$AZ$3:$AZ$7)</f>
        <v>1.4165450571504839E-6</v>
      </c>
      <c r="AG17" s="12"/>
      <c r="AH17" s="12"/>
      <c r="AI17" s="12"/>
    </row>
    <row r="18" spans="1:35" x14ac:dyDescent="0.25">
      <c r="A18" t="s">
        <v>41</v>
      </c>
      <c r="B18" s="12">
        <f>SUMPRODUCT('Fuel Price Data'!B103:B107,'BAU Fuel Use by Sector'!$BA$3:$BA$7)/SUM('BAU Fuel Use by Sector'!$BA$3:$BA$7)</f>
        <v>5.8032702844488082E-6</v>
      </c>
      <c r="C18" s="12">
        <f>SUMPRODUCT('Fuel Price Data'!C103:C107,'BAU Fuel Use by Sector'!$BA$3:$BA$7)/SUM('BAU Fuel Use by Sector'!$BA$3:$BA$7)</f>
        <v>1.010572034981499E-5</v>
      </c>
      <c r="D18" s="12">
        <f>SUMPRODUCT('Fuel Price Data'!D103:D107,'BAU Fuel Use by Sector'!$BA$3:$BA$7)/SUM('BAU Fuel Use by Sector'!$BA$3:$BA$7)</f>
        <v>1.4548918609468291E-5</v>
      </c>
      <c r="E18" s="12">
        <f>SUMPRODUCT('Fuel Price Data'!E103:E107,'BAU Fuel Use by Sector'!$BA$3:$BA$7)/SUM('BAU Fuel Use by Sector'!$BA$3:$BA$7)</f>
        <v>1.3814064879295553E-5</v>
      </c>
      <c r="F18" s="12">
        <f>SUMPRODUCT('Fuel Price Data'!F103:F107,'BAU Fuel Use by Sector'!$BA$3:$BA$7)/SUM('BAU Fuel Use by Sector'!$BA$3:$BA$7)</f>
        <v>1.3102705815542782E-5</v>
      </c>
      <c r="G18" s="12">
        <f>SUMPRODUCT('Fuel Price Data'!G103:G107,'BAU Fuel Use by Sector'!$BA$3:$BA$7)/SUM('BAU Fuel Use by Sector'!$BA$3:$BA$7)</f>
        <v>1.239134675179001E-5</v>
      </c>
      <c r="H18" s="12">
        <f>SUMPRODUCT('Fuel Price Data'!H103:H107,'BAU Fuel Use by Sector'!$BA$3:$BA$7)/SUM('BAU Fuel Use by Sector'!$BA$3:$BA$7)</f>
        <v>1.1679987688037241E-5</v>
      </c>
      <c r="I18" s="12">
        <f>SUMPRODUCT('Fuel Price Data'!I103:I107,'BAU Fuel Use by Sector'!$BA$3:$BA$7)/SUM('BAU Fuel Use by Sector'!$BA$3:$BA$7)</f>
        <v>1.096862862428447E-5</v>
      </c>
      <c r="J18" s="12">
        <f>SUMPRODUCT('Fuel Price Data'!J103:J107,'BAU Fuel Use by Sector'!$BA$3:$BA$7)/SUM('BAU Fuel Use by Sector'!$BA$3:$BA$7)</f>
        <v>1.0257269560531699E-5</v>
      </c>
      <c r="K18" s="12">
        <f>SUMPRODUCT('Fuel Price Data'!K103:K107,'BAU Fuel Use by Sector'!$BA$3:$BA$7)/SUM('BAU Fuel Use by Sector'!$BA$3:$BA$7)</f>
        <v>1.0408034285260253E-5</v>
      </c>
      <c r="L18" s="12">
        <f>SUMPRODUCT('Fuel Price Data'!L103:L107,'BAU Fuel Use by Sector'!$BA$3:$BA$7)/SUM('BAU Fuel Use by Sector'!$BA$3:$BA$7)</f>
        <v>1.0568057722521E-5</v>
      </c>
      <c r="M18" s="12">
        <f>SUMPRODUCT('Fuel Price Data'!M103:M107,'BAU Fuel Use by Sector'!$BA$3:$BA$7)/SUM('BAU Fuel Use by Sector'!$BA$3:$BA$7)</f>
        <v>1.0789191951557296E-5</v>
      </c>
      <c r="N18" s="12">
        <f>SUMPRODUCT('Fuel Price Data'!N103:N107,'BAU Fuel Use by Sector'!$BA$3:$BA$7)/SUM('BAU Fuel Use by Sector'!$BA$3:$BA$7)</f>
        <v>1.0962604245994597E-5</v>
      </c>
      <c r="O18" s="12">
        <f>SUMPRODUCT('Fuel Price Data'!O103:O107,'BAU Fuel Use by Sector'!$BA$3:$BA$7)/SUM('BAU Fuel Use by Sector'!$BA$3:$BA$7)</f>
        <v>1.1079859048003297E-5</v>
      </c>
      <c r="P18" s="12">
        <f>SUMPRODUCT('Fuel Price Data'!P103:P107,'BAU Fuel Use by Sector'!$BA$3:$BA$7)/SUM('BAU Fuel Use by Sector'!$BA$3:$BA$7)</f>
        <v>1.1139624583353451E-5</v>
      </c>
      <c r="Q18" s="12">
        <f>SUMPRODUCT('Fuel Price Data'!Q103:Q107,'BAU Fuel Use by Sector'!$BA$3:$BA$7)/SUM('BAU Fuel Use by Sector'!$BA$3:$BA$7)</f>
        <v>1.1245470781201217E-5</v>
      </c>
      <c r="R18" s="12">
        <f>SUMPRODUCT('Fuel Price Data'!R103:R107,'BAU Fuel Use by Sector'!$BA$3:$BA$7)/SUM('BAU Fuel Use by Sector'!$BA$3:$BA$7)</f>
        <v>1.1425356603639762E-5</v>
      </c>
      <c r="S18" s="12">
        <f>SUMPRODUCT('Fuel Price Data'!S103:S107,'BAU Fuel Use by Sector'!$BA$3:$BA$7)/SUM('BAU Fuel Use by Sector'!$BA$3:$BA$7)</f>
        <v>1.1557046984922532E-5</v>
      </c>
      <c r="T18" s="12">
        <f>SUMPRODUCT('Fuel Price Data'!T103:T107,'BAU Fuel Use by Sector'!$BA$3:$BA$7)/SUM('BAU Fuel Use by Sector'!$BA$3:$BA$7)</f>
        <v>1.1709809000606015E-5</v>
      </c>
      <c r="U18" s="12">
        <f>SUMPRODUCT('Fuel Price Data'!U103:U107,'BAU Fuel Use by Sector'!$BA$3:$BA$7)/SUM('BAU Fuel Use by Sector'!$BA$3:$BA$7)</f>
        <v>1.1748037247266352E-5</v>
      </c>
      <c r="V18" s="12">
        <f>SUMPRODUCT('Fuel Price Data'!V103:V107,'BAU Fuel Use by Sector'!$BA$3:$BA$7)/SUM('BAU Fuel Use by Sector'!$BA$3:$BA$7)</f>
        <v>1.1971575603617068E-5</v>
      </c>
      <c r="W18" s="12">
        <f>SUMPRODUCT('Fuel Price Data'!W103:W107,'BAU Fuel Use by Sector'!$BA$3:$BA$7)/SUM('BAU Fuel Use by Sector'!$BA$3:$BA$7)</f>
        <v>1.2108322993442573E-5</v>
      </c>
      <c r="X18" s="12">
        <f>SUMPRODUCT('Fuel Price Data'!X103:X107,'BAU Fuel Use by Sector'!$BA$3:$BA$7)/SUM('BAU Fuel Use by Sector'!$BA$3:$BA$7)</f>
        <v>1.2166028123384357E-5</v>
      </c>
      <c r="Y18" s="12">
        <f>SUMPRODUCT('Fuel Price Data'!Y103:Y107,'BAU Fuel Use by Sector'!$BA$3:$BA$7)/SUM('BAU Fuel Use by Sector'!$BA$3:$BA$7)</f>
        <v>1.2377163304386512E-5</v>
      </c>
      <c r="Z18" s="12">
        <f>SUMPRODUCT('Fuel Price Data'!Z103:Z107,'BAU Fuel Use by Sector'!$BA$3:$BA$7)/SUM('BAU Fuel Use by Sector'!$BA$3:$BA$7)</f>
        <v>1.2631320319234431E-5</v>
      </c>
      <c r="AA18" s="12">
        <f>SUMPRODUCT('Fuel Price Data'!AA103:AA107,'BAU Fuel Use by Sector'!$BA$3:$BA$7)/SUM('BAU Fuel Use by Sector'!$BA$3:$BA$7)</f>
        <v>1.2700802369138198E-5</v>
      </c>
      <c r="AB18" s="12">
        <f>SUMPRODUCT('Fuel Price Data'!AB103:AB107,'BAU Fuel Use by Sector'!$BA$3:$BA$7)/SUM('BAU Fuel Use by Sector'!$BA$3:$BA$7)</f>
        <v>1.2885034347660337E-5</v>
      </c>
      <c r="AC18" s="12">
        <f>SUMPRODUCT('Fuel Price Data'!AC103:AC107,'BAU Fuel Use by Sector'!$BA$3:$BA$7)/SUM('BAU Fuel Use by Sector'!$BA$3:$BA$7)</f>
        <v>1.2877523135077211E-5</v>
      </c>
      <c r="AD18" s="12">
        <f>SUMPRODUCT('Fuel Price Data'!AD103:AD107,'BAU Fuel Use by Sector'!$BA$3:$BA$7)/SUM('BAU Fuel Use by Sector'!$BA$3:$BA$7)</f>
        <v>1.2895332818958327E-5</v>
      </c>
      <c r="AE18" s="12">
        <f>SUMPRODUCT('Fuel Price Data'!AE103:AE107,'BAU Fuel Use by Sector'!$BA$3:$BA$7)/SUM('BAU Fuel Use by Sector'!$BA$3:$BA$7)</f>
        <v>1.2940666330778265E-5</v>
      </c>
      <c r="AF18" s="12">
        <f>SUMPRODUCT('Fuel Price Data'!AF103:AF107,'BAU Fuel Use by Sector'!$BA$3:$BA$7)/SUM('BAU Fuel Use by Sector'!$BA$3:$BA$7)</f>
        <v>1.2899894838325157E-5</v>
      </c>
      <c r="AG18" s="12"/>
      <c r="AH18" s="12"/>
      <c r="AI18" s="12"/>
    </row>
    <row r="19" spans="1:35" x14ac:dyDescent="0.25">
      <c r="A19" t="s">
        <v>42</v>
      </c>
      <c r="B19" s="12">
        <f>'Fuel Price Data'!B113</f>
        <v>1.4927235207542256E-5</v>
      </c>
      <c r="C19" s="12">
        <f>'Fuel Price Data'!C113</f>
        <v>1.835315804206015E-5</v>
      </c>
      <c r="D19" s="12">
        <f>'Fuel Price Data'!D113</f>
        <v>2.6795610741407819E-5</v>
      </c>
      <c r="E19" s="12">
        <f>'Fuel Price Data'!E113</f>
        <v>2.3369687906889925E-5</v>
      </c>
      <c r="F19" s="12">
        <f>'Fuel Price Data'!F113</f>
        <v>2.117401763410256E-5</v>
      </c>
      <c r="G19" s="12">
        <f>'Fuel Price Data'!G113</f>
        <v>1.8978347361315195E-5</v>
      </c>
      <c r="H19" s="12">
        <f>'Fuel Price Data'!H113</f>
        <v>1.678267708852783E-5</v>
      </c>
      <c r="I19" s="12">
        <f>'Fuel Price Data'!I113</f>
        <v>1.4587006815740463E-5</v>
      </c>
      <c r="J19" s="12">
        <f>'Fuel Price Data'!J113</f>
        <v>1.2391336542953093E-5</v>
      </c>
      <c r="K19" s="12">
        <f>'Fuel Price Data'!K113</f>
        <v>1.2477675986456064E-5</v>
      </c>
      <c r="L19" s="12">
        <f>'Fuel Price Data'!L113</f>
        <v>1.2579748173037605E-5</v>
      </c>
      <c r="M19" s="12">
        <f>'Fuel Price Data'!M113</f>
        <v>1.2772463260796397E-5</v>
      </c>
      <c r="N19" s="12">
        <f>'Fuel Price Data'!N113</f>
        <v>1.2863922115850461E-5</v>
      </c>
      <c r="O19" s="12">
        <f>'Fuel Price Data'!O113</f>
        <v>1.2974373292969698E-5</v>
      </c>
      <c r="P19" s="12">
        <f>'Fuel Price Data'!P113</f>
        <v>1.2986282999815475E-5</v>
      </c>
      <c r="Q19" s="12">
        <f>'Fuel Price Data'!Q113</f>
        <v>1.3015132858124513E-5</v>
      </c>
      <c r="R19" s="12">
        <f>'Fuel Price Data'!R113</f>
        <v>1.3002682571244048E-5</v>
      </c>
      <c r="S19" s="12">
        <f>'Fuel Price Data'!S113</f>
        <v>1.3031510399645716E-5</v>
      </c>
      <c r="T19" s="12">
        <f>'Fuel Price Data'!T113</f>
        <v>1.3191422955330845E-5</v>
      </c>
      <c r="U19" s="12">
        <f>'Fuel Price Data'!U113</f>
        <v>1.3147735107104103E-5</v>
      </c>
      <c r="V19" s="12">
        <f>'Fuel Price Data'!V113</f>
        <v>1.3424564617721518E-5</v>
      </c>
      <c r="W19" s="12">
        <f>'Fuel Price Data'!W113</f>
        <v>1.3535538581488725E-5</v>
      </c>
      <c r="X19" s="12">
        <f>'Fuel Price Data'!X113</f>
        <v>1.360756621093848E-5</v>
      </c>
      <c r="Y19" s="12">
        <f>'Fuel Price Data'!Y113</f>
        <v>1.3866842969206922E-5</v>
      </c>
      <c r="Z19" s="12">
        <f>'Fuel Price Data'!Z113</f>
        <v>1.4050525794944086E-5</v>
      </c>
      <c r="AA19" s="12">
        <f>'Fuel Price Data'!AA113</f>
        <v>1.413115017209285E-5</v>
      </c>
      <c r="AB19" s="12">
        <f>'Fuel Price Data'!AB113</f>
        <v>1.4257588283529538E-5</v>
      </c>
      <c r="AC19" s="12">
        <f>'Fuel Price Data'!AC113</f>
        <v>1.4303693490438054E-5</v>
      </c>
      <c r="AD19" s="12">
        <f>'Fuel Price Data'!AD113</f>
        <v>1.427933264940768E-5</v>
      </c>
      <c r="AE19" s="12">
        <f>'Fuel Price Data'!AE113</f>
        <v>1.4307708017404141E-5</v>
      </c>
      <c r="AF19" s="12">
        <f>'Fuel Price Data'!AF113</f>
        <v>1.4275271520714466E-5</v>
      </c>
      <c r="AG19" s="12"/>
      <c r="AH19" s="12"/>
      <c r="AI19" s="12"/>
    </row>
    <row r="20" spans="1:35" x14ac:dyDescent="0.25">
      <c r="A20" t="s">
        <v>43</v>
      </c>
      <c r="B20" s="5">
        <f>SUMPRODUCT('Fuel Price Data'!B123:B127,'BAU Fuel Use by Sector'!$BC$3:$BC$7)/SUM('BAU Fuel Use by Sector'!$BC$3:$BC$7)</f>
        <v>8.9906755951749935E-6</v>
      </c>
      <c r="C20" s="5">
        <f>SUMPRODUCT('Fuel Price Data'!C123:C127,'BAU Fuel Use by Sector'!$BC$3:$BC$7)/SUM('BAU Fuel Use by Sector'!$BC$3:$BC$7)</f>
        <v>1.3425371358507158E-5</v>
      </c>
      <c r="D20" s="5">
        <f>SUMPRODUCT('Fuel Price Data'!D123:D127,'BAU Fuel Use by Sector'!$BC$3:$BC$7)/SUM('BAU Fuel Use by Sector'!$BC$3:$BC$7)</f>
        <v>1.4285977998339471E-5</v>
      </c>
      <c r="E20" s="5">
        <f>SUMPRODUCT('Fuel Price Data'!E123:E127,'BAU Fuel Use by Sector'!$BC$3:$BC$7)/SUM('BAU Fuel Use by Sector'!$BC$3:$BC$7)</f>
        <v>1.3032373867499852E-5</v>
      </c>
      <c r="F20" s="5">
        <f>SUMPRODUCT('Fuel Price Data'!F123:F127,'BAU Fuel Use by Sector'!$BC$3:$BC$7)/SUM('BAU Fuel Use by Sector'!$BC$3:$BC$7)</f>
        <v>1.3018596003876792E-5</v>
      </c>
      <c r="G20" s="5">
        <f>SUMPRODUCT('Fuel Price Data'!G123:G127,'BAU Fuel Use by Sector'!$BC$3:$BC$7)/SUM('BAU Fuel Use by Sector'!$BC$3:$BC$7)</f>
        <v>1.2925747947487252E-5</v>
      </c>
      <c r="H20" s="5">
        <f>SUMPRODUCT('Fuel Price Data'!H123:H127,'BAU Fuel Use by Sector'!$BC$3:$BC$7)/SUM('BAU Fuel Use by Sector'!$BC$3:$BC$7)</f>
        <v>1.3040970467583861E-5</v>
      </c>
      <c r="I20" s="5">
        <f>SUMPRODUCT('Fuel Price Data'!I123:I127,'BAU Fuel Use by Sector'!$BC$3:$BC$7)/SUM('BAU Fuel Use by Sector'!$BC$3:$BC$7)</f>
        <v>1.3370528201193539E-5</v>
      </c>
      <c r="J20" s="5">
        <f>SUMPRODUCT('Fuel Price Data'!J123:J127,'BAU Fuel Use by Sector'!$BC$3:$BC$7)/SUM('BAU Fuel Use by Sector'!$BC$3:$BC$7)</f>
        <v>1.3841616745687055E-5</v>
      </c>
      <c r="K20" s="5">
        <f>SUMPRODUCT('Fuel Price Data'!K123:K127,'BAU Fuel Use by Sector'!$BC$3:$BC$7)/SUM('BAU Fuel Use by Sector'!$BC$3:$BC$7)</f>
        <v>1.4176268046573859E-5</v>
      </c>
      <c r="L20" s="5">
        <f>SUMPRODUCT('Fuel Price Data'!L123:L127,'BAU Fuel Use by Sector'!$BC$3:$BC$7)/SUM('BAU Fuel Use by Sector'!$BC$3:$BC$7)</f>
        <v>1.4526845458335289E-5</v>
      </c>
      <c r="M20" s="5">
        <f>SUMPRODUCT('Fuel Price Data'!M123:M127,'BAU Fuel Use by Sector'!$BC$3:$BC$7)/SUM('BAU Fuel Use by Sector'!$BC$3:$BC$7)</f>
        <v>1.490654523876997E-5</v>
      </c>
      <c r="N20" s="5">
        <f>SUMPRODUCT('Fuel Price Data'!N123:N127,'BAU Fuel Use by Sector'!$BC$3:$BC$7)/SUM('BAU Fuel Use by Sector'!$BC$3:$BC$7)</f>
        <v>1.5173419005679896E-5</v>
      </c>
      <c r="O20" s="5">
        <f>SUMPRODUCT('Fuel Price Data'!O123:O127,'BAU Fuel Use by Sector'!$BC$3:$BC$7)/SUM('BAU Fuel Use by Sector'!$BC$3:$BC$7)</f>
        <v>1.5437536248051658E-5</v>
      </c>
      <c r="P20" s="5">
        <f>SUMPRODUCT('Fuel Price Data'!P123:P127,'BAU Fuel Use by Sector'!$BC$3:$BC$7)/SUM('BAU Fuel Use by Sector'!$BC$3:$BC$7)</f>
        <v>1.5602624661703302E-5</v>
      </c>
      <c r="Q20" s="5">
        <f>SUMPRODUCT('Fuel Price Data'!Q123:Q127,'BAU Fuel Use by Sector'!$BC$3:$BC$7)/SUM('BAU Fuel Use by Sector'!$BC$3:$BC$7)</f>
        <v>1.5717943275531373E-5</v>
      </c>
      <c r="R20" s="5">
        <f>SUMPRODUCT('Fuel Price Data'!R123:R127,'BAU Fuel Use by Sector'!$BC$3:$BC$7)/SUM('BAU Fuel Use by Sector'!$BC$3:$BC$7)</f>
        <v>1.5861663051877159E-5</v>
      </c>
      <c r="S20" s="5">
        <f>SUMPRODUCT('Fuel Price Data'!S123:S127,'BAU Fuel Use by Sector'!$BC$3:$BC$7)/SUM('BAU Fuel Use by Sector'!$BC$3:$BC$7)</f>
        <v>1.6040142460657585E-5</v>
      </c>
      <c r="T20" s="5">
        <f>SUMPRODUCT('Fuel Price Data'!T123:T127,'BAU Fuel Use by Sector'!$BC$3:$BC$7)/SUM('BAU Fuel Use by Sector'!$BC$3:$BC$7)</f>
        <v>1.6206648383869971E-5</v>
      </c>
      <c r="U20" s="5">
        <f>SUMPRODUCT('Fuel Price Data'!U123:U127,'BAU Fuel Use by Sector'!$BC$3:$BC$7)/SUM('BAU Fuel Use by Sector'!$BC$3:$BC$7)</f>
        <v>1.6298049671605047E-5</v>
      </c>
      <c r="V20" s="5">
        <f>SUMPRODUCT('Fuel Price Data'!V123:V127,'BAU Fuel Use by Sector'!$BC$3:$BC$7)/SUM('BAU Fuel Use by Sector'!$BC$3:$BC$7)</f>
        <v>1.6552708574517905E-5</v>
      </c>
      <c r="W20" s="5">
        <f>SUMPRODUCT('Fuel Price Data'!W123:W127,'BAU Fuel Use by Sector'!$BC$3:$BC$7)/SUM('BAU Fuel Use by Sector'!$BC$3:$BC$7)</f>
        <v>1.6717440760062304E-5</v>
      </c>
      <c r="X20" s="5">
        <f>SUMPRODUCT('Fuel Price Data'!X123:X127,'BAU Fuel Use by Sector'!$BC$3:$BC$7)/SUM('BAU Fuel Use by Sector'!$BC$3:$BC$7)</f>
        <v>1.6750250148612088E-5</v>
      </c>
      <c r="Y20" s="5">
        <f>SUMPRODUCT('Fuel Price Data'!Y123:Y127,'BAU Fuel Use by Sector'!$BC$3:$BC$7)/SUM('BAU Fuel Use by Sector'!$BC$3:$BC$7)</f>
        <v>1.6912143905745247E-5</v>
      </c>
      <c r="Z20" s="5">
        <f>SUMPRODUCT('Fuel Price Data'!Z123:Z127,'BAU Fuel Use by Sector'!$BC$3:$BC$7)/SUM('BAU Fuel Use by Sector'!$BC$3:$BC$7)</f>
        <v>1.710860516936325E-5</v>
      </c>
      <c r="AA20" s="5">
        <f>SUMPRODUCT('Fuel Price Data'!AA123:AA127,'BAU Fuel Use by Sector'!$BC$3:$BC$7)/SUM('BAU Fuel Use by Sector'!$BC$3:$BC$7)</f>
        <v>1.7153946625755125E-5</v>
      </c>
      <c r="AB20" s="5">
        <f>SUMPRODUCT('Fuel Price Data'!AB123:AB127,'BAU Fuel Use by Sector'!$BC$3:$BC$7)/SUM('BAU Fuel Use by Sector'!$BC$3:$BC$7)</f>
        <v>1.7254979305362424E-5</v>
      </c>
      <c r="AC20" s="5">
        <f>SUMPRODUCT('Fuel Price Data'!AC123:AC127,'BAU Fuel Use by Sector'!$BC$3:$BC$7)/SUM('BAU Fuel Use by Sector'!$BC$3:$BC$7)</f>
        <v>1.7326387817029412E-5</v>
      </c>
      <c r="AD20" s="5">
        <f>SUMPRODUCT('Fuel Price Data'!AD123:AD127,'BAU Fuel Use by Sector'!$BC$3:$BC$7)/SUM('BAU Fuel Use by Sector'!$BC$3:$BC$7)</f>
        <v>1.7366386206428318E-5</v>
      </c>
      <c r="AE20" s="5">
        <f>SUMPRODUCT('Fuel Price Data'!AE123:AE127,'BAU Fuel Use by Sector'!$BC$3:$BC$7)/SUM('BAU Fuel Use by Sector'!$BC$3:$BC$7)</f>
        <v>1.7354879304465706E-5</v>
      </c>
      <c r="AF20" s="5">
        <f>SUMPRODUCT('Fuel Price Data'!AF123:AF127,'BAU Fuel Use by Sector'!$BC$3:$BC$7)/SUM('BAU Fuel Use by Sector'!$BC$3:$BC$7)</f>
        <v>1.7336630480860704E-5</v>
      </c>
      <c r="AG20" s="5"/>
      <c r="AH20" s="5"/>
      <c r="AI20" s="5"/>
    </row>
    <row r="21" spans="1:35" x14ac:dyDescent="0.25">
      <c r="A21" t="s">
        <v>44</v>
      </c>
      <c r="B21" s="10">
        <f>SUMPRODUCT('Fuel Price Data'!B133:B137,'BAU Fuel Use by Sector'!$BD$3:$BD$7)/SUM('BAU Fuel Use by Sector'!$BD$3:$BD$7)</f>
        <v>0</v>
      </c>
      <c r="C21" s="10">
        <f>SUMPRODUCT('Fuel Price Data'!C133:C137,'BAU Fuel Use by Sector'!$BD$3:$BD$7)/SUM('BAU Fuel Use by Sector'!$BD$3:$BD$7)</f>
        <v>0</v>
      </c>
      <c r="D21" s="10">
        <f>SUMPRODUCT('Fuel Price Data'!D133:D137,'BAU Fuel Use by Sector'!$BD$3:$BD$7)/SUM('BAU Fuel Use by Sector'!$BD$3:$BD$7)</f>
        <v>0</v>
      </c>
      <c r="E21" s="10">
        <f>SUMPRODUCT('Fuel Price Data'!E133:E137,'BAU Fuel Use by Sector'!$BD$3:$BD$7)/SUM('BAU Fuel Use by Sector'!$BD$3:$BD$7)</f>
        <v>0</v>
      </c>
      <c r="F21" s="10">
        <f>SUMPRODUCT('Fuel Price Data'!F133:F137,'BAU Fuel Use by Sector'!$BD$3:$BD$7)/SUM('BAU Fuel Use by Sector'!$BD$3:$BD$7)</f>
        <v>0</v>
      </c>
      <c r="G21" s="10">
        <f>SUMPRODUCT('Fuel Price Data'!G133:G137,'BAU Fuel Use by Sector'!$BD$3:$BD$7)/SUM('BAU Fuel Use by Sector'!$BD$3:$BD$7)</f>
        <v>0</v>
      </c>
      <c r="H21" s="10">
        <f>SUMPRODUCT('Fuel Price Data'!H133:H137,'BAU Fuel Use by Sector'!$BD$3:$BD$7)/SUM('BAU Fuel Use by Sector'!$BD$3:$BD$7)</f>
        <v>0</v>
      </c>
      <c r="I21" s="10">
        <f>SUMPRODUCT('Fuel Price Data'!I133:I137,'BAU Fuel Use by Sector'!$BD$3:$BD$7)/SUM('BAU Fuel Use by Sector'!$BD$3:$BD$7)</f>
        <v>0</v>
      </c>
      <c r="J21" s="10">
        <f>SUMPRODUCT('Fuel Price Data'!J133:J137,'BAU Fuel Use by Sector'!$BD$3:$BD$7)/SUM('BAU Fuel Use by Sector'!$BD$3:$BD$7)</f>
        <v>0</v>
      </c>
      <c r="K21" s="10">
        <f>SUMPRODUCT('Fuel Price Data'!K133:K137,'BAU Fuel Use by Sector'!$BD$3:$BD$7)/SUM('BAU Fuel Use by Sector'!$BD$3:$BD$7)</f>
        <v>0</v>
      </c>
      <c r="L21" s="10">
        <f>SUMPRODUCT('Fuel Price Data'!L133:L137,'BAU Fuel Use by Sector'!$BD$3:$BD$7)/SUM('BAU Fuel Use by Sector'!$BD$3:$BD$7)</f>
        <v>0</v>
      </c>
      <c r="M21" s="10">
        <f>SUMPRODUCT('Fuel Price Data'!M133:M137,'BAU Fuel Use by Sector'!$BD$3:$BD$7)/SUM('BAU Fuel Use by Sector'!$BD$3:$BD$7)</f>
        <v>0</v>
      </c>
      <c r="N21" s="10">
        <f>SUMPRODUCT('Fuel Price Data'!N133:N137,'BAU Fuel Use by Sector'!$BD$3:$BD$7)/SUM('BAU Fuel Use by Sector'!$BD$3:$BD$7)</f>
        <v>0</v>
      </c>
      <c r="O21" s="10">
        <f>SUMPRODUCT('Fuel Price Data'!O133:O137,'BAU Fuel Use by Sector'!$BD$3:$BD$7)/SUM('BAU Fuel Use by Sector'!$BD$3:$BD$7)</f>
        <v>0</v>
      </c>
      <c r="P21" s="10">
        <f>SUMPRODUCT('Fuel Price Data'!P133:P137,'BAU Fuel Use by Sector'!$BD$3:$BD$7)/SUM('BAU Fuel Use by Sector'!$BD$3:$BD$7)</f>
        <v>0</v>
      </c>
      <c r="Q21" s="10">
        <f>SUMPRODUCT('Fuel Price Data'!Q133:Q137,'BAU Fuel Use by Sector'!$BD$3:$BD$7)/SUM('BAU Fuel Use by Sector'!$BD$3:$BD$7)</f>
        <v>0</v>
      </c>
      <c r="R21" s="10">
        <f>SUMPRODUCT('Fuel Price Data'!R133:R137,'BAU Fuel Use by Sector'!$BD$3:$BD$7)/SUM('BAU Fuel Use by Sector'!$BD$3:$BD$7)</f>
        <v>0</v>
      </c>
      <c r="S21" s="10">
        <f>SUMPRODUCT('Fuel Price Data'!S133:S137,'BAU Fuel Use by Sector'!$BD$3:$BD$7)/SUM('BAU Fuel Use by Sector'!$BD$3:$BD$7)</f>
        <v>0</v>
      </c>
      <c r="T21" s="10">
        <f>SUMPRODUCT('Fuel Price Data'!T133:T137,'BAU Fuel Use by Sector'!$BD$3:$BD$7)/SUM('BAU Fuel Use by Sector'!$BD$3:$BD$7)</f>
        <v>0</v>
      </c>
      <c r="U21" s="10">
        <f>SUMPRODUCT('Fuel Price Data'!U133:U137,'BAU Fuel Use by Sector'!$BD$3:$BD$7)/SUM('BAU Fuel Use by Sector'!$BD$3:$BD$7)</f>
        <v>0</v>
      </c>
      <c r="V21" s="10">
        <f>SUMPRODUCT('Fuel Price Data'!V133:V137,'BAU Fuel Use by Sector'!$BD$3:$BD$7)/SUM('BAU Fuel Use by Sector'!$BD$3:$BD$7)</f>
        <v>0</v>
      </c>
      <c r="W21" s="10">
        <f>SUMPRODUCT('Fuel Price Data'!W133:W137,'BAU Fuel Use by Sector'!$BD$3:$BD$7)/SUM('BAU Fuel Use by Sector'!$BD$3:$BD$7)</f>
        <v>0</v>
      </c>
      <c r="X21" s="10">
        <f>SUMPRODUCT('Fuel Price Data'!X133:X137,'BAU Fuel Use by Sector'!$BD$3:$BD$7)/SUM('BAU Fuel Use by Sector'!$BD$3:$BD$7)</f>
        <v>0</v>
      </c>
      <c r="Y21" s="10">
        <f>SUMPRODUCT('Fuel Price Data'!Y133:Y137,'BAU Fuel Use by Sector'!$BD$3:$BD$7)/SUM('BAU Fuel Use by Sector'!$BD$3:$BD$7)</f>
        <v>0</v>
      </c>
      <c r="Z21" s="10">
        <f>SUMPRODUCT('Fuel Price Data'!Z133:Z137,'BAU Fuel Use by Sector'!$BD$3:$BD$7)/SUM('BAU Fuel Use by Sector'!$BD$3:$BD$7)</f>
        <v>0</v>
      </c>
      <c r="AA21" s="10">
        <f>SUMPRODUCT('Fuel Price Data'!AA133:AA137,'BAU Fuel Use by Sector'!$BD$3:$BD$7)/SUM('BAU Fuel Use by Sector'!$BD$3:$BD$7)</f>
        <v>0</v>
      </c>
      <c r="AB21" s="10">
        <f>SUMPRODUCT('Fuel Price Data'!AB133:AB137,'BAU Fuel Use by Sector'!$BD$3:$BD$7)/SUM('BAU Fuel Use by Sector'!$BD$3:$BD$7)</f>
        <v>0</v>
      </c>
      <c r="AC21" s="10">
        <f>SUMPRODUCT('Fuel Price Data'!AC133:AC137,'BAU Fuel Use by Sector'!$BD$3:$BD$7)/SUM('BAU Fuel Use by Sector'!$BD$3:$BD$7)</f>
        <v>0</v>
      </c>
      <c r="AD21" s="10">
        <f>SUMPRODUCT('Fuel Price Data'!AD133:AD137,'BAU Fuel Use by Sector'!$BD$3:$BD$7)/SUM('BAU Fuel Use by Sector'!$BD$3:$BD$7)</f>
        <v>0</v>
      </c>
      <c r="AE21" s="10">
        <f>SUMPRODUCT('Fuel Price Data'!AE133:AE137,'BAU Fuel Use by Sector'!$BD$3:$BD$7)/SUM('BAU Fuel Use by Sector'!$BD$3:$BD$7)</f>
        <v>0</v>
      </c>
      <c r="AF21" s="10">
        <f>SUMPRODUCT('Fuel Price Data'!AF133:AF137,'BAU Fuel Use by Sector'!$BD$3:$BD$7)/SUM('BAU Fuel Use by Sector'!$BD$3:$BD$7)</f>
        <v>0</v>
      </c>
      <c r="AG21" s="10"/>
      <c r="AH21" s="10"/>
      <c r="AI21" s="10"/>
    </row>
    <row r="22" spans="1:35" x14ac:dyDescent="0.25">
      <c r="A22" t="s">
        <v>45</v>
      </c>
      <c r="B22" s="5">
        <f>SUMPRODUCT('Fuel Price Data'!B143:B147,'BAU Fuel Use by Sector'!$BE$3:$BE$7)/SUM('BAU Fuel Use by Sector'!$BE$3:$BE$7)</f>
        <v>7.7600766078083947E-5</v>
      </c>
      <c r="C22" s="5">
        <f>SUMPRODUCT('Fuel Price Data'!C143:C147,'BAU Fuel Use by Sector'!$BE$3:$BE$7)/SUM('BAU Fuel Use by Sector'!$BE$3:$BE$7)</f>
        <v>7.1252833465009711E-5</v>
      </c>
      <c r="D22" s="5">
        <f>SUMPRODUCT('Fuel Price Data'!D143:D147,'BAU Fuel Use by Sector'!$BE$3:$BE$7)/SUM('BAU Fuel Use by Sector'!$BE$3:$BE$7)</f>
        <v>6.4904900851937169E-5</v>
      </c>
      <c r="E22" s="5">
        <f>SUMPRODUCT('Fuel Price Data'!E143:E147,'BAU Fuel Use by Sector'!$BE$3:$BE$7)/SUM('BAU Fuel Use by Sector'!$BE$3:$BE$7)</f>
        <v>5.8556968238862933E-5</v>
      </c>
      <c r="F22" s="5">
        <f>SUMPRODUCT('Fuel Price Data'!F143:F147,'BAU Fuel Use by Sector'!$BE$3:$BE$7)/SUM('BAU Fuel Use by Sector'!$BE$3:$BE$7)</f>
        <v>5.2209035625788711E-5</v>
      </c>
      <c r="G22" s="5">
        <f>SUMPRODUCT('Fuel Price Data'!G143:G147,'BAU Fuel Use by Sector'!$BE$3:$BE$7)/SUM('BAU Fuel Use by Sector'!$BE$3:$BE$7)</f>
        <v>4.5861103012714481E-5</v>
      </c>
      <c r="H22" s="5">
        <f>SUMPRODUCT('Fuel Price Data'!H143:H147,'BAU Fuel Use by Sector'!$BE$3:$BE$7)/SUM('BAU Fuel Use by Sector'!$BE$3:$BE$7)</f>
        <v>3.9513170399641933E-5</v>
      </c>
      <c r="I22" s="5">
        <f>SUMPRODUCT('Fuel Price Data'!I143:I147,'BAU Fuel Use by Sector'!$BE$3:$BE$7)/SUM('BAU Fuel Use by Sector'!$BE$3:$BE$7)</f>
        <v>3.3165237786567717E-5</v>
      </c>
      <c r="J22" s="5">
        <f>SUMPRODUCT('Fuel Price Data'!J143:J147,'BAU Fuel Use by Sector'!$BE$3:$BE$7)/SUM('BAU Fuel Use by Sector'!$BE$3:$BE$7)</f>
        <v>2.6817305173493488E-5</v>
      </c>
      <c r="K22" s="5">
        <f>SUMPRODUCT('Fuel Price Data'!K143:K147,'BAU Fuel Use by Sector'!$BE$3:$BE$7)/SUM('BAU Fuel Use by Sector'!$BE$3:$BE$7)</f>
        <v>2.0469372560420939E-5</v>
      </c>
      <c r="L22" s="5">
        <f>SUMPRODUCT('Fuel Price Data'!L143:L147,'BAU Fuel Use by Sector'!$BE$3:$BE$7)/SUM('BAU Fuel Use by Sector'!$BE$3:$BE$7)</f>
        <v>1.4121439947346714E-5</v>
      </c>
      <c r="M22" s="5">
        <f>SUMPRODUCT('Fuel Price Data'!M143:M147,'BAU Fuel Use by Sector'!$BE$3:$BE$7)/SUM('BAU Fuel Use by Sector'!$BE$3:$BE$7)</f>
        <v>1.3777364253197018E-5</v>
      </c>
      <c r="N22" s="5">
        <f>SUMPRODUCT('Fuel Price Data'!N143:N147,'BAU Fuel Use by Sector'!$BE$3:$BE$7)/SUM('BAU Fuel Use by Sector'!$BE$3:$BE$7)</f>
        <v>1.3433288559048477E-5</v>
      </c>
      <c r="O22" s="5">
        <f>SUMPRODUCT('Fuel Price Data'!O143:O147,'BAU Fuel Use by Sector'!$BE$3:$BE$7)/SUM('BAU Fuel Use by Sector'!$BE$3:$BE$7)</f>
        <v>1.3089212864899936E-5</v>
      </c>
      <c r="P22" s="5">
        <f>SUMPRODUCT('Fuel Price Data'!P143:P147,'BAU Fuel Use by Sector'!$BE$3:$BE$7)/SUM('BAU Fuel Use by Sector'!$BE$3:$BE$7)</f>
        <v>1.2745137170751397E-5</v>
      </c>
      <c r="Q22" s="5">
        <f>SUMPRODUCT('Fuel Price Data'!Q143:Q147,'BAU Fuel Use by Sector'!$BE$3:$BE$7)/SUM('BAU Fuel Use by Sector'!$BE$3:$BE$7)</f>
        <v>1.240106147660296E-5</v>
      </c>
      <c r="R22" s="5">
        <f>SUMPRODUCT('Fuel Price Data'!R143:R147,'BAU Fuel Use by Sector'!$BE$3:$BE$7)/SUM('BAU Fuel Use by Sector'!$BE$3:$BE$7)</f>
        <v>1.2056985782454419E-5</v>
      </c>
      <c r="S22" s="5">
        <f>SUMPRODUCT('Fuel Price Data'!S143:S147,'BAU Fuel Use by Sector'!$BE$3:$BE$7)/SUM('BAU Fuel Use by Sector'!$BE$3:$BE$7)</f>
        <v>1.1712910088305878E-5</v>
      </c>
      <c r="T22" s="5">
        <f>SUMPRODUCT('Fuel Price Data'!T143:T147,'BAU Fuel Use by Sector'!$BE$3:$BE$7)/SUM('BAU Fuel Use by Sector'!$BE$3:$BE$7)</f>
        <v>1.1368834394157339E-5</v>
      </c>
      <c r="U22" s="5">
        <f>SUMPRODUCT('Fuel Price Data'!U143:U147,'BAU Fuel Use by Sector'!$BE$3:$BE$7)/SUM('BAU Fuel Use by Sector'!$BE$3:$BE$7)</f>
        <v>1.1024758700008799E-5</v>
      </c>
      <c r="V22" s="5">
        <f>SUMPRODUCT('Fuel Price Data'!V143:V147,'BAU Fuel Use by Sector'!$BE$3:$BE$7)/SUM('BAU Fuel Use by Sector'!$BE$3:$BE$7)</f>
        <v>1.0680683005860363E-5</v>
      </c>
      <c r="W22" s="5">
        <f>SUMPRODUCT('Fuel Price Data'!W143:W147,'BAU Fuel Use by Sector'!$BE$3:$BE$7)/SUM('BAU Fuel Use by Sector'!$BE$3:$BE$7)</f>
        <v>1.0336607311711822E-5</v>
      </c>
      <c r="X22" s="5">
        <f>SUMPRODUCT('Fuel Price Data'!X143:X147,'BAU Fuel Use by Sector'!$BE$3:$BE$7)/SUM('BAU Fuel Use by Sector'!$BE$3:$BE$7)</f>
        <v>9.9925316175632831E-6</v>
      </c>
      <c r="Y22" s="5">
        <f>SUMPRODUCT('Fuel Price Data'!Y143:Y147,'BAU Fuel Use by Sector'!$BE$3:$BE$7)/SUM('BAU Fuel Use by Sector'!$BE$3:$BE$7)</f>
        <v>9.6484559234147441E-6</v>
      </c>
      <c r="Z22" s="5">
        <f>SUMPRODUCT('Fuel Price Data'!Z143:Z147,'BAU Fuel Use by Sector'!$BE$3:$BE$7)/SUM('BAU Fuel Use by Sector'!$BE$3:$BE$7)</f>
        <v>9.3043802292662017E-6</v>
      </c>
      <c r="AA22" s="5">
        <f>SUMPRODUCT('Fuel Price Data'!AA143:AA147,'BAU Fuel Use by Sector'!$BE$3:$BE$7)/SUM('BAU Fuel Use by Sector'!$BE$3:$BE$7)</f>
        <v>8.9603045351176627E-6</v>
      </c>
      <c r="AB22" s="5">
        <f>SUMPRODUCT('Fuel Price Data'!AB143:AB147,'BAU Fuel Use by Sector'!$BE$3:$BE$7)/SUM('BAU Fuel Use by Sector'!$BE$3:$BE$7)</f>
        <v>8.6162288409692287E-6</v>
      </c>
      <c r="AC22" s="5">
        <f>SUMPRODUCT('Fuel Price Data'!AC143:AC147,'BAU Fuel Use by Sector'!$BE$3:$BE$7)/SUM('BAU Fuel Use by Sector'!$BE$3:$BE$7)</f>
        <v>8.2721531468206879E-6</v>
      </c>
      <c r="AD22" s="5">
        <f>SUMPRODUCT('Fuel Price Data'!AD143:AD147,'BAU Fuel Use by Sector'!$BE$3:$BE$7)/SUM('BAU Fuel Use by Sector'!$BE$3:$BE$7)</f>
        <v>7.9280774526721472E-6</v>
      </c>
      <c r="AE22" s="5">
        <f>SUMPRODUCT('Fuel Price Data'!AE143:AE147,'BAU Fuel Use by Sector'!$BE$3:$BE$7)/SUM('BAU Fuel Use by Sector'!$BE$3:$BE$7)</f>
        <v>7.5840017585236082E-6</v>
      </c>
      <c r="AF22" s="5">
        <f>SUMPRODUCT('Fuel Price Data'!AF143:AF147,'BAU Fuel Use by Sector'!$BE$3:$BE$7)/SUM('BAU Fuel Use by Sector'!$BE$3:$BE$7)</f>
        <v>7.2399260643750666E-6</v>
      </c>
      <c r="AG22" s="5"/>
      <c r="AH22" s="5"/>
      <c r="AI22" s="5"/>
    </row>
    <row r="23" spans="1:35" x14ac:dyDescent="0.25">
      <c r="B23" s="5"/>
    </row>
  </sheetData>
  <pageMargins left="0.7" right="0.7" top="0.75" bottom="0.75" header="0.3" footer="0.3"/>
  <pageSetup orientation="portrait" r:id="rId1"/>
  <ignoredErrors>
    <ignoredError sqref="B6:AF8 B15:AF1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90E22-B446-4258-89B4-0291855F0D62}"/>
</file>

<file path=customXml/itemProps2.xml><?xml version="1.0" encoding="utf-8"?>
<ds:datastoreItem xmlns:ds="http://schemas.openxmlformats.org/officeDocument/2006/customXml" ds:itemID="{2AAB12EB-2F25-4394-AD0F-A319725A2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About</vt:lpstr>
      <vt:lpstr>AEO21 Table13</vt:lpstr>
      <vt:lpstr>AEO22 Table13</vt:lpstr>
      <vt:lpstr>AEO21 Table60</vt:lpstr>
      <vt:lpstr>AEO22 Table60</vt:lpstr>
      <vt:lpstr>Historical Monthly Gas Cons</vt:lpstr>
      <vt:lpstr>EIA Henry Hub Nat Gas Spot</vt:lpstr>
      <vt:lpstr>NG Sector Price Historicals</vt:lpstr>
      <vt:lpstr>NG Calcs</vt:lpstr>
      <vt:lpstr>Natural Gas Prices</vt:lpstr>
      <vt:lpstr>Pretax Fuel Prices</vt:lpstr>
      <vt:lpstr>Fuel Taxes</vt:lpstr>
      <vt:lpstr>BAU Fuel Use by Sector</vt:lpstr>
      <vt:lpstr>Fuel Price Data</vt:lpstr>
      <vt:lpstr>IMFPbFT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2019-05-15T20:03:57Z</dcterms:created>
  <dcterms:modified xsi:type="dcterms:W3CDTF">2022-07-14T13:18:29Z</dcterms:modified>
</cp:coreProperties>
</file>