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fuels/0 Need to Update/BSoFPtiT/"/>
    </mc:Choice>
  </mc:AlternateContent>
  <xr:revisionPtr revIDLastSave="102" documentId="11_AE6E3E074A7000B18BBB9F5C087E892C32154518" xr6:coauthVersionLast="47" xr6:coauthVersionMax="47" xr10:uidLastSave="{92B1CA05-E9DB-2A46-8FB3-C00B33C16115}"/>
  <bookViews>
    <workbookView xWindow="28800" yWindow="500" windowWidth="38400" windowHeight="21100" firstSheet="2" activeTab="2" xr2:uid="{00000000-000D-0000-FFFF-FFFF00000000}"/>
  </bookViews>
  <sheets>
    <sheet name="About" sheetId="1" r:id="rId1"/>
    <sheet name="Tax Rates" sheetId="5" r:id="rId2"/>
    <sheet name="BSoFPti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5" l="1"/>
  <c r="C7" i="5"/>
  <c r="F8" i="5" l="1"/>
  <c r="C16" i="3" l="1"/>
  <c r="C17" i="3"/>
  <c r="C15" i="3"/>
  <c r="C3" i="3"/>
  <c r="C4" i="3"/>
  <c r="C5" i="3"/>
  <c r="C6" i="3"/>
  <c r="C7" i="3"/>
  <c r="C8" i="3"/>
  <c r="C9" i="3"/>
  <c r="C2" i="3"/>
  <c r="D17" i="3"/>
  <c r="D16" i="3"/>
  <c r="D15" i="3"/>
  <c r="D9" i="3"/>
  <c r="D8" i="3"/>
  <c r="D7" i="3"/>
  <c r="D6" i="3"/>
  <c r="D5" i="3"/>
  <c r="D4" i="3"/>
  <c r="D3" i="3"/>
  <c r="D2" i="3"/>
  <c r="F7" i="5" l="1"/>
  <c r="F9" i="5"/>
  <c r="F10" i="5"/>
  <c r="F5" i="5"/>
  <c r="D11" i="3" l="1"/>
  <c r="C11" i="3"/>
  <c r="D14" i="3"/>
  <c r="C14" i="3"/>
  <c r="B10" i="3"/>
  <c r="E10" i="3" s="1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B3" i="3"/>
  <c r="B4" i="3"/>
  <c r="B5" i="3"/>
  <c r="B6" i="3"/>
  <c r="B7" i="3"/>
  <c r="B8" i="3"/>
  <c r="B9" i="3"/>
  <c r="B2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B16" i="3"/>
  <c r="B17" i="3"/>
  <c r="B15" i="3"/>
  <c r="L11" i="3"/>
  <c r="K11" i="3"/>
  <c r="R11" i="3"/>
  <c r="S11" i="3"/>
  <c r="V11" i="3"/>
  <c r="Y11" i="3"/>
  <c r="Z11" i="3"/>
  <c r="AA11" i="3"/>
  <c r="AC11" i="3"/>
  <c r="AD11" i="3"/>
  <c r="AE11" i="3"/>
  <c r="AF11" i="3"/>
  <c r="AG11" i="3"/>
  <c r="AH11" i="3"/>
  <c r="AI11" i="3"/>
  <c r="AJ11" i="3"/>
  <c r="B11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F11" i="3"/>
  <c r="G11" i="3"/>
  <c r="H11" i="3"/>
  <c r="I11" i="3"/>
  <c r="J11" i="3"/>
  <c r="F14" i="3"/>
  <c r="G14" i="3"/>
  <c r="H14" i="3"/>
  <c r="I14" i="3"/>
  <c r="J14" i="3"/>
  <c r="E14" i="3"/>
  <c r="E11" i="3"/>
  <c r="B14" i="3"/>
  <c r="Y12" i="3" l="1"/>
  <c r="S12" i="3"/>
  <c r="P12" i="3"/>
  <c r="C12" i="3"/>
  <c r="I12" i="3"/>
  <c r="F12" i="3"/>
  <c r="AJ12" i="3"/>
  <c r="G10" i="3"/>
  <c r="AA12" i="3"/>
  <c r="J12" i="3"/>
  <c r="R10" i="3"/>
  <c r="AE12" i="3"/>
  <c r="AI12" i="3"/>
  <c r="O12" i="3"/>
  <c r="AF12" i="3"/>
  <c r="M12" i="3"/>
  <c r="AC12" i="3"/>
  <c r="T12" i="3"/>
  <c r="K12" i="3"/>
  <c r="X12" i="3"/>
  <c r="U12" i="3"/>
  <c r="K13" i="3"/>
  <c r="D13" i="3"/>
  <c r="E13" i="3"/>
  <c r="H10" i="3"/>
  <c r="E12" i="3"/>
  <c r="D10" i="3"/>
  <c r="C10" i="3"/>
  <c r="D12" i="3"/>
  <c r="AA10" i="3"/>
  <c r="V10" i="3"/>
  <c r="AG10" i="3"/>
  <c r="M10" i="3"/>
  <c r="AH10" i="3"/>
  <c r="Z10" i="3"/>
  <c r="O10" i="3"/>
  <c r="F10" i="3"/>
  <c r="AC10" i="3"/>
  <c r="U10" i="3"/>
  <c r="K10" i="3"/>
  <c r="B12" i="3"/>
  <c r="H12" i="3"/>
  <c r="AG12" i="3"/>
  <c r="AB12" i="3"/>
  <c r="W12" i="3"/>
  <c r="Q12" i="3"/>
  <c r="L12" i="3"/>
  <c r="AE10" i="3"/>
  <c r="W10" i="3"/>
  <c r="Q10" i="3"/>
  <c r="J10" i="3"/>
  <c r="G12" i="3"/>
  <c r="AH12" i="3"/>
  <c r="AD12" i="3"/>
  <c r="Z12" i="3"/>
  <c r="V12" i="3"/>
  <c r="R12" i="3"/>
  <c r="N12" i="3"/>
  <c r="AI10" i="3"/>
  <c r="AD10" i="3"/>
  <c r="Y10" i="3"/>
  <c r="S10" i="3"/>
  <c r="N10" i="3"/>
  <c r="I10" i="3"/>
  <c r="AJ10" i="3"/>
  <c r="AF10" i="3"/>
  <c r="AB10" i="3"/>
  <c r="X10" i="3"/>
  <c r="T10" i="3"/>
  <c r="P10" i="3"/>
  <c r="L10" i="3"/>
  <c r="AD13" i="3"/>
  <c r="AH13" i="3"/>
  <c r="Z13" i="3"/>
  <c r="W11" i="3"/>
  <c r="O11" i="3"/>
  <c r="G13" i="3"/>
  <c r="V13" i="3"/>
  <c r="N11" i="3"/>
  <c r="J13" i="3"/>
  <c r="F13" i="3"/>
  <c r="AG13" i="3"/>
  <c r="AC13" i="3"/>
  <c r="Y13" i="3"/>
  <c r="U13" i="3"/>
  <c r="Q13" i="3"/>
  <c r="M13" i="3"/>
  <c r="R13" i="3"/>
  <c r="N13" i="3"/>
  <c r="B13" i="3"/>
  <c r="C13" i="3"/>
  <c r="I13" i="3"/>
  <c r="AJ13" i="3"/>
  <c r="AF13" i="3"/>
  <c r="AB13" i="3"/>
  <c r="X13" i="3"/>
  <c r="T13" i="3"/>
  <c r="P13" i="3"/>
  <c r="L13" i="3"/>
  <c r="U11" i="3"/>
  <c r="Q11" i="3"/>
  <c r="M11" i="3"/>
  <c r="H13" i="3"/>
  <c r="AI13" i="3"/>
  <c r="AE13" i="3"/>
  <c r="AA13" i="3"/>
  <c r="W13" i="3"/>
  <c r="S13" i="3"/>
  <c r="O13" i="3"/>
  <c r="AB11" i="3"/>
  <c r="X11" i="3"/>
  <c r="T11" i="3"/>
  <c r="P11" i="3"/>
</calcChain>
</file>

<file path=xl/sharedStrings.xml><?xml version="1.0" encoding="utf-8"?>
<sst xmlns="http://schemas.openxmlformats.org/spreadsheetml/2006/main" count="80" uniqueCount="77">
  <si>
    <t>BSoFPtiT BAU Share of Fuel Price that is Tax</t>
  </si>
  <si>
    <t>Source:</t>
  </si>
  <si>
    <t>Petroleum Gasoline, Petroleum Diesel, Jet Fuel Tax</t>
  </si>
  <si>
    <t>Hydrocarbon Oil</t>
  </si>
  <si>
    <t>Customs and Excise Department: The Government of the Hong Kong Special Administrative Region</t>
  </si>
  <si>
    <t>https://web.archive.org/web/20161006230240/http://www.customs.gov.hk/en/trade_facilitation/dutiable/types/index.html#methyl_alcohol</t>
  </si>
  <si>
    <t>Sales Tax</t>
  </si>
  <si>
    <t>Taxation and Investment in Hong Kong 2016</t>
  </si>
  <si>
    <t>Deloitte</t>
  </si>
  <si>
    <t>https://www2.deloitte.com/content/dam/Deloitte/global/Documents/Tax/dttl-tax-hongkongguide-2016.pdf</t>
  </si>
  <si>
    <t>Fuels</t>
  </si>
  <si>
    <t>Value Added Tax (VAT) Rates</t>
  </si>
  <si>
    <t>PwC</t>
  </si>
  <si>
    <t>http://taxsummaries.pwc.com/ID/Value-added-tax-(VAT)-rates</t>
  </si>
  <si>
    <t>Price Board</t>
  </si>
  <si>
    <t>Shell</t>
  </si>
  <si>
    <t>https://www.shell.com.hk/en_hk/motorists/shell-fuels/price-board.html</t>
  </si>
  <si>
    <t>List Price Adjustment</t>
  </si>
  <si>
    <t>Sinopec</t>
  </si>
  <si>
    <t>http://www.sinopechk.com/oilprice.aspx</t>
  </si>
  <si>
    <t>Fuel Prices</t>
  </si>
  <si>
    <t>Caltex</t>
  </si>
  <si>
    <t>https://www.caltex.com/hk/en/motorists/products-and-services/fuel-prices.html</t>
  </si>
  <si>
    <t>Notes</t>
  </si>
  <si>
    <t>Tax rate projections have only been located for petroleum gasoline, petroleum diesel, and jet fuel.</t>
  </si>
  <si>
    <t>We assume biofuel gasoline is taxed at the same rate as petroleum gasoline and biofuel diesel</t>
  </si>
  <si>
    <t>is taxed at the same rate as petroleum diesel.</t>
  </si>
  <si>
    <t>For all other fuels, we assume the national average sales tax rate.</t>
  </si>
  <si>
    <t>We assume years after 2018 to be like 2018, because in the BAU case, we don't assume the expiration or change of any laws </t>
  </si>
  <si>
    <t>Hong Kong does not levy a sales tax on goods and services-Deloitte</t>
  </si>
  <si>
    <t>The tax rate for petroleum gasoline is calculated based on average petrol prices from various providers (Caltex, Shell, Sinopec) operating in Kong Kong.</t>
  </si>
  <si>
    <t>rate=</t>
  </si>
  <si>
    <t>tax/(end user price-tax)</t>
  </si>
  <si>
    <t>HK Tax</t>
  </si>
  <si>
    <t>avg</t>
  </si>
  <si>
    <t>Sinopeck</t>
  </si>
  <si>
    <t>Rate</t>
  </si>
  <si>
    <t>Aircraft spirit</t>
  </si>
  <si>
    <t>Motor spirit (leaded petrol)</t>
  </si>
  <si>
    <t>Motor spirit (unleaded petrol)</t>
  </si>
  <si>
    <t>Light diesel oil</t>
  </si>
  <si>
    <t>marine</t>
  </si>
  <si>
    <t>Ultra Low Sulphur diesel</t>
  </si>
  <si>
    <t>Euro V diesel</t>
  </si>
  <si>
    <t>Sino X Power</t>
  </si>
  <si>
    <t xml:space="preserve">Platinum </t>
  </si>
  <si>
    <t>Shell V-Power*</t>
  </si>
  <si>
    <t>Sino Power</t>
  </si>
  <si>
    <t>Gold</t>
  </si>
  <si>
    <t>Shell FuelSave Unleaded*</t>
  </si>
  <si>
    <t>Sino Diesel</t>
  </si>
  <si>
    <t>Caltex Diesel</t>
  </si>
  <si>
    <t>Shell FuelSave Diesel</t>
  </si>
  <si>
    <t>* Inc. Government Excise Duty HK$6.06/ Litre</t>
  </si>
  <si>
    <t>Avg Sales Tax Rate</t>
  </si>
  <si>
    <t>Year</t>
  </si>
  <si>
    <t>electricity</t>
  </si>
  <si>
    <t>hard coal</t>
  </si>
  <si>
    <t>natural gas</t>
  </si>
  <si>
    <t>nuclear</t>
  </si>
  <si>
    <t>hydro (does not use fuel)</t>
  </si>
  <si>
    <t>wind (does not use fuel)</t>
  </si>
  <si>
    <t>solar (does not use fuel)</t>
  </si>
  <si>
    <t>biomass</t>
  </si>
  <si>
    <t>petroleum gasoline</t>
  </si>
  <si>
    <t>petroleum diesel</t>
  </si>
  <si>
    <t>biofuel gasoline</t>
  </si>
  <si>
    <t>biofuel diesel</t>
  </si>
  <si>
    <t>jet fuel</t>
  </si>
  <si>
    <t>heat</t>
  </si>
  <si>
    <t>geothermal (does not use fuel)</t>
  </si>
  <si>
    <t>lignite</t>
  </si>
  <si>
    <t>crude oil</t>
    <phoneticPr fontId="12" type="noConversion"/>
  </si>
  <si>
    <t>heavy fuel oil</t>
    <phoneticPr fontId="12" type="noConversion"/>
  </si>
  <si>
    <t>LPG propane or butane</t>
    <phoneticPr fontId="12" type="noConversion"/>
  </si>
  <si>
    <t>municipal solid waste</t>
    <phoneticPr fontId="12" type="noConversion"/>
  </si>
  <si>
    <t>hydrogen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</si>
</sst>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0.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1"/>
      <color rgb="FF305496"/>
      <name val="Calibri"/>
      <family val="2"/>
      <scheme val="minor"/>
    </font>
    <font>
      <sz val="11"/>
      <color rgb="FFC65911"/>
      <name val="Calibri"/>
      <family val="2"/>
      <scheme val="minor"/>
    </font>
    <font>
      <sz val="11"/>
      <color theme="4"/>
      <name val="Calibri"/>
      <family val="2"/>
      <scheme val="minor"/>
    </font>
    <font>
      <sz val="9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Protection="0">
      <alignment wrapText="1"/>
    </xf>
    <xf numFmtId="0" fontId="5" fillId="0" borderId="0" applyNumberFormat="0" applyProtection="0">
      <alignment horizontal="left"/>
    </xf>
    <xf numFmtId="0" fontId="3" fillId="0" borderId="2" applyNumberFormat="0" applyFon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7" fillId="0" borderId="0"/>
    <xf numFmtId="0" fontId="7" fillId="0" borderId="8" applyNumberFormat="0" applyProtection="0">
      <alignment wrapText="1"/>
    </xf>
    <xf numFmtId="0" fontId="8" fillId="0" borderId="6" applyNumberFormat="0" applyProtection="0">
      <alignment wrapText="1"/>
    </xf>
    <xf numFmtId="0" fontId="7" fillId="0" borderId="7" applyNumberFormat="0" applyFont="0" applyProtection="0">
      <alignment wrapText="1"/>
    </xf>
    <xf numFmtId="0" fontId="8" fillId="0" borderId="5" applyNumberFormat="0" applyProtection="0">
      <alignment wrapText="1"/>
    </xf>
    <xf numFmtId="0" fontId="7" fillId="0" borderId="0" applyNumberFormat="0" applyFill="0" applyBorder="0" applyAlignment="0" applyProtection="0"/>
    <xf numFmtId="0" fontId="6" fillId="0" borderId="0" applyNumberFormat="0" applyProtection="0">
      <alignment horizontal="left"/>
    </xf>
  </cellStyleXfs>
  <cellXfs count="1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64" fontId="0" fillId="0" borderId="0" xfId="0" applyNumberFormat="1"/>
    <xf numFmtId="0" fontId="0" fillId="0" borderId="0" xfId="0" applyAlignment="1">
      <alignment horizontal="right"/>
    </xf>
    <xf numFmtId="0" fontId="1" fillId="3" borderId="0" xfId="0" applyFont="1" applyFill="1" applyAlignment="1">
      <alignment horizontal="left" vertical="top"/>
    </xf>
    <xf numFmtId="0" fontId="0" fillId="3" borderId="0" xfId="0" applyFill="1"/>
    <xf numFmtId="0" fontId="1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165" fontId="0" fillId="0" borderId="0" xfId="0" applyNumberFormat="1"/>
    <xf numFmtId="164" fontId="9" fillId="0" borderId="0" xfId="0" applyNumberFormat="1" applyFont="1"/>
    <xf numFmtId="10" fontId="9" fillId="0" borderId="0" xfId="0" applyNumberFormat="1" applyFont="1"/>
    <xf numFmtId="164" fontId="0" fillId="4" borderId="0" xfId="0" applyNumberFormat="1" applyFill="1"/>
    <xf numFmtId="164" fontId="11" fillId="4" borderId="0" xfId="0" applyNumberFormat="1" applyFont="1" applyFill="1"/>
  </cellXfs>
  <cellStyles count="15">
    <cellStyle name="Body: normal cell" xfId="5" xr:uid="{00000000-0005-0000-0000-000000000000}"/>
    <cellStyle name="Body: normal cell 2" xfId="11" xr:uid="{00000000-0005-0000-0000-000001000000}"/>
    <cellStyle name="Font: Calibri, 9pt regular" xfId="2" xr:uid="{00000000-0005-0000-0000-000002000000}"/>
    <cellStyle name="Font: Calibri, 9pt regular 2" xfId="13" xr:uid="{00000000-0005-0000-0000-000003000000}"/>
    <cellStyle name="Footnotes: top row" xfId="7" xr:uid="{00000000-0005-0000-0000-000004000000}"/>
    <cellStyle name="Footnotes: top row 2" xfId="9" xr:uid="{00000000-0005-0000-0000-000005000000}"/>
    <cellStyle name="Header: bottom row" xfId="3" xr:uid="{00000000-0005-0000-0000-000006000000}"/>
    <cellStyle name="Header: bottom row 2" xfId="12" xr:uid="{00000000-0005-0000-0000-000007000000}"/>
    <cellStyle name="Hyperlink" xfId="1" builtinId="8"/>
    <cellStyle name="Normal" xfId="0" builtinId="0"/>
    <cellStyle name="Normal 2" xfId="8" xr:uid="{00000000-0005-0000-0000-000008000000}"/>
    <cellStyle name="Parent row" xfId="6" xr:uid="{00000000-0005-0000-0000-000009000000}"/>
    <cellStyle name="Parent row 2" xfId="10" xr:uid="{00000000-0005-0000-0000-00000A000000}"/>
    <cellStyle name="Table title" xfId="4" xr:uid="{00000000-0005-0000-0000-00000B000000}"/>
    <cellStyle name="Table title 2" xfId="14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190500</xdr:colOff>
      <xdr:row>1</xdr:row>
      <xdr:rowOff>127000</xdr:rowOff>
    </xdr:from>
    <xdr:to>
      <xdr:col>20</xdr:col>
      <xdr:colOff>558800</xdr:colOff>
      <xdr:row>33</xdr:row>
      <xdr:rowOff>48649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C98030B-B68E-9F77-8411-FD7BF1123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5100" y="317500"/>
          <a:ext cx="7772400" cy="6017649"/>
        </a:xfrm>
        <a:prstGeom prst="rect">
          <a:avLst/>
        </a:prstGeom>
      </xdr:spPr>
    </xdr:pic>
    <xdr:clientData/>
  </xdr:twoCellAnchor>
  <xdr:twoCellAnchor editAs="oneCell">
    <xdr:from>
      <xdr:col>9</xdr:col>
      <xdr:colOff>241300</xdr:colOff>
      <xdr:row>35</xdr:row>
      <xdr:rowOff>78649</xdr:rowOff>
    </xdr:from>
    <xdr:to>
      <xdr:col>21</xdr:col>
      <xdr:colOff>0</xdr:colOff>
      <xdr:row>67</xdr:row>
      <xdr:rowOff>73751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6152FD9-5FBA-56BE-3267-0D46CD807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5900" y="6746149"/>
          <a:ext cx="7772400" cy="60911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taxsummaries.pwc.com/ID/Value-added-tax-(VAT)-rate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eb.archive.org/web/20161006230240/http:/www.customs.gov.hk/en/trade_facilitation/dutiable/types/index.html" TargetMode="External"/><Relationship Id="rId1" Type="http://schemas.openxmlformats.org/officeDocument/2006/relationships/hyperlink" Target="https://www2.deloitte.com/content/dam/Deloitte/global/Documents/Tax/dttl-tax-hongkongguide-2016.pdf" TargetMode="External"/><Relationship Id="rId6" Type="http://schemas.openxmlformats.org/officeDocument/2006/relationships/hyperlink" Target="http://www.sinopechk.com/oilprice.aspx" TargetMode="External"/><Relationship Id="rId5" Type="http://schemas.openxmlformats.org/officeDocument/2006/relationships/hyperlink" Target="https://www.caltex.com/hk/en/motorists/products-and-services/fuel-prices.html" TargetMode="External"/><Relationship Id="rId4" Type="http://schemas.openxmlformats.org/officeDocument/2006/relationships/hyperlink" Target="https://www.shell.com.hk/en_hk/motorists/shell-fuels/price-board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workbookViewId="0">
      <selection activeCell="B7" sqref="B7"/>
    </sheetView>
  </sheetViews>
  <sheetFormatPr defaultColWidth="8.85546875" defaultRowHeight="15"/>
  <cols>
    <col min="1" max="1" width="8.7109375" customWidth="1"/>
    <col min="2" max="2" width="79.42578125" customWidth="1"/>
    <col min="3" max="3" width="18.140625" customWidth="1"/>
  </cols>
  <sheetData>
    <row r="1" spans="1:6">
      <c r="A1" s="1" t="s">
        <v>0</v>
      </c>
    </row>
    <row r="3" spans="1:6">
      <c r="A3" s="1" t="s">
        <v>1</v>
      </c>
      <c r="B3" s="2" t="s">
        <v>2</v>
      </c>
    </row>
    <row r="4" spans="1:6">
      <c r="B4" t="s">
        <v>3</v>
      </c>
    </row>
    <row r="5" spans="1:6">
      <c r="B5" s="3">
        <v>2016</v>
      </c>
    </row>
    <row r="6" spans="1:6">
      <c r="B6" t="s">
        <v>4</v>
      </c>
    </row>
    <row r="7" spans="1:6">
      <c r="B7" s="4" t="s">
        <v>5</v>
      </c>
    </row>
    <row r="9" spans="1:6">
      <c r="B9" s="2" t="s">
        <v>6</v>
      </c>
    </row>
    <row r="10" spans="1:6">
      <c r="B10" t="s">
        <v>7</v>
      </c>
    </row>
    <row r="11" spans="1:6">
      <c r="B11" s="3">
        <v>2016</v>
      </c>
    </row>
    <row r="12" spans="1:6">
      <c r="B12" t="s">
        <v>8</v>
      </c>
      <c r="F12" s="4"/>
    </row>
    <row r="13" spans="1:6">
      <c r="B13" s="4" t="s">
        <v>9</v>
      </c>
    </row>
    <row r="14" spans="1:6">
      <c r="B14" s="4"/>
    </row>
    <row r="15" spans="1:6">
      <c r="B15" s="2" t="s">
        <v>10</v>
      </c>
    </row>
    <row r="16" spans="1:6">
      <c r="B16" t="s">
        <v>11</v>
      </c>
    </row>
    <row r="17" spans="2:2">
      <c r="B17" s="3">
        <v>2019</v>
      </c>
    </row>
    <row r="18" spans="2:2">
      <c r="B18" t="s">
        <v>12</v>
      </c>
    </row>
    <row r="19" spans="2:2">
      <c r="B19" s="4" t="s">
        <v>13</v>
      </c>
    </row>
    <row r="20" spans="2:2">
      <c r="B20" s="4"/>
    </row>
    <row r="21" spans="2:2">
      <c r="B21" s="3" t="s">
        <v>14</v>
      </c>
    </row>
    <row r="22" spans="2:2">
      <c r="B22" s="3">
        <v>2019</v>
      </c>
    </row>
    <row r="23" spans="2:2">
      <c r="B23" s="3" t="s">
        <v>15</v>
      </c>
    </row>
    <row r="24" spans="2:2">
      <c r="B24" s="4" t="s">
        <v>16</v>
      </c>
    </row>
    <row r="25" spans="2:2">
      <c r="B25" s="4"/>
    </row>
    <row r="26" spans="2:2">
      <c r="B26" s="3" t="s">
        <v>17</v>
      </c>
    </row>
    <row r="27" spans="2:2">
      <c r="B27" s="3">
        <v>2019</v>
      </c>
    </row>
    <row r="28" spans="2:2">
      <c r="B28" s="3" t="s">
        <v>18</v>
      </c>
    </row>
    <row r="29" spans="2:2">
      <c r="B29" s="4" t="s">
        <v>19</v>
      </c>
    </row>
    <row r="30" spans="2:2">
      <c r="B30" s="4"/>
    </row>
    <row r="31" spans="2:2">
      <c r="B31" s="3" t="s">
        <v>20</v>
      </c>
    </row>
    <row r="32" spans="2:2">
      <c r="B32" s="3">
        <v>2019</v>
      </c>
    </row>
    <row r="33" spans="1:2">
      <c r="B33" s="3" t="s">
        <v>21</v>
      </c>
    </row>
    <row r="34" spans="1:2">
      <c r="B34" s="4" t="s">
        <v>22</v>
      </c>
    </row>
    <row r="35" spans="1:2">
      <c r="B35" s="4"/>
    </row>
    <row r="36" spans="1:2">
      <c r="A36" s="1" t="s">
        <v>23</v>
      </c>
    </row>
    <row r="37" spans="1:2">
      <c r="A37" t="s">
        <v>24</v>
      </c>
    </row>
    <row r="38" spans="1:2">
      <c r="A38" t="s">
        <v>25</v>
      </c>
    </row>
    <row r="39" spans="1:2">
      <c r="A39" t="s">
        <v>26</v>
      </c>
    </row>
    <row r="40" spans="1:2">
      <c r="A40" t="s">
        <v>27</v>
      </c>
    </row>
    <row r="41" spans="1:2">
      <c r="A41" t="s">
        <v>28</v>
      </c>
    </row>
    <row r="42" spans="1:2">
      <c r="A42" s="1"/>
    </row>
    <row r="43" spans="1:2">
      <c r="A43" t="s">
        <v>29</v>
      </c>
    </row>
    <row r="45" spans="1:2">
      <c r="A45" t="s">
        <v>30</v>
      </c>
    </row>
  </sheetData>
  <phoneticPr fontId="12" type="noConversion"/>
  <hyperlinks>
    <hyperlink ref="B13" r:id="rId1" xr:uid="{00000000-0004-0000-0000-000000000000}"/>
    <hyperlink ref="B7" r:id="rId2" location="methyl_alcohol" xr:uid="{00000000-0004-0000-0000-000001000000}"/>
    <hyperlink ref="B19" r:id="rId3" xr:uid="{00000000-0004-0000-0000-000002000000}"/>
    <hyperlink ref="B24" r:id="rId4" xr:uid="{00000000-0004-0000-0000-000003000000}"/>
    <hyperlink ref="B34" r:id="rId5" xr:uid="{00000000-0004-0000-0000-000004000000}"/>
    <hyperlink ref="B29" r:id="rId6" xr:uid="{00000000-0004-0000-0000-000005000000}"/>
  </hyperlinks>
  <pageMargins left="0.7" right="0.7" top="0.75" bottom="0.75" header="0.3" footer="0.3"/>
  <pageSetup orientation="portrait" horizontalDpi="1200" verticalDpi="120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0"/>
  <sheetViews>
    <sheetView workbookViewId="0">
      <selection activeCell="C29" sqref="C28:C29"/>
    </sheetView>
  </sheetViews>
  <sheetFormatPr defaultColWidth="8.85546875" defaultRowHeight="15"/>
  <cols>
    <col min="1" max="1" width="29" customWidth="1"/>
  </cols>
  <sheetData>
    <row r="2" spans="1:7">
      <c r="A2" s="1" t="s">
        <v>31</v>
      </c>
      <c r="B2" s="1" t="s">
        <v>32</v>
      </c>
      <c r="C2" s="1"/>
      <c r="D2" s="1"/>
    </row>
    <row r="4" spans="1:7">
      <c r="B4" s="9" t="s">
        <v>33</v>
      </c>
      <c r="C4" s="11" t="s">
        <v>34</v>
      </c>
      <c r="D4" s="10" t="s">
        <v>35</v>
      </c>
      <c r="F4" s="10" t="s">
        <v>36</v>
      </c>
      <c r="G4" s="4"/>
    </row>
    <row r="5" spans="1:7">
      <c r="A5" t="s">
        <v>37</v>
      </c>
      <c r="B5" s="5">
        <v>6.51</v>
      </c>
      <c r="C5" s="11"/>
      <c r="D5" s="13">
        <v>4</v>
      </c>
      <c r="F5" s="14">
        <f>B5/D5</f>
        <v>1.6274999999999999</v>
      </c>
      <c r="G5" s="11"/>
    </row>
    <row r="6" spans="1:7">
      <c r="A6" t="s">
        <v>38</v>
      </c>
      <c r="B6" s="5">
        <v>6.82</v>
      </c>
      <c r="C6" s="11"/>
      <c r="D6" s="10"/>
      <c r="F6" s="14"/>
      <c r="G6" s="11"/>
    </row>
    <row r="7" spans="1:7">
      <c r="A7" t="s">
        <v>39</v>
      </c>
      <c r="B7" s="15">
        <v>6.06</v>
      </c>
      <c r="C7" s="11">
        <f>AVERAGE(B15,D15,E15)</f>
        <v>21.656666666666666</v>
      </c>
      <c r="D7" s="16">
        <v>24.19</v>
      </c>
      <c r="F7" s="14">
        <f t="shared" ref="F7:F10" si="0">B7/D7</f>
        <v>0.2505167424555601</v>
      </c>
    </row>
    <row r="8" spans="1:7">
      <c r="A8" t="s">
        <v>40</v>
      </c>
      <c r="B8" s="15">
        <v>2.89</v>
      </c>
      <c r="C8" s="11">
        <f>(B16+E16+D16)/3</f>
        <v>20.926666666666666</v>
      </c>
      <c r="D8" s="16">
        <v>22.9</v>
      </c>
      <c r="E8" t="s">
        <v>41</v>
      </c>
      <c r="F8" s="14">
        <f>B8/D8</f>
        <v>0.12620087336244543</v>
      </c>
    </row>
    <row r="9" spans="1:7">
      <c r="A9" t="s">
        <v>42</v>
      </c>
      <c r="B9" s="5">
        <v>2.89</v>
      </c>
      <c r="C9" s="11"/>
      <c r="D9" s="13">
        <v>20.7</v>
      </c>
      <c r="F9" s="14">
        <f t="shared" si="0"/>
        <v>0.13961352657004833</v>
      </c>
      <c r="G9" s="11"/>
    </row>
    <row r="10" spans="1:7">
      <c r="A10" t="s">
        <v>43</v>
      </c>
      <c r="B10" s="5">
        <v>0</v>
      </c>
      <c r="C10" s="11"/>
      <c r="D10" s="13">
        <v>21.85</v>
      </c>
      <c r="F10" s="14">
        <f t="shared" si="0"/>
        <v>0</v>
      </c>
      <c r="G10" s="11"/>
    </row>
    <row r="13" spans="1:7">
      <c r="B13" t="s">
        <v>18</v>
      </c>
      <c r="D13" t="s">
        <v>21</v>
      </c>
      <c r="E13" t="s">
        <v>15</v>
      </c>
    </row>
    <row r="14" spans="1:7">
      <c r="A14" t="s">
        <v>44</v>
      </c>
      <c r="B14" s="6">
        <v>25.23</v>
      </c>
      <c r="C14" t="s">
        <v>45</v>
      </c>
      <c r="D14">
        <v>14.15</v>
      </c>
      <c r="E14">
        <v>25.5</v>
      </c>
      <c r="F14" t="s">
        <v>46</v>
      </c>
    </row>
    <row r="15" spans="1:7">
      <c r="A15" t="s">
        <v>47</v>
      </c>
      <c r="B15" s="6">
        <v>24.04</v>
      </c>
      <c r="C15" t="s">
        <v>48</v>
      </c>
      <c r="D15">
        <v>16.739999999999998</v>
      </c>
      <c r="E15">
        <v>24.19</v>
      </c>
      <c r="F15" t="s">
        <v>49</v>
      </c>
      <c r="G15" s="4"/>
    </row>
    <row r="16" spans="1:7">
      <c r="A16" t="s">
        <v>50</v>
      </c>
      <c r="B16" s="6">
        <v>22.35</v>
      </c>
      <c r="C16" t="s">
        <v>51</v>
      </c>
      <c r="D16">
        <v>17.93</v>
      </c>
      <c r="E16">
        <v>22.5</v>
      </c>
      <c r="F16" t="s">
        <v>52</v>
      </c>
    </row>
    <row r="17" spans="1:2">
      <c r="A17" t="s">
        <v>53</v>
      </c>
    </row>
    <row r="19" spans="1:2">
      <c r="A19" s="7" t="s">
        <v>54</v>
      </c>
      <c r="B19" s="8"/>
    </row>
    <row r="20" spans="1:2">
      <c r="A20">
        <v>0</v>
      </c>
    </row>
  </sheetData>
  <phoneticPr fontId="1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R22"/>
  <sheetViews>
    <sheetView tabSelected="1" workbookViewId="0">
      <selection activeCell="U9" sqref="U9"/>
    </sheetView>
  </sheetViews>
  <sheetFormatPr defaultColWidth="8.85546875" defaultRowHeight="15"/>
  <cols>
    <col min="1" max="1" width="34.7109375" customWidth="1"/>
    <col min="2" max="8" width="10.85546875" customWidth="1"/>
  </cols>
  <sheetData>
    <row r="1" spans="1:44">
      <c r="A1" s="1" t="s">
        <v>55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/>
      <c r="AL1" s="1"/>
      <c r="AM1" s="1"/>
      <c r="AN1" s="1"/>
      <c r="AO1" s="1"/>
      <c r="AP1" s="1"/>
      <c r="AQ1" s="1"/>
      <c r="AR1" s="1"/>
    </row>
    <row r="2" spans="1:44">
      <c r="A2" s="1" t="s">
        <v>56</v>
      </c>
      <c r="B2">
        <f>'Tax Rates'!$A$20</f>
        <v>0</v>
      </c>
      <c r="C2">
        <f>'Tax Rates'!$A$20</f>
        <v>0</v>
      </c>
      <c r="D2">
        <f>'Tax Rates'!$A$20</f>
        <v>0</v>
      </c>
      <c r="E2">
        <f>'Tax Rates'!$A$20</f>
        <v>0</v>
      </c>
      <c r="F2">
        <f>'Tax Rates'!$A$20</f>
        <v>0</v>
      </c>
      <c r="G2">
        <f>'Tax Rates'!$A$20</f>
        <v>0</v>
      </c>
      <c r="H2">
        <f>'Tax Rates'!$A$20</f>
        <v>0</v>
      </c>
      <c r="I2">
        <f>'Tax Rates'!$A$20</f>
        <v>0</v>
      </c>
      <c r="J2">
        <f>'Tax Rates'!$A$20</f>
        <v>0</v>
      </c>
      <c r="K2">
        <f>'Tax Rates'!$A$20</f>
        <v>0</v>
      </c>
      <c r="L2">
        <f>'Tax Rates'!$A$20</f>
        <v>0</v>
      </c>
      <c r="M2">
        <f>'Tax Rates'!$A$20</f>
        <v>0</v>
      </c>
      <c r="N2">
        <f>'Tax Rates'!$A$20</f>
        <v>0</v>
      </c>
      <c r="O2">
        <f>'Tax Rates'!$A$20</f>
        <v>0</v>
      </c>
      <c r="P2">
        <f>'Tax Rates'!$A$20</f>
        <v>0</v>
      </c>
      <c r="Q2">
        <f>'Tax Rates'!$A$20</f>
        <v>0</v>
      </c>
      <c r="R2">
        <f>'Tax Rates'!$A$20</f>
        <v>0</v>
      </c>
      <c r="S2">
        <f>'Tax Rates'!$A$20</f>
        <v>0</v>
      </c>
      <c r="T2">
        <f>'Tax Rates'!$A$20</f>
        <v>0</v>
      </c>
      <c r="U2">
        <f>'Tax Rates'!$A$20</f>
        <v>0</v>
      </c>
      <c r="V2">
        <f>'Tax Rates'!$A$20</f>
        <v>0</v>
      </c>
      <c r="W2">
        <f>'Tax Rates'!$A$20</f>
        <v>0</v>
      </c>
      <c r="X2">
        <f>'Tax Rates'!$A$20</f>
        <v>0</v>
      </c>
      <c r="Y2">
        <f>'Tax Rates'!$A$20</f>
        <v>0</v>
      </c>
      <c r="Z2">
        <f>'Tax Rates'!$A$20</f>
        <v>0</v>
      </c>
      <c r="AA2">
        <f>'Tax Rates'!$A$20</f>
        <v>0</v>
      </c>
      <c r="AB2">
        <f>'Tax Rates'!$A$20</f>
        <v>0</v>
      </c>
      <c r="AC2">
        <f>'Tax Rates'!$A$20</f>
        <v>0</v>
      </c>
      <c r="AD2">
        <f>'Tax Rates'!$A$20</f>
        <v>0</v>
      </c>
      <c r="AE2">
        <f>'Tax Rates'!$A$20</f>
        <v>0</v>
      </c>
      <c r="AF2">
        <f>'Tax Rates'!$A$20</f>
        <v>0</v>
      </c>
      <c r="AG2">
        <f>'Tax Rates'!$A$20</f>
        <v>0</v>
      </c>
      <c r="AH2">
        <f>'Tax Rates'!$A$20</f>
        <v>0</v>
      </c>
      <c r="AI2">
        <f>'Tax Rates'!$A$20</f>
        <v>0</v>
      </c>
      <c r="AJ2">
        <f>'Tax Rates'!$A$20</f>
        <v>0</v>
      </c>
    </row>
    <row r="3" spans="1:44">
      <c r="A3" s="1" t="s">
        <v>57</v>
      </c>
      <c r="B3">
        <f>'Tax Rates'!$A$20</f>
        <v>0</v>
      </c>
      <c r="C3">
        <f>'Tax Rates'!$A$20</f>
        <v>0</v>
      </c>
      <c r="D3">
        <f>'Tax Rates'!$A$20</f>
        <v>0</v>
      </c>
      <c r="E3">
        <f>'Tax Rates'!$A$20</f>
        <v>0</v>
      </c>
      <c r="F3">
        <f>'Tax Rates'!$A$20</f>
        <v>0</v>
      </c>
      <c r="G3">
        <f>'Tax Rates'!$A$20</f>
        <v>0</v>
      </c>
      <c r="H3">
        <f>'Tax Rates'!$A$20</f>
        <v>0</v>
      </c>
      <c r="I3">
        <f>'Tax Rates'!$A$20</f>
        <v>0</v>
      </c>
      <c r="J3">
        <f>'Tax Rates'!$A$20</f>
        <v>0</v>
      </c>
      <c r="K3">
        <f>'Tax Rates'!$A$20</f>
        <v>0</v>
      </c>
      <c r="L3">
        <f>'Tax Rates'!$A$20</f>
        <v>0</v>
      </c>
      <c r="M3">
        <f>'Tax Rates'!$A$20</f>
        <v>0</v>
      </c>
      <c r="N3">
        <f>'Tax Rates'!$A$20</f>
        <v>0</v>
      </c>
      <c r="O3">
        <f>'Tax Rates'!$A$20</f>
        <v>0</v>
      </c>
      <c r="P3">
        <f>'Tax Rates'!$A$20</f>
        <v>0</v>
      </c>
      <c r="Q3">
        <f>'Tax Rates'!$A$20</f>
        <v>0</v>
      </c>
      <c r="R3">
        <f>'Tax Rates'!$A$20</f>
        <v>0</v>
      </c>
      <c r="S3">
        <f>'Tax Rates'!$A$20</f>
        <v>0</v>
      </c>
      <c r="T3">
        <f>'Tax Rates'!$A$20</f>
        <v>0</v>
      </c>
      <c r="U3">
        <f>'Tax Rates'!$A$20</f>
        <v>0</v>
      </c>
      <c r="V3">
        <f>'Tax Rates'!$A$20</f>
        <v>0</v>
      </c>
      <c r="W3">
        <f>'Tax Rates'!$A$20</f>
        <v>0</v>
      </c>
      <c r="X3">
        <f>'Tax Rates'!$A$20</f>
        <v>0</v>
      </c>
      <c r="Y3">
        <f>'Tax Rates'!$A$20</f>
        <v>0</v>
      </c>
      <c r="Z3">
        <f>'Tax Rates'!$A$20</f>
        <v>0</v>
      </c>
      <c r="AA3">
        <f>'Tax Rates'!$A$20</f>
        <v>0</v>
      </c>
      <c r="AB3">
        <f>'Tax Rates'!$A$20</f>
        <v>0</v>
      </c>
      <c r="AC3">
        <f>'Tax Rates'!$A$20</f>
        <v>0</v>
      </c>
      <c r="AD3">
        <f>'Tax Rates'!$A$20</f>
        <v>0</v>
      </c>
      <c r="AE3">
        <f>'Tax Rates'!$A$20</f>
        <v>0</v>
      </c>
      <c r="AF3">
        <f>'Tax Rates'!$A$20</f>
        <v>0</v>
      </c>
      <c r="AG3">
        <f>'Tax Rates'!$A$20</f>
        <v>0</v>
      </c>
      <c r="AH3">
        <f>'Tax Rates'!$A$20</f>
        <v>0</v>
      </c>
      <c r="AI3">
        <f>'Tax Rates'!$A$20</f>
        <v>0</v>
      </c>
      <c r="AJ3">
        <f>'Tax Rates'!$A$20</f>
        <v>0</v>
      </c>
    </row>
    <row r="4" spans="1:44">
      <c r="A4" s="1" t="s">
        <v>58</v>
      </c>
      <c r="B4">
        <f>'Tax Rates'!$A$20</f>
        <v>0</v>
      </c>
      <c r="C4">
        <f>'Tax Rates'!$A$20</f>
        <v>0</v>
      </c>
      <c r="D4">
        <f>'Tax Rates'!$A$20</f>
        <v>0</v>
      </c>
      <c r="E4">
        <f>'Tax Rates'!$A$20</f>
        <v>0</v>
      </c>
      <c r="F4">
        <f>'Tax Rates'!$A$20</f>
        <v>0</v>
      </c>
      <c r="G4">
        <f>'Tax Rates'!$A$20</f>
        <v>0</v>
      </c>
      <c r="H4">
        <f>'Tax Rates'!$A$20</f>
        <v>0</v>
      </c>
      <c r="I4">
        <f>'Tax Rates'!$A$20</f>
        <v>0</v>
      </c>
      <c r="J4">
        <f>'Tax Rates'!$A$20</f>
        <v>0</v>
      </c>
      <c r="K4">
        <f>'Tax Rates'!$A$20</f>
        <v>0</v>
      </c>
      <c r="L4">
        <f>'Tax Rates'!$A$20</f>
        <v>0</v>
      </c>
      <c r="M4">
        <f>'Tax Rates'!$A$20</f>
        <v>0</v>
      </c>
      <c r="N4">
        <f>'Tax Rates'!$A$20</f>
        <v>0</v>
      </c>
      <c r="O4">
        <f>'Tax Rates'!$A$20</f>
        <v>0</v>
      </c>
      <c r="P4">
        <f>'Tax Rates'!$A$20</f>
        <v>0</v>
      </c>
      <c r="Q4">
        <f>'Tax Rates'!$A$20</f>
        <v>0</v>
      </c>
      <c r="R4">
        <f>'Tax Rates'!$A$20</f>
        <v>0</v>
      </c>
      <c r="S4">
        <f>'Tax Rates'!$A$20</f>
        <v>0</v>
      </c>
      <c r="T4">
        <f>'Tax Rates'!$A$20</f>
        <v>0</v>
      </c>
      <c r="U4">
        <f>'Tax Rates'!$A$20</f>
        <v>0</v>
      </c>
      <c r="V4">
        <f>'Tax Rates'!$A$20</f>
        <v>0</v>
      </c>
      <c r="W4">
        <f>'Tax Rates'!$A$20</f>
        <v>0</v>
      </c>
      <c r="X4">
        <f>'Tax Rates'!$A$20</f>
        <v>0</v>
      </c>
      <c r="Y4">
        <f>'Tax Rates'!$A$20</f>
        <v>0</v>
      </c>
      <c r="Z4">
        <f>'Tax Rates'!$A$20</f>
        <v>0</v>
      </c>
      <c r="AA4">
        <f>'Tax Rates'!$A$20</f>
        <v>0</v>
      </c>
      <c r="AB4">
        <f>'Tax Rates'!$A$20</f>
        <v>0</v>
      </c>
      <c r="AC4">
        <f>'Tax Rates'!$A$20</f>
        <v>0</v>
      </c>
      <c r="AD4">
        <f>'Tax Rates'!$A$20</f>
        <v>0</v>
      </c>
      <c r="AE4">
        <f>'Tax Rates'!$A$20</f>
        <v>0</v>
      </c>
      <c r="AF4">
        <f>'Tax Rates'!$A$20</f>
        <v>0</v>
      </c>
      <c r="AG4">
        <f>'Tax Rates'!$A$20</f>
        <v>0</v>
      </c>
      <c r="AH4">
        <f>'Tax Rates'!$A$20</f>
        <v>0</v>
      </c>
      <c r="AI4">
        <f>'Tax Rates'!$A$20</f>
        <v>0</v>
      </c>
      <c r="AJ4">
        <f>'Tax Rates'!$A$20</f>
        <v>0</v>
      </c>
    </row>
    <row r="5" spans="1:44">
      <c r="A5" s="1" t="s">
        <v>59</v>
      </c>
      <c r="B5">
        <f>'Tax Rates'!$A$20</f>
        <v>0</v>
      </c>
      <c r="C5">
        <f>'Tax Rates'!$A$20</f>
        <v>0</v>
      </c>
      <c r="D5">
        <f>'Tax Rates'!$A$20</f>
        <v>0</v>
      </c>
      <c r="E5">
        <f>'Tax Rates'!$A$20</f>
        <v>0</v>
      </c>
      <c r="F5">
        <f>'Tax Rates'!$A$20</f>
        <v>0</v>
      </c>
      <c r="G5">
        <f>'Tax Rates'!$A$20</f>
        <v>0</v>
      </c>
      <c r="H5">
        <f>'Tax Rates'!$A$20</f>
        <v>0</v>
      </c>
      <c r="I5">
        <f>'Tax Rates'!$A$20</f>
        <v>0</v>
      </c>
      <c r="J5">
        <f>'Tax Rates'!$A$20</f>
        <v>0</v>
      </c>
      <c r="K5">
        <f>'Tax Rates'!$A$20</f>
        <v>0</v>
      </c>
      <c r="L5">
        <f>'Tax Rates'!$A$20</f>
        <v>0</v>
      </c>
      <c r="M5">
        <f>'Tax Rates'!$A$20</f>
        <v>0</v>
      </c>
      <c r="N5">
        <f>'Tax Rates'!$A$20</f>
        <v>0</v>
      </c>
      <c r="O5">
        <f>'Tax Rates'!$A$20</f>
        <v>0</v>
      </c>
      <c r="P5">
        <f>'Tax Rates'!$A$20</f>
        <v>0</v>
      </c>
      <c r="Q5">
        <f>'Tax Rates'!$A$20</f>
        <v>0</v>
      </c>
      <c r="R5">
        <f>'Tax Rates'!$A$20</f>
        <v>0</v>
      </c>
      <c r="S5">
        <f>'Tax Rates'!$A$20</f>
        <v>0</v>
      </c>
      <c r="T5">
        <f>'Tax Rates'!$A$20</f>
        <v>0</v>
      </c>
      <c r="U5">
        <f>'Tax Rates'!$A$20</f>
        <v>0</v>
      </c>
      <c r="V5">
        <f>'Tax Rates'!$A$20</f>
        <v>0</v>
      </c>
      <c r="W5">
        <f>'Tax Rates'!$A$20</f>
        <v>0</v>
      </c>
      <c r="X5">
        <f>'Tax Rates'!$A$20</f>
        <v>0</v>
      </c>
      <c r="Y5">
        <f>'Tax Rates'!$A$20</f>
        <v>0</v>
      </c>
      <c r="Z5">
        <f>'Tax Rates'!$A$20</f>
        <v>0</v>
      </c>
      <c r="AA5">
        <f>'Tax Rates'!$A$20</f>
        <v>0</v>
      </c>
      <c r="AB5">
        <f>'Tax Rates'!$A$20</f>
        <v>0</v>
      </c>
      <c r="AC5">
        <f>'Tax Rates'!$A$20</f>
        <v>0</v>
      </c>
      <c r="AD5">
        <f>'Tax Rates'!$A$20</f>
        <v>0</v>
      </c>
      <c r="AE5">
        <f>'Tax Rates'!$A$20</f>
        <v>0</v>
      </c>
      <c r="AF5">
        <f>'Tax Rates'!$A$20</f>
        <v>0</v>
      </c>
      <c r="AG5">
        <f>'Tax Rates'!$A$20</f>
        <v>0</v>
      </c>
      <c r="AH5">
        <f>'Tax Rates'!$A$20</f>
        <v>0</v>
      </c>
      <c r="AI5">
        <f>'Tax Rates'!$A$20</f>
        <v>0</v>
      </c>
      <c r="AJ5">
        <f>'Tax Rates'!$A$20</f>
        <v>0</v>
      </c>
    </row>
    <row r="6" spans="1:44">
      <c r="A6" s="1" t="s">
        <v>60</v>
      </c>
      <c r="B6">
        <f>'Tax Rates'!$A$20</f>
        <v>0</v>
      </c>
      <c r="C6">
        <f>'Tax Rates'!$A$20</f>
        <v>0</v>
      </c>
      <c r="D6">
        <f>'Tax Rates'!$A$20</f>
        <v>0</v>
      </c>
      <c r="E6">
        <f>'Tax Rates'!$A$20</f>
        <v>0</v>
      </c>
      <c r="F6">
        <f>'Tax Rates'!$A$20</f>
        <v>0</v>
      </c>
      <c r="G6">
        <f>'Tax Rates'!$A$20</f>
        <v>0</v>
      </c>
      <c r="H6">
        <f>'Tax Rates'!$A$20</f>
        <v>0</v>
      </c>
      <c r="I6">
        <f>'Tax Rates'!$A$20</f>
        <v>0</v>
      </c>
      <c r="J6">
        <f>'Tax Rates'!$A$20</f>
        <v>0</v>
      </c>
      <c r="K6">
        <f>'Tax Rates'!$A$20</f>
        <v>0</v>
      </c>
      <c r="L6">
        <f>'Tax Rates'!$A$20</f>
        <v>0</v>
      </c>
      <c r="M6">
        <f>'Tax Rates'!$A$20</f>
        <v>0</v>
      </c>
      <c r="N6">
        <f>'Tax Rates'!$A$20</f>
        <v>0</v>
      </c>
      <c r="O6">
        <f>'Tax Rates'!$A$20</f>
        <v>0</v>
      </c>
      <c r="P6">
        <f>'Tax Rates'!$A$20</f>
        <v>0</v>
      </c>
      <c r="Q6">
        <f>'Tax Rates'!$A$20</f>
        <v>0</v>
      </c>
      <c r="R6">
        <f>'Tax Rates'!$A$20</f>
        <v>0</v>
      </c>
      <c r="S6">
        <f>'Tax Rates'!$A$20</f>
        <v>0</v>
      </c>
      <c r="T6">
        <f>'Tax Rates'!$A$20</f>
        <v>0</v>
      </c>
      <c r="U6">
        <f>'Tax Rates'!$A$20</f>
        <v>0</v>
      </c>
      <c r="V6">
        <f>'Tax Rates'!$A$20</f>
        <v>0</v>
      </c>
      <c r="W6">
        <f>'Tax Rates'!$A$20</f>
        <v>0</v>
      </c>
      <c r="X6">
        <f>'Tax Rates'!$A$20</f>
        <v>0</v>
      </c>
      <c r="Y6">
        <f>'Tax Rates'!$A$20</f>
        <v>0</v>
      </c>
      <c r="Z6">
        <f>'Tax Rates'!$A$20</f>
        <v>0</v>
      </c>
      <c r="AA6">
        <f>'Tax Rates'!$A$20</f>
        <v>0</v>
      </c>
      <c r="AB6">
        <f>'Tax Rates'!$A$20</f>
        <v>0</v>
      </c>
      <c r="AC6">
        <f>'Tax Rates'!$A$20</f>
        <v>0</v>
      </c>
      <c r="AD6">
        <f>'Tax Rates'!$A$20</f>
        <v>0</v>
      </c>
      <c r="AE6">
        <f>'Tax Rates'!$A$20</f>
        <v>0</v>
      </c>
      <c r="AF6">
        <f>'Tax Rates'!$A$20</f>
        <v>0</v>
      </c>
      <c r="AG6">
        <f>'Tax Rates'!$A$20</f>
        <v>0</v>
      </c>
      <c r="AH6">
        <f>'Tax Rates'!$A$20</f>
        <v>0</v>
      </c>
      <c r="AI6">
        <f>'Tax Rates'!$A$20</f>
        <v>0</v>
      </c>
      <c r="AJ6">
        <f>'Tax Rates'!$A$20</f>
        <v>0</v>
      </c>
    </row>
    <row r="7" spans="1:44">
      <c r="A7" s="1" t="s">
        <v>61</v>
      </c>
      <c r="B7">
        <f>'Tax Rates'!$A$20</f>
        <v>0</v>
      </c>
      <c r="C7">
        <f>'Tax Rates'!$A$20</f>
        <v>0</v>
      </c>
      <c r="D7">
        <f>'Tax Rates'!$A$20</f>
        <v>0</v>
      </c>
      <c r="E7">
        <f>'Tax Rates'!$A$20</f>
        <v>0</v>
      </c>
      <c r="F7">
        <f>'Tax Rates'!$A$20</f>
        <v>0</v>
      </c>
      <c r="G7">
        <f>'Tax Rates'!$A$20</f>
        <v>0</v>
      </c>
      <c r="H7">
        <f>'Tax Rates'!$A$20</f>
        <v>0</v>
      </c>
      <c r="I7">
        <f>'Tax Rates'!$A$20</f>
        <v>0</v>
      </c>
      <c r="J7">
        <f>'Tax Rates'!$A$20</f>
        <v>0</v>
      </c>
      <c r="K7">
        <f>'Tax Rates'!$A$20</f>
        <v>0</v>
      </c>
      <c r="L7">
        <f>'Tax Rates'!$A$20</f>
        <v>0</v>
      </c>
      <c r="M7">
        <f>'Tax Rates'!$A$20</f>
        <v>0</v>
      </c>
      <c r="N7">
        <f>'Tax Rates'!$A$20</f>
        <v>0</v>
      </c>
      <c r="O7">
        <f>'Tax Rates'!$A$20</f>
        <v>0</v>
      </c>
      <c r="P7">
        <f>'Tax Rates'!$A$20</f>
        <v>0</v>
      </c>
      <c r="Q7">
        <f>'Tax Rates'!$A$20</f>
        <v>0</v>
      </c>
      <c r="R7">
        <f>'Tax Rates'!$A$20</f>
        <v>0</v>
      </c>
      <c r="S7">
        <f>'Tax Rates'!$A$20</f>
        <v>0</v>
      </c>
      <c r="T7">
        <f>'Tax Rates'!$A$20</f>
        <v>0</v>
      </c>
      <c r="U7">
        <f>'Tax Rates'!$A$20</f>
        <v>0</v>
      </c>
      <c r="V7">
        <f>'Tax Rates'!$A$20</f>
        <v>0</v>
      </c>
      <c r="W7">
        <f>'Tax Rates'!$A$20</f>
        <v>0</v>
      </c>
      <c r="X7">
        <f>'Tax Rates'!$A$20</f>
        <v>0</v>
      </c>
      <c r="Y7">
        <f>'Tax Rates'!$A$20</f>
        <v>0</v>
      </c>
      <c r="Z7">
        <f>'Tax Rates'!$A$20</f>
        <v>0</v>
      </c>
      <c r="AA7">
        <f>'Tax Rates'!$A$20</f>
        <v>0</v>
      </c>
      <c r="AB7">
        <f>'Tax Rates'!$A$20</f>
        <v>0</v>
      </c>
      <c r="AC7">
        <f>'Tax Rates'!$A$20</f>
        <v>0</v>
      </c>
      <c r="AD7">
        <f>'Tax Rates'!$A$20</f>
        <v>0</v>
      </c>
      <c r="AE7">
        <f>'Tax Rates'!$A$20</f>
        <v>0</v>
      </c>
      <c r="AF7">
        <f>'Tax Rates'!$A$20</f>
        <v>0</v>
      </c>
      <c r="AG7">
        <f>'Tax Rates'!$A$20</f>
        <v>0</v>
      </c>
      <c r="AH7">
        <f>'Tax Rates'!$A$20</f>
        <v>0</v>
      </c>
      <c r="AI7">
        <f>'Tax Rates'!$A$20</f>
        <v>0</v>
      </c>
      <c r="AJ7">
        <f>'Tax Rates'!$A$20</f>
        <v>0</v>
      </c>
    </row>
    <row r="8" spans="1:44">
      <c r="A8" s="1" t="s">
        <v>62</v>
      </c>
      <c r="B8">
        <f>'Tax Rates'!$A$20</f>
        <v>0</v>
      </c>
      <c r="C8">
        <f>'Tax Rates'!$A$20</f>
        <v>0</v>
      </c>
      <c r="D8">
        <f>'Tax Rates'!$A$20</f>
        <v>0</v>
      </c>
      <c r="E8">
        <f>'Tax Rates'!$A$20</f>
        <v>0</v>
      </c>
      <c r="F8">
        <f>'Tax Rates'!$A$20</f>
        <v>0</v>
      </c>
      <c r="G8">
        <f>'Tax Rates'!$A$20</f>
        <v>0</v>
      </c>
      <c r="H8">
        <f>'Tax Rates'!$A$20</f>
        <v>0</v>
      </c>
      <c r="I8">
        <f>'Tax Rates'!$A$20</f>
        <v>0</v>
      </c>
      <c r="J8">
        <f>'Tax Rates'!$A$20</f>
        <v>0</v>
      </c>
      <c r="K8">
        <f>'Tax Rates'!$A$20</f>
        <v>0</v>
      </c>
      <c r="L8">
        <f>'Tax Rates'!$A$20</f>
        <v>0</v>
      </c>
      <c r="M8">
        <f>'Tax Rates'!$A$20</f>
        <v>0</v>
      </c>
      <c r="N8">
        <f>'Tax Rates'!$A$20</f>
        <v>0</v>
      </c>
      <c r="O8">
        <f>'Tax Rates'!$A$20</f>
        <v>0</v>
      </c>
      <c r="P8">
        <f>'Tax Rates'!$A$20</f>
        <v>0</v>
      </c>
      <c r="Q8">
        <f>'Tax Rates'!$A$20</f>
        <v>0</v>
      </c>
      <c r="R8">
        <f>'Tax Rates'!$A$20</f>
        <v>0</v>
      </c>
      <c r="S8">
        <f>'Tax Rates'!$A$20</f>
        <v>0</v>
      </c>
      <c r="T8">
        <f>'Tax Rates'!$A$20</f>
        <v>0</v>
      </c>
      <c r="U8">
        <f>'Tax Rates'!$A$20</f>
        <v>0</v>
      </c>
      <c r="V8">
        <f>'Tax Rates'!$A$20</f>
        <v>0</v>
      </c>
      <c r="W8">
        <f>'Tax Rates'!$A$20</f>
        <v>0</v>
      </c>
      <c r="X8">
        <f>'Tax Rates'!$A$20</f>
        <v>0</v>
      </c>
      <c r="Y8">
        <f>'Tax Rates'!$A$20</f>
        <v>0</v>
      </c>
      <c r="Z8">
        <f>'Tax Rates'!$A$20</f>
        <v>0</v>
      </c>
      <c r="AA8">
        <f>'Tax Rates'!$A$20</f>
        <v>0</v>
      </c>
      <c r="AB8">
        <f>'Tax Rates'!$A$20</f>
        <v>0</v>
      </c>
      <c r="AC8">
        <f>'Tax Rates'!$A$20</f>
        <v>0</v>
      </c>
      <c r="AD8">
        <f>'Tax Rates'!$A$20</f>
        <v>0</v>
      </c>
      <c r="AE8">
        <f>'Tax Rates'!$A$20</f>
        <v>0</v>
      </c>
      <c r="AF8">
        <f>'Tax Rates'!$A$20</f>
        <v>0</v>
      </c>
      <c r="AG8">
        <f>'Tax Rates'!$A$20</f>
        <v>0</v>
      </c>
      <c r="AH8">
        <f>'Tax Rates'!$A$20</f>
        <v>0</v>
      </c>
      <c r="AI8">
        <f>'Tax Rates'!$A$20</f>
        <v>0</v>
      </c>
      <c r="AJ8">
        <f>'Tax Rates'!$A$20</f>
        <v>0</v>
      </c>
    </row>
    <row r="9" spans="1:44">
      <c r="A9" s="1" t="s">
        <v>63</v>
      </c>
      <c r="B9">
        <f>'Tax Rates'!$A$20</f>
        <v>0</v>
      </c>
      <c r="C9">
        <f>'Tax Rates'!$A$20</f>
        <v>0</v>
      </c>
      <c r="D9">
        <f>'Tax Rates'!$A$20</f>
        <v>0</v>
      </c>
      <c r="E9">
        <f>'Tax Rates'!$A$20</f>
        <v>0</v>
      </c>
      <c r="F9">
        <f>'Tax Rates'!$A$20</f>
        <v>0</v>
      </c>
      <c r="G9">
        <f>'Tax Rates'!$A$20</f>
        <v>0</v>
      </c>
      <c r="H9">
        <f>'Tax Rates'!$A$20</f>
        <v>0</v>
      </c>
      <c r="I9">
        <f>'Tax Rates'!$A$20</f>
        <v>0</v>
      </c>
      <c r="J9">
        <f>'Tax Rates'!$A$20</f>
        <v>0</v>
      </c>
      <c r="K9">
        <f>'Tax Rates'!$A$20</f>
        <v>0</v>
      </c>
      <c r="L9">
        <f>'Tax Rates'!$A$20</f>
        <v>0</v>
      </c>
      <c r="M9">
        <f>'Tax Rates'!$A$20</f>
        <v>0</v>
      </c>
      <c r="N9">
        <f>'Tax Rates'!$A$20</f>
        <v>0</v>
      </c>
      <c r="O9">
        <f>'Tax Rates'!$A$20</f>
        <v>0</v>
      </c>
      <c r="P9">
        <f>'Tax Rates'!$A$20</f>
        <v>0</v>
      </c>
      <c r="Q9">
        <f>'Tax Rates'!$A$20</f>
        <v>0</v>
      </c>
      <c r="R9">
        <f>'Tax Rates'!$A$20</f>
        <v>0</v>
      </c>
      <c r="S9">
        <f>'Tax Rates'!$A$20</f>
        <v>0</v>
      </c>
      <c r="T9">
        <f>'Tax Rates'!$A$20</f>
        <v>0</v>
      </c>
      <c r="U9">
        <f>'Tax Rates'!$A$20</f>
        <v>0</v>
      </c>
      <c r="V9">
        <f>'Tax Rates'!$A$20</f>
        <v>0</v>
      </c>
      <c r="W9">
        <f>'Tax Rates'!$A$20</f>
        <v>0</v>
      </c>
      <c r="X9">
        <f>'Tax Rates'!$A$20</f>
        <v>0</v>
      </c>
      <c r="Y9">
        <f>'Tax Rates'!$A$20</f>
        <v>0</v>
      </c>
      <c r="Z9">
        <f>'Tax Rates'!$A$20</f>
        <v>0</v>
      </c>
      <c r="AA9">
        <f>'Tax Rates'!$A$20</f>
        <v>0</v>
      </c>
      <c r="AB9">
        <f>'Tax Rates'!$A$20</f>
        <v>0</v>
      </c>
      <c r="AC9">
        <f>'Tax Rates'!$A$20</f>
        <v>0</v>
      </c>
      <c r="AD9">
        <f>'Tax Rates'!$A$20</f>
        <v>0</v>
      </c>
      <c r="AE9">
        <f>'Tax Rates'!$A$20</f>
        <v>0</v>
      </c>
      <c r="AF9">
        <f>'Tax Rates'!$A$20</f>
        <v>0</v>
      </c>
      <c r="AG9">
        <f>'Tax Rates'!$A$20</f>
        <v>0</v>
      </c>
      <c r="AH9">
        <f>'Tax Rates'!$A$20</f>
        <v>0</v>
      </c>
      <c r="AI9">
        <f>'Tax Rates'!$A$20</f>
        <v>0</v>
      </c>
      <c r="AJ9">
        <f>'Tax Rates'!$A$20</f>
        <v>0</v>
      </c>
    </row>
    <row r="10" spans="1:44">
      <c r="A10" s="1" t="s">
        <v>64</v>
      </c>
      <c r="B10" s="12">
        <f>'Tax Rates'!F7</f>
        <v>0.2505167424555601</v>
      </c>
      <c r="C10" s="12">
        <f t="shared" ref="C10:D10" si="0">$B10</f>
        <v>0.2505167424555601</v>
      </c>
      <c r="D10" s="12">
        <f t="shared" si="0"/>
        <v>0.2505167424555601</v>
      </c>
      <c r="E10" s="12">
        <f>$B10</f>
        <v>0.2505167424555601</v>
      </c>
      <c r="F10" s="12">
        <f t="shared" ref="F10:AJ10" si="1">$B10</f>
        <v>0.2505167424555601</v>
      </c>
      <c r="G10" s="12">
        <f t="shared" si="1"/>
        <v>0.2505167424555601</v>
      </c>
      <c r="H10" s="12">
        <f t="shared" si="1"/>
        <v>0.2505167424555601</v>
      </c>
      <c r="I10" s="12">
        <f t="shared" si="1"/>
        <v>0.2505167424555601</v>
      </c>
      <c r="J10" s="12">
        <f t="shared" si="1"/>
        <v>0.2505167424555601</v>
      </c>
      <c r="K10" s="12">
        <f t="shared" si="1"/>
        <v>0.2505167424555601</v>
      </c>
      <c r="L10" s="12">
        <f t="shared" si="1"/>
        <v>0.2505167424555601</v>
      </c>
      <c r="M10" s="12">
        <f t="shared" si="1"/>
        <v>0.2505167424555601</v>
      </c>
      <c r="N10" s="12">
        <f t="shared" si="1"/>
        <v>0.2505167424555601</v>
      </c>
      <c r="O10" s="12">
        <f t="shared" si="1"/>
        <v>0.2505167424555601</v>
      </c>
      <c r="P10" s="12">
        <f t="shared" si="1"/>
        <v>0.2505167424555601</v>
      </c>
      <c r="Q10" s="12">
        <f t="shared" si="1"/>
        <v>0.2505167424555601</v>
      </c>
      <c r="R10" s="12">
        <f t="shared" si="1"/>
        <v>0.2505167424555601</v>
      </c>
      <c r="S10" s="12">
        <f t="shared" si="1"/>
        <v>0.2505167424555601</v>
      </c>
      <c r="T10" s="12">
        <f t="shared" si="1"/>
        <v>0.2505167424555601</v>
      </c>
      <c r="U10" s="12">
        <f t="shared" si="1"/>
        <v>0.2505167424555601</v>
      </c>
      <c r="V10" s="12">
        <f t="shared" si="1"/>
        <v>0.2505167424555601</v>
      </c>
      <c r="W10" s="12">
        <f t="shared" si="1"/>
        <v>0.2505167424555601</v>
      </c>
      <c r="X10" s="12">
        <f t="shared" si="1"/>
        <v>0.2505167424555601</v>
      </c>
      <c r="Y10" s="12">
        <f t="shared" si="1"/>
        <v>0.2505167424555601</v>
      </c>
      <c r="Z10" s="12">
        <f t="shared" si="1"/>
        <v>0.2505167424555601</v>
      </c>
      <c r="AA10" s="12">
        <f t="shared" si="1"/>
        <v>0.2505167424555601</v>
      </c>
      <c r="AB10" s="12">
        <f t="shared" si="1"/>
        <v>0.2505167424555601</v>
      </c>
      <c r="AC10" s="12">
        <f t="shared" si="1"/>
        <v>0.2505167424555601</v>
      </c>
      <c r="AD10" s="12">
        <f t="shared" si="1"/>
        <v>0.2505167424555601</v>
      </c>
      <c r="AE10" s="12">
        <f t="shared" si="1"/>
        <v>0.2505167424555601</v>
      </c>
      <c r="AF10" s="12">
        <f t="shared" si="1"/>
        <v>0.2505167424555601</v>
      </c>
      <c r="AG10" s="12">
        <f t="shared" si="1"/>
        <v>0.2505167424555601</v>
      </c>
      <c r="AH10" s="12">
        <f t="shared" si="1"/>
        <v>0.2505167424555601</v>
      </c>
      <c r="AI10" s="12">
        <f t="shared" si="1"/>
        <v>0.2505167424555601</v>
      </c>
      <c r="AJ10" s="12">
        <f t="shared" si="1"/>
        <v>0.2505167424555601</v>
      </c>
      <c r="AK10" s="12"/>
      <c r="AL10" s="12"/>
      <c r="AM10" s="12"/>
      <c r="AN10" s="12"/>
      <c r="AO10" s="12"/>
      <c r="AP10" s="12"/>
      <c r="AQ10" s="12"/>
      <c r="AR10" s="12"/>
    </row>
    <row r="11" spans="1:44">
      <c r="A11" s="1" t="s">
        <v>65</v>
      </c>
      <c r="B11" s="12">
        <f>'Tax Rates'!F9</f>
        <v>0.13961352657004833</v>
      </c>
      <c r="C11" s="12">
        <f>'Tax Rates'!$F9</f>
        <v>0.13961352657004833</v>
      </c>
      <c r="D11" s="12">
        <f>'Tax Rates'!$F9</f>
        <v>0.13961352657004833</v>
      </c>
      <c r="E11" s="12">
        <f>'Tax Rates'!$F9</f>
        <v>0.13961352657004833</v>
      </c>
      <c r="F11" s="12">
        <f>'Tax Rates'!$F9</f>
        <v>0.13961352657004833</v>
      </c>
      <c r="G11" s="12">
        <f>'Tax Rates'!$F9</f>
        <v>0.13961352657004833</v>
      </c>
      <c r="H11" s="12">
        <f>'Tax Rates'!$F9</f>
        <v>0.13961352657004833</v>
      </c>
      <c r="I11" s="12">
        <f>'Tax Rates'!$F9</f>
        <v>0.13961352657004833</v>
      </c>
      <c r="J11" s="12">
        <f>'Tax Rates'!$F9</f>
        <v>0.13961352657004833</v>
      </c>
      <c r="K11" s="12">
        <f>'Tax Rates'!$F9</f>
        <v>0.13961352657004833</v>
      </c>
      <c r="L11" s="12">
        <f>'Tax Rates'!$F9</f>
        <v>0.13961352657004833</v>
      </c>
      <c r="M11" s="12">
        <f>'Tax Rates'!$F9</f>
        <v>0.13961352657004833</v>
      </c>
      <c r="N11" s="12">
        <f>'Tax Rates'!$F9</f>
        <v>0.13961352657004833</v>
      </c>
      <c r="O11" s="12">
        <f>'Tax Rates'!$F9</f>
        <v>0.13961352657004833</v>
      </c>
      <c r="P11" s="12">
        <f>'Tax Rates'!$F9</f>
        <v>0.13961352657004833</v>
      </c>
      <c r="Q11" s="12">
        <f>'Tax Rates'!$F9</f>
        <v>0.13961352657004833</v>
      </c>
      <c r="R11" s="12">
        <f>'Tax Rates'!$F9</f>
        <v>0.13961352657004833</v>
      </c>
      <c r="S11" s="12">
        <f>'Tax Rates'!$F9</f>
        <v>0.13961352657004833</v>
      </c>
      <c r="T11" s="12">
        <f>'Tax Rates'!$F9</f>
        <v>0.13961352657004833</v>
      </c>
      <c r="U11" s="12">
        <f>'Tax Rates'!$F9</f>
        <v>0.13961352657004833</v>
      </c>
      <c r="V11" s="12">
        <f>'Tax Rates'!$F9</f>
        <v>0.13961352657004833</v>
      </c>
      <c r="W11" s="12">
        <f>'Tax Rates'!$F9</f>
        <v>0.13961352657004833</v>
      </c>
      <c r="X11" s="12">
        <f>'Tax Rates'!$F9</f>
        <v>0.13961352657004833</v>
      </c>
      <c r="Y11" s="12">
        <f>'Tax Rates'!$F9</f>
        <v>0.13961352657004833</v>
      </c>
      <c r="Z11" s="12">
        <f>'Tax Rates'!$F9</f>
        <v>0.13961352657004833</v>
      </c>
      <c r="AA11" s="12">
        <f>'Tax Rates'!$F9</f>
        <v>0.13961352657004833</v>
      </c>
      <c r="AB11" s="12">
        <f>'Tax Rates'!$F9</f>
        <v>0.13961352657004833</v>
      </c>
      <c r="AC11" s="12">
        <f>'Tax Rates'!$F9</f>
        <v>0.13961352657004833</v>
      </c>
      <c r="AD11" s="12">
        <f>'Tax Rates'!$F9</f>
        <v>0.13961352657004833</v>
      </c>
      <c r="AE11" s="12">
        <f>'Tax Rates'!$F9</f>
        <v>0.13961352657004833</v>
      </c>
      <c r="AF11" s="12">
        <f>'Tax Rates'!$F9</f>
        <v>0.13961352657004833</v>
      </c>
      <c r="AG11" s="12">
        <f>'Tax Rates'!$F9</f>
        <v>0.13961352657004833</v>
      </c>
      <c r="AH11" s="12">
        <f>'Tax Rates'!$F9</f>
        <v>0.13961352657004833</v>
      </c>
      <c r="AI11" s="12">
        <f>'Tax Rates'!$F9</f>
        <v>0.13961352657004833</v>
      </c>
      <c r="AJ11" s="12">
        <f>'Tax Rates'!$F9</f>
        <v>0.13961352657004833</v>
      </c>
      <c r="AK11" s="12"/>
      <c r="AL11" s="12"/>
      <c r="AM11" s="12"/>
      <c r="AN11" s="12"/>
      <c r="AO11" s="12"/>
      <c r="AP11" s="12"/>
      <c r="AQ11" s="12"/>
      <c r="AR11" s="12"/>
    </row>
    <row r="12" spans="1:44">
      <c r="A12" s="1" t="s">
        <v>66</v>
      </c>
      <c r="B12" s="12">
        <f>B10</f>
        <v>0.2505167424555601</v>
      </c>
      <c r="C12" s="12">
        <f>$B10</f>
        <v>0.2505167424555601</v>
      </c>
      <c r="D12" s="12">
        <f t="shared" ref="D12:E12" si="2">$B10</f>
        <v>0.2505167424555601</v>
      </c>
      <c r="E12" s="12">
        <f t="shared" si="2"/>
        <v>0.2505167424555601</v>
      </c>
      <c r="F12" s="12">
        <f t="shared" ref="F12:K12" si="3">$B10</f>
        <v>0.2505167424555601</v>
      </c>
      <c r="G12" s="12">
        <f t="shared" si="3"/>
        <v>0.2505167424555601</v>
      </c>
      <c r="H12" s="12">
        <f t="shared" si="3"/>
        <v>0.2505167424555601</v>
      </c>
      <c r="I12" s="12">
        <f t="shared" si="3"/>
        <v>0.2505167424555601</v>
      </c>
      <c r="J12" s="12">
        <f t="shared" si="3"/>
        <v>0.2505167424555601</v>
      </c>
      <c r="K12" s="12">
        <f t="shared" si="3"/>
        <v>0.2505167424555601</v>
      </c>
      <c r="L12" s="12">
        <f t="shared" ref="L12:AJ12" si="4">$B10</f>
        <v>0.2505167424555601</v>
      </c>
      <c r="M12" s="12">
        <f t="shared" si="4"/>
        <v>0.2505167424555601</v>
      </c>
      <c r="N12" s="12">
        <f t="shared" si="4"/>
        <v>0.2505167424555601</v>
      </c>
      <c r="O12" s="12">
        <f t="shared" si="4"/>
        <v>0.2505167424555601</v>
      </c>
      <c r="P12" s="12">
        <f t="shared" si="4"/>
        <v>0.2505167424555601</v>
      </c>
      <c r="Q12" s="12">
        <f t="shared" si="4"/>
        <v>0.2505167424555601</v>
      </c>
      <c r="R12" s="12">
        <f t="shared" si="4"/>
        <v>0.2505167424555601</v>
      </c>
      <c r="S12" s="12">
        <f t="shared" si="4"/>
        <v>0.2505167424555601</v>
      </c>
      <c r="T12" s="12">
        <f t="shared" si="4"/>
        <v>0.2505167424555601</v>
      </c>
      <c r="U12" s="12">
        <f t="shared" si="4"/>
        <v>0.2505167424555601</v>
      </c>
      <c r="V12" s="12">
        <f t="shared" si="4"/>
        <v>0.2505167424555601</v>
      </c>
      <c r="W12" s="12">
        <f t="shared" si="4"/>
        <v>0.2505167424555601</v>
      </c>
      <c r="X12" s="12">
        <f t="shared" si="4"/>
        <v>0.2505167424555601</v>
      </c>
      <c r="Y12" s="12">
        <f t="shared" si="4"/>
        <v>0.2505167424555601</v>
      </c>
      <c r="Z12" s="12">
        <f t="shared" si="4"/>
        <v>0.2505167424555601</v>
      </c>
      <c r="AA12" s="12">
        <f t="shared" si="4"/>
        <v>0.2505167424555601</v>
      </c>
      <c r="AB12" s="12">
        <f t="shared" si="4"/>
        <v>0.2505167424555601</v>
      </c>
      <c r="AC12" s="12">
        <f t="shared" si="4"/>
        <v>0.2505167424555601</v>
      </c>
      <c r="AD12" s="12">
        <f t="shared" si="4"/>
        <v>0.2505167424555601</v>
      </c>
      <c r="AE12" s="12">
        <f t="shared" si="4"/>
        <v>0.2505167424555601</v>
      </c>
      <c r="AF12" s="12">
        <f t="shared" si="4"/>
        <v>0.2505167424555601</v>
      </c>
      <c r="AG12" s="12">
        <f t="shared" si="4"/>
        <v>0.2505167424555601</v>
      </c>
      <c r="AH12" s="12">
        <f t="shared" si="4"/>
        <v>0.2505167424555601</v>
      </c>
      <c r="AI12" s="12">
        <f t="shared" si="4"/>
        <v>0.2505167424555601</v>
      </c>
      <c r="AJ12" s="12">
        <f t="shared" si="4"/>
        <v>0.2505167424555601</v>
      </c>
      <c r="AK12" s="12"/>
      <c r="AL12" s="12"/>
      <c r="AM12" s="12"/>
      <c r="AN12" s="12"/>
      <c r="AO12" s="12"/>
      <c r="AP12" s="12"/>
      <c r="AQ12" s="12"/>
      <c r="AR12" s="12"/>
    </row>
    <row r="13" spans="1:44">
      <c r="A13" s="1" t="s">
        <v>67</v>
      </c>
      <c r="B13" s="12">
        <f>B11</f>
        <v>0.13961352657004833</v>
      </c>
      <c r="C13" s="12">
        <f>$B11</f>
        <v>0.13961352657004833</v>
      </c>
      <c r="D13" s="12">
        <f t="shared" ref="D13:E13" si="5">$B11</f>
        <v>0.13961352657004833</v>
      </c>
      <c r="E13" s="12">
        <f t="shared" si="5"/>
        <v>0.13961352657004833</v>
      </c>
      <c r="F13" s="12">
        <f t="shared" ref="F13:K13" si="6">$B11</f>
        <v>0.13961352657004833</v>
      </c>
      <c r="G13" s="12">
        <f t="shared" si="6"/>
        <v>0.13961352657004833</v>
      </c>
      <c r="H13" s="12">
        <f t="shared" si="6"/>
        <v>0.13961352657004833</v>
      </c>
      <c r="I13" s="12">
        <f t="shared" si="6"/>
        <v>0.13961352657004833</v>
      </c>
      <c r="J13" s="12">
        <f t="shared" si="6"/>
        <v>0.13961352657004833</v>
      </c>
      <c r="K13" s="12">
        <f t="shared" si="6"/>
        <v>0.13961352657004833</v>
      </c>
      <c r="L13" s="12">
        <f t="shared" ref="L13:AJ13" si="7">$B11</f>
        <v>0.13961352657004833</v>
      </c>
      <c r="M13" s="12">
        <f t="shared" si="7"/>
        <v>0.13961352657004833</v>
      </c>
      <c r="N13" s="12">
        <f t="shared" si="7"/>
        <v>0.13961352657004833</v>
      </c>
      <c r="O13" s="12">
        <f t="shared" si="7"/>
        <v>0.13961352657004833</v>
      </c>
      <c r="P13" s="12">
        <f t="shared" si="7"/>
        <v>0.13961352657004833</v>
      </c>
      <c r="Q13" s="12">
        <f t="shared" si="7"/>
        <v>0.13961352657004833</v>
      </c>
      <c r="R13" s="12">
        <f t="shared" si="7"/>
        <v>0.13961352657004833</v>
      </c>
      <c r="S13" s="12">
        <f t="shared" si="7"/>
        <v>0.13961352657004833</v>
      </c>
      <c r="T13" s="12">
        <f t="shared" si="7"/>
        <v>0.13961352657004833</v>
      </c>
      <c r="U13" s="12">
        <f t="shared" si="7"/>
        <v>0.13961352657004833</v>
      </c>
      <c r="V13" s="12">
        <f t="shared" si="7"/>
        <v>0.13961352657004833</v>
      </c>
      <c r="W13" s="12">
        <f t="shared" si="7"/>
        <v>0.13961352657004833</v>
      </c>
      <c r="X13" s="12">
        <f t="shared" si="7"/>
        <v>0.13961352657004833</v>
      </c>
      <c r="Y13" s="12">
        <f t="shared" si="7"/>
        <v>0.13961352657004833</v>
      </c>
      <c r="Z13" s="12">
        <f t="shared" si="7"/>
        <v>0.13961352657004833</v>
      </c>
      <c r="AA13" s="12">
        <f t="shared" si="7"/>
        <v>0.13961352657004833</v>
      </c>
      <c r="AB13" s="12">
        <f t="shared" si="7"/>
        <v>0.13961352657004833</v>
      </c>
      <c r="AC13" s="12">
        <f t="shared" si="7"/>
        <v>0.13961352657004833</v>
      </c>
      <c r="AD13" s="12">
        <f t="shared" si="7"/>
        <v>0.13961352657004833</v>
      </c>
      <c r="AE13" s="12">
        <f t="shared" si="7"/>
        <v>0.13961352657004833</v>
      </c>
      <c r="AF13" s="12">
        <f t="shared" si="7"/>
        <v>0.13961352657004833</v>
      </c>
      <c r="AG13" s="12">
        <f t="shared" si="7"/>
        <v>0.13961352657004833</v>
      </c>
      <c r="AH13" s="12">
        <f t="shared" si="7"/>
        <v>0.13961352657004833</v>
      </c>
      <c r="AI13" s="12">
        <f t="shared" si="7"/>
        <v>0.13961352657004833</v>
      </c>
      <c r="AJ13" s="12">
        <f t="shared" si="7"/>
        <v>0.13961352657004833</v>
      </c>
      <c r="AK13" s="12"/>
      <c r="AL13" s="12"/>
      <c r="AM13" s="12"/>
      <c r="AN13" s="12"/>
      <c r="AO13" s="12"/>
      <c r="AP13" s="12"/>
      <c r="AQ13" s="12"/>
      <c r="AR13" s="12"/>
    </row>
    <row r="14" spans="1:44">
      <c r="A14" s="1" t="s">
        <v>68</v>
      </c>
      <c r="B14" s="12">
        <f>'Tax Rates'!F5</f>
        <v>1.6274999999999999</v>
      </c>
      <c r="C14" s="12">
        <f>'Tax Rates'!$F5</f>
        <v>1.6274999999999999</v>
      </c>
      <c r="D14" s="12">
        <f>'Tax Rates'!$F5</f>
        <v>1.6274999999999999</v>
      </c>
      <c r="E14" s="12">
        <f>'Tax Rates'!$F5</f>
        <v>1.6274999999999999</v>
      </c>
      <c r="F14" s="12">
        <f>'Tax Rates'!$F5</f>
        <v>1.6274999999999999</v>
      </c>
      <c r="G14" s="12">
        <f>'Tax Rates'!$F5</f>
        <v>1.6274999999999999</v>
      </c>
      <c r="H14" s="12">
        <f>'Tax Rates'!$F5</f>
        <v>1.6274999999999999</v>
      </c>
      <c r="I14" s="12">
        <f>'Tax Rates'!$F5</f>
        <v>1.6274999999999999</v>
      </c>
      <c r="J14" s="12">
        <f>'Tax Rates'!$F5</f>
        <v>1.6274999999999999</v>
      </c>
      <c r="K14" s="12">
        <f>'Tax Rates'!$F5</f>
        <v>1.6274999999999999</v>
      </c>
      <c r="L14" s="12">
        <f>'Tax Rates'!$F5</f>
        <v>1.6274999999999999</v>
      </c>
      <c r="M14" s="12">
        <f>'Tax Rates'!$F5</f>
        <v>1.6274999999999999</v>
      </c>
      <c r="N14" s="12">
        <f>'Tax Rates'!$F5</f>
        <v>1.6274999999999999</v>
      </c>
      <c r="O14" s="12">
        <f>'Tax Rates'!$F5</f>
        <v>1.6274999999999999</v>
      </c>
      <c r="P14" s="12">
        <f>'Tax Rates'!$F5</f>
        <v>1.6274999999999999</v>
      </c>
      <c r="Q14" s="12">
        <f>'Tax Rates'!$F5</f>
        <v>1.6274999999999999</v>
      </c>
      <c r="R14" s="12">
        <f>'Tax Rates'!$F5</f>
        <v>1.6274999999999999</v>
      </c>
      <c r="S14" s="12">
        <f>'Tax Rates'!$F5</f>
        <v>1.6274999999999999</v>
      </c>
      <c r="T14" s="12">
        <f>'Tax Rates'!$F5</f>
        <v>1.6274999999999999</v>
      </c>
      <c r="U14" s="12">
        <f>'Tax Rates'!$F5</f>
        <v>1.6274999999999999</v>
      </c>
      <c r="V14" s="12">
        <f>'Tax Rates'!$F5</f>
        <v>1.6274999999999999</v>
      </c>
      <c r="W14" s="12">
        <f>'Tax Rates'!$F5</f>
        <v>1.6274999999999999</v>
      </c>
      <c r="X14" s="12">
        <f>'Tax Rates'!$F5</f>
        <v>1.6274999999999999</v>
      </c>
      <c r="Y14" s="12">
        <f>'Tax Rates'!$F5</f>
        <v>1.6274999999999999</v>
      </c>
      <c r="Z14" s="12">
        <f>'Tax Rates'!$F5</f>
        <v>1.6274999999999999</v>
      </c>
      <c r="AA14" s="12">
        <f>'Tax Rates'!$F5</f>
        <v>1.6274999999999999</v>
      </c>
      <c r="AB14" s="12">
        <f>'Tax Rates'!$F5</f>
        <v>1.6274999999999999</v>
      </c>
      <c r="AC14" s="12">
        <f>'Tax Rates'!$F5</f>
        <v>1.6274999999999999</v>
      </c>
      <c r="AD14" s="12">
        <f>'Tax Rates'!$F5</f>
        <v>1.6274999999999999</v>
      </c>
      <c r="AE14" s="12">
        <f>'Tax Rates'!$F5</f>
        <v>1.6274999999999999</v>
      </c>
      <c r="AF14" s="12">
        <f>'Tax Rates'!$F5</f>
        <v>1.6274999999999999</v>
      </c>
      <c r="AG14" s="12">
        <f>'Tax Rates'!$F5</f>
        <v>1.6274999999999999</v>
      </c>
      <c r="AH14" s="12">
        <f>'Tax Rates'!$F5</f>
        <v>1.6274999999999999</v>
      </c>
      <c r="AI14" s="12">
        <f>'Tax Rates'!$F5</f>
        <v>1.6274999999999999</v>
      </c>
      <c r="AJ14" s="12">
        <f>'Tax Rates'!$F5</f>
        <v>1.6274999999999999</v>
      </c>
      <c r="AK14" s="12"/>
      <c r="AL14" s="12"/>
      <c r="AM14" s="12"/>
      <c r="AN14" s="12"/>
      <c r="AO14" s="12"/>
      <c r="AP14" s="12"/>
      <c r="AQ14" s="12"/>
      <c r="AR14" s="12"/>
    </row>
    <row r="15" spans="1:44">
      <c r="A15" s="1" t="s">
        <v>69</v>
      </c>
      <c r="B15">
        <f>'Tax Rates'!$A$20</f>
        <v>0</v>
      </c>
      <c r="C15">
        <f>'Tax Rates'!$A$20</f>
        <v>0</v>
      </c>
      <c r="D15">
        <f>'Tax Rates'!$A$20</f>
        <v>0</v>
      </c>
      <c r="E15">
        <f>'Tax Rates'!$A$20</f>
        <v>0</v>
      </c>
      <c r="F15">
        <f>'Tax Rates'!$A$20</f>
        <v>0</v>
      </c>
      <c r="G15">
        <f>'Tax Rates'!$A$20</f>
        <v>0</v>
      </c>
      <c r="H15">
        <f>'Tax Rates'!$A$20</f>
        <v>0</v>
      </c>
      <c r="I15">
        <f>'Tax Rates'!$A$20</f>
        <v>0</v>
      </c>
      <c r="J15">
        <f>'Tax Rates'!$A$20</f>
        <v>0</v>
      </c>
      <c r="K15">
        <f>'Tax Rates'!$A$20</f>
        <v>0</v>
      </c>
      <c r="L15">
        <f>'Tax Rates'!$A$20</f>
        <v>0</v>
      </c>
      <c r="M15">
        <f>'Tax Rates'!$A$20</f>
        <v>0</v>
      </c>
      <c r="N15">
        <f>'Tax Rates'!$A$20</f>
        <v>0</v>
      </c>
      <c r="O15">
        <f>'Tax Rates'!$A$20</f>
        <v>0</v>
      </c>
      <c r="P15">
        <f>'Tax Rates'!$A$20</f>
        <v>0</v>
      </c>
      <c r="Q15">
        <f>'Tax Rates'!$A$20</f>
        <v>0</v>
      </c>
      <c r="R15">
        <f>'Tax Rates'!$A$20</f>
        <v>0</v>
      </c>
      <c r="S15">
        <f>'Tax Rates'!$A$20</f>
        <v>0</v>
      </c>
      <c r="T15">
        <f>'Tax Rates'!$A$20</f>
        <v>0</v>
      </c>
      <c r="U15">
        <f>'Tax Rates'!$A$20</f>
        <v>0</v>
      </c>
      <c r="V15">
        <f>'Tax Rates'!$A$20</f>
        <v>0</v>
      </c>
      <c r="W15">
        <f>'Tax Rates'!$A$20</f>
        <v>0</v>
      </c>
      <c r="X15">
        <f>'Tax Rates'!$A$20</f>
        <v>0</v>
      </c>
      <c r="Y15">
        <f>'Tax Rates'!$A$20</f>
        <v>0</v>
      </c>
      <c r="Z15">
        <f>'Tax Rates'!$A$20</f>
        <v>0</v>
      </c>
      <c r="AA15">
        <f>'Tax Rates'!$A$20</f>
        <v>0</v>
      </c>
      <c r="AB15">
        <f>'Tax Rates'!$A$20</f>
        <v>0</v>
      </c>
      <c r="AC15">
        <f>'Tax Rates'!$A$20</f>
        <v>0</v>
      </c>
      <c r="AD15">
        <f>'Tax Rates'!$A$20</f>
        <v>0</v>
      </c>
      <c r="AE15">
        <f>'Tax Rates'!$A$20</f>
        <v>0</v>
      </c>
      <c r="AF15">
        <f>'Tax Rates'!$A$20</f>
        <v>0</v>
      </c>
      <c r="AG15">
        <f>'Tax Rates'!$A$20</f>
        <v>0</v>
      </c>
      <c r="AH15">
        <f>'Tax Rates'!$A$20</f>
        <v>0</v>
      </c>
      <c r="AI15">
        <f>'Tax Rates'!$A$20</f>
        <v>0</v>
      </c>
      <c r="AJ15">
        <f>'Tax Rates'!$A$20</f>
        <v>0</v>
      </c>
    </row>
    <row r="16" spans="1:44">
      <c r="A16" s="1" t="s">
        <v>70</v>
      </c>
      <c r="B16">
        <f>'Tax Rates'!$A$20</f>
        <v>0</v>
      </c>
      <c r="C16">
        <f>'Tax Rates'!$A$20</f>
        <v>0</v>
      </c>
      <c r="D16">
        <f>'Tax Rates'!$A$20</f>
        <v>0</v>
      </c>
      <c r="E16">
        <f>'Tax Rates'!$A$20</f>
        <v>0</v>
      </c>
      <c r="F16">
        <f>'Tax Rates'!$A$20</f>
        <v>0</v>
      </c>
      <c r="G16">
        <f>'Tax Rates'!$A$20</f>
        <v>0</v>
      </c>
      <c r="H16">
        <f>'Tax Rates'!$A$20</f>
        <v>0</v>
      </c>
      <c r="I16">
        <f>'Tax Rates'!$A$20</f>
        <v>0</v>
      </c>
      <c r="J16">
        <f>'Tax Rates'!$A$20</f>
        <v>0</v>
      </c>
      <c r="K16">
        <f>'Tax Rates'!$A$20</f>
        <v>0</v>
      </c>
      <c r="L16">
        <f>'Tax Rates'!$A$20</f>
        <v>0</v>
      </c>
      <c r="M16">
        <f>'Tax Rates'!$A$20</f>
        <v>0</v>
      </c>
      <c r="N16">
        <f>'Tax Rates'!$A$20</f>
        <v>0</v>
      </c>
      <c r="O16">
        <f>'Tax Rates'!$A$20</f>
        <v>0</v>
      </c>
      <c r="P16">
        <f>'Tax Rates'!$A$20</f>
        <v>0</v>
      </c>
      <c r="Q16">
        <f>'Tax Rates'!$A$20</f>
        <v>0</v>
      </c>
      <c r="R16">
        <f>'Tax Rates'!$A$20</f>
        <v>0</v>
      </c>
      <c r="S16">
        <f>'Tax Rates'!$A$20</f>
        <v>0</v>
      </c>
      <c r="T16">
        <f>'Tax Rates'!$A$20</f>
        <v>0</v>
      </c>
      <c r="U16">
        <f>'Tax Rates'!$A$20</f>
        <v>0</v>
      </c>
      <c r="V16">
        <f>'Tax Rates'!$A$20</f>
        <v>0</v>
      </c>
      <c r="W16">
        <f>'Tax Rates'!$A$20</f>
        <v>0</v>
      </c>
      <c r="X16">
        <f>'Tax Rates'!$A$20</f>
        <v>0</v>
      </c>
      <c r="Y16">
        <f>'Tax Rates'!$A$20</f>
        <v>0</v>
      </c>
      <c r="Z16">
        <f>'Tax Rates'!$A$20</f>
        <v>0</v>
      </c>
      <c r="AA16">
        <f>'Tax Rates'!$A$20</f>
        <v>0</v>
      </c>
      <c r="AB16">
        <f>'Tax Rates'!$A$20</f>
        <v>0</v>
      </c>
      <c r="AC16">
        <f>'Tax Rates'!$A$20</f>
        <v>0</v>
      </c>
      <c r="AD16">
        <f>'Tax Rates'!$A$20</f>
        <v>0</v>
      </c>
      <c r="AE16">
        <f>'Tax Rates'!$A$20</f>
        <v>0</v>
      </c>
      <c r="AF16">
        <f>'Tax Rates'!$A$20</f>
        <v>0</v>
      </c>
      <c r="AG16">
        <f>'Tax Rates'!$A$20</f>
        <v>0</v>
      </c>
      <c r="AH16">
        <f>'Tax Rates'!$A$20</f>
        <v>0</v>
      </c>
      <c r="AI16">
        <f>'Tax Rates'!$A$20</f>
        <v>0</v>
      </c>
      <c r="AJ16">
        <f>'Tax Rates'!$A$20</f>
        <v>0</v>
      </c>
    </row>
    <row r="17" spans="1:36">
      <c r="A17" s="1" t="s">
        <v>71</v>
      </c>
      <c r="B17">
        <f>'Tax Rates'!$A$20</f>
        <v>0</v>
      </c>
      <c r="C17">
        <f>'Tax Rates'!$A$20</f>
        <v>0</v>
      </c>
      <c r="D17">
        <f>'Tax Rates'!$A$20</f>
        <v>0</v>
      </c>
      <c r="E17">
        <f>'Tax Rates'!$A$20</f>
        <v>0</v>
      </c>
      <c r="F17">
        <f>'Tax Rates'!$A$20</f>
        <v>0</v>
      </c>
      <c r="G17">
        <f>'Tax Rates'!$A$20</f>
        <v>0</v>
      </c>
      <c r="H17">
        <f>'Tax Rates'!$A$20</f>
        <v>0</v>
      </c>
      <c r="I17">
        <f>'Tax Rates'!$A$20</f>
        <v>0</v>
      </c>
      <c r="J17">
        <f>'Tax Rates'!$A$20</f>
        <v>0</v>
      </c>
      <c r="K17">
        <f>'Tax Rates'!$A$20</f>
        <v>0</v>
      </c>
      <c r="L17">
        <f>'Tax Rates'!$A$20</f>
        <v>0</v>
      </c>
      <c r="M17">
        <f>'Tax Rates'!$A$20</f>
        <v>0</v>
      </c>
      <c r="N17">
        <f>'Tax Rates'!$A$20</f>
        <v>0</v>
      </c>
      <c r="O17">
        <f>'Tax Rates'!$A$20</f>
        <v>0</v>
      </c>
      <c r="P17">
        <f>'Tax Rates'!$A$20</f>
        <v>0</v>
      </c>
      <c r="Q17">
        <f>'Tax Rates'!$A$20</f>
        <v>0</v>
      </c>
      <c r="R17">
        <f>'Tax Rates'!$A$20</f>
        <v>0</v>
      </c>
      <c r="S17">
        <f>'Tax Rates'!$A$20</f>
        <v>0</v>
      </c>
      <c r="T17">
        <f>'Tax Rates'!$A$20</f>
        <v>0</v>
      </c>
      <c r="U17">
        <f>'Tax Rates'!$A$20</f>
        <v>0</v>
      </c>
      <c r="V17">
        <f>'Tax Rates'!$A$20</f>
        <v>0</v>
      </c>
      <c r="W17">
        <f>'Tax Rates'!$A$20</f>
        <v>0</v>
      </c>
      <c r="X17">
        <f>'Tax Rates'!$A$20</f>
        <v>0</v>
      </c>
      <c r="Y17">
        <f>'Tax Rates'!$A$20</f>
        <v>0</v>
      </c>
      <c r="Z17">
        <f>'Tax Rates'!$A$20</f>
        <v>0</v>
      </c>
      <c r="AA17">
        <f>'Tax Rates'!$A$20</f>
        <v>0</v>
      </c>
      <c r="AB17">
        <f>'Tax Rates'!$A$20</f>
        <v>0</v>
      </c>
      <c r="AC17">
        <f>'Tax Rates'!$A$20</f>
        <v>0</v>
      </c>
      <c r="AD17">
        <f>'Tax Rates'!$A$20</f>
        <v>0</v>
      </c>
      <c r="AE17">
        <f>'Tax Rates'!$A$20</f>
        <v>0</v>
      </c>
      <c r="AF17">
        <f>'Tax Rates'!$A$20</f>
        <v>0</v>
      </c>
      <c r="AG17">
        <f>'Tax Rates'!$A$20</f>
        <v>0</v>
      </c>
      <c r="AH17">
        <f>'Tax Rates'!$A$20</f>
        <v>0</v>
      </c>
      <c r="AI17">
        <f>'Tax Rates'!$A$20</f>
        <v>0</v>
      </c>
      <c r="AJ17">
        <f>'Tax Rates'!$A$20</f>
        <v>0</v>
      </c>
    </row>
    <row r="18" spans="1:36">
      <c r="A18" s="1" t="s">
        <v>72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s="1" t="s">
        <v>73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s="1" t="s">
        <v>74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s="1" t="s">
        <v>75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s="1" t="s">
        <v>76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</sheetData>
  <phoneticPr fontId="1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61E73C2C-032F-4FBC-95CD-484D09B350FA}"/>
</file>

<file path=customXml/itemProps2.xml><?xml version="1.0" encoding="utf-8"?>
<ds:datastoreItem xmlns:ds="http://schemas.openxmlformats.org/officeDocument/2006/customXml" ds:itemID="{1EA7B3ED-9DE7-429A-B943-78997048252C}"/>
</file>

<file path=customXml/itemProps3.xml><?xml version="1.0" encoding="utf-8"?>
<ds:datastoreItem xmlns:ds="http://schemas.openxmlformats.org/officeDocument/2006/customXml" ds:itemID="{413808C4-4ACF-4B4A-A849-6FABCAA9BB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Harriet Tsang</cp:lastModifiedBy>
  <cp:revision/>
  <dcterms:created xsi:type="dcterms:W3CDTF">2015-06-13T20:49:48Z</dcterms:created>
  <dcterms:modified xsi:type="dcterms:W3CDTF">2023-11-30T13:33:11Z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AuthorIds_UIVersion_1536">
    <vt:lpwstr>313</vt:lpwstr>
  </property>
  <property fmtid="{D5CDD505-2E9C-101B-9397-08002B2CF9AE}" pid="4" name="MediaServiceImageTags">
    <vt:lpwstr/>
  </property>
</Properties>
</file>