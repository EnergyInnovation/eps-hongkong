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17"/>
  <workbookPr/>
  <mc:AlternateContent xmlns:mc="http://schemas.openxmlformats.org/markup-compatibility/2006">
    <mc:Choice Requires="x15">
      <x15ac:absPath xmlns:x15ac="http://schemas.microsoft.com/office/spreadsheetml/2010/11/ac" url="https://civicexchangeorg.sharepoint.com/sites/HongKong2050isNowTeamsite/Shared Documents/12 Hong Kong EPS technical note/HK EPS update/eps-us-3.4.7 working/InputData/trans/0 Need to Update/P/"/>
    </mc:Choice>
  </mc:AlternateContent>
  <xr:revisionPtr revIDLastSave="1" documentId="6_{6396E249-6B04-244E-B2E5-3B8D83C3A399}" xr6:coauthVersionLast="47" xr6:coauthVersionMax="47" xr10:uidLastSave="{917CC304-2E28-2E4B-9ECF-C50216B084E3}"/>
  <bookViews>
    <workbookView xWindow="13740" yWindow="500" windowWidth="15060" windowHeight="16400" firstSheet="1" activeTab="1" xr2:uid="{00000000-000D-0000-FFFF-FFFF00000000}"/>
  </bookViews>
  <sheets>
    <sheet name="About" sheetId="1" r:id="rId1"/>
    <sheet name="Sheet1" sheetId="4" r:id="rId2"/>
    <sheet name="Data" sheetId="2" r:id="rId3"/>
    <sheet name="P" sheetId="3"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4" l="1"/>
  <c r="D41" i="4"/>
  <c r="B41" i="4"/>
  <c r="B14" i="4"/>
  <c r="B15" i="4" s="1"/>
  <c r="D13" i="4"/>
  <c r="B13" i="4"/>
  <c r="D12" i="4"/>
  <c r="E11" i="4"/>
  <c r="B11" i="4"/>
  <c r="D11" i="4" s="1"/>
  <c r="D10" i="4"/>
  <c r="D9" i="4"/>
  <c r="D8" i="4"/>
  <c r="D7" i="4"/>
  <c r="D6" i="4"/>
  <c r="H1" i="4"/>
  <c r="D15" i="4" l="1"/>
  <c r="B16" i="4"/>
  <c r="D14" i="4"/>
  <c r="B17" i="4" l="1"/>
  <c r="D16" i="4"/>
  <c r="B18" i="4" l="1"/>
  <c r="D17" i="4"/>
  <c r="B19" i="4" l="1"/>
  <c r="D18" i="4"/>
  <c r="D19" i="4" l="1"/>
  <c r="B20" i="4"/>
  <c r="B21" i="4" l="1"/>
  <c r="D20" i="4"/>
  <c r="D21" i="4" l="1"/>
  <c r="B22" i="4"/>
  <c r="D22" i="4" l="1"/>
  <c r="B23" i="4"/>
  <c r="B24" i="4" l="1"/>
  <c r="D23" i="4"/>
  <c r="B25" i="4" l="1"/>
  <c r="D24" i="4"/>
  <c r="B26" i="4" l="1"/>
  <c r="D25" i="4"/>
  <c r="B27" i="4" l="1"/>
  <c r="D26" i="4"/>
  <c r="D27" i="4" l="1"/>
  <c r="B28" i="4"/>
  <c r="B29" i="4" l="1"/>
  <c r="D28" i="4"/>
  <c r="B30" i="4" l="1"/>
  <c r="D29" i="4"/>
  <c r="B31" i="4" l="1"/>
  <c r="D30" i="4"/>
  <c r="B32" i="4" l="1"/>
  <c r="D31" i="4"/>
  <c r="B33" i="4" l="1"/>
  <c r="D32" i="4"/>
  <c r="B34" i="4" l="1"/>
  <c r="D33" i="4"/>
  <c r="D34" i="4" l="1"/>
  <c r="B35" i="4"/>
  <c r="D35" i="4" l="1"/>
  <c r="B36" i="4"/>
  <c r="B37" i="4" l="1"/>
  <c r="D36" i="4"/>
  <c r="B38" i="4" l="1"/>
  <c r="D37" i="4"/>
  <c r="B39" i="4" l="1"/>
  <c r="D39" i="4" s="1"/>
  <c r="D38" i="4"/>
  <c r="B1" i="3" l="1" a="1"/>
  <c r="D1" i="3" s="1"/>
  <c r="AL2" i="3" l="1"/>
  <c r="AD2" i="3"/>
  <c r="V2" i="3"/>
  <c r="AT2" i="3"/>
  <c r="N2" i="3"/>
  <c r="F2" i="3"/>
  <c r="AQ1" i="3"/>
  <c r="AI1" i="3"/>
  <c r="AA1" i="3"/>
  <c r="S1" i="3"/>
  <c r="K1" i="3"/>
  <c r="C1" i="3"/>
  <c r="AS2" i="3"/>
  <c r="AK2" i="3"/>
  <c r="AC2" i="3"/>
  <c r="U2" i="3"/>
  <c r="M2" i="3"/>
  <c r="E2" i="3"/>
  <c r="AP1" i="3"/>
  <c r="AH1" i="3"/>
  <c r="Z1" i="3"/>
  <c r="R1" i="3"/>
  <c r="J1" i="3"/>
  <c r="B1" i="3"/>
  <c r="AR2" i="3"/>
  <c r="AJ2" i="3"/>
  <c r="AB2" i="3"/>
  <c r="T2" i="3"/>
  <c r="L2" i="3"/>
  <c r="D2" i="3"/>
  <c r="AO1" i="3"/>
  <c r="AG1" i="3"/>
  <c r="Y1" i="3"/>
  <c r="Q1" i="3"/>
  <c r="I1" i="3"/>
  <c r="AQ2" i="3"/>
  <c r="AI2" i="3"/>
  <c r="AA2" i="3"/>
  <c r="S2" i="3"/>
  <c r="K2" i="3"/>
  <c r="C2" i="3"/>
  <c r="AN1" i="3"/>
  <c r="AF1" i="3"/>
  <c r="X1" i="3"/>
  <c r="P1" i="3"/>
  <c r="H1" i="3"/>
  <c r="AP2" i="3"/>
  <c r="AH2" i="3"/>
  <c r="Z2" i="3"/>
  <c r="R2" i="3"/>
  <c r="J2" i="3"/>
  <c r="B2" i="3"/>
  <c r="AM1" i="3"/>
  <c r="AE1" i="3"/>
  <c r="W1" i="3"/>
  <c r="O1" i="3"/>
  <c r="G1" i="3"/>
  <c r="AO2" i="3"/>
  <c r="AG2" i="3"/>
  <c r="Y2" i="3"/>
  <c r="Q2" i="3"/>
  <c r="I2" i="3"/>
  <c r="AT1" i="3"/>
  <c r="AL1" i="3"/>
  <c r="AD1" i="3"/>
  <c r="V1" i="3"/>
  <c r="N1" i="3"/>
  <c r="F1" i="3"/>
  <c r="AN2" i="3"/>
  <c r="AF2" i="3"/>
  <c r="X2" i="3"/>
  <c r="P2" i="3"/>
  <c r="H2" i="3"/>
  <c r="AS1" i="3"/>
  <c r="AK1" i="3"/>
  <c r="AC1" i="3"/>
  <c r="U1" i="3"/>
  <c r="M1" i="3"/>
  <c r="E1" i="3"/>
  <c r="AM2" i="3"/>
  <c r="AE2" i="3"/>
  <c r="W2" i="3"/>
  <c r="O2" i="3"/>
  <c r="G2" i="3"/>
  <c r="AR1" i="3"/>
  <c r="AJ1" i="3"/>
  <c r="AB1" i="3"/>
  <c r="T1" i="3"/>
  <c r="L1" i="3"/>
</calcChain>
</file>

<file path=xl/sharedStrings.xml><?xml version="1.0" encoding="utf-8"?>
<sst xmlns="http://schemas.openxmlformats.org/spreadsheetml/2006/main" count="156" uniqueCount="154">
  <si>
    <t>P Population</t>
  </si>
  <si>
    <t>Source:</t>
  </si>
  <si>
    <t>U.S. Census Bureau</t>
  </si>
  <si>
    <t>2017 National Population Projections Datasets</t>
  </si>
  <si>
    <t>https://www.census.gov/data/datasets/2017/demo/popproj/2017-popproj.html</t>
  </si>
  <si>
    <t>Table 1</t>
  </si>
  <si>
    <t>Population &amp; GDP</t>
  </si>
  <si>
    <t>Updated:</t>
  </si>
  <si>
    <t>Scenario:</t>
  </si>
  <si>
    <t>Color code</t>
  </si>
  <si>
    <t>Fixed data Input</t>
  </si>
  <si>
    <t>Parameter input</t>
  </si>
  <si>
    <t>Parameter rpt item</t>
  </si>
  <si>
    <t>Clear: calculated</t>
  </si>
  <si>
    <t>GDP in 2016 HK$</t>
  </si>
  <si>
    <t>Population</t>
  </si>
  <si>
    <t>GDP</t>
  </si>
  <si>
    <t>Year-on-year change</t>
  </si>
  <si>
    <t>GDP per capita HK$</t>
  </si>
  <si>
    <t>Usual
Residents ^3</t>
  </si>
  <si>
    <t>Baseline Population Projections^3</t>
  </si>
  <si>
    <t>High Population Projections^3</t>
  </si>
  <si>
    <t>Projected labour force^4</t>
    <phoneticPr fontId="0" type="noConversion"/>
  </si>
  <si>
    <t>Age 0 - 14</t>
  </si>
  <si>
    <t>Age 15-64</t>
  </si>
  <si>
    <t>Age &gt; 64</t>
  </si>
  <si>
    <t>HK$ million</t>
  </si>
  <si>
    <t>2016^1</t>
  </si>
  <si>
    <t>before 2021 is Actual figure</t>
    <phoneticPr fontId="0" type="noConversion"/>
  </si>
  <si>
    <t>2022 GDP at current market prices (GDP)</t>
    <phoneticPr fontId="0" type="noConversion"/>
  </si>
  <si>
    <t>https://www.censtatd.gov.hk/en/web_table.html?id=310-31001#</t>
    <phoneticPr fontId="0" type="noConversion"/>
  </si>
  <si>
    <t>Acess day: 20230821</t>
    <phoneticPr fontId="0" type="noConversion"/>
  </si>
  <si>
    <t>GDP forecast  2.5% for 2014, (ii) 2% for 2015 (i.e. mid-point of the 1-3% government forecast), (iii) 3.5% for 2016-19, and (iv) 3.5% for 2020-21, 3% for 2022-25 and 2.5% for 2026-41</t>
  </si>
  <si>
    <t>https://www.hk2030plus.hk/document/Review%20of%20Land%20Requirement%20for%20Grade%20A%20Offices_Business%20and%20Industrial%20Uses(Eng)_FCR.pdf</t>
  </si>
  <si>
    <t xml:space="preserve">Appendix A Hong Kong Resident Population under baseline population projections, high population projections and low 2047-2050 population projections </t>
    <phoneticPr fontId="0" type="noConversion"/>
  </si>
  <si>
    <t>https://www.statistics.gov.hk/pub/B1120015072017XXXXB0100.pdf</t>
  </si>
  <si>
    <t xml:space="preserve">Appendix A Hong Kong Resident Population under baseline population projections, high population projections and low 2021-2046 population projections </t>
    <phoneticPr fontId="0" type="noConversion"/>
  </si>
  <si>
    <t>https://www.censtatd.gov.hk/en/press_release_detail.html?id=5368</t>
    <phoneticPr fontId="0" type="noConversion"/>
  </si>
  <si>
    <t>P. 13 Table 2 Projected labour force</t>
  </si>
  <si>
    <t>https://www.statistics.gov.hk/pub/B71710FB2017XXXXB0100.pdf</t>
    <phoneticPr fontId="0" type="noConversion"/>
  </si>
  <si>
    <t>Projected labour force 2021-2046</t>
    <phoneticPr fontId="0" type="noConversion"/>
  </si>
  <si>
    <t>https://www.censtatd.gov.hk/en/web_table.html?id=230-28002#</t>
    <phoneticPr fontId="0" type="noConversion"/>
  </si>
  <si>
    <t>For the Current Policies case, the assumed growth rates for Hong Kong real GDP are (i) 2.5% for 2014, (ii) 2% for 2015
(i.e. mid-point of the 1-3% government forecast), (iii) 3.5% for 2016-19, and (iv) 3.5% for 2020-21, 3% for 2022-25
and 2.5% for 2026-41 (i.e. the base case assumptions of the Working Group on Long-Term Fiscal Planning). The
assumed growth rates for Guangdong real GDP are (i) gradual change from 8.5% to 6.5% from 2013 to 2023, and
(ii) growth changes by -0.1 percentage point per annum from 2024 to 4.5% in 2041.
For the High Growth Scenario, the assumed growth rates for Hong Kong real GDP are (i) same as the Base
Case for 2014 and 2016-19, (ii) 3% for 2015, and (iii) growth is 0.5 percentage point per annum higher than the
Base Case for 2020 and beyond. The assumed growth rates for Guangdong real GDP are (i) gradual change
from 8.5% to 6.8% for 2013-23, and (ii) growth changes by -0.1 percentage point per annum to 5% for 2024-2041.
For the Low Growth Scenario, the assumed growth rates for Hong Kong real GDP are (i) same as the Base
Case for 2014-19, (ii) 1% for 2015, and (iii) growth is 0.5 percentage point per annum lower than the Base Case
for 2020 and beyond. The assumed growth rates for Guangdong real GDP are (i) gradual change from 8.5% to
5.8% for 2013-23, and (ii) growth changes by -0.1 percentage point per annum to 4% for 2024-2041.</t>
  </si>
  <si>
    <t>Query for later consideration</t>
  </si>
  <si>
    <t>DO we need to adjust 2047-2050 populaiton data?</t>
    <phoneticPr fontId="0" type="noConversion"/>
  </si>
  <si>
    <t>Lawrence</t>
    <phoneticPr fontId="0" type="noConversion"/>
  </si>
  <si>
    <t>DO we need to adjust 2047-2050  labour force?</t>
    <phoneticPr fontId="0" type="noConversion"/>
  </si>
  <si>
    <t>SEX</t>
  </si>
  <si>
    <t>ORIGIN</t>
  </si>
  <si>
    <t>RACE</t>
  </si>
  <si>
    <t>YEAR</t>
  </si>
  <si>
    <t>TOTAL_POP</t>
  </si>
  <si>
    <t>POP_0</t>
  </si>
  <si>
    <t>POP_1</t>
  </si>
  <si>
    <t>POP_2</t>
  </si>
  <si>
    <t>POP_3</t>
  </si>
  <si>
    <t>POP_4</t>
  </si>
  <si>
    <t>POP_5</t>
  </si>
  <si>
    <t>POP_6</t>
  </si>
  <si>
    <t>POP_7</t>
  </si>
  <si>
    <t>POP_8</t>
  </si>
  <si>
    <t>POP_9</t>
  </si>
  <si>
    <t>POP_10</t>
  </si>
  <si>
    <t>POP_11</t>
  </si>
  <si>
    <t>POP_12</t>
  </si>
  <si>
    <t>POP_13</t>
  </si>
  <si>
    <t>POP_14</t>
  </si>
  <si>
    <t>POP_15</t>
  </si>
  <si>
    <t>POP_16</t>
  </si>
  <si>
    <t>POP_17</t>
  </si>
  <si>
    <t>POP_18</t>
  </si>
  <si>
    <t>POP_19</t>
  </si>
  <si>
    <t>POP_20</t>
  </si>
  <si>
    <t>POP_21</t>
  </si>
  <si>
    <t>POP_22</t>
  </si>
  <si>
    <t>POP_23</t>
  </si>
  <si>
    <t>POP_24</t>
  </si>
  <si>
    <t>POP_25</t>
  </si>
  <si>
    <t>POP_26</t>
  </si>
  <si>
    <t>POP_27</t>
  </si>
  <si>
    <t>POP_28</t>
  </si>
  <si>
    <t>POP_29</t>
  </si>
  <si>
    <t>POP_30</t>
  </si>
  <si>
    <t>POP_31</t>
  </si>
  <si>
    <t>POP_32</t>
  </si>
  <si>
    <t>POP_33</t>
  </si>
  <si>
    <t>POP_34</t>
  </si>
  <si>
    <t>POP_35</t>
  </si>
  <si>
    <t>POP_36</t>
  </si>
  <si>
    <t>POP_37</t>
  </si>
  <si>
    <t>POP_38</t>
  </si>
  <si>
    <t>POP_39</t>
  </si>
  <si>
    <t>POP_40</t>
  </si>
  <si>
    <t>POP_41</t>
  </si>
  <si>
    <t>POP_42</t>
  </si>
  <si>
    <t>POP_43</t>
  </si>
  <si>
    <t>POP_44</t>
  </si>
  <si>
    <t>POP_45</t>
  </si>
  <si>
    <t>POP_46</t>
  </si>
  <si>
    <t>POP_47</t>
  </si>
  <si>
    <t>POP_48</t>
  </si>
  <si>
    <t>POP_49</t>
  </si>
  <si>
    <t>POP_50</t>
  </si>
  <si>
    <t>POP_51</t>
  </si>
  <si>
    <t>POP_52</t>
  </si>
  <si>
    <t>POP_53</t>
  </si>
  <si>
    <t>POP_54</t>
  </si>
  <si>
    <t>POP_55</t>
  </si>
  <si>
    <t>POP_56</t>
  </si>
  <si>
    <t>POP_57</t>
  </si>
  <si>
    <t>POP_58</t>
  </si>
  <si>
    <t>POP_59</t>
  </si>
  <si>
    <t>POP_60</t>
  </si>
  <si>
    <t>POP_61</t>
  </si>
  <si>
    <t>POP_62</t>
  </si>
  <si>
    <t>POP_63</t>
  </si>
  <si>
    <t>POP_64</t>
  </si>
  <si>
    <t>POP_65</t>
  </si>
  <si>
    <t>POP_66</t>
  </si>
  <si>
    <t>POP_67</t>
  </si>
  <si>
    <t>POP_68</t>
  </si>
  <si>
    <t>POP_69</t>
  </si>
  <si>
    <t>POP_70</t>
  </si>
  <si>
    <t>POP_71</t>
  </si>
  <si>
    <t>POP_72</t>
  </si>
  <si>
    <t>POP_73</t>
  </si>
  <si>
    <t>POP_74</t>
  </si>
  <si>
    <t>POP_75</t>
  </si>
  <si>
    <t>POP_76</t>
  </si>
  <si>
    <t>POP_77</t>
  </si>
  <si>
    <t>POP_78</t>
  </si>
  <si>
    <t>POP_79</t>
  </si>
  <si>
    <t>POP_80</t>
  </si>
  <si>
    <t>POP_81</t>
  </si>
  <si>
    <t>POP_82</t>
  </si>
  <si>
    <t>POP_83</t>
  </si>
  <si>
    <t>POP_84</t>
  </si>
  <si>
    <t>POP_85</t>
  </si>
  <si>
    <t>POP_86</t>
  </si>
  <si>
    <t>POP_87</t>
  </si>
  <si>
    <t>POP_88</t>
  </si>
  <si>
    <t>POP_89</t>
  </si>
  <si>
    <t>POP_90</t>
  </si>
  <si>
    <t>POP_91</t>
  </si>
  <si>
    <t>POP_92</t>
  </si>
  <si>
    <t>POP_93</t>
  </si>
  <si>
    <t>POP_94</t>
  </si>
  <si>
    <t>POP_95</t>
  </si>
  <si>
    <t>POP_96</t>
  </si>
  <si>
    <t>POP_97</t>
  </si>
  <si>
    <t>POP_98</t>
  </si>
  <si>
    <t>POP_99</t>
  </si>
  <si>
    <t>POP_100</t>
  </si>
  <si>
    <t>(people)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</si>
</sst>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13C09]d\ mmm\ yyyy;@"/>
    <numFmt numFmtId="165" formatCode="_-* #,##0_-;\-* #,##0_-;_-* &quot;-&quot;??_-;_-@_-"/>
    <numFmt numFmtId="166" formatCode="0.0%"/>
  </numFmts>
  <fonts count="9">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sz val="24"/>
      <color theme="1"/>
      <name val="Calibri"/>
      <family val="2"/>
      <scheme val="minor"/>
    </font>
    <font>
      <sz val="11"/>
      <color theme="1"/>
      <name val="Arial"/>
      <family val="2"/>
    </font>
    <font>
      <b/>
      <sz val="14"/>
      <color theme="1"/>
      <name val="Calibri"/>
      <family val="2"/>
      <scheme val="minor"/>
    </font>
    <font>
      <sz val="10"/>
      <color rgb="FF000000"/>
      <name val="Arial"/>
      <family val="2"/>
    </font>
    <font>
      <sz val="9"/>
      <name val="Calibri"/>
      <family val="3"/>
      <charset val="136"/>
      <scheme val="minor"/>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59999389629810485"/>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2" fillId="0" borderId="0" applyNumberFormat="0" applyFill="0" applyBorder="0" applyAlignment="0" applyProtection="0"/>
    <xf numFmtId="9" fontId="3" fillId="0" borderId="0" applyFont="0" applyFill="0" applyBorder="0" applyAlignment="0" applyProtection="0"/>
    <xf numFmtId="43" fontId="3" fillId="0" borderId="0" applyFont="0" applyFill="0" applyBorder="0" applyAlignment="0" applyProtection="0"/>
  </cellStyleXfs>
  <cellXfs count="54">
    <xf numFmtId="0" fontId="0" fillId="0" borderId="0" xfId="0"/>
    <xf numFmtId="0" fontId="1" fillId="0" borderId="0" xfId="0" applyFont="1"/>
    <xf numFmtId="0" fontId="0" fillId="0" borderId="0" xfId="0" applyAlignment="1">
      <alignment horizontal="left"/>
    </xf>
    <xf numFmtId="0" fontId="2" fillId="0" borderId="0" xfId="1"/>
    <xf numFmtId="0" fontId="4" fillId="2" borderId="0" xfId="0" applyFont="1" applyFill="1"/>
    <xf numFmtId="0" fontId="4" fillId="2" borderId="0" xfId="0" applyFont="1" applyFill="1" applyAlignment="1">
      <alignment wrapText="1"/>
    </xf>
    <xf numFmtId="0" fontId="5" fillId="0" borderId="0" xfId="0" applyFont="1"/>
    <xf numFmtId="0" fontId="6" fillId="2" borderId="1" xfId="0" applyFont="1" applyFill="1" applyBorder="1" applyAlignment="1">
      <alignment horizontal="right"/>
    </xf>
    <xf numFmtId="164" fontId="0" fillId="0" borderId="2" xfId="0" applyNumberFormat="1" applyBorder="1"/>
    <xf numFmtId="0" fontId="1" fillId="2" borderId="3" xfId="0" applyFont="1" applyFill="1" applyBorder="1"/>
    <xf numFmtId="0" fontId="1" fillId="2" borderId="4" xfId="0" applyFont="1" applyFill="1" applyBorder="1" applyAlignment="1">
      <alignment horizontal="left" vertical="top" wrapText="1"/>
    </xf>
    <xf numFmtId="0" fontId="1" fillId="3" borderId="4" xfId="0" applyFont="1" applyFill="1" applyBorder="1" applyAlignment="1">
      <alignment vertical="top" wrapText="1"/>
    </xf>
    <xf numFmtId="0" fontId="0" fillId="4" borderId="4" xfId="0" applyFill="1" applyBorder="1" applyAlignment="1">
      <alignment vertical="top" wrapText="1"/>
    </xf>
    <xf numFmtId="0" fontId="1" fillId="5" borderId="4" xfId="0" applyFont="1" applyFill="1" applyBorder="1" applyAlignment="1">
      <alignment vertical="top" wrapText="1"/>
    </xf>
    <xf numFmtId="0" fontId="1" fillId="2" borderId="4" xfId="0" applyFont="1" applyFill="1" applyBorder="1" applyAlignment="1">
      <alignment vertical="top" wrapText="1"/>
    </xf>
    <xf numFmtId="0" fontId="1" fillId="2" borderId="0" xfId="0" applyFont="1" applyFill="1"/>
    <xf numFmtId="0" fontId="0" fillId="0" borderId="8" xfId="0" applyBorder="1" applyAlignment="1">
      <alignment horizontal="center"/>
    </xf>
    <xf numFmtId="0" fontId="7" fillId="0" borderId="8" xfId="0" applyFont="1" applyBorder="1" applyAlignment="1">
      <alignment horizontal="center"/>
    </xf>
    <xf numFmtId="0" fontId="0" fillId="0" borderId="0" xfId="0" applyAlignment="1">
      <alignment horizontal="right"/>
    </xf>
    <xf numFmtId="165" fontId="0" fillId="5" borderId="8" xfId="3" applyNumberFormat="1" applyFont="1" applyFill="1" applyBorder="1"/>
    <xf numFmtId="166" fontId="0" fillId="3" borderId="0" xfId="0" applyNumberFormat="1" applyFill="1"/>
    <xf numFmtId="166" fontId="0" fillId="3" borderId="9" xfId="0" applyNumberFormat="1" applyFill="1" applyBorder="1"/>
    <xf numFmtId="165" fontId="0" fillId="3" borderId="8" xfId="3" applyNumberFormat="1" applyFont="1" applyFill="1" applyBorder="1"/>
    <xf numFmtId="0" fontId="0" fillId="3" borderId="0" xfId="0" applyFill="1"/>
    <xf numFmtId="0" fontId="0" fillId="3" borderId="9" xfId="0" applyFill="1" applyBorder="1"/>
    <xf numFmtId="9" fontId="0" fillId="3" borderId="9" xfId="2" applyFont="1" applyFill="1" applyBorder="1"/>
    <xf numFmtId="165" fontId="0" fillId="5" borderId="10" xfId="3" applyNumberFormat="1" applyFont="1" applyFill="1" applyBorder="1"/>
    <xf numFmtId="166" fontId="0" fillId="4" borderId="11" xfId="2" applyNumberFormat="1" applyFont="1" applyFill="1" applyBorder="1"/>
    <xf numFmtId="165" fontId="0" fillId="5" borderId="11" xfId="3" applyNumberFormat="1" applyFont="1" applyFill="1" applyBorder="1"/>
    <xf numFmtId="165" fontId="0" fillId="4" borderId="11" xfId="3" applyNumberFormat="1" applyFont="1" applyFill="1" applyBorder="1"/>
    <xf numFmtId="166" fontId="0" fillId="4" borderId="11" xfId="0" applyNumberFormat="1" applyFill="1" applyBorder="1"/>
    <xf numFmtId="166" fontId="0" fillId="4" borderId="12" xfId="0" applyNumberFormat="1" applyFill="1" applyBorder="1"/>
    <xf numFmtId="166" fontId="0" fillId="0" borderId="0" xfId="2" applyNumberFormat="1" applyFont="1"/>
    <xf numFmtId="0" fontId="0" fillId="0" borderId="0" xfId="2" applyNumberFormat="1" applyFont="1"/>
    <xf numFmtId="43" fontId="0" fillId="0" borderId="0" xfId="3" applyFont="1"/>
    <xf numFmtId="165" fontId="0" fillId="0" borderId="0" xfId="3" applyNumberFormat="1" applyFont="1"/>
    <xf numFmtId="0" fontId="0" fillId="0" borderId="0" xfId="0" applyAlignment="1">
      <alignment horizontal="right" vertical="top"/>
    </xf>
    <xf numFmtId="0" fontId="0" fillId="0" borderId="0" xfId="0" applyAlignment="1">
      <alignment horizontal="left" vertical="top"/>
    </xf>
    <xf numFmtId="166" fontId="0" fillId="3" borderId="0" xfId="2" applyNumberFormat="1" applyFont="1" applyFill="1" applyBorder="1"/>
    <xf numFmtId="165" fontId="0" fillId="2" borderId="0" xfId="3" applyNumberFormat="1" applyFont="1" applyFill="1" applyBorder="1"/>
    <xf numFmtId="165" fontId="0" fillId="3" borderId="0" xfId="3" applyNumberFormat="1" applyFont="1" applyFill="1" applyBorder="1"/>
    <xf numFmtId="9" fontId="0" fillId="3" borderId="0" xfId="2" applyFont="1" applyFill="1" applyBorder="1"/>
    <xf numFmtId="0" fontId="0" fillId="0" borderId="5" xfId="0" applyBorder="1" applyAlignment="1">
      <alignment horizontal="center"/>
    </xf>
    <xf numFmtId="0" fontId="0" fillId="0" borderId="6" xfId="0" applyBorder="1" applyAlignment="1">
      <alignment horizontal="center"/>
    </xf>
    <xf numFmtId="43" fontId="0" fillId="0" borderId="5" xfId="3" applyFont="1" applyBorder="1" applyAlignment="1">
      <alignment horizontal="center"/>
    </xf>
    <xf numFmtId="43" fontId="0" fillId="0" borderId="6" xfId="3" applyFont="1" applyBorder="1" applyAlignment="1">
      <alignment horizontal="center"/>
    </xf>
    <xf numFmtId="43" fontId="0" fillId="0" borderId="7" xfId="3" applyFont="1" applyBorder="1" applyAlignment="1">
      <alignment horizontal="center"/>
    </xf>
    <xf numFmtId="0" fontId="7" fillId="0" borderId="0" xfId="0" applyFont="1" applyAlignment="1">
      <alignment horizontal="center" vertical="top" wrapText="1"/>
    </xf>
    <xf numFmtId="0" fontId="7" fillId="0" borderId="8" xfId="0" applyFont="1" applyBorder="1" applyAlignment="1">
      <alignment horizontal="center" vertical="top" wrapText="1"/>
    </xf>
    <xf numFmtId="0" fontId="0" fillId="0" borderId="0" xfId="0" applyAlignment="1">
      <alignment horizontal="center" vertical="top" wrapText="1"/>
    </xf>
    <xf numFmtId="165" fontId="0" fillId="0" borderId="0" xfId="3" applyNumberFormat="1" applyFont="1" applyBorder="1" applyAlignment="1">
      <alignment horizontal="center" vertical="top" wrapText="1"/>
    </xf>
    <xf numFmtId="0" fontId="0" fillId="0" borderId="9" xfId="0" quotePrefix="1" applyBorder="1" applyAlignment="1">
      <alignment horizontal="center" vertical="top" wrapText="1"/>
    </xf>
    <xf numFmtId="0" fontId="0" fillId="0" borderId="0" xfId="0" applyAlignment="1">
      <alignment horizontal="left" vertical="top" wrapText="1"/>
    </xf>
    <xf numFmtId="0" fontId="2" fillId="0" borderId="0" xfId="1" applyAlignment="1">
      <alignment horizontal="left" vertical="top" wrapText="1"/>
    </xf>
  </cellXfs>
  <cellStyles count="4">
    <cellStyle name="Comma 2" xfId="3" xr:uid="{9066D296-ECAA-4FAC-8856-950058D6E8BB}"/>
    <cellStyle name="Hyperlink" xfId="1" builtinId="8"/>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ivicexchangeorg.sharepoint.com/sites/HongKong2050isNowTeamsite/Shared%20Documents/12%20Hong%20Kong%20EPS%20technical%20note/HK%20EPS%20update/Policy%20Concept%20model%20(PCM)%2020230821%20WORKING%20COPY.xlsm" TargetMode="External"/><Relationship Id="rId1" Type="http://schemas.openxmlformats.org/officeDocument/2006/relationships/externalLinkPath" Target="/sites/HongKong2050isNowTeamsite/Shared%20Documents/12%20Hong%20Kong%20EPS%20technical%20note/HK%20EPS%20update/Policy%20Concept%20model%20(PCM)%2020230821%20WORKING%20COP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AMEWORK"/>
      <sheetName val="GHG &amp; Energy rpt"/>
      <sheetName val="Results summary rpt"/>
      <sheetName val="Result Report"/>
      <sheetName val="Key parameters rpt"/>
      <sheetName val="Sheet4"/>
      <sheetName val="Pivot_Table"/>
      <sheetName val="2016 Data Source"/>
      <sheetName val="Transport"/>
      <sheetName val="Population and GDP"/>
      <sheetName val="Population and GDP (1)"/>
      <sheetName val="Sheet3"/>
      <sheetName val="Building"/>
      <sheetName val="Sheet5"/>
      <sheetName val="Transport-1"/>
      <sheetName val="Transport-2"/>
      <sheetName val="Electricity"/>
      <sheetName val="Waste"/>
      <sheetName val="PMC ref file ---&gt;"/>
      <sheetName val="Trans rough work"/>
      <sheetName val="Trans analysis"/>
      <sheetName val="EF-1"/>
      <sheetName val="Commerical demand"/>
      <sheetName val="Elc"/>
      <sheetName val="Housing demand"/>
      <sheetName val="Elderly &amp; Children pax trips"/>
      <sheetName val="Marine VKM"/>
      <sheetName val="Sheet1"/>
      <sheetName val="Sheet2"/>
      <sheetName val="data demand"/>
    </sheetNames>
    <sheetDataSet>
      <sheetData sheetId="0">
        <row r="2">
          <cell r="D2" t="str">
            <v>Core higher population</v>
          </cell>
        </row>
      </sheetData>
      <sheetData sheetId="1"/>
      <sheetData sheetId="2"/>
      <sheetData sheetId="3"/>
      <sheetData sheetId="4">
        <row r="4">
          <cell r="D4">
            <v>7.3346520000000002</v>
          </cell>
          <cell r="O4">
            <v>9.0664999999999996</v>
          </cell>
        </row>
        <row r="5">
          <cell r="D5">
            <v>2867622</v>
          </cell>
          <cell r="O5">
            <v>6232620.9488792457</v>
          </cell>
        </row>
        <row r="6">
          <cell r="O6">
            <v>687434.06484081468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ensus.gov/data/datasets/2017/demo/popproj/2017-popproj.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tatistics.gov.hk/pub/B1120015072017XXXXB0100.pdf" TargetMode="External"/><Relationship Id="rId2" Type="http://schemas.openxmlformats.org/officeDocument/2006/relationships/hyperlink" Target="https://www.hk2030plus.hk/document/Review%20of%20Land%20Requirement%20for%20Grade%20A%20Offices_Business%20and%20Industrial%20Uses(Eng)_FCR.pdf" TargetMode="External"/><Relationship Id="rId1" Type="http://schemas.openxmlformats.org/officeDocument/2006/relationships/hyperlink" Target="https://www.censtatd.gov.hk/en/web_table.html?id=310-31001" TargetMode="External"/><Relationship Id="rId6" Type="http://schemas.openxmlformats.org/officeDocument/2006/relationships/hyperlink" Target="https://www.censtatd.gov.hk/en/web_table.html?id=230-28002" TargetMode="External"/><Relationship Id="rId5" Type="http://schemas.openxmlformats.org/officeDocument/2006/relationships/hyperlink" Target="https://www.censtatd.gov.hk/en/press_release_detail.html?id=5368" TargetMode="External"/><Relationship Id="rId4" Type="http://schemas.openxmlformats.org/officeDocument/2006/relationships/hyperlink" Target="https://www.statistics.gov.hk/pub/B71710FB2017XXXXB010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activeCell="E13" sqref="E13"/>
    </sheetView>
  </sheetViews>
  <sheetFormatPr defaultColWidth="9" defaultRowHeight="15"/>
  <sheetData>
    <row r="1" spans="1:2">
      <c r="A1" s="1" t="s">
        <v>0</v>
      </c>
    </row>
    <row r="3" spans="1:2">
      <c r="A3" t="s">
        <v>1</v>
      </c>
      <c r="B3" t="s">
        <v>2</v>
      </c>
    </row>
    <row r="4" spans="1:2">
      <c r="B4" s="2">
        <v>2017</v>
      </c>
    </row>
    <row r="5" spans="1:2">
      <c r="B5" t="s">
        <v>3</v>
      </c>
    </row>
    <row r="6" spans="1:2">
      <c r="B6" s="3" t="s">
        <v>4</v>
      </c>
    </row>
    <row r="7" spans="1:2">
      <c r="B7" t="s">
        <v>5</v>
      </c>
    </row>
  </sheetData>
  <phoneticPr fontId="8" type="noConversion"/>
  <hyperlinks>
    <hyperlink ref="B6"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447C8-E55F-4A6D-BAB5-67724CAD0A0E}">
  <dimension ref="A1:L53"/>
  <sheetViews>
    <sheetView showGridLines="0" tabSelected="1" topLeftCell="A26" zoomScale="117" zoomScaleNormal="50" workbookViewId="0">
      <selection activeCell="E11" sqref="E11"/>
    </sheetView>
  </sheetViews>
  <sheetFormatPr defaultColWidth="9" defaultRowHeight="15" outlineLevelRow="1"/>
  <cols>
    <col min="2" max="2" width="12.85546875" customWidth="1"/>
    <col min="3" max="3" width="9.140625" style="32"/>
    <col min="4" max="4" width="12.140625" style="33" bestFit="1" customWidth="1"/>
    <col min="5" max="5" width="14.28515625" style="34" customWidth="1"/>
    <col min="6" max="6" width="13.140625" bestFit="1" customWidth="1"/>
    <col min="7" max="7" width="13.140625" style="34" bestFit="1" customWidth="1"/>
    <col min="8" max="8" width="13.140625" style="35" bestFit="1" customWidth="1"/>
    <col min="9" max="9" width="10.7109375" customWidth="1"/>
    <col min="12" max="12" width="9.7109375" bestFit="1" customWidth="1"/>
  </cols>
  <sheetData>
    <row r="1" spans="1:11" s="6" customFormat="1" ht="30.95">
      <c r="A1" s="4" t="s">
        <v>6</v>
      </c>
      <c r="B1" s="5"/>
      <c r="E1" s="7" t="s">
        <v>7</v>
      </c>
      <c r="F1" s="8">
        <v>45159</v>
      </c>
      <c r="G1" s="7" t="s">
        <v>8</v>
      </c>
      <c r="H1" s="8" t="str">
        <f>+[1]FRAMEWORK!$D$2</f>
        <v>Core higher population</v>
      </c>
      <c r="I1" s="9"/>
      <c r="K1" s="4"/>
    </row>
    <row r="2" spans="1:11" s="6" customFormat="1" ht="33" thickBot="1">
      <c r="A2" s="4"/>
      <c r="B2" s="5"/>
      <c r="E2" s="10" t="s">
        <v>9</v>
      </c>
      <c r="F2" s="11" t="s">
        <v>10</v>
      </c>
      <c r="G2" s="12" t="s">
        <v>11</v>
      </c>
      <c r="H2" s="13" t="s">
        <v>12</v>
      </c>
      <c r="I2" s="14" t="s">
        <v>13</v>
      </c>
      <c r="J2" s="15"/>
      <c r="K2" s="4"/>
    </row>
    <row r="3" spans="1:11">
      <c r="B3" s="42" t="s">
        <v>14</v>
      </c>
      <c r="C3" s="43"/>
      <c r="D3" s="43"/>
      <c r="E3" s="44" t="s">
        <v>15</v>
      </c>
      <c r="F3" s="45"/>
      <c r="G3" s="45"/>
      <c r="H3" s="45"/>
      <c r="I3" s="45"/>
      <c r="J3" s="45"/>
      <c r="K3" s="46"/>
    </row>
    <row r="4" spans="1:11" ht="32.25" customHeight="1">
      <c r="B4" s="16" t="s">
        <v>16</v>
      </c>
      <c r="C4" s="47" t="s">
        <v>17</v>
      </c>
      <c r="D4" s="47" t="s">
        <v>18</v>
      </c>
      <c r="E4" s="48" t="s">
        <v>19</v>
      </c>
      <c r="F4" s="49" t="s">
        <v>20</v>
      </c>
      <c r="G4" s="49" t="s">
        <v>21</v>
      </c>
      <c r="H4" s="50" t="s">
        <v>22</v>
      </c>
      <c r="I4" s="49" t="s">
        <v>23</v>
      </c>
      <c r="J4" s="49" t="s">
        <v>24</v>
      </c>
      <c r="K4" s="51" t="s">
        <v>25</v>
      </c>
    </row>
    <row r="5" spans="1:11" ht="18.75" customHeight="1">
      <c r="B5" s="17" t="s">
        <v>26</v>
      </c>
      <c r="C5" s="47"/>
      <c r="D5" s="47"/>
      <c r="E5" s="48"/>
      <c r="F5" s="49"/>
      <c r="G5" s="49"/>
      <c r="H5" s="50"/>
      <c r="I5" s="49"/>
      <c r="J5" s="49"/>
      <c r="K5" s="51"/>
    </row>
    <row r="6" spans="1:11">
      <c r="A6" s="18" t="s">
        <v>27</v>
      </c>
      <c r="B6" s="22">
        <v>2490598</v>
      </c>
      <c r="C6" s="38">
        <v>3.5000000000000003E-2</v>
      </c>
      <c r="D6" s="39">
        <f t="shared" ref="D6:D39" si="0">B6*1000000/E6</f>
        <v>349958.94941412815</v>
      </c>
      <c r="E6" s="22">
        <v>7116829</v>
      </c>
      <c r="F6" s="40">
        <v>7336600</v>
      </c>
      <c r="G6" s="40">
        <v>7336600</v>
      </c>
      <c r="H6" s="40">
        <v>3787100</v>
      </c>
      <c r="I6" s="20">
        <v>0.159</v>
      </c>
      <c r="J6" s="20">
        <v>0.72799999999999998</v>
      </c>
      <c r="K6" s="21">
        <v>0.113</v>
      </c>
    </row>
    <row r="7" spans="1:11" outlineLevel="1">
      <c r="A7">
        <v>2017</v>
      </c>
      <c r="B7" s="22">
        <v>2659611</v>
      </c>
      <c r="C7" s="38">
        <v>3.5000000000000003E-2</v>
      </c>
      <c r="D7" s="39">
        <f t="shared" si="0"/>
        <v>370791.18335935759</v>
      </c>
      <c r="E7" s="22">
        <v>7172800</v>
      </c>
      <c r="F7" s="40">
        <v>7391700</v>
      </c>
      <c r="G7" s="40">
        <v>7389500</v>
      </c>
      <c r="H7" s="40">
        <v>3832400</v>
      </c>
      <c r="I7" s="23"/>
      <c r="J7" s="23"/>
      <c r="K7" s="24"/>
    </row>
    <row r="8" spans="1:11" outlineLevel="1">
      <c r="A8">
        <v>2018</v>
      </c>
      <c r="B8" s="22">
        <v>2835429</v>
      </c>
      <c r="C8" s="38">
        <v>3.5000000000000003E-2</v>
      </c>
      <c r="D8" s="39">
        <f t="shared" si="0"/>
        <v>392294.88917789643</v>
      </c>
      <c r="E8" s="22">
        <v>7227800</v>
      </c>
      <c r="F8" s="40">
        <v>7448900</v>
      </c>
      <c r="G8" s="40">
        <v>7453700</v>
      </c>
      <c r="H8" s="40">
        <v>3884600</v>
      </c>
      <c r="I8" s="23"/>
      <c r="J8" s="23"/>
      <c r="K8" s="24"/>
    </row>
    <row r="9" spans="1:11" outlineLevel="1">
      <c r="A9">
        <v>2019</v>
      </c>
      <c r="B9" s="22">
        <v>2845022</v>
      </c>
      <c r="C9" s="38">
        <v>3.5000000000000003E-2</v>
      </c>
      <c r="D9" s="39">
        <f t="shared" si="0"/>
        <v>389121.37210383784</v>
      </c>
      <c r="E9" s="22">
        <v>7311400</v>
      </c>
      <c r="F9" s="40">
        <v>7502600</v>
      </c>
      <c r="G9" s="40">
        <v>7517300</v>
      </c>
      <c r="H9" s="40">
        <v>3871400</v>
      </c>
      <c r="I9" s="23"/>
      <c r="J9" s="23"/>
      <c r="K9" s="24"/>
    </row>
    <row r="10" spans="1:11" outlineLevel="1">
      <c r="A10">
        <v>2020</v>
      </c>
      <c r="B10" s="22">
        <v>2675793</v>
      </c>
      <c r="C10" s="38">
        <v>3.5000000000000003E-2</v>
      </c>
      <c r="D10" s="39">
        <f t="shared" si="0"/>
        <v>362004.57275826612</v>
      </c>
      <c r="E10" s="22">
        <v>7391600</v>
      </c>
      <c r="F10" s="40">
        <v>7558100</v>
      </c>
      <c r="G10" s="40">
        <v>7590200</v>
      </c>
      <c r="H10" s="40">
        <v>3690900</v>
      </c>
      <c r="I10" s="23"/>
      <c r="J10" s="23"/>
      <c r="K10" s="24"/>
    </row>
    <row r="11" spans="1:11" outlineLevel="1">
      <c r="A11">
        <v>2021</v>
      </c>
      <c r="B11" s="19">
        <f>+'[1]Key parameters rpt'!D5</f>
        <v>2867622</v>
      </c>
      <c r="C11" s="38">
        <v>3.5000000000000003E-2</v>
      </c>
      <c r="D11" s="39">
        <f t="shared" si="0"/>
        <v>390969.06029079499</v>
      </c>
      <c r="E11" s="19">
        <f>+'[1]Key parameters rpt'!D4*1000000</f>
        <v>7334652</v>
      </c>
      <c r="F11" s="40">
        <v>7413100</v>
      </c>
      <c r="G11" s="40">
        <v>7413100</v>
      </c>
      <c r="H11" s="40">
        <v>3670200</v>
      </c>
      <c r="I11" s="23"/>
      <c r="J11" s="23"/>
      <c r="K11" s="24"/>
    </row>
    <row r="12" spans="1:11" outlineLevel="1">
      <c r="A12">
        <v>2022</v>
      </c>
      <c r="B12" s="22">
        <v>2818046</v>
      </c>
      <c r="C12" s="38">
        <v>0.03</v>
      </c>
      <c r="D12" s="39">
        <f t="shared" si="0"/>
        <v>391689.04456119868</v>
      </c>
      <c r="E12" s="22">
        <v>7194600</v>
      </c>
      <c r="F12" s="40">
        <v>7346100</v>
      </c>
      <c r="G12" s="40">
        <v>7346100</v>
      </c>
      <c r="H12" s="40">
        <v>3458900</v>
      </c>
      <c r="I12" s="23"/>
      <c r="J12" s="23"/>
      <c r="K12" s="24"/>
    </row>
    <row r="13" spans="1:11" outlineLevel="1">
      <c r="A13">
        <v>2023</v>
      </c>
      <c r="B13" s="22">
        <f>B12*(1+C12)</f>
        <v>2902587.38</v>
      </c>
      <c r="C13" s="38">
        <v>0.03</v>
      </c>
      <c r="D13" s="39">
        <f t="shared" si="0"/>
        <v>400395.53887961595</v>
      </c>
      <c r="E13" s="22">
        <v>7249300</v>
      </c>
      <c r="F13" s="40">
        <v>7498100</v>
      </c>
      <c r="G13" s="40">
        <v>7498100</v>
      </c>
      <c r="H13" s="40">
        <v>3512100</v>
      </c>
      <c r="I13" s="23"/>
      <c r="J13" s="23"/>
      <c r="K13" s="24"/>
    </row>
    <row r="14" spans="1:11" outlineLevel="1">
      <c r="A14">
        <v>2024</v>
      </c>
      <c r="B14" s="22">
        <f t="shared" ref="B14:B39" si="1">B13*(1+C13)</f>
        <v>2989665.0014</v>
      </c>
      <c r="C14" s="38">
        <v>0.03</v>
      </c>
      <c r="D14" s="39">
        <f t="shared" si="0"/>
        <v>410104.93846364884</v>
      </c>
      <c r="E14" s="22">
        <v>7290000</v>
      </c>
      <c r="F14" s="40">
        <v>7526800</v>
      </c>
      <c r="G14" s="40">
        <v>7600400</v>
      </c>
      <c r="H14" s="40">
        <v>3546700</v>
      </c>
      <c r="I14" s="23"/>
      <c r="J14" s="23"/>
      <c r="K14" s="24"/>
    </row>
    <row r="15" spans="1:11" outlineLevel="1">
      <c r="A15">
        <v>2025</v>
      </c>
      <c r="B15" s="22">
        <f t="shared" si="1"/>
        <v>3079354.951442</v>
      </c>
      <c r="C15" s="38">
        <v>0.03</v>
      </c>
      <c r="D15" s="39">
        <f t="shared" si="0"/>
        <v>420464.37612709421</v>
      </c>
      <c r="E15" s="22">
        <v>7323700</v>
      </c>
      <c r="F15" s="40">
        <v>7559800</v>
      </c>
      <c r="G15" s="40">
        <v>7679900</v>
      </c>
      <c r="H15" s="40">
        <v>3578500</v>
      </c>
      <c r="I15" s="23"/>
      <c r="J15" s="23"/>
      <c r="K15" s="24"/>
    </row>
    <row r="16" spans="1:11" outlineLevel="1">
      <c r="A16">
        <v>2026</v>
      </c>
      <c r="B16" s="22">
        <f t="shared" si="1"/>
        <v>3171735.5999852601</v>
      </c>
      <c r="C16" s="38">
        <v>2.5000000000000001E-2</v>
      </c>
      <c r="D16" s="39">
        <f t="shared" si="0"/>
        <v>430883.79296091024</v>
      </c>
      <c r="E16" s="22">
        <v>7361000</v>
      </c>
      <c r="F16" s="40">
        <v>7596800</v>
      </c>
      <c r="G16" s="40">
        <v>7756700</v>
      </c>
      <c r="H16" s="40">
        <v>3572000</v>
      </c>
      <c r="I16" s="23"/>
      <c r="J16" s="23"/>
      <c r="K16" s="24"/>
    </row>
    <row r="17" spans="1:11" outlineLevel="1">
      <c r="A17">
        <v>2027</v>
      </c>
      <c r="B17" s="22">
        <f t="shared" si="1"/>
        <v>3251028.9899848914</v>
      </c>
      <c r="C17" s="38">
        <v>2.5000000000000001E-2</v>
      </c>
      <c r="D17" s="39">
        <f t="shared" si="0"/>
        <v>439132.41257073084</v>
      </c>
      <c r="E17" s="22">
        <v>7403300</v>
      </c>
      <c r="F17" s="40">
        <v>7638700</v>
      </c>
      <c r="G17" s="40">
        <v>7839700</v>
      </c>
      <c r="H17" s="40">
        <v>3566400</v>
      </c>
      <c r="I17" s="23"/>
      <c r="J17" s="23"/>
      <c r="K17" s="24"/>
    </row>
    <row r="18" spans="1:11" outlineLevel="1">
      <c r="A18">
        <v>2028</v>
      </c>
      <c r="B18" s="22">
        <f t="shared" si="1"/>
        <v>3332304.7147345133</v>
      </c>
      <c r="C18" s="38">
        <v>2.5000000000000001E-2</v>
      </c>
      <c r="D18" s="39">
        <f t="shared" si="0"/>
        <v>447289.22345429705</v>
      </c>
      <c r="E18" s="22">
        <v>7450000</v>
      </c>
      <c r="F18" s="40">
        <v>7684500</v>
      </c>
      <c r="G18" s="40">
        <v>7920800</v>
      </c>
      <c r="H18" s="40">
        <v>3561600</v>
      </c>
      <c r="I18" s="23"/>
      <c r="J18" s="23"/>
      <c r="K18" s="24"/>
    </row>
    <row r="19" spans="1:11" outlineLevel="1">
      <c r="A19">
        <v>2029</v>
      </c>
      <c r="B19" s="22">
        <f t="shared" si="1"/>
        <v>3415612.3326028758</v>
      </c>
      <c r="C19" s="38">
        <v>2.5000000000000001E-2</v>
      </c>
      <c r="D19" s="39">
        <f t="shared" si="0"/>
        <v>455560.75712266273</v>
      </c>
      <c r="E19" s="22">
        <v>7497600</v>
      </c>
      <c r="F19" s="40">
        <v>7731100</v>
      </c>
      <c r="G19" s="40">
        <v>7996900</v>
      </c>
      <c r="H19" s="40">
        <v>3558900</v>
      </c>
      <c r="I19" s="23"/>
      <c r="J19" s="23"/>
      <c r="K19" s="24"/>
    </row>
    <row r="20" spans="1:11" outlineLevel="1">
      <c r="A20">
        <v>2030</v>
      </c>
      <c r="B20" s="22">
        <f t="shared" si="1"/>
        <v>3501002.6409179475</v>
      </c>
      <c r="C20" s="38">
        <v>2.5000000000000001E-2</v>
      </c>
      <c r="D20" s="39">
        <f t="shared" si="0"/>
        <v>464028.55488786288</v>
      </c>
      <c r="E20" s="22">
        <v>7544800</v>
      </c>
      <c r="F20" s="40">
        <v>7777100</v>
      </c>
      <c r="G20" s="40">
        <v>8073200</v>
      </c>
      <c r="H20" s="40">
        <v>3561800</v>
      </c>
      <c r="I20" s="23"/>
      <c r="J20" s="23"/>
      <c r="K20" s="24"/>
    </row>
    <row r="21" spans="1:11" outlineLevel="1">
      <c r="A21">
        <v>2031</v>
      </c>
      <c r="B21" s="22">
        <f t="shared" si="1"/>
        <v>3588527.7069408959</v>
      </c>
      <c r="C21" s="38">
        <v>2.5000000000000001E-2</v>
      </c>
      <c r="D21" s="39">
        <f t="shared" si="0"/>
        <v>472803.02862236602</v>
      </c>
      <c r="E21" s="22">
        <v>7589900</v>
      </c>
      <c r="F21" s="40">
        <v>7820200</v>
      </c>
      <c r="G21" s="40">
        <v>8147100</v>
      </c>
      <c r="H21" s="40">
        <v>3577400</v>
      </c>
      <c r="I21" s="23"/>
      <c r="J21" s="23"/>
      <c r="K21" s="24"/>
    </row>
    <row r="22" spans="1:11" outlineLevel="1">
      <c r="A22">
        <v>2032</v>
      </c>
      <c r="B22" s="22">
        <f t="shared" si="1"/>
        <v>3678240.8996144179</v>
      </c>
      <c r="C22" s="38">
        <v>2.5000000000000001E-2</v>
      </c>
      <c r="D22" s="39">
        <f t="shared" si="0"/>
        <v>481798.29451095278</v>
      </c>
      <c r="E22" s="22">
        <v>7634400</v>
      </c>
      <c r="F22" s="40">
        <v>7862100</v>
      </c>
      <c r="G22" s="40">
        <v>8219799.9999999991</v>
      </c>
      <c r="H22" s="40">
        <v>3594100</v>
      </c>
      <c r="I22" s="23"/>
      <c r="J22" s="23"/>
      <c r="K22" s="24"/>
    </row>
    <row r="23" spans="1:11" outlineLevel="1">
      <c r="A23">
        <v>2033</v>
      </c>
      <c r="B23" s="22">
        <f t="shared" si="1"/>
        <v>3770196.9221047782</v>
      </c>
      <c r="C23" s="38">
        <v>2.5000000000000001E-2</v>
      </c>
      <c r="D23" s="39">
        <f t="shared" si="0"/>
        <v>490994.16855779995</v>
      </c>
      <c r="E23" s="22">
        <v>7678700</v>
      </c>
      <c r="F23" s="40">
        <v>7903600</v>
      </c>
      <c r="G23" s="40">
        <v>8292200.0000000009</v>
      </c>
      <c r="H23" s="40">
        <v>3604600</v>
      </c>
      <c r="I23" s="23"/>
      <c r="J23" s="23"/>
      <c r="K23" s="24"/>
    </row>
    <row r="24" spans="1:11" outlineLevel="1">
      <c r="A24">
        <v>2034</v>
      </c>
      <c r="B24" s="22">
        <f t="shared" si="1"/>
        <v>3864451.8451573974</v>
      </c>
      <c r="C24" s="38">
        <v>2.5000000000000001E-2</v>
      </c>
      <c r="D24" s="39">
        <f t="shared" si="0"/>
        <v>500375.73580005404</v>
      </c>
      <c r="E24" s="22">
        <v>7723100</v>
      </c>
      <c r="F24" s="40">
        <v>7945100</v>
      </c>
      <c r="G24" s="40">
        <v>8364600</v>
      </c>
      <c r="H24" s="40">
        <v>3616500</v>
      </c>
      <c r="I24" s="23"/>
      <c r="J24" s="23"/>
      <c r="K24" s="24"/>
    </row>
    <row r="25" spans="1:11" outlineLevel="1">
      <c r="A25">
        <v>2035</v>
      </c>
      <c r="B25" s="22">
        <f t="shared" si="1"/>
        <v>3961063.1412863322</v>
      </c>
      <c r="C25" s="38">
        <v>2.5000000000000001E-2</v>
      </c>
      <c r="D25" s="39">
        <f t="shared" si="0"/>
        <v>509848.39187117323</v>
      </c>
      <c r="E25" s="22">
        <v>7769100</v>
      </c>
      <c r="F25" s="40">
        <v>7987900</v>
      </c>
      <c r="G25" s="40">
        <v>8438300</v>
      </c>
      <c r="H25" s="40">
        <v>3633000</v>
      </c>
      <c r="I25" s="23"/>
      <c r="J25" s="23"/>
      <c r="K25" s="24"/>
    </row>
    <row r="26" spans="1:11" outlineLevel="1">
      <c r="A26">
        <v>2036</v>
      </c>
      <c r="B26" s="22">
        <f t="shared" si="1"/>
        <v>4060089.7198184901</v>
      </c>
      <c r="C26" s="38">
        <v>2.5000000000000001E-2</v>
      </c>
      <c r="D26" s="39">
        <f t="shared" si="0"/>
        <v>519990.99895216321</v>
      </c>
      <c r="E26" s="22">
        <v>7808000</v>
      </c>
      <c r="F26" s="40">
        <v>8022400</v>
      </c>
      <c r="G26" s="40">
        <v>8502800</v>
      </c>
      <c r="H26" s="40">
        <v>3646700</v>
      </c>
      <c r="I26" s="23"/>
      <c r="J26" s="23"/>
      <c r="K26" s="24"/>
    </row>
    <row r="27" spans="1:11" outlineLevel="1">
      <c r="A27">
        <v>2037</v>
      </c>
      <c r="B27" s="22">
        <f t="shared" si="1"/>
        <v>4161591.962813952</v>
      </c>
      <c r="C27" s="38">
        <v>2.5000000000000001E-2</v>
      </c>
      <c r="D27" s="39">
        <f t="shared" si="0"/>
        <v>530368.81742588535</v>
      </c>
      <c r="E27" s="22">
        <v>7846600</v>
      </c>
      <c r="F27" s="40">
        <v>8057200</v>
      </c>
      <c r="G27" s="40">
        <v>8567400</v>
      </c>
      <c r="H27" s="40">
        <v>3658000</v>
      </c>
      <c r="I27" s="23"/>
      <c r="J27" s="23"/>
      <c r="K27" s="24"/>
    </row>
    <row r="28" spans="1:11" outlineLevel="1">
      <c r="A28">
        <v>2038</v>
      </c>
      <c r="B28" s="22">
        <f t="shared" si="1"/>
        <v>4265631.7618843</v>
      </c>
      <c r="C28" s="38">
        <v>2.5000000000000001E-2</v>
      </c>
      <c r="D28" s="39">
        <f t="shared" si="0"/>
        <v>541255.14044972719</v>
      </c>
      <c r="E28" s="22">
        <v>7881000</v>
      </c>
      <c r="F28" s="40">
        <v>8088600</v>
      </c>
      <c r="G28" s="40">
        <v>8628300</v>
      </c>
      <c r="H28" s="40">
        <v>3660100</v>
      </c>
      <c r="I28" s="23"/>
      <c r="J28" s="23"/>
      <c r="K28" s="24"/>
    </row>
    <row r="29" spans="1:11" outlineLevel="1">
      <c r="A29">
        <v>2039</v>
      </c>
      <c r="B29" s="22">
        <f t="shared" si="1"/>
        <v>4372272.555931407</v>
      </c>
      <c r="C29" s="38">
        <v>2.5000000000000001E-2</v>
      </c>
      <c r="D29" s="39">
        <f t="shared" si="0"/>
        <v>552717.59761474084</v>
      </c>
      <c r="E29" s="22">
        <v>7910500</v>
      </c>
      <c r="F29" s="40">
        <v>8115300</v>
      </c>
      <c r="G29" s="40">
        <v>8684400</v>
      </c>
      <c r="H29" s="40">
        <v>3658600</v>
      </c>
      <c r="I29" s="23"/>
      <c r="J29" s="23"/>
      <c r="K29" s="24"/>
    </row>
    <row r="30" spans="1:11" outlineLevel="1">
      <c r="A30">
        <v>2040</v>
      </c>
      <c r="B30" s="22">
        <f t="shared" si="1"/>
        <v>4481579.3698296919</v>
      </c>
      <c r="C30" s="38">
        <v>2.5000000000000001E-2</v>
      </c>
      <c r="D30" s="39">
        <f t="shared" si="0"/>
        <v>564772.07503650722</v>
      </c>
      <c r="E30" s="22">
        <v>7935200</v>
      </c>
      <c r="F30" s="40">
        <v>8137300</v>
      </c>
      <c r="G30" s="40">
        <v>8735700</v>
      </c>
      <c r="H30" s="40">
        <v>3655000</v>
      </c>
      <c r="I30" s="23"/>
      <c r="J30" s="23"/>
      <c r="K30" s="24"/>
    </row>
    <row r="31" spans="1:11" outlineLevel="1">
      <c r="A31">
        <v>2041</v>
      </c>
      <c r="B31" s="22">
        <f t="shared" si="1"/>
        <v>4593618.8540754337</v>
      </c>
      <c r="C31" s="38">
        <v>2.5000000000000001E-2</v>
      </c>
      <c r="D31" s="39">
        <f t="shared" si="0"/>
        <v>577435.99835019023</v>
      </c>
      <c r="E31" s="22">
        <v>7955200</v>
      </c>
      <c r="F31" s="40">
        <v>8154900</v>
      </c>
      <c r="G31" s="40">
        <v>8782300</v>
      </c>
      <c r="H31" s="40">
        <v>3648900</v>
      </c>
      <c r="I31" s="23"/>
      <c r="J31" s="23"/>
      <c r="K31" s="24"/>
    </row>
    <row r="32" spans="1:11" outlineLevel="1">
      <c r="A32">
        <v>2042</v>
      </c>
      <c r="B32" s="22">
        <f t="shared" si="1"/>
        <v>4708459.3254273189</v>
      </c>
      <c r="C32" s="38">
        <v>2.5000000000000001E-2</v>
      </c>
      <c r="D32" s="39">
        <f t="shared" si="0"/>
        <v>590691.28795615654</v>
      </c>
      <c r="E32" s="22">
        <v>7971100</v>
      </c>
      <c r="F32" s="40">
        <v>8168600</v>
      </c>
      <c r="G32" s="40">
        <v>8824900</v>
      </c>
      <c r="H32" s="40">
        <v>3640600</v>
      </c>
      <c r="I32" s="23"/>
      <c r="J32" s="23"/>
      <c r="K32" s="24"/>
    </row>
    <row r="33" spans="1:12" outlineLevel="1">
      <c r="A33">
        <v>2043</v>
      </c>
      <c r="B33" s="22">
        <f t="shared" si="1"/>
        <v>4826170.8085630015</v>
      </c>
      <c r="C33" s="38">
        <v>2.5000000000000001E-2</v>
      </c>
      <c r="D33" s="39">
        <f t="shared" si="0"/>
        <v>604480.31169376266</v>
      </c>
      <c r="E33" s="22">
        <v>7984000</v>
      </c>
      <c r="F33" s="40">
        <v>8179500</v>
      </c>
      <c r="G33" s="40">
        <v>8864600</v>
      </c>
      <c r="H33" s="40">
        <v>3626100</v>
      </c>
      <c r="I33" s="23"/>
      <c r="J33" s="23"/>
      <c r="K33" s="24"/>
    </row>
    <row r="34" spans="1:12" outlineLevel="1">
      <c r="A34">
        <v>2044</v>
      </c>
      <c r="B34" s="22">
        <f t="shared" si="1"/>
        <v>4946825.0787770757</v>
      </c>
      <c r="C34" s="38">
        <v>2.5000000000000001E-2</v>
      </c>
      <c r="D34" s="39">
        <f t="shared" si="0"/>
        <v>618902.41073666327</v>
      </c>
      <c r="E34" s="22">
        <v>7992900</v>
      </c>
      <c r="F34" s="40">
        <v>8186800</v>
      </c>
      <c r="G34" s="40">
        <v>8900400</v>
      </c>
      <c r="H34" s="40">
        <v>3613200</v>
      </c>
      <c r="I34" s="23"/>
      <c r="J34" s="23"/>
      <c r="K34" s="24"/>
    </row>
    <row r="35" spans="1:12" outlineLevel="1">
      <c r="A35">
        <v>2045</v>
      </c>
      <c r="B35" s="22">
        <f t="shared" si="1"/>
        <v>5070495.7057465026</v>
      </c>
      <c r="C35" s="38">
        <v>2.5000000000000001E-2</v>
      </c>
      <c r="D35" s="39">
        <f t="shared" si="0"/>
        <v>633954.60300398874</v>
      </c>
      <c r="E35" s="22">
        <v>7998200</v>
      </c>
      <c r="F35" s="40">
        <v>8190700</v>
      </c>
      <c r="G35" s="40">
        <v>8932600</v>
      </c>
      <c r="H35" s="40">
        <v>3598500</v>
      </c>
      <c r="I35" s="23"/>
      <c r="J35" s="23"/>
      <c r="K35" s="24"/>
    </row>
    <row r="36" spans="1:12" outlineLevel="1">
      <c r="A36">
        <v>2046</v>
      </c>
      <c r="B36" s="22">
        <f t="shared" si="1"/>
        <v>5197258.0983901648</v>
      </c>
      <c r="C36" s="38">
        <v>2.5000000000000001E-2</v>
      </c>
      <c r="D36" s="39">
        <f t="shared" si="0"/>
        <v>649730.35696392902</v>
      </c>
      <c r="E36" s="22">
        <v>7999100</v>
      </c>
      <c r="F36" s="40">
        <v>8190400</v>
      </c>
      <c r="G36" s="40">
        <v>8960200</v>
      </c>
      <c r="H36" s="40">
        <v>3581900</v>
      </c>
      <c r="I36" s="23"/>
      <c r="J36" s="23"/>
      <c r="K36" s="24"/>
    </row>
    <row r="37" spans="1:12" outlineLevel="1">
      <c r="A37">
        <v>2047</v>
      </c>
      <c r="B37" s="22">
        <f t="shared" si="1"/>
        <v>5327189.5508499183</v>
      </c>
      <c r="C37" s="38">
        <v>2.5000000000000001E-2</v>
      </c>
      <c r="D37" s="39">
        <f t="shared" si="0"/>
        <v>667768.44550365</v>
      </c>
      <c r="E37" s="22">
        <v>7977600</v>
      </c>
      <c r="F37" s="40">
        <v>8197100</v>
      </c>
      <c r="G37" s="40">
        <v>9042100</v>
      </c>
      <c r="H37" s="40">
        <v>3407300</v>
      </c>
      <c r="I37" s="23"/>
      <c r="J37" s="23"/>
      <c r="K37" s="24"/>
    </row>
    <row r="38" spans="1:12" outlineLevel="1">
      <c r="A38">
        <v>2048</v>
      </c>
      <c r="B38" s="22">
        <f t="shared" si="1"/>
        <v>5460369.289621166</v>
      </c>
      <c r="C38" s="38">
        <v>2.5000000000000001E-2</v>
      </c>
      <c r="D38" s="39">
        <f t="shared" si="0"/>
        <v>685373.32617310982</v>
      </c>
      <c r="E38" s="22">
        <v>7967000</v>
      </c>
      <c r="F38" s="40">
        <v>8185000</v>
      </c>
      <c r="G38" s="40">
        <v>9055800</v>
      </c>
      <c r="H38" s="40">
        <v>3391100</v>
      </c>
      <c r="I38" s="23"/>
      <c r="J38" s="23"/>
      <c r="K38" s="24"/>
    </row>
    <row r="39" spans="1:12" outlineLevel="1">
      <c r="A39">
        <v>2049</v>
      </c>
      <c r="B39" s="22">
        <f t="shared" si="1"/>
        <v>5596878.5218616948</v>
      </c>
      <c r="C39" s="38">
        <v>2.5000000000000001E-2</v>
      </c>
      <c r="D39" s="39">
        <f t="shared" si="0"/>
        <v>703744.31307200983</v>
      </c>
      <c r="E39" s="22">
        <v>7953000</v>
      </c>
      <c r="F39" s="40">
        <v>8170000</v>
      </c>
      <c r="G39" s="40">
        <v>9066500</v>
      </c>
      <c r="H39" s="40">
        <v>3373500</v>
      </c>
      <c r="I39" s="23"/>
      <c r="J39" s="23"/>
      <c r="K39" s="24"/>
    </row>
    <row r="40" spans="1:12" outlineLevel="1">
      <c r="A40">
        <v>2050</v>
      </c>
      <c r="B40" s="22">
        <v>6232620.9488792457</v>
      </c>
      <c r="C40" s="38">
        <v>2.5000000000000001E-2</v>
      </c>
      <c r="D40" s="39">
        <v>785271.44714929583</v>
      </c>
      <c r="E40" s="22">
        <v>7936900</v>
      </c>
      <c r="F40" s="40">
        <v>8152300</v>
      </c>
      <c r="G40" s="40">
        <v>9066500</v>
      </c>
      <c r="H40" s="40">
        <v>3355300</v>
      </c>
      <c r="I40" s="41">
        <v>8.8999999999999996E-2</v>
      </c>
      <c r="J40" s="41">
        <v>0.59</v>
      </c>
      <c r="K40" s="25">
        <v>0.32400000000000001</v>
      </c>
    </row>
    <row r="41" spans="1:12" ht="15.95" thickBot="1">
      <c r="A41">
        <v>2050</v>
      </c>
      <c r="B41" s="26">
        <f>'[1]Key parameters rpt'!O5</f>
        <v>6232620.9488792457</v>
      </c>
      <c r="C41" s="27">
        <v>2.5000000000000001E-2</v>
      </c>
      <c r="D41" s="28">
        <f>'[1]Key parameters rpt'!O6</f>
        <v>687434.06484081468</v>
      </c>
      <c r="E41" s="26">
        <f>'[1]Key parameters rpt'!O4*1000000</f>
        <v>9066500</v>
      </c>
      <c r="F41" s="29">
        <v>8152300</v>
      </c>
      <c r="G41" s="29">
        <v>9066500</v>
      </c>
      <c r="H41" s="29">
        <v>3355300</v>
      </c>
      <c r="I41" s="30">
        <v>8.8999999999999996E-2</v>
      </c>
      <c r="J41" s="30">
        <v>0.59</v>
      </c>
      <c r="K41" s="31">
        <v>0.32400000000000001</v>
      </c>
    </row>
    <row r="42" spans="1:12">
      <c r="F42" s="32"/>
    </row>
    <row r="43" spans="1:12" s="37" customFormat="1" ht="32.85" customHeight="1">
      <c r="A43"/>
      <c r="B43" t="s">
        <v>28</v>
      </c>
      <c r="C43" s="32"/>
      <c r="D43" s="33"/>
      <c r="E43" s="34"/>
      <c r="F43" s="32"/>
      <c r="G43" s="34"/>
      <c r="H43" s="35"/>
      <c r="I43"/>
      <c r="J43"/>
      <c r="K43"/>
      <c r="L43"/>
    </row>
    <row r="44" spans="1:12" s="37" customFormat="1" ht="58.35" customHeight="1">
      <c r="A44" s="36">
        <v>1</v>
      </c>
      <c r="B44" s="52" t="s">
        <v>29</v>
      </c>
      <c r="C44" s="52"/>
      <c r="D44" s="52"/>
      <c r="E44" s="52"/>
      <c r="F44" s="53" t="s">
        <v>30</v>
      </c>
      <c r="G44" s="53"/>
      <c r="H44" s="53"/>
      <c r="I44" s="53"/>
      <c r="J44" s="53"/>
      <c r="K44" s="53"/>
      <c r="L44" s="37" t="s">
        <v>31</v>
      </c>
    </row>
    <row r="45" spans="1:12" s="37" customFormat="1" ht="48.6" customHeight="1">
      <c r="A45" s="36">
        <v>2</v>
      </c>
      <c r="B45" s="52" t="s">
        <v>32</v>
      </c>
      <c r="C45" s="52"/>
      <c r="D45" s="52"/>
      <c r="E45" s="52"/>
      <c r="F45" s="53" t="s">
        <v>33</v>
      </c>
      <c r="G45" s="53"/>
      <c r="H45" s="53"/>
      <c r="I45" s="53"/>
      <c r="J45" s="53"/>
      <c r="K45" s="53"/>
    </row>
    <row r="46" spans="1:12" s="37" customFormat="1" ht="18" customHeight="1">
      <c r="A46" s="36">
        <v>3</v>
      </c>
      <c r="B46" s="52" t="s">
        <v>34</v>
      </c>
      <c r="C46" s="52"/>
      <c r="D46" s="52"/>
      <c r="E46" s="52"/>
      <c r="F46" s="53" t="s">
        <v>35</v>
      </c>
      <c r="G46" s="53"/>
      <c r="H46" s="53"/>
      <c r="I46" s="53"/>
      <c r="J46" s="53"/>
      <c r="K46" s="53"/>
    </row>
    <row r="47" spans="1:12" ht="198.75" customHeight="1">
      <c r="A47" s="36">
        <v>4</v>
      </c>
      <c r="B47" s="52" t="s">
        <v>36</v>
      </c>
      <c r="C47" s="52"/>
      <c r="D47" s="52"/>
      <c r="E47" s="52"/>
      <c r="F47" s="53" t="s">
        <v>37</v>
      </c>
      <c r="G47" s="53"/>
      <c r="H47" s="53"/>
      <c r="I47" s="53"/>
      <c r="J47" s="53"/>
      <c r="K47" s="53"/>
      <c r="L47" s="37"/>
    </row>
    <row r="48" spans="1:12">
      <c r="A48" s="36">
        <v>5</v>
      </c>
      <c r="B48" s="52" t="s">
        <v>38</v>
      </c>
      <c r="C48" s="52"/>
      <c r="D48" s="52"/>
      <c r="E48" s="52"/>
      <c r="F48" s="53" t="s">
        <v>39</v>
      </c>
      <c r="G48" s="53"/>
      <c r="H48" s="53"/>
      <c r="I48" s="53"/>
      <c r="J48" s="53"/>
      <c r="K48" s="53"/>
      <c r="L48" s="37"/>
    </row>
    <row r="49" spans="1:12" ht="32.1" customHeight="1">
      <c r="A49" s="36">
        <v>6</v>
      </c>
      <c r="B49" s="52" t="s">
        <v>40</v>
      </c>
      <c r="C49" s="52"/>
      <c r="D49" s="52"/>
      <c r="E49" s="52"/>
      <c r="F49" s="53" t="s">
        <v>41</v>
      </c>
      <c r="G49" s="53"/>
      <c r="H49" s="53"/>
      <c r="I49" s="53"/>
      <c r="J49" s="53"/>
      <c r="K49" s="53"/>
      <c r="L49" s="37"/>
    </row>
    <row r="50" spans="1:12">
      <c r="B50" s="52" t="s">
        <v>42</v>
      </c>
      <c r="C50" s="52"/>
      <c r="D50" s="52"/>
      <c r="E50" s="52"/>
      <c r="F50" s="52"/>
      <c r="G50" s="52"/>
      <c r="H50" s="52"/>
      <c r="I50" s="52"/>
      <c r="J50" s="52"/>
      <c r="K50" s="52"/>
    </row>
    <row r="51" spans="1:12">
      <c r="A51" s="1" t="s">
        <v>43</v>
      </c>
    </row>
    <row r="52" spans="1:12">
      <c r="B52" s="52" t="s">
        <v>44</v>
      </c>
      <c r="C52" s="52"/>
      <c r="D52" s="52"/>
      <c r="E52" s="52"/>
      <c r="F52" s="52"/>
      <c r="G52" s="52"/>
      <c r="H52" s="52"/>
      <c r="I52" s="52"/>
      <c r="J52" s="52"/>
      <c r="K52" s="52"/>
      <c r="L52" t="s">
        <v>45</v>
      </c>
    </row>
    <row r="53" spans="1:12">
      <c r="B53" s="52" t="s">
        <v>46</v>
      </c>
      <c r="C53" s="52"/>
      <c r="D53" s="52"/>
      <c r="E53" s="52"/>
      <c r="F53" s="52"/>
      <c r="G53" s="52"/>
      <c r="H53" s="52"/>
      <c r="I53" s="52"/>
      <c r="J53" s="52"/>
      <c r="K53" s="52"/>
      <c r="L53" t="s">
        <v>45</v>
      </c>
    </row>
  </sheetData>
  <mergeCells count="26">
    <mergeCell ref="B50:K50"/>
    <mergeCell ref="B52:K52"/>
    <mergeCell ref="B53:K53"/>
    <mergeCell ref="B46:E46"/>
    <mergeCell ref="F46:K46"/>
    <mergeCell ref="B47:E47"/>
    <mergeCell ref="F47:K47"/>
    <mergeCell ref="B48:E48"/>
    <mergeCell ref="F48:K48"/>
    <mergeCell ref="B49:E49"/>
    <mergeCell ref="B44:E44"/>
    <mergeCell ref="F44:K44"/>
    <mergeCell ref="B45:E45"/>
    <mergeCell ref="F45:K45"/>
    <mergeCell ref="F49:K49"/>
    <mergeCell ref="B3:D3"/>
    <mergeCell ref="E3:K3"/>
    <mergeCell ref="C4:C5"/>
    <mergeCell ref="D4:D5"/>
    <mergeCell ref="E4:E5"/>
    <mergeCell ref="F4:F5"/>
    <mergeCell ref="G4:G5"/>
    <mergeCell ref="H4:H5"/>
    <mergeCell ref="I4:I5"/>
    <mergeCell ref="J4:J5"/>
    <mergeCell ref="K4:K5"/>
  </mergeCells>
  <phoneticPr fontId="8" type="noConversion"/>
  <hyperlinks>
    <hyperlink ref="F44" r:id="rId1" xr:uid="{D6F3E449-2609-8645-A95B-E78B2AD6F927}"/>
    <hyperlink ref="F45" r:id="rId2" xr:uid="{98FE7F2F-230E-3844-A254-02E7EB2C8AC4}"/>
    <hyperlink ref="F46" r:id="rId3" xr:uid="{AF8E7CBF-507A-4D41-8275-6F3F26607C0C}"/>
    <hyperlink ref="F48" r:id="rId4" xr:uid="{D290CD37-EDFC-BB45-83D1-140C829662EE}"/>
    <hyperlink ref="F47" r:id="rId5" xr:uid="{C24C7F72-F169-6343-AAD7-3C421546E15B}"/>
    <hyperlink ref="F49" r:id="rId6" xr:uid="{98079D45-9301-7D4A-9E9E-B5058D5CBD6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B46"/>
  <sheetViews>
    <sheetView topLeftCell="AW1" workbookViewId="0">
      <selection activeCell="AY15" sqref="AY15"/>
    </sheetView>
  </sheetViews>
  <sheetFormatPr defaultColWidth="9" defaultRowHeight="15"/>
  <cols>
    <col min="5" max="5" width="15.28515625" customWidth="1"/>
  </cols>
  <sheetData>
    <row r="1" spans="1:106">
      <c r="A1" t="s">
        <v>47</v>
      </c>
      <c r="B1" t="s">
        <v>48</v>
      </c>
      <c r="C1" t="s">
        <v>49</v>
      </c>
      <c r="D1" t="s">
        <v>50</v>
      </c>
      <c r="E1" t="s">
        <v>51</v>
      </c>
      <c r="F1" t="s">
        <v>52</v>
      </c>
      <c r="G1" t="s">
        <v>53</v>
      </c>
      <c r="H1" t="s">
        <v>54</v>
      </c>
      <c r="I1" t="s">
        <v>55</v>
      </c>
      <c r="J1" t="s">
        <v>56</v>
      </c>
      <c r="K1" t="s">
        <v>57</v>
      </c>
      <c r="L1" t="s">
        <v>58</v>
      </c>
      <c r="M1" t="s">
        <v>59</v>
      </c>
      <c r="N1" t="s">
        <v>60</v>
      </c>
      <c r="O1" t="s">
        <v>61</v>
      </c>
      <c r="P1" t="s">
        <v>62</v>
      </c>
      <c r="Q1" t="s">
        <v>63</v>
      </c>
      <c r="R1" t="s">
        <v>64</v>
      </c>
      <c r="S1" t="s">
        <v>65</v>
      </c>
      <c r="T1" t="s">
        <v>66</v>
      </c>
      <c r="U1" t="s">
        <v>67</v>
      </c>
      <c r="V1" t="s">
        <v>68</v>
      </c>
      <c r="W1" t="s">
        <v>69</v>
      </c>
      <c r="X1" t="s">
        <v>70</v>
      </c>
      <c r="Y1" t="s">
        <v>71</v>
      </c>
      <c r="Z1" t="s">
        <v>72</v>
      </c>
      <c r="AA1" t="s">
        <v>73</v>
      </c>
      <c r="AB1" t="s">
        <v>74</v>
      </c>
      <c r="AC1" t="s">
        <v>75</v>
      </c>
      <c r="AD1" t="s">
        <v>76</v>
      </c>
      <c r="AE1" t="s">
        <v>77</v>
      </c>
      <c r="AF1" t="s">
        <v>78</v>
      </c>
      <c r="AG1" t="s">
        <v>79</v>
      </c>
      <c r="AH1" t="s">
        <v>80</v>
      </c>
      <c r="AI1" t="s">
        <v>81</v>
      </c>
      <c r="AJ1" t="s">
        <v>82</v>
      </c>
      <c r="AK1" t="s">
        <v>83</v>
      </c>
      <c r="AL1" t="s">
        <v>84</v>
      </c>
      <c r="AM1" t="s">
        <v>85</v>
      </c>
      <c r="AN1" t="s">
        <v>86</v>
      </c>
      <c r="AO1" t="s">
        <v>87</v>
      </c>
      <c r="AP1" t="s">
        <v>88</v>
      </c>
      <c r="AQ1" t="s">
        <v>89</v>
      </c>
      <c r="AR1" t="s">
        <v>90</v>
      </c>
      <c r="AS1" t="s">
        <v>91</v>
      </c>
      <c r="AT1" t="s">
        <v>92</v>
      </c>
      <c r="AU1" t="s">
        <v>93</v>
      </c>
      <c r="AV1" t="s">
        <v>94</v>
      </c>
      <c r="AW1" t="s">
        <v>95</v>
      </c>
      <c r="AX1" t="s">
        <v>96</v>
      </c>
      <c r="AY1" t="s">
        <v>97</v>
      </c>
      <c r="AZ1" t="s">
        <v>98</v>
      </c>
      <c r="BA1" t="s">
        <v>99</v>
      </c>
      <c r="BB1" t="s">
        <v>100</v>
      </c>
      <c r="BC1" t="s">
        <v>101</v>
      </c>
      <c r="BD1" t="s">
        <v>102</v>
      </c>
      <c r="BE1" t="s">
        <v>103</v>
      </c>
      <c r="BF1" t="s">
        <v>104</v>
      </c>
      <c r="BG1" t="s">
        <v>105</v>
      </c>
      <c r="BH1" t="s">
        <v>106</v>
      </c>
      <c r="BI1" t="s">
        <v>107</v>
      </c>
      <c r="BJ1" t="s">
        <v>108</v>
      </c>
      <c r="BK1" t="s">
        <v>109</v>
      </c>
      <c r="BL1" t="s">
        <v>110</v>
      </c>
      <c r="BM1" t="s">
        <v>111</v>
      </c>
      <c r="BN1" t="s">
        <v>112</v>
      </c>
      <c r="BO1" t="s">
        <v>113</v>
      </c>
      <c r="BP1" t="s">
        <v>114</v>
      </c>
      <c r="BQ1" t="s">
        <v>115</v>
      </c>
      <c r="BR1" t="s">
        <v>116</v>
      </c>
      <c r="BS1" t="s">
        <v>117</v>
      </c>
      <c r="BT1" t="s">
        <v>118</v>
      </c>
      <c r="BU1" t="s">
        <v>119</v>
      </c>
      <c r="BV1" t="s">
        <v>120</v>
      </c>
      <c r="BW1" t="s">
        <v>121</v>
      </c>
      <c r="BX1" t="s">
        <v>122</v>
      </c>
      <c r="BY1" t="s">
        <v>123</v>
      </c>
      <c r="BZ1" t="s">
        <v>124</v>
      </c>
      <c r="CA1" t="s">
        <v>125</v>
      </c>
      <c r="CB1" t="s">
        <v>126</v>
      </c>
      <c r="CC1" t="s">
        <v>127</v>
      </c>
      <c r="CD1" t="s">
        <v>128</v>
      </c>
      <c r="CE1" t="s">
        <v>129</v>
      </c>
      <c r="CF1" t="s">
        <v>130</v>
      </c>
      <c r="CG1" t="s">
        <v>131</v>
      </c>
      <c r="CH1" t="s">
        <v>132</v>
      </c>
      <c r="CI1" t="s">
        <v>133</v>
      </c>
      <c r="CJ1" t="s">
        <v>134</v>
      </c>
      <c r="CK1" t="s">
        <v>135</v>
      </c>
      <c r="CL1" t="s">
        <v>136</v>
      </c>
      <c r="CM1" t="s">
        <v>137</v>
      </c>
      <c r="CN1" t="s">
        <v>138</v>
      </c>
      <c r="CO1" t="s">
        <v>139</v>
      </c>
      <c r="CP1" t="s">
        <v>140</v>
      </c>
      <c r="CQ1" t="s">
        <v>141</v>
      </c>
      <c r="CR1" t="s">
        <v>142</v>
      </c>
      <c r="CS1" t="s">
        <v>143</v>
      </c>
      <c r="CT1" t="s">
        <v>144</v>
      </c>
      <c r="CU1" t="s">
        <v>145</v>
      </c>
      <c r="CV1" t="s">
        <v>146</v>
      </c>
      <c r="CW1" t="s">
        <v>147</v>
      </c>
      <c r="CX1" t="s">
        <v>148</v>
      </c>
      <c r="CY1" t="s">
        <v>149</v>
      </c>
      <c r="CZ1" t="s">
        <v>150</v>
      </c>
      <c r="DA1" t="s">
        <v>151</v>
      </c>
      <c r="DB1" t="s">
        <v>152</v>
      </c>
    </row>
    <row r="2" spans="1:106">
      <c r="A2">
        <v>0</v>
      </c>
      <c r="B2">
        <v>0</v>
      </c>
      <c r="C2">
        <v>0</v>
      </c>
      <c r="D2">
        <v>2016</v>
      </c>
      <c r="E2">
        <v>323127513</v>
      </c>
      <c r="F2">
        <v>3970145</v>
      </c>
      <c r="G2">
        <v>3995008</v>
      </c>
      <c r="H2">
        <v>3992154</v>
      </c>
      <c r="I2">
        <v>3982074</v>
      </c>
      <c r="J2">
        <v>3987656</v>
      </c>
      <c r="K2">
        <v>4032515</v>
      </c>
      <c r="L2">
        <v>4029655</v>
      </c>
      <c r="M2">
        <v>4029991</v>
      </c>
      <c r="N2">
        <v>4159114</v>
      </c>
      <c r="O2">
        <v>4178524</v>
      </c>
      <c r="P2">
        <v>4144019</v>
      </c>
      <c r="Q2">
        <v>4131222</v>
      </c>
      <c r="R2">
        <v>4139558</v>
      </c>
      <c r="S2">
        <v>4109703</v>
      </c>
      <c r="T2">
        <v>4093731</v>
      </c>
      <c r="U2">
        <v>4196991</v>
      </c>
      <c r="V2">
        <v>4265224</v>
      </c>
      <c r="W2">
        <v>4205001</v>
      </c>
      <c r="X2">
        <v>4219303</v>
      </c>
      <c r="Y2">
        <v>4243480</v>
      </c>
      <c r="Z2">
        <v>4286221</v>
      </c>
      <c r="AA2">
        <v>4386854</v>
      </c>
      <c r="AB2">
        <v>4480904</v>
      </c>
      <c r="AC2">
        <v>4552952</v>
      </c>
      <c r="AD2">
        <v>4674097</v>
      </c>
      <c r="AE2">
        <v>4758352</v>
      </c>
      <c r="AF2">
        <v>4747254</v>
      </c>
      <c r="AG2">
        <v>4559206</v>
      </c>
      <c r="AH2">
        <v>4451507</v>
      </c>
      <c r="AI2">
        <v>4374565</v>
      </c>
      <c r="AJ2">
        <v>4392155</v>
      </c>
      <c r="AK2">
        <v>4423807</v>
      </c>
      <c r="AL2">
        <v>4283076</v>
      </c>
      <c r="AM2">
        <v>4345786</v>
      </c>
      <c r="AN2">
        <v>4341535</v>
      </c>
      <c r="AO2">
        <v>4293125</v>
      </c>
      <c r="AP2">
        <v>4375562</v>
      </c>
      <c r="AQ2">
        <v>4103498</v>
      </c>
      <c r="AR2">
        <v>4022119</v>
      </c>
      <c r="AS2">
        <v>3979601</v>
      </c>
      <c r="AT2">
        <v>3862150</v>
      </c>
      <c r="AU2">
        <v>3979596</v>
      </c>
      <c r="AV2">
        <v>3854553</v>
      </c>
      <c r="AW2">
        <v>3912307</v>
      </c>
      <c r="AX2">
        <v>4087645</v>
      </c>
      <c r="AY2">
        <v>4319616</v>
      </c>
      <c r="AZ2">
        <v>4371961</v>
      </c>
      <c r="BA2">
        <v>4142964</v>
      </c>
      <c r="BB2">
        <v>4055074</v>
      </c>
      <c r="BC2">
        <v>4058008</v>
      </c>
      <c r="BD2">
        <v>4131293</v>
      </c>
      <c r="BE2">
        <v>4375892</v>
      </c>
      <c r="BF2">
        <v>4452636</v>
      </c>
      <c r="BG2">
        <v>4445605</v>
      </c>
      <c r="BH2">
        <v>4433630</v>
      </c>
      <c r="BI2">
        <v>4484565</v>
      </c>
      <c r="BJ2">
        <v>4518758</v>
      </c>
      <c r="BK2">
        <v>4362807</v>
      </c>
      <c r="BL2">
        <v>4332953</v>
      </c>
      <c r="BM2">
        <v>4281025</v>
      </c>
      <c r="BN2">
        <v>4123968</v>
      </c>
      <c r="BO2">
        <v>4083962</v>
      </c>
      <c r="BP2">
        <v>3911429</v>
      </c>
      <c r="BQ2">
        <v>3757382</v>
      </c>
      <c r="BR2">
        <v>3606295</v>
      </c>
      <c r="BS2">
        <v>3490890</v>
      </c>
      <c r="BT2">
        <v>3403647</v>
      </c>
      <c r="BU2">
        <v>3295266</v>
      </c>
      <c r="BV2">
        <v>3251936</v>
      </c>
      <c r="BW2">
        <v>3378344</v>
      </c>
      <c r="BX2">
        <v>2487211</v>
      </c>
      <c r="BY2">
        <v>2445650</v>
      </c>
      <c r="BZ2">
        <v>2371252</v>
      </c>
      <c r="CA2">
        <v>2413647</v>
      </c>
      <c r="CB2">
        <v>2092487</v>
      </c>
      <c r="CC2">
        <v>1900211</v>
      </c>
      <c r="CD2">
        <v>1784266</v>
      </c>
      <c r="CE2">
        <v>1664566</v>
      </c>
      <c r="CF2">
        <v>1578915</v>
      </c>
      <c r="CG2">
        <v>1439937</v>
      </c>
      <c r="CH2">
        <v>1358260</v>
      </c>
      <c r="CI2">
        <v>1284298</v>
      </c>
      <c r="CJ2">
        <v>1135109</v>
      </c>
      <c r="CK2">
        <v>1079082</v>
      </c>
      <c r="CL2">
        <v>1008890</v>
      </c>
      <c r="CM2">
        <v>938333</v>
      </c>
      <c r="CN2">
        <v>876190</v>
      </c>
      <c r="CO2">
        <v>766479</v>
      </c>
      <c r="CP2">
        <v>693882</v>
      </c>
      <c r="CQ2">
        <v>610338</v>
      </c>
      <c r="CR2">
        <v>520906</v>
      </c>
      <c r="CS2">
        <v>449986</v>
      </c>
      <c r="CT2">
        <v>372625</v>
      </c>
      <c r="CU2">
        <v>300000</v>
      </c>
      <c r="CV2">
        <v>239313</v>
      </c>
      <c r="CW2">
        <v>186408</v>
      </c>
      <c r="CX2">
        <v>135797</v>
      </c>
      <c r="CY2">
        <v>94311</v>
      </c>
      <c r="CZ2">
        <v>68972</v>
      </c>
      <c r="DA2">
        <v>44895</v>
      </c>
      <c r="DB2">
        <v>81896</v>
      </c>
    </row>
    <row r="3" spans="1:106">
      <c r="A3">
        <v>0</v>
      </c>
      <c r="B3">
        <v>0</v>
      </c>
      <c r="C3">
        <v>0</v>
      </c>
      <c r="D3">
        <v>2017</v>
      </c>
      <c r="E3">
        <v>325511184</v>
      </c>
      <c r="F3">
        <v>4054035</v>
      </c>
      <c r="G3">
        <v>3982964</v>
      </c>
      <c r="H3">
        <v>4008116</v>
      </c>
      <c r="I3">
        <v>4003478</v>
      </c>
      <c r="J3">
        <v>3992207</v>
      </c>
      <c r="K3">
        <v>3997392</v>
      </c>
      <c r="L3">
        <v>4042440</v>
      </c>
      <c r="M3">
        <v>4040047</v>
      </c>
      <c r="N3">
        <v>4041063</v>
      </c>
      <c r="O3">
        <v>4170685</v>
      </c>
      <c r="P3">
        <v>4190108</v>
      </c>
      <c r="Q3">
        <v>4155219</v>
      </c>
      <c r="R3">
        <v>4142074</v>
      </c>
      <c r="S3">
        <v>4150730</v>
      </c>
      <c r="T3">
        <v>4121794</v>
      </c>
      <c r="U3">
        <v>4108277</v>
      </c>
      <c r="V3">
        <v>4215342</v>
      </c>
      <c r="W3">
        <v>4288196</v>
      </c>
      <c r="X3">
        <v>4233261</v>
      </c>
      <c r="Y3">
        <v>4251108</v>
      </c>
      <c r="Z3">
        <v>4277774</v>
      </c>
      <c r="AA3">
        <v>4321626</v>
      </c>
      <c r="AB3">
        <v>4422467</v>
      </c>
      <c r="AC3">
        <v>4516236</v>
      </c>
      <c r="AD3">
        <v>4587291</v>
      </c>
      <c r="AE3">
        <v>4707566</v>
      </c>
      <c r="AF3">
        <v>4790058</v>
      </c>
      <c r="AG3">
        <v>4777149</v>
      </c>
      <c r="AH3">
        <v>4587850</v>
      </c>
      <c r="AI3">
        <v>4477889</v>
      </c>
      <c r="AJ3">
        <v>4398868</v>
      </c>
      <c r="AK3">
        <v>4413258</v>
      </c>
      <c r="AL3">
        <v>4442014</v>
      </c>
      <c r="AM3">
        <v>4298767</v>
      </c>
      <c r="AN3">
        <v>4359491</v>
      </c>
      <c r="AO3">
        <v>4353713</v>
      </c>
      <c r="AP3">
        <v>4303531</v>
      </c>
      <c r="AQ3">
        <v>4383641</v>
      </c>
      <c r="AR3">
        <v>4111179</v>
      </c>
      <c r="AS3">
        <v>4028537</v>
      </c>
      <c r="AT3">
        <v>3984541</v>
      </c>
      <c r="AU3">
        <v>3865650</v>
      </c>
      <c r="AV3">
        <v>3981593</v>
      </c>
      <c r="AW3">
        <v>3855725</v>
      </c>
      <c r="AX3">
        <v>3912585</v>
      </c>
      <c r="AY3">
        <v>4086265</v>
      </c>
      <c r="AZ3">
        <v>4315712</v>
      </c>
      <c r="BA3">
        <v>4365407</v>
      </c>
      <c r="BB3">
        <v>4134928</v>
      </c>
      <c r="BC3">
        <v>4045056</v>
      </c>
      <c r="BD3">
        <v>4046013</v>
      </c>
      <c r="BE3">
        <v>4116949</v>
      </c>
      <c r="BF3">
        <v>4358883</v>
      </c>
      <c r="BG3">
        <v>4433952</v>
      </c>
      <c r="BH3">
        <v>4425934</v>
      </c>
      <c r="BI3">
        <v>4412773</v>
      </c>
      <c r="BJ3">
        <v>4461817</v>
      </c>
      <c r="BK3">
        <v>4493975</v>
      </c>
      <c r="BL3">
        <v>4337169</v>
      </c>
      <c r="BM3">
        <v>4305372</v>
      </c>
      <c r="BN3">
        <v>4251447</v>
      </c>
      <c r="BO3">
        <v>4092912</v>
      </c>
      <c r="BP3">
        <v>4050176</v>
      </c>
      <c r="BQ3">
        <v>3876056</v>
      </c>
      <c r="BR3">
        <v>3720444</v>
      </c>
      <c r="BS3">
        <v>3567687</v>
      </c>
      <c r="BT3">
        <v>3449965</v>
      </c>
      <c r="BU3">
        <v>3359750</v>
      </c>
      <c r="BV3">
        <v>3249376</v>
      </c>
      <c r="BW3">
        <v>3202397</v>
      </c>
      <c r="BX3">
        <v>3322076</v>
      </c>
      <c r="BY3">
        <v>2442787</v>
      </c>
      <c r="BZ3">
        <v>2397598</v>
      </c>
      <c r="CA3">
        <v>2319958</v>
      </c>
      <c r="CB3">
        <v>2355941</v>
      </c>
      <c r="CC3">
        <v>2037902</v>
      </c>
      <c r="CD3">
        <v>1845534</v>
      </c>
      <c r="CE3">
        <v>1727722</v>
      </c>
      <c r="CF3">
        <v>1606350</v>
      </c>
      <c r="CG3">
        <v>1517812</v>
      </c>
      <c r="CH3">
        <v>1378128</v>
      </c>
      <c r="CI3">
        <v>1293376</v>
      </c>
      <c r="CJ3">
        <v>1215828</v>
      </c>
      <c r="CK3">
        <v>1067366</v>
      </c>
      <c r="CL3">
        <v>1006951</v>
      </c>
      <c r="CM3">
        <v>933492</v>
      </c>
      <c r="CN3">
        <v>860398</v>
      </c>
      <c r="CO3">
        <v>795555</v>
      </c>
      <c r="CP3">
        <v>688525</v>
      </c>
      <c r="CQ3">
        <v>616024</v>
      </c>
      <c r="CR3">
        <v>534781</v>
      </c>
      <c r="CS3">
        <v>449945</v>
      </c>
      <c r="CT3">
        <v>382669</v>
      </c>
      <c r="CU3">
        <v>311525</v>
      </c>
      <c r="CV3">
        <v>246219</v>
      </c>
      <c r="CW3">
        <v>192531</v>
      </c>
      <c r="CX3">
        <v>146801</v>
      </c>
      <c r="CY3">
        <v>104540</v>
      </c>
      <c r="CZ3">
        <v>70840</v>
      </c>
      <c r="DA3">
        <v>50486</v>
      </c>
      <c r="DB3">
        <v>83574</v>
      </c>
    </row>
    <row r="4" spans="1:106">
      <c r="A4">
        <v>0</v>
      </c>
      <c r="B4">
        <v>0</v>
      </c>
      <c r="C4">
        <v>0</v>
      </c>
      <c r="D4">
        <v>2018</v>
      </c>
      <c r="E4">
        <v>327891911</v>
      </c>
      <c r="F4">
        <v>4075563</v>
      </c>
      <c r="G4">
        <v>4068172</v>
      </c>
      <c r="H4">
        <v>3995888</v>
      </c>
      <c r="I4">
        <v>4019345</v>
      </c>
      <c r="J4">
        <v>4013649</v>
      </c>
      <c r="K4">
        <v>4001995</v>
      </c>
      <c r="L4">
        <v>4007421</v>
      </c>
      <c r="M4">
        <v>4052927</v>
      </c>
      <c r="N4">
        <v>4051175</v>
      </c>
      <c r="O4">
        <v>4052752</v>
      </c>
      <c r="P4">
        <v>4182356</v>
      </c>
      <c r="Q4">
        <v>4201452</v>
      </c>
      <c r="R4">
        <v>4166128</v>
      </c>
      <c r="S4">
        <v>4153355</v>
      </c>
      <c r="T4">
        <v>4163009</v>
      </c>
      <c r="U4">
        <v>4136524</v>
      </c>
      <c r="V4">
        <v>4127018</v>
      </c>
      <c r="W4">
        <v>4238674</v>
      </c>
      <c r="X4">
        <v>4316526</v>
      </c>
      <c r="Y4">
        <v>4265709</v>
      </c>
      <c r="Z4">
        <v>4285871</v>
      </c>
      <c r="AA4">
        <v>4313525</v>
      </c>
      <c r="AB4">
        <v>4357896</v>
      </c>
      <c r="AC4">
        <v>4458227</v>
      </c>
      <c r="AD4">
        <v>4551400</v>
      </c>
      <c r="AE4">
        <v>4621327</v>
      </c>
      <c r="AF4">
        <v>4739992</v>
      </c>
      <c r="AG4">
        <v>4820454</v>
      </c>
      <c r="AH4">
        <v>4805708</v>
      </c>
      <c r="AI4">
        <v>4614495</v>
      </c>
      <c r="AJ4">
        <v>4502236</v>
      </c>
      <c r="AK4">
        <v>4420352</v>
      </c>
      <c r="AL4">
        <v>4431928</v>
      </c>
      <c r="AM4">
        <v>4457882</v>
      </c>
      <c r="AN4">
        <v>4312997</v>
      </c>
      <c r="AO4">
        <v>4371920</v>
      </c>
      <c r="AP4">
        <v>4364340</v>
      </c>
      <c r="AQ4">
        <v>4312313</v>
      </c>
      <c r="AR4">
        <v>4390538</v>
      </c>
      <c r="AS4">
        <v>4117661</v>
      </c>
      <c r="AT4">
        <v>4033632</v>
      </c>
      <c r="AU4">
        <v>3988017</v>
      </c>
      <c r="AV4">
        <v>3868194</v>
      </c>
      <c r="AW4">
        <v>3982657</v>
      </c>
      <c r="AX4">
        <v>3856316</v>
      </c>
      <c r="AY4">
        <v>3911959</v>
      </c>
      <c r="AZ4">
        <v>4083352</v>
      </c>
      <c r="BA4">
        <v>4309706</v>
      </c>
      <c r="BB4">
        <v>4356542</v>
      </c>
      <c r="BC4">
        <v>4124836</v>
      </c>
      <c r="BD4">
        <v>4033282</v>
      </c>
      <c r="BE4">
        <v>4032485</v>
      </c>
      <c r="BF4">
        <v>4101693</v>
      </c>
      <c r="BG4">
        <v>4341119</v>
      </c>
      <c r="BH4">
        <v>4414648</v>
      </c>
      <c r="BI4">
        <v>4405551</v>
      </c>
      <c r="BJ4">
        <v>4391051</v>
      </c>
      <c r="BK4">
        <v>4438175</v>
      </c>
      <c r="BL4">
        <v>4467892</v>
      </c>
      <c r="BM4">
        <v>4310232</v>
      </c>
      <c r="BN4">
        <v>4276279</v>
      </c>
      <c r="BO4">
        <v>4219953</v>
      </c>
      <c r="BP4">
        <v>4059664</v>
      </c>
      <c r="BQ4">
        <v>4013995</v>
      </c>
      <c r="BR4">
        <v>3838330</v>
      </c>
      <c r="BS4">
        <v>3681103</v>
      </c>
      <c r="BT4">
        <v>3526404</v>
      </c>
      <c r="BU4">
        <v>3406382</v>
      </c>
      <c r="BV4">
        <v>3313266</v>
      </c>
      <c r="BW4">
        <v>3200623</v>
      </c>
      <c r="BX4">
        <v>3149795</v>
      </c>
      <c r="BY4">
        <v>3262161</v>
      </c>
      <c r="BZ4">
        <v>2395309</v>
      </c>
      <c r="CA4">
        <v>2346213</v>
      </c>
      <c r="CB4">
        <v>2265372</v>
      </c>
      <c r="CC4">
        <v>2294638</v>
      </c>
      <c r="CD4">
        <v>1979846</v>
      </c>
      <c r="CE4">
        <v>1787596</v>
      </c>
      <c r="CF4">
        <v>1667825</v>
      </c>
      <c r="CG4">
        <v>1544687</v>
      </c>
      <c r="CH4">
        <v>1453127</v>
      </c>
      <c r="CI4">
        <v>1312814</v>
      </c>
      <c r="CJ4">
        <v>1224880</v>
      </c>
      <c r="CK4">
        <v>1143790</v>
      </c>
      <c r="CL4">
        <v>996514</v>
      </c>
      <c r="CM4">
        <v>932170</v>
      </c>
      <c r="CN4">
        <v>856482</v>
      </c>
      <c r="CO4">
        <v>781737</v>
      </c>
      <c r="CP4">
        <v>715160</v>
      </c>
      <c r="CQ4">
        <v>611713</v>
      </c>
      <c r="CR4">
        <v>540235</v>
      </c>
      <c r="CS4">
        <v>462335</v>
      </c>
      <c r="CT4">
        <v>382993</v>
      </c>
      <c r="CU4">
        <v>320285</v>
      </c>
      <c r="CV4">
        <v>256011</v>
      </c>
      <c r="CW4">
        <v>198354</v>
      </c>
      <c r="CX4">
        <v>151848</v>
      </c>
      <c r="CY4">
        <v>113165</v>
      </c>
      <c r="CZ4">
        <v>78659</v>
      </c>
      <c r="DA4">
        <v>51938</v>
      </c>
      <c r="DB4">
        <v>86221</v>
      </c>
    </row>
    <row r="5" spans="1:106">
      <c r="A5">
        <v>0</v>
      </c>
      <c r="B5">
        <v>0</v>
      </c>
      <c r="C5">
        <v>0</v>
      </c>
      <c r="D5">
        <v>2019</v>
      </c>
      <c r="E5">
        <v>330268840</v>
      </c>
      <c r="F5">
        <v>4095614</v>
      </c>
      <c r="G5">
        <v>4089881</v>
      </c>
      <c r="H5">
        <v>4082231</v>
      </c>
      <c r="I5">
        <v>4006967</v>
      </c>
      <c r="J5">
        <v>4029427</v>
      </c>
      <c r="K5">
        <v>4023461</v>
      </c>
      <c r="L5">
        <v>4012057</v>
      </c>
      <c r="M5">
        <v>4017972</v>
      </c>
      <c r="N5">
        <v>4064123</v>
      </c>
      <c r="O5">
        <v>4062890</v>
      </c>
      <c r="P5">
        <v>4064631</v>
      </c>
      <c r="Q5">
        <v>4193833</v>
      </c>
      <c r="R5">
        <v>4212469</v>
      </c>
      <c r="S5">
        <v>4177496</v>
      </c>
      <c r="T5">
        <v>4165769</v>
      </c>
      <c r="U5">
        <v>4177960</v>
      </c>
      <c r="V5">
        <v>4155502</v>
      </c>
      <c r="W5">
        <v>4150810</v>
      </c>
      <c r="X5">
        <v>4267452</v>
      </c>
      <c r="Y5">
        <v>4349076</v>
      </c>
      <c r="Z5">
        <v>4301156</v>
      </c>
      <c r="AA5">
        <v>4322123</v>
      </c>
      <c r="AB5">
        <v>4350162</v>
      </c>
      <c r="AC5">
        <v>4394289</v>
      </c>
      <c r="AD5">
        <v>4493828</v>
      </c>
      <c r="AE5">
        <v>4586190</v>
      </c>
      <c r="AF5">
        <v>4654316</v>
      </c>
      <c r="AG5">
        <v>4771037</v>
      </c>
      <c r="AH5">
        <v>4849468</v>
      </c>
      <c r="AI5">
        <v>4832291</v>
      </c>
      <c r="AJ5">
        <v>4639056</v>
      </c>
      <c r="AK5">
        <v>4523767</v>
      </c>
      <c r="AL5">
        <v>4439360</v>
      </c>
      <c r="AM5">
        <v>4448246</v>
      </c>
      <c r="AN5">
        <v>4472242</v>
      </c>
      <c r="AO5">
        <v>4325927</v>
      </c>
      <c r="AP5">
        <v>4382807</v>
      </c>
      <c r="AQ5">
        <v>4373352</v>
      </c>
      <c r="AR5">
        <v>4319887</v>
      </c>
      <c r="AS5">
        <v>4396212</v>
      </c>
      <c r="AT5">
        <v>4122808</v>
      </c>
      <c r="AU5">
        <v>4037231</v>
      </c>
      <c r="AV5">
        <v>3990513</v>
      </c>
      <c r="AW5">
        <v>3869809</v>
      </c>
      <c r="AX5">
        <v>3983126</v>
      </c>
      <c r="AY5">
        <v>3856029</v>
      </c>
      <c r="AZ5">
        <v>3909826</v>
      </c>
      <c r="BA5">
        <v>4078377</v>
      </c>
      <c r="BB5">
        <v>4301376</v>
      </c>
      <c r="BC5">
        <v>4345510</v>
      </c>
      <c r="BD5">
        <v>4112985</v>
      </c>
      <c r="BE5">
        <v>4019996</v>
      </c>
      <c r="BF5">
        <v>4018048</v>
      </c>
      <c r="BG5">
        <v>4085765</v>
      </c>
      <c r="BH5">
        <v>4322783</v>
      </c>
      <c r="BI5">
        <v>4394677</v>
      </c>
      <c r="BJ5">
        <v>4384337</v>
      </c>
      <c r="BK5">
        <v>4368454</v>
      </c>
      <c r="BL5">
        <v>4413272</v>
      </c>
      <c r="BM5">
        <v>4440486</v>
      </c>
      <c r="BN5">
        <v>4281761</v>
      </c>
      <c r="BO5">
        <v>4245285</v>
      </c>
      <c r="BP5">
        <v>4186210</v>
      </c>
      <c r="BQ5">
        <v>4023983</v>
      </c>
      <c r="BR5">
        <v>3975371</v>
      </c>
      <c r="BS5">
        <v>3798127</v>
      </c>
      <c r="BT5">
        <v>3639026</v>
      </c>
      <c r="BU5">
        <v>3482418</v>
      </c>
      <c r="BV5">
        <v>3360142</v>
      </c>
      <c r="BW5">
        <v>3263891</v>
      </c>
      <c r="BX5">
        <v>3148763</v>
      </c>
      <c r="BY5">
        <v>3093739</v>
      </c>
      <c r="BZ5">
        <v>3198266</v>
      </c>
      <c r="CA5">
        <v>2344536</v>
      </c>
      <c r="CB5">
        <v>2291473</v>
      </c>
      <c r="CC5">
        <v>2207291</v>
      </c>
      <c r="CD5">
        <v>2229517</v>
      </c>
      <c r="CE5">
        <v>1918247</v>
      </c>
      <c r="CF5">
        <v>1726158</v>
      </c>
      <c r="CG5">
        <v>1604385</v>
      </c>
      <c r="CH5">
        <v>1479385</v>
      </c>
      <c r="CI5">
        <v>1384715</v>
      </c>
      <c r="CJ5">
        <v>1243788</v>
      </c>
      <c r="CK5">
        <v>1152809</v>
      </c>
      <c r="CL5">
        <v>1068395</v>
      </c>
      <c r="CM5">
        <v>923012</v>
      </c>
      <c r="CN5">
        <v>855747</v>
      </c>
      <c r="CO5">
        <v>778704</v>
      </c>
      <c r="CP5">
        <v>703240</v>
      </c>
      <c r="CQ5">
        <v>635873</v>
      </c>
      <c r="CR5">
        <v>536880</v>
      </c>
      <c r="CS5">
        <v>467488</v>
      </c>
      <c r="CT5">
        <v>393919</v>
      </c>
      <c r="CU5">
        <v>320884</v>
      </c>
      <c r="CV5">
        <v>263533</v>
      </c>
      <c r="CW5">
        <v>206526</v>
      </c>
      <c r="CX5">
        <v>156654</v>
      </c>
      <c r="CY5">
        <v>117240</v>
      </c>
      <c r="CZ5">
        <v>85265</v>
      </c>
      <c r="DA5">
        <v>57778</v>
      </c>
      <c r="DB5">
        <v>87671</v>
      </c>
    </row>
    <row r="6" spans="1:106">
      <c r="A6">
        <v>0</v>
      </c>
      <c r="B6">
        <v>0</v>
      </c>
      <c r="C6">
        <v>0</v>
      </c>
      <c r="D6">
        <v>2020</v>
      </c>
      <c r="E6">
        <v>332639102</v>
      </c>
      <c r="F6">
        <v>4113164</v>
      </c>
      <c r="G6">
        <v>4110117</v>
      </c>
      <c r="H6">
        <v>4104058</v>
      </c>
      <c r="I6">
        <v>4094281</v>
      </c>
      <c r="J6">
        <v>4016919</v>
      </c>
      <c r="K6">
        <v>4039164</v>
      </c>
      <c r="L6">
        <v>4033531</v>
      </c>
      <c r="M6">
        <v>4022626</v>
      </c>
      <c r="N6">
        <v>4029209</v>
      </c>
      <c r="O6">
        <v>4075879</v>
      </c>
      <c r="P6">
        <v>4074733</v>
      </c>
      <c r="Q6">
        <v>4076315</v>
      </c>
      <c r="R6">
        <v>4205008</v>
      </c>
      <c r="S6">
        <v>4223909</v>
      </c>
      <c r="T6">
        <v>4190013</v>
      </c>
      <c r="U6">
        <v>4180890</v>
      </c>
      <c r="V6">
        <v>4197186</v>
      </c>
      <c r="W6">
        <v>4179617</v>
      </c>
      <c r="X6">
        <v>4180135</v>
      </c>
      <c r="Y6">
        <v>4300527</v>
      </c>
      <c r="Z6">
        <v>4384632</v>
      </c>
      <c r="AA6">
        <v>4338146</v>
      </c>
      <c r="AB6">
        <v>4359234</v>
      </c>
      <c r="AC6">
        <v>4386967</v>
      </c>
      <c r="AD6">
        <v>4430497</v>
      </c>
      <c r="AE6">
        <v>4529025</v>
      </c>
      <c r="AF6">
        <v>4619893</v>
      </c>
      <c r="AG6">
        <v>4685941</v>
      </c>
      <c r="AH6">
        <v>4800614</v>
      </c>
      <c r="AI6">
        <v>4876514</v>
      </c>
      <c r="AJ6">
        <v>4856771</v>
      </c>
      <c r="AK6">
        <v>4660832</v>
      </c>
      <c r="AL6">
        <v>4542808</v>
      </c>
      <c r="AM6">
        <v>4455998</v>
      </c>
      <c r="AN6">
        <v>4463007</v>
      </c>
      <c r="AO6">
        <v>4485228</v>
      </c>
      <c r="AP6">
        <v>4337294</v>
      </c>
      <c r="AQ6">
        <v>4392096</v>
      </c>
      <c r="AR6">
        <v>4381171</v>
      </c>
      <c r="AS6">
        <v>4326220</v>
      </c>
      <c r="AT6">
        <v>4400565</v>
      </c>
      <c r="AU6">
        <v>4126454</v>
      </c>
      <c r="AV6">
        <v>4039827</v>
      </c>
      <c r="AW6">
        <v>3992089</v>
      </c>
      <c r="AX6">
        <v>3870851</v>
      </c>
      <c r="AY6">
        <v>3982690</v>
      </c>
      <c r="AZ6">
        <v>3854262</v>
      </c>
      <c r="BA6">
        <v>3905661</v>
      </c>
      <c r="BB6">
        <v>4071128</v>
      </c>
      <c r="BC6">
        <v>4290890</v>
      </c>
      <c r="BD6">
        <v>4332660</v>
      </c>
      <c r="BE6">
        <v>4099623</v>
      </c>
      <c r="BF6">
        <v>4005824</v>
      </c>
      <c r="BG6">
        <v>4002980</v>
      </c>
      <c r="BH6">
        <v>4069319</v>
      </c>
      <c r="BI6">
        <v>4303838</v>
      </c>
      <c r="BJ6">
        <v>4373935</v>
      </c>
      <c r="BK6">
        <v>4362272</v>
      </c>
      <c r="BL6">
        <v>4344637</v>
      </c>
      <c r="BM6">
        <v>4387070</v>
      </c>
      <c r="BN6">
        <v>4411539</v>
      </c>
      <c r="BO6">
        <v>4251390</v>
      </c>
      <c r="BP6">
        <v>4212048</v>
      </c>
      <c r="BQ6">
        <v>4149974</v>
      </c>
      <c r="BR6">
        <v>3985841</v>
      </c>
      <c r="BS6">
        <v>3934139</v>
      </c>
      <c r="BT6">
        <v>3755158</v>
      </c>
      <c r="BU6">
        <v>3594166</v>
      </c>
      <c r="BV6">
        <v>3435726</v>
      </c>
      <c r="BW6">
        <v>3310982</v>
      </c>
      <c r="BX6">
        <v>3211395</v>
      </c>
      <c r="BY6">
        <v>3093441</v>
      </c>
      <c r="BZ6">
        <v>3033884</v>
      </c>
      <c r="CA6">
        <v>3130130</v>
      </c>
      <c r="CB6">
        <v>2290416</v>
      </c>
      <c r="CC6">
        <v>2233196</v>
      </c>
      <c r="CD6">
        <v>2145506</v>
      </c>
      <c r="CE6">
        <v>2160437</v>
      </c>
      <c r="CF6">
        <v>1852886</v>
      </c>
      <c r="CG6">
        <v>1661013</v>
      </c>
      <c r="CH6">
        <v>1537134</v>
      </c>
      <c r="CI6">
        <v>1410262</v>
      </c>
      <c r="CJ6">
        <v>1312397</v>
      </c>
      <c r="CK6">
        <v>1171078</v>
      </c>
      <c r="CL6">
        <v>1077340</v>
      </c>
      <c r="CM6">
        <v>990131</v>
      </c>
      <c r="CN6">
        <v>847852</v>
      </c>
      <c r="CO6">
        <v>778518</v>
      </c>
      <c r="CP6">
        <v>701025</v>
      </c>
      <c r="CQ6">
        <v>625755</v>
      </c>
      <c r="CR6">
        <v>558560</v>
      </c>
      <c r="CS6">
        <v>464985</v>
      </c>
      <c r="CT6">
        <v>398712</v>
      </c>
      <c r="CU6">
        <v>330389</v>
      </c>
      <c r="CV6">
        <v>264318</v>
      </c>
      <c r="CW6">
        <v>212880</v>
      </c>
      <c r="CX6">
        <v>163348</v>
      </c>
      <c r="CY6">
        <v>121128</v>
      </c>
      <c r="CZ6">
        <v>88491</v>
      </c>
      <c r="DA6">
        <v>62724</v>
      </c>
      <c r="DB6">
        <v>92064</v>
      </c>
    </row>
    <row r="7" spans="1:106">
      <c r="A7">
        <v>0</v>
      </c>
      <c r="B7">
        <v>0</v>
      </c>
      <c r="C7">
        <v>0</v>
      </c>
      <c r="D7">
        <v>2021</v>
      </c>
      <c r="E7">
        <v>334998398</v>
      </c>
      <c r="F7">
        <v>4127525</v>
      </c>
      <c r="G7">
        <v>4127842</v>
      </c>
      <c r="H7">
        <v>4124416</v>
      </c>
      <c r="I7">
        <v>4116205</v>
      </c>
      <c r="J7">
        <v>4105035</v>
      </c>
      <c r="K7">
        <v>4026556</v>
      </c>
      <c r="L7">
        <v>4049172</v>
      </c>
      <c r="M7">
        <v>4044099</v>
      </c>
      <c r="N7">
        <v>4033860</v>
      </c>
      <c r="O7">
        <v>4040982</v>
      </c>
      <c r="P7">
        <v>4087777</v>
      </c>
      <c r="Q7">
        <v>4086372</v>
      </c>
      <c r="R7">
        <v>4087676</v>
      </c>
      <c r="S7">
        <v>4216581</v>
      </c>
      <c r="T7">
        <v>4236505</v>
      </c>
      <c r="U7">
        <v>4205270</v>
      </c>
      <c r="V7">
        <v>4200326</v>
      </c>
      <c r="W7">
        <v>4221634</v>
      </c>
      <c r="X7">
        <v>4209336</v>
      </c>
      <c r="Y7">
        <v>4213861</v>
      </c>
      <c r="Z7">
        <v>4336645</v>
      </c>
      <c r="AA7">
        <v>4421766</v>
      </c>
      <c r="AB7">
        <v>4375952</v>
      </c>
      <c r="AC7">
        <v>4396486</v>
      </c>
      <c r="AD7">
        <v>4423591</v>
      </c>
      <c r="AE7">
        <v>4466248</v>
      </c>
      <c r="AF7">
        <v>4563143</v>
      </c>
      <c r="AG7">
        <v>4652142</v>
      </c>
      <c r="AH7">
        <v>4716116</v>
      </c>
      <c r="AI7">
        <v>4828163</v>
      </c>
      <c r="AJ7">
        <v>4901434</v>
      </c>
      <c r="AK7">
        <v>4878458</v>
      </c>
      <c r="AL7">
        <v>4680107</v>
      </c>
      <c r="AM7">
        <v>4559497</v>
      </c>
      <c r="AN7">
        <v>4471082</v>
      </c>
      <c r="AO7">
        <v>4476392</v>
      </c>
      <c r="AP7">
        <v>4496649</v>
      </c>
      <c r="AQ7">
        <v>4347057</v>
      </c>
      <c r="AR7">
        <v>4400186</v>
      </c>
      <c r="AS7">
        <v>4387763</v>
      </c>
      <c r="AT7">
        <v>4331231</v>
      </c>
      <c r="AU7">
        <v>4403495</v>
      </c>
      <c r="AV7">
        <v>4129067</v>
      </c>
      <c r="AW7">
        <v>4041520</v>
      </c>
      <c r="AX7">
        <v>3993077</v>
      </c>
      <c r="AY7">
        <v>3871017</v>
      </c>
      <c r="AZ7">
        <v>3980747</v>
      </c>
      <c r="BA7">
        <v>3850472</v>
      </c>
      <c r="BB7">
        <v>3899258</v>
      </c>
      <c r="BC7">
        <v>4061770</v>
      </c>
      <c r="BD7">
        <v>4278602</v>
      </c>
      <c r="BE7">
        <v>4318286</v>
      </c>
      <c r="BF7">
        <v>4085369</v>
      </c>
      <c r="BG7">
        <v>3991050</v>
      </c>
      <c r="BH7">
        <v>3987451</v>
      </c>
      <c r="BI7">
        <v>4052319</v>
      </c>
      <c r="BJ7">
        <v>4284151</v>
      </c>
      <c r="BK7">
        <v>4352403</v>
      </c>
      <c r="BL7">
        <v>4339037</v>
      </c>
      <c r="BM7">
        <v>4319573</v>
      </c>
      <c r="BN7">
        <v>4359325</v>
      </c>
      <c r="BO7">
        <v>4380641</v>
      </c>
      <c r="BP7">
        <v>4218754</v>
      </c>
      <c r="BQ7">
        <v>4176281</v>
      </c>
      <c r="BR7">
        <v>4111173</v>
      </c>
      <c r="BS7">
        <v>3945080</v>
      </c>
      <c r="BT7">
        <v>3890017</v>
      </c>
      <c r="BU7">
        <v>3709353</v>
      </c>
      <c r="BV7">
        <v>3546511</v>
      </c>
      <c r="BW7">
        <v>3386045</v>
      </c>
      <c r="BX7">
        <v>3258649</v>
      </c>
      <c r="BY7">
        <v>3155415</v>
      </c>
      <c r="BZ7">
        <v>3034348</v>
      </c>
      <c r="CA7">
        <v>2969998</v>
      </c>
      <c r="CB7">
        <v>3057634</v>
      </c>
      <c r="CC7">
        <v>2232771</v>
      </c>
      <c r="CD7">
        <v>2171178</v>
      </c>
      <c r="CE7">
        <v>2079886</v>
      </c>
      <c r="CF7">
        <v>2087150</v>
      </c>
      <c r="CG7">
        <v>1783547</v>
      </c>
      <c r="CH7">
        <v>1591883</v>
      </c>
      <c r="CI7">
        <v>1465872</v>
      </c>
      <c r="CJ7">
        <v>1337153</v>
      </c>
      <c r="CK7">
        <v>1236193</v>
      </c>
      <c r="CL7">
        <v>1094889</v>
      </c>
      <c r="CM7">
        <v>998939</v>
      </c>
      <c r="CN7">
        <v>910054</v>
      </c>
      <c r="CO7">
        <v>771847</v>
      </c>
      <c r="CP7">
        <v>701346</v>
      </c>
      <c r="CQ7">
        <v>624288</v>
      </c>
      <c r="CR7">
        <v>550142</v>
      </c>
      <c r="CS7">
        <v>484225</v>
      </c>
      <c r="CT7">
        <v>396958</v>
      </c>
      <c r="CU7">
        <v>334771</v>
      </c>
      <c r="CV7">
        <v>272457</v>
      </c>
      <c r="CW7">
        <v>213764</v>
      </c>
      <c r="CX7">
        <v>168612</v>
      </c>
      <c r="CY7">
        <v>126502</v>
      </c>
      <c r="CZ7">
        <v>91564</v>
      </c>
      <c r="DA7">
        <v>65221</v>
      </c>
      <c r="DB7">
        <v>98160</v>
      </c>
    </row>
    <row r="8" spans="1:106">
      <c r="A8">
        <v>0</v>
      </c>
      <c r="B8">
        <v>0</v>
      </c>
      <c r="C8">
        <v>0</v>
      </c>
      <c r="D8">
        <v>2022</v>
      </c>
      <c r="E8">
        <v>337341954</v>
      </c>
      <c r="F8">
        <v>4139039</v>
      </c>
      <c r="G8">
        <v>4142382</v>
      </c>
      <c r="H8">
        <v>4142254</v>
      </c>
      <c r="I8">
        <v>4136660</v>
      </c>
      <c r="J8">
        <v>4127020</v>
      </c>
      <c r="K8">
        <v>4115321</v>
      </c>
      <c r="L8">
        <v>4036489</v>
      </c>
      <c r="M8">
        <v>4059689</v>
      </c>
      <c r="N8">
        <v>4055322</v>
      </c>
      <c r="O8">
        <v>4045609</v>
      </c>
      <c r="P8">
        <v>4052883</v>
      </c>
      <c r="Q8">
        <v>4099479</v>
      </c>
      <c r="R8">
        <v>4097721</v>
      </c>
      <c r="S8">
        <v>4099405</v>
      </c>
      <c r="T8">
        <v>4229339</v>
      </c>
      <c r="U8">
        <v>4251870</v>
      </c>
      <c r="V8">
        <v>4224895</v>
      </c>
      <c r="W8">
        <v>4225046</v>
      </c>
      <c r="X8">
        <v>4251751</v>
      </c>
      <c r="Y8">
        <v>4243518</v>
      </c>
      <c r="Z8">
        <v>4250687</v>
      </c>
      <c r="AA8">
        <v>4374374</v>
      </c>
      <c r="AB8">
        <v>4459740</v>
      </c>
      <c r="AC8">
        <v>4413867</v>
      </c>
      <c r="AD8">
        <v>4433548</v>
      </c>
      <c r="AE8">
        <v>4459696</v>
      </c>
      <c r="AF8">
        <v>4500899</v>
      </c>
      <c r="AG8">
        <v>4595831</v>
      </c>
      <c r="AH8">
        <v>4682865</v>
      </c>
      <c r="AI8">
        <v>4744241</v>
      </c>
      <c r="AJ8">
        <v>4853502</v>
      </c>
      <c r="AK8">
        <v>4923497</v>
      </c>
      <c r="AL8">
        <v>4897614</v>
      </c>
      <c r="AM8">
        <v>4697027</v>
      </c>
      <c r="AN8">
        <v>4574642</v>
      </c>
      <c r="AO8">
        <v>4484789</v>
      </c>
      <c r="AP8">
        <v>4488229</v>
      </c>
      <c r="AQ8">
        <v>4506489</v>
      </c>
      <c r="AR8">
        <v>4355605</v>
      </c>
      <c r="AS8">
        <v>4407052</v>
      </c>
      <c r="AT8">
        <v>4393007</v>
      </c>
      <c r="AU8">
        <v>4334803</v>
      </c>
      <c r="AV8">
        <v>4405446</v>
      </c>
      <c r="AW8">
        <v>4130784</v>
      </c>
      <c r="AX8">
        <v>4042621</v>
      </c>
      <c r="AY8">
        <v>3993170</v>
      </c>
      <c r="AZ8">
        <v>3869712</v>
      </c>
      <c r="BA8">
        <v>3976745</v>
      </c>
      <c r="BB8">
        <v>3844444</v>
      </c>
      <c r="BC8">
        <v>3890778</v>
      </c>
      <c r="BD8">
        <v>4050655</v>
      </c>
      <c r="BE8">
        <v>4264820</v>
      </c>
      <c r="BF8">
        <v>4303009</v>
      </c>
      <c r="BG8">
        <v>4070530</v>
      </c>
      <c r="BH8">
        <v>3975842</v>
      </c>
      <c r="BI8">
        <v>3971415</v>
      </c>
      <c r="BJ8">
        <v>4034644</v>
      </c>
      <c r="BK8">
        <v>4263691</v>
      </c>
      <c r="BL8">
        <v>4329741</v>
      </c>
      <c r="BM8">
        <v>4314560</v>
      </c>
      <c r="BN8">
        <v>4292988</v>
      </c>
      <c r="BO8">
        <v>4329627</v>
      </c>
      <c r="BP8">
        <v>4347377</v>
      </c>
      <c r="BQ8">
        <v>4183553</v>
      </c>
      <c r="BR8">
        <v>4137923</v>
      </c>
      <c r="BS8">
        <v>4069658</v>
      </c>
      <c r="BT8">
        <v>3901421</v>
      </c>
      <c r="BU8">
        <v>3842987</v>
      </c>
      <c r="BV8">
        <v>3660676</v>
      </c>
      <c r="BW8">
        <v>3495790</v>
      </c>
      <c r="BX8">
        <v>3333103</v>
      </c>
      <c r="BY8">
        <v>3202742</v>
      </c>
      <c r="BZ8">
        <v>3095605</v>
      </c>
      <c r="CA8">
        <v>2971226</v>
      </c>
      <c r="CB8">
        <v>2901984</v>
      </c>
      <c r="CC8">
        <v>2980548</v>
      </c>
      <c r="CD8">
        <v>2171394</v>
      </c>
      <c r="CE8">
        <v>2105272</v>
      </c>
      <c r="CF8">
        <v>2010177</v>
      </c>
      <c r="CG8">
        <v>2009409</v>
      </c>
      <c r="CH8">
        <v>1709864</v>
      </c>
      <c r="CI8">
        <v>1518571</v>
      </c>
      <c r="CJ8">
        <v>1390458</v>
      </c>
      <c r="CK8">
        <v>1260063</v>
      </c>
      <c r="CL8">
        <v>1156314</v>
      </c>
      <c r="CM8">
        <v>1015712</v>
      </c>
      <c r="CN8">
        <v>918670</v>
      </c>
      <c r="CO8">
        <v>829014</v>
      </c>
      <c r="CP8">
        <v>695831</v>
      </c>
      <c r="CQ8">
        <v>625049</v>
      </c>
      <c r="CR8">
        <v>549331</v>
      </c>
      <c r="CS8">
        <v>477362</v>
      </c>
      <c r="CT8">
        <v>413808</v>
      </c>
      <c r="CU8">
        <v>333649</v>
      </c>
      <c r="CV8">
        <v>276396</v>
      </c>
      <c r="CW8">
        <v>220621</v>
      </c>
      <c r="CX8">
        <v>169538</v>
      </c>
      <c r="CY8">
        <v>130778</v>
      </c>
      <c r="CZ8">
        <v>95792</v>
      </c>
      <c r="DA8">
        <v>67596</v>
      </c>
      <c r="DB8">
        <v>103774</v>
      </c>
    </row>
    <row r="9" spans="1:106">
      <c r="A9">
        <v>0</v>
      </c>
      <c r="B9">
        <v>0</v>
      </c>
      <c r="C9">
        <v>0</v>
      </c>
      <c r="D9">
        <v>2023</v>
      </c>
      <c r="E9">
        <v>339665118</v>
      </c>
      <c r="F9">
        <v>4147758</v>
      </c>
      <c r="G9">
        <v>4154076</v>
      </c>
      <c r="H9">
        <v>4156909</v>
      </c>
      <c r="I9">
        <v>4154588</v>
      </c>
      <c r="J9">
        <v>4147538</v>
      </c>
      <c r="K9">
        <v>4137347</v>
      </c>
      <c r="L9">
        <v>4125778</v>
      </c>
      <c r="M9">
        <v>4046953</v>
      </c>
      <c r="N9">
        <v>4070870</v>
      </c>
      <c r="O9">
        <v>4067066</v>
      </c>
      <c r="P9">
        <v>4057473</v>
      </c>
      <c r="Q9">
        <v>4064559</v>
      </c>
      <c r="R9">
        <v>4110900</v>
      </c>
      <c r="S9">
        <v>4109449</v>
      </c>
      <c r="T9">
        <v>4112330</v>
      </c>
      <c r="U9">
        <v>4244861</v>
      </c>
      <c r="V9">
        <v>4271643</v>
      </c>
      <c r="W9">
        <v>4249886</v>
      </c>
      <c r="X9">
        <v>4255496</v>
      </c>
      <c r="Y9">
        <v>4286407</v>
      </c>
      <c r="Z9">
        <v>4280796</v>
      </c>
      <c r="AA9">
        <v>4289176</v>
      </c>
      <c r="AB9">
        <v>4412927</v>
      </c>
      <c r="AC9">
        <v>4497857</v>
      </c>
      <c r="AD9">
        <v>4451532</v>
      </c>
      <c r="AE9">
        <v>4470058</v>
      </c>
      <c r="AF9">
        <v>4494674</v>
      </c>
      <c r="AG9">
        <v>4534059</v>
      </c>
      <c r="AH9">
        <v>4627012</v>
      </c>
      <c r="AI9">
        <v>4711511</v>
      </c>
      <c r="AJ9">
        <v>4770116</v>
      </c>
      <c r="AK9">
        <v>4875956</v>
      </c>
      <c r="AL9">
        <v>4942955</v>
      </c>
      <c r="AM9">
        <v>4914448</v>
      </c>
      <c r="AN9">
        <v>4712336</v>
      </c>
      <c r="AO9">
        <v>4588430</v>
      </c>
      <c r="AP9">
        <v>4496972</v>
      </c>
      <c r="AQ9">
        <v>4498515</v>
      </c>
      <c r="AR9">
        <v>4515109</v>
      </c>
      <c r="AS9">
        <v>4362938</v>
      </c>
      <c r="AT9">
        <v>4412597</v>
      </c>
      <c r="AU9">
        <v>4396784</v>
      </c>
      <c r="AV9">
        <v>4337365</v>
      </c>
      <c r="AW9">
        <v>4406569</v>
      </c>
      <c r="AX9">
        <v>4131905</v>
      </c>
      <c r="AY9">
        <v>4042832</v>
      </c>
      <c r="AZ9">
        <v>3991794</v>
      </c>
      <c r="BA9">
        <v>3866390</v>
      </c>
      <c r="BB9">
        <v>3970470</v>
      </c>
      <c r="BC9">
        <v>3836358</v>
      </c>
      <c r="BD9">
        <v>3880595</v>
      </c>
      <c r="BE9">
        <v>4038110</v>
      </c>
      <c r="BF9">
        <v>4250164</v>
      </c>
      <c r="BG9">
        <v>4287166</v>
      </c>
      <c r="BH9">
        <v>4055269</v>
      </c>
      <c r="BI9">
        <v>3960176</v>
      </c>
      <c r="BJ9">
        <v>3954766</v>
      </c>
      <c r="BK9">
        <v>4016261</v>
      </c>
      <c r="BL9">
        <v>4242150</v>
      </c>
      <c r="BM9">
        <v>4305875</v>
      </c>
      <c r="BN9">
        <v>4288580</v>
      </c>
      <c r="BO9">
        <v>4264484</v>
      </c>
      <c r="BP9">
        <v>4297589</v>
      </c>
      <c r="BQ9">
        <v>4311445</v>
      </c>
      <c r="BR9">
        <v>4145741</v>
      </c>
      <c r="BS9">
        <v>4096797</v>
      </c>
      <c r="BT9">
        <v>4025170</v>
      </c>
      <c r="BU9">
        <v>3854829</v>
      </c>
      <c r="BV9">
        <v>3792992</v>
      </c>
      <c r="BW9">
        <v>3608853</v>
      </c>
      <c r="BX9">
        <v>3441741</v>
      </c>
      <c r="BY9">
        <v>3276541</v>
      </c>
      <c r="BZ9">
        <v>3142936</v>
      </c>
      <c r="CA9">
        <v>3031719</v>
      </c>
      <c r="CB9">
        <v>2903967</v>
      </c>
      <c r="CC9">
        <v>2829608</v>
      </c>
      <c r="CD9">
        <v>2898630</v>
      </c>
      <c r="CE9">
        <v>2106139</v>
      </c>
      <c r="CF9">
        <v>2035239</v>
      </c>
      <c r="CG9">
        <v>1936117</v>
      </c>
      <c r="CH9">
        <v>1926807</v>
      </c>
      <c r="CI9">
        <v>1631626</v>
      </c>
      <c r="CJ9">
        <v>1440986</v>
      </c>
      <c r="CK9">
        <v>1310877</v>
      </c>
      <c r="CL9">
        <v>1179191</v>
      </c>
      <c r="CM9">
        <v>1073249</v>
      </c>
      <c r="CN9">
        <v>934614</v>
      </c>
      <c r="CO9">
        <v>837385</v>
      </c>
      <c r="CP9">
        <v>747906</v>
      </c>
      <c r="CQ9">
        <v>620615</v>
      </c>
      <c r="CR9">
        <v>550460</v>
      </c>
      <c r="CS9">
        <v>477110</v>
      </c>
      <c r="CT9">
        <v>408345</v>
      </c>
      <c r="CU9">
        <v>348195</v>
      </c>
      <c r="CV9">
        <v>275781</v>
      </c>
      <c r="CW9">
        <v>224099</v>
      </c>
      <c r="CX9">
        <v>175204</v>
      </c>
      <c r="CY9">
        <v>131682</v>
      </c>
      <c r="CZ9">
        <v>99192</v>
      </c>
      <c r="DA9">
        <v>70843</v>
      </c>
      <c r="DB9">
        <v>108974</v>
      </c>
    </row>
    <row r="10" spans="1:106">
      <c r="A10">
        <v>0</v>
      </c>
      <c r="B10">
        <v>0</v>
      </c>
      <c r="C10">
        <v>0</v>
      </c>
      <c r="D10">
        <v>2024</v>
      </c>
      <c r="E10">
        <v>341963408</v>
      </c>
      <c r="F10">
        <v>4154108</v>
      </c>
      <c r="G10">
        <v>4162971</v>
      </c>
      <c r="H10">
        <v>4168717</v>
      </c>
      <c r="I10">
        <v>4169332</v>
      </c>
      <c r="J10">
        <v>4165525</v>
      </c>
      <c r="K10">
        <v>4157904</v>
      </c>
      <c r="L10">
        <v>4147828</v>
      </c>
      <c r="M10">
        <v>4136675</v>
      </c>
      <c r="N10">
        <v>4058091</v>
      </c>
      <c r="O10">
        <v>4082553</v>
      </c>
      <c r="P10">
        <v>4078894</v>
      </c>
      <c r="Q10">
        <v>4069125</v>
      </c>
      <c r="R10">
        <v>4075946</v>
      </c>
      <c r="S10">
        <v>4122675</v>
      </c>
      <c r="T10">
        <v>4122411</v>
      </c>
      <c r="U10">
        <v>4128065</v>
      </c>
      <c r="V10">
        <v>4264799</v>
      </c>
      <c r="W10">
        <v>4296850</v>
      </c>
      <c r="X10">
        <v>4280674</v>
      </c>
      <c r="Y10">
        <v>4290546</v>
      </c>
      <c r="Z10">
        <v>4324168</v>
      </c>
      <c r="AA10">
        <v>4319777</v>
      </c>
      <c r="AB10">
        <v>4328450</v>
      </c>
      <c r="AC10">
        <v>4451637</v>
      </c>
      <c r="AD10">
        <v>4535742</v>
      </c>
      <c r="AE10">
        <v>4488571</v>
      </c>
      <c r="AF10">
        <v>4505436</v>
      </c>
      <c r="AG10">
        <v>4528144</v>
      </c>
      <c r="AH10">
        <v>4565616</v>
      </c>
      <c r="AI10">
        <v>4656110</v>
      </c>
      <c r="AJ10">
        <v>4737870</v>
      </c>
      <c r="AK10">
        <v>4793097</v>
      </c>
      <c r="AL10">
        <v>4895790</v>
      </c>
      <c r="AM10">
        <v>4960104</v>
      </c>
      <c r="AN10">
        <v>4929680</v>
      </c>
      <c r="AO10">
        <v>4726249</v>
      </c>
      <c r="AP10">
        <v>4600701</v>
      </c>
      <c r="AQ10">
        <v>4507616</v>
      </c>
      <c r="AR10">
        <v>4507583</v>
      </c>
      <c r="AS10">
        <v>4522497</v>
      </c>
      <c r="AT10">
        <v>4368961</v>
      </c>
      <c r="AU10">
        <v>4416690</v>
      </c>
      <c r="AV10">
        <v>4399491</v>
      </c>
      <c r="AW10">
        <v>4339085</v>
      </c>
      <c r="AX10">
        <v>4407111</v>
      </c>
      <c r="AY10">
        <v>4132111</v>
      </c>
      <c r="AZ10">
        <v>4041569</v>
      </c>
      <c r="BA10">
        <v>3988376</v>
      </c>
      <c r="BB10">
        <v>3860835</v>
      </c>
      <c r="BC10">
        <v>3962111</v>
      </c>
      <c r="BD10">
        <v>3826613</v>
      </c>
      <c r="BE10">
        <v>3869048</v>
      </c>
      <c r="BF10">
        <v>4024750</v>
      </c>
      <c r="BG10">
        <v>4234977</v>
      </c>
      <c r="BH10">
        <v>4270925</v>
      </c>
      <c r="BI10">
        <v>4039586</v>
      </c>
      <c r="BJ10">
        <v>3943936</v>
      </c>
      <c r="BK10">
        <v>3937451</v>
      </c>
      <c r="BL10">
        <v>3996895</v>
      </c>
      <c r="BM10">
        <v>4219436</v>
      </c>
      <c r="BN10">
        <v>4280520</v>
      </c>
      <c r="BO10">
        <v>4260687</v>
      </c>
      <c r="BP10">
        <v>4233662</v>
      </c>
      <c r="BQ10">
        <v>4262903</v>
      </c>
      <c r="BR10">
        <v>4272812</v>
      </c>
      <c r="BS10">
        <v>4105154</v>
      </c>
      <c r="BT10">
        <v>4052671</v>
      </c>
      <c r="BU10">
        <v>3977712</v>
      </c>
      <c r="BV10">
        <v>3805296</v>
      </c>
      <c r="BW10">
        <v>3739770</v>
      </c>
      <c r="BX10">
        <v>3553602</v>
      </c>
      <c r="BY10">
        <v>3383956</v>
      </c>
      <c r="BZ10">
        <v>3215994</v>
      </c>
      <c r="CA10">
        <v>3078960</v>
      </c>
      <c r="CB10">
        <v>2963648</v>
      </c>
      <c r="CC10">
        <v>2832386</v>
      </c>
      <c r="CD10">
        <v>2752640</v>
      </c>
      <c r="CE10">
        <v>2811624</v>
      </c>
      <c r="CF10">
        <v>2036777</v>
      </c>
      <c r="CG10">
        <v>1960846</v>
      </c>
      <c r="CH10">
        <v>1857308</v>
      </c>
      <c r="CI10">
        <v>1839087</v>
      </c>
      <c r="CJ10">
        <v>1548770</v>
      </c>
      <c r="CK10">
        <v>1359088</v>
      </c>
      <c r="CL10">
        <v>1227344</v>
      </c>
      <c r="CM10">
        <v>1095024</v>
      </c>
      <c r="CN10">
        <v>988125</v>
      </c>
      <c r="CO10">
        <v>852450</v>
      </c>
      <c r="CP10">
        <v>755964</v>
      </c>
      <c r="CQ10">
        <v>667574</v>
      </c>
      <c r="CR10">
        <v>547019</v>
      </c>
      <c r="CS10">
        <v>478523</v>
      </c>
      <c r="CT10">
        <v>408546</v>
      </c>
      <c r="CU10">
        <v>343970</v>
      </c>
      <c r="CV10">
        <v>288149</v>
      </c>
      <c r="CW10">
        <v>223875</v>
      </c>
      <c r="CX10">
        <v>178209</v>
      </c>
      <c r="CY10">
        <v>136274</v>
      </c>
      <c r="CZ10">
        <v>100030</v>
      </c>
      <c r="DA10">
        <v>73482</v>
      </c>
      <c r="DB10">
        <v>114493</v>
      </c>
    </row>
    <row r="11" spans="1:106">
      <c r="A11">
        <v>0</v>
      </c>
      <c r="B11">
        <v>0</v>
      </c>
      <c r="C11">
        <v>0</v>
      </c>
      <c r="D11">
        <v>2025</v>
      </c>
      <c r="E11">
        <v>344234377</v>
      </c>
      <c r="F11">
        <v>4158795</v>
      </c>
      <c r="G11">
        <v>4169495</v>
      </c>
      <c r="H11">
        <v>4177722</v>
      </c>
      <c r="I11">
        <v>4181225</v>
      </c>
      <c r="J11">
        <v>4180328</v>
      </c>
      <c r="K11">
        <v>4175929</v>
      </c>
      <c r="L11">
        <v>4168415</v>
      </c>
      <c r="M11">
        <v>4158746</v>
      </c>
      <c r="N11">
        <v>4148184</v>
      </c>
      <c r="O11">
        <v>4069757</v>
      </c>
      <c r="P11">
        <v>4094343</v>
      </c>
      <c r="Q11">
        <v>4090541</v>
      </c>
      <c r="R11">
        <v>4080558</v>
      </c>
      <c r="S11">
        <v>4087738</v>
      </c>
      <c r="T11">
        <v>4135695</v>
      </c>
      <c r="U11">
        <v>4138216</v>
      </c>
      <c r="V11">
        <v>4148262</v>
      </c>
      <c r="W11">
        <v>4290235</v>
      </c>
      <c r="X11">
        <v>4327918</v>
      </c>
      <c r="Y11">
        <v>4316130</v>
      </c>
      <c r="Z11">
        <v>4328721</v>
      </c>
      <c r="AA11">
        <v>4363627</v>
      </c>
      <c r="AB11">
        <v>4359531</v>
      </c>
      <c r="AC11">
        <v>4367839</v>
      </c>
      <c r="AD11">
        <v>4490127</v>
      </c>
      <c r="AE11">
        <v>4573003</v>
      </c>
      <c r="AF11">
        <v>4524491</v>
      </c>
      <c r="AG11">
        <v>4539331</v>
      </c>
      <c r="AH11">
        <v>4560049</v>
      </c>
      <c r="AI11">
        <v>4595102</v>
      </c>
      <c r="AJ11">
        <v>4682890</v>
      </c>
      <c r="AK11">
        <v>4761327</v>
      </c>
      <c r="AL11">
        <v>4813443</v>
      </c>
      <c r="AM11">
        <v>4913329</v>
      </c>
      <c r="AN11">
        <v>4975685</v>
      </c>
      <c r="AO11">
        <v>4943534</v>
      </c>
      <c r="AP11">
        <v>4738710</v>
      </c>
      <c r="AQ11">
        <v>4611463</v>
      </c>
      <c r="AR11">
        <v>4517058</v>
      </c>
      <c r="AS11">
        <v>4515429</v>
      </c>
      <c r="AT11">
        <v>4528559</v>
      </c>
      <c r="AU11">
        <v>4373560</v>
      </c>
      <c r="AV11">
        <v>4419693</v>
      </c>
      <c r="AW11">
        <v>4401339</v>
      </c>
      <c r="AX11">
        <v>4340209</v>
      </c>
      <c r="AY11">
        <v>4406731</v>
      </c>
      <c r="AZ11">
        <v>4130832</v>
      </c>
      <c r="BA11">
        <v>4038272</v>
      </c>
      <c r="BB11">
        <v>3982695</v>
      </c>
      <c r="BC11">
        <v>3853247</v>
      </c>
      <c r="BD11">
        <v>3952083</v>
      </c>
      <c r="BE11">
        <v>3815584</v>
      </c>
      <c r="BF11">
        <v>3856754</v>
      </c>
      <c r="BG11">
        <v>4010950</v>
      </c>
      <c r="BH11">
        <v>4219456</v>
      </c>
      <c r="BI11">
        <v>4254301</v>
      </c>
      <c r="BJ11">
        <v>4023338</v>
      </c>
      <c r="BK11">
        <v>3927059</v>
      </c>
      <c r="BL11">
        <v>3919194</v>
      </c>
      <c r="BM11">
        <v>3976467</v>
      </c>
      <c r="BN11">
        <v>4195280</v>
      </c>
      <c r="BO11">
        <v>4253262</v>
      </c>
      <c r="BP11">
        <v>4230464</v>
      </c>
      <c r="BQ11">
        <v>4200229</v>
      </c>
      <c r="BR11">
        <v>4225565</v>
      </c>
      <c r="BS11">
        <v>4231331</v>
      </c>
      <c r="BT11">
        <v>4061595</v>
      </c>
      <c r="BU11">
        <v>4005573</v>
      </c>
      <c r="BV11">
        <v>3927257</v>
      </c>
      <c r="BW11">
        <v>3752598</v>
      </c>
      <c r="BX11">
        <v>3683044</v>
      </c>
      <c r="BY11">
        <v>3494529</v>
      </c>
      <c r="BZ11">
        <v>3322098</v>
      </c>
      <c r="CA11">
        <v>3151232</v>
      </c>
      <c r="CB11">
        <v>3010697</v>
      </c>
      <c r="CC11">
        <v>2891244</v>
      </c>
      <c r="CD11">
        <v>2756258</v>
      </c>
      <c r="CE11">
        <v>2670909</v>
      </c>
      <c r="CF11">
        <v>2719250</v>
      </c>
      <c r="CG11">
        <v>1963082</v>
      </c>
      <c r="CH11">
        <v>1881659</v>
      </c>
      <c r="CI11">
        <v>1773539</v>
      </c>
      <c r="CJ11">
        <v>1746214</v>
      </c>
      <c r="CK11">
        <v>1461274</v>
      </c>
      <c r="CL11">
        <v>1273103</v>
      </c>
      <c r="CM11">
        <v>1140365</v>
      </c>
      <c r="CN11">
        <v>1008736</v>
      </c>
      <c r="CO11">
        <v>901822</v>
      </c>
      <c r="CP11">
        <v>770102</v>
      </c>
      <c r="CQ11">
        <v>675259</v>
      </c>
      <c r="CR11">
        <v>588914</v>
      </c>
      <c r="CS11">
        <v>475977</v>
      </c>
      <c r="CT11">
        <v>410170</v>
      </c>
      <c r="CU11">
        <v>344518</v>
      </c>
      <c r="CV11">
        <v>284978</v>
      </c>
      <c r="CW11">
        <v>234217</v>
      </c>
      <c r="CX11">
        <v>178269</v>
      </c>
      <c r="CY11">
        <v>138820</v>
      </c>
      <c r="CZ11">
        <v>103674</v>
      </c>
      <c r="DA11">
        <v>74220</v>
      </c>
      <c r="DB11">
        <v>119806</v>
      </c>
    </row>
    <row r="12" spans="1:106">
      <c r="A12">
        <v>0</v>
      </c>
      <c r="B12">
        <v>0</v>
      </c>
      <c r="C12">
        <v>0</v>
      </c>
      <c r="D12">
        <v>2026</v>
      </c>
      <c r="E12">
        <v>346481182</v>
      </c>
      <c r="F12">
        <v>4162506</v>
      </c>
      <c r="G12">
        <v>4174374</v>
      </c>
      <c r="H12">
        <v>4184383</v>
      </c>
      <c r="I12">
        <v>4190355</v>
      </c>
      <c r="J12">
        <v>4192326</v>
      </c>
      <c r="K12">
        <v>4190821</v>
      </c>
      <c r="L12">
        <v>4186520</v>
      </c>
      <c r="M12">
        <v>4179415</v>
      </c>
      <c r="N12">
        <v>4170335</v>
      </c>
      <c r="O12">
        <v>4160211</v>
      </c>
      <c r="P12">
        <v>4081719</v>
      </c>
      <c r="Q12">
        <v>4106132</v>
      </c>
      <c r="R12">
        <v>4102104</v>
      </c>
      <c r="S12">
        <v>4092488</v>
      </c>
      <c r="T12">
        <v>4100908</v>
      </c>
      <c r="U12">
        <v>4151654</v>
      </c>
      <c r="V12">
        <v>4158594</v>
      </c>
      <c r="W12">
        <v>4174066</v>
      </c>
      <c r="X12">
        <v>4321655</v>
      </c>
      <c r="Y12">
        <v>4363774</v>
      </c>
      <c r="Z12">
        <v>4354821</v>
      </c>
      <c r="AA12">
        <v>4368722</v>
      </c>
      <c r="AB12">
        <v>4403902</v>
      </c>
      <c r="AC12">
        <v>4399453</v>
      </c>
      <c r="AD12">
        <v>4407024</v>
      </c>
      <c r="AE12">
        <v>4528013</v>
      </c>
      <c r="AF12">
        <v>4609267</v>
      </c>
      <c r="AG12">
        <v>4558937</v>
      </c>
      <c r="AH12">
        <v>4571769</v>
      </c>
      <c r="AI12">
        <v>4590021</v>
      </c>
      <c r="AJ12">
        <v>4622421</v>
      </c>
      <c r="AK12">
        <v>4706898</v>
      </c>
      <c r="AL12">
        <v>4782212</v>
      </c>
      <c r="AM12">
        <v>4831592</v>
      </c>
      <c r="AN12">
        <v>4929379</v>
      </c>
      <c r="AO12">
        <v>4989948</v>
      </c>
      <c r="AP12">
        <v>4956030</v>
      </c>
      <c r="AQ12">
        <v>4749765</v>
      </c>
      <c r="AR12">
        <v>4621154</v>
      </c>
      <c r="AS12">
        <v>4525374</v>
      </c>
      <c r="AT12">
        <v>4522008</v>
      </c>
      <c r="AU12">
        <v>4533243</v>
      </c>
      <c r="AV12">
        <v>4377134</v>
      </c>
      <c r="AW12">
        <v>4421893</v>
      </c>
      <c r="AX12">
        <v>4402609</v>
      </c>
      <c r="AY12">
        <v>4340430</v>
      </c>
      <c r="AZ12">
        <v>4404872</v>
      </c>
      <c r="BA12">
        <v>4127554</v>
      </c>
      <c r="BB12">
        <v>4032742</v>
      </c>
      <c r="BC12">
        <v>3974994</v>
      </c>
      <c r="BD12">
        <v>3844059</v>
      </c>
      <c r="BE12">
        <v>3940776</v>
      </c>
      <c r="BF12">
        <v>3803882</v>
      </c>
      <c r="BG12">
        <v>3844112</v>
      </c>
      <c r="BH12">
        <v>3996923</v>
      </c>
      <c r="BI12">
        <v>4203626</v>
      </c>
      <c r="BJ12">
        <v>4237206</v>
      </c>
      <c r="BK12">
        <v>4006488</v>
      </c>
      <c r="BL12">
        <v>3909309</v>
      </c>
      <c r="BM12">
        <v>3899915</v>
      </c>
      <c r="BN12">
        <v>3954724</v>
      </c>
      <c r="BO12">
        <v>4169311</v>
      </c>
      <c r="BP12">
        <v>4223757</v>
      </c>
      <c r="BQ12">
        <v>4197680</v>
      </c>
      <c r="BR12">
        <v>4164204</v>
      </c>
      <c r="BS12">
        <v>4185501</v>
      </c>
      <c r="BT12">
        <v>4186915</v>
      </c>
      <c r="BU12">
        <v>4015120</v>
      </c>
      <c r="BV12">
        <v>3955548</v>
      </c>
      <c r="BW12">
        <v>3873632</v>
      </c>
      <c r="BX12">
        <v>3696537</v>
      </c>
      <c r="BY12">
        <v>3622529</v>
      </c>
      <c r="BZ12">
        <v>3431406</v>
      </c>
      <c r="CA12">
        <v>3256022</v>
      </c>
      <c r="CB12">
        <v>3082242</v>
      </c>
      <c r="CC12">
        <v>2938091</v>
      </c>
      <c r="CD12">
        <v>2814389</v>
      </c>
      <c r="CE12">
        <v>2675423</v>
      </c>
      <c r="CF12">
        <v>2584234</v>
      </c>
      <c r="CG12">
        <v>2621255</v>
      </c>
      <c r="CH12">
        <v>1884602</v>
      </c>
      <c r="CI12">
        <v>1797507</v>
      </c>
      <c r="CJ12">
        <v>1684804</v>
      </c>
      <c r="CK12">
        <v>1648172</v>
      </c>
      <c r="CL12">
        <v>1369388</v>
      </c>
      <c r="CM12">
        <v>1183547</v>
      </c>
      <c r="CN12">
        <v>1051161</v>
      </c>
      <c r="CO12">
        <v>921204</v>
      </c>
      <c r="CP12">
        <v>815258</v>
      </c>
      <c r="CQ12">
        <v>688421</v>
      </c>
      <c r="CR12">
        <v>596178</v>
      </c>
      <c r="CS12">
        <v>512913</v>
      </c>
      <c r="CT12">
        <v>408405</v>
      </c>
      <c r="CU12">
        <v>346269</v>
      </c>
      <c r="CV12">
        <v>285776</v>
      </c>
      <c r="CW12">
        <v>231933</v>
      </c>
      <c r="CX12">
        <v>186762</v>
      </c>
      <c r="CY12">
        <v>139061</v>
      </c>
      <c r="CZ12">
        <v>105777</v>
      </c>
      <c r="DA12">
        <v>77053</v>
      </c>
      <c r="DB12">
        <v>123654</v>
      </c>
    </row>
    <row r="13" spans="1:106">
      <c r="A13">
        <v>0</v>
      </c>
      <c r="B13">
        <v>0</v>
      </c>
      <c r="C13">
        <v>0</v>
      </c>
      <c r="D13">
        <v>2027</v>
      </c>
      <c r="E13">
        <v>348695115</v>
      </c>
      <c r="F13">
        <v>4165252</v>
      </c>
      <c r="G13">
        <v>4178275</v>
      </c>
      <c r="H13">
        <v>4189406</v>
      </c>
      <c r="I13">
        <v>4197138</v>
      </c>
      <c r="J13">
        <v>4201555</v>
      </c>
      <c r="K13">
        <v>4202913</v>
      </c>
      <c r="L13">
        <v>4201498</v>
      </c>
      <c r="M13">
        <v>4197605</v>
      </c>
      <c r="N13">
        <v>4191091</v>
      </c>
      <c r="O13">
        <v>4182445</v>
      </c>
      <c r="P13">
        <v>4172266</v>
      </c>
      <c r="Q13">
        <v>4093533</v>
      </c>
      <c r="R13">
        <v>4117762</v>
      </c>
      <c r="S13">
        <v>4114131</v>
      </c>
      <c r="T13">
        <v>4105777</v>
      </c>
      <c r="U13">
        <v>4117041</v>
      </c>
      <c r="V13">
        <v>4172234</v>
      </c>
      <c r="W13">
        <v>4184660</v>
      </c>
      <c r="X13">
        <v>4205922</v>
      </c>
      <c r="Y13">
        <v>4357910</v>
      </c>
      <c r="Z13">
        <v>4402865</v>
      </c>
      <c r="AA13">
        <v>4395310</v>
      </c>
      <c r="AB13">
        <v>4409514</v>
      </c>
      <c r="AC13">
        <v>4444303</v>
      </c>
      <c r="AD13">
        <v>4439106</v>
      </c>
      <c r="AE13">
        <v>4445522</v>
      </c>
      <c r="AF13">
        <v>4564799</v>
      </c>
      <c r="AG13">
        <v>4644026</v>
      </c>
      <c r="AH13">
        <v>4591742</v>
      </c>
      <c r="AI13">
        <v>4602097</v>
      </c>
      <c r="AJ13">
        <v>4617694</v>
      </c>
      <c r="AK13">
        <v>4646857</v>
      </c>
      <c r="AL13">
        <v>4728204</v>
      </c>
      <c r="AM13">
        <v>4800742</v>
      </c>
      <c r="AN13">
        <v>4848112</v>
      </c>
      <c r="AO13">
        <v>4944014</v>
      </c>
      <c r="AP13">
        <v>5002700</v>
      </c>
      <c r="AQ13">
        <v>4966991</v>
      </c>
      <c r="AR13">
        <v>4759573</v>
      </c>
      <c r="AS13">
        <v>4629612</v>
      </c>
      <c r="AT13">
        <v>4532326</v>
      </c>
      <c r="AU13">
        <v>4527081</v>
      </c>
      <c r="AV13">
        <v>4536765</v>
      </c>
      <c r="AW13">
        <v>4379789</v>
      </c>
      <c r="AX13">
        <v>4423450</v>
      </c>
      <c r="AY13">
        <v>4402950</v>
      </c>
      <c r="AZ13">
        <v>4339179</v>
      </c>
      <c r="BA13">
        <v>4400934</v>
      </c>
      <c r="BB13">
        <v>4122040</v>
      </c>
      <c r="BC13">
        <v>4025197</v>
      </c>
      <c r="BD13">
        <v>3965675</v>
      </c>
      <c r="BE13">
        <v>3833611</v>
      </c>
      <c r="BF13">
        <v>3928767</v>
      </c>
      <c r="BG13">
        <v>3791832</v>
      </c>
      <c r="BH13">
        <v>3831248</v>
      </c>
      <c r="BI13">
        <v>3982618</v>
      </c>
      <c r="BJ13">
        <v>4187293</v>
      </c>
      <c r="BK13">
        <v>4219486</v>
      </c>
      <c r="BL13">
        <v>3988760</v>
      </c>
      <c r="BM13">
        <v>3890553</v>
      </c>
      <c r="BN13">
        <v>3879317</v>
      </c>
      <c r="BO13">
        <v>3931220</v>
      </c>
      <c r="BP13">
        <v>4141058</v>
      </c>
      <c r="BQ13">
        <v>4191619</v>
      </c>
      <c r="BR13">
        <v>4162253</v>
      </c>
      <c r="BS13">
        <v>4125400</v>
      </c>
      <c r="BT13">
        <v>4142445</v>
      </c>
      <c r="BU13">
        <v>4139486</v>
      </c>
      <c r="BV13">
        <v>3965649</v>
      </c>
      <c r="BW13">
        <v>3902275</v>
      </c>
      <c r="BX13">
        <v>3816433</v>
      </c>
      <c r="BY13">
        <v>3636577</v>
      </c>
      <c r="BZ13">
        <v>3557722</v>
      </c>
      <c r="CA13">
        <v>3363839</v>
      </c>
      <c r="CB13">
        <v>3185477</v>
      </c>
      <c r="CC13">
        <v>3008715</v>
      </c>
      <c r="CD13">
        <v>2860798</v>
      </c>
      <c r="CE13">
        <v>2732642</v>
      </c>
      <c r="CF13">
        <v>2589467</v>
      </c>
      <c r="CG13">
        <v>2492083</v>
      </c>
      <c r="CH13">
        <v>2516776</v>
      </c>
      <c r="CI13">
        <v>1801024</v>
      </c>
      <c r="CJ13">
        <v>1708271</v>
      </c>
      <c r="CK13">
        <v>1590998</v>
      </c>
      <c r="CL13">
        <v>1545165</v>
      </c>
      <c r="CM13">
        <v>1273625</v>
      </c>
      <c r="CN13">
        <v>1091618</v>
      </c>
      <c r="CO13">
        <v>960609</v>
      </c>
      <c r="CP13">
        <v>833331</v>
      </c>
      <c r="CQ13">
        <v>729320</v>
      </c>
      <c r="CR13">
        <v>608304</v>
      </c>
      <c r="CS13">
        <v>519696</v>
      </c>
      <c r="CT13">
        <v>440546</v>
      </c>
      <c r="CU13">
        <v>345157</v>
      </c>
      <c r="CV13">
        <v>287573</v>
      </c>
      <c r="CW13">
        <v>232883</v>
      </c>
      <c r="CX13">
        <v>185193</v>
      </c>
      <c r="CY13">
        <v>145904</v>
      </c>
      <c r="CZ13">
        <v>106124</v>
      </c>
      <c r="DA13">
        <v>78746</v>
      </c>
      <c r="DB13">
        <v>128026</v>
      </c>
    </row>
    <row r="14" spans="1:106">
      <c r="A14">
        <v>0</v>
      </c>
      <c r="B14">
        <v>0</v>
      </c>
      <c r="C14">
        <v>0</v>
      </c>
      <c r="D14">
        <v>2028</v>
      </c>
      <c r="E14">
        <v>350872007</v>
      </c>
      <c r="F14">
        <v>4166643</v>
      </c>
      <c r="G14">
        <v>4181210</v>
      </c>
      <c r="H14">
        <v>4193447</v>
      </c>
      <c r="I14">
        <v>4202280</v>
      </c>
      <c r="J14">
        <v>4208440</v>
      </c>
      <c r="K14">
        <v>4212232</v>
      </c>
      <c r="L14">
        <v>4213676</v>
      </c>
      <c r="M14">
        <v>4212663</v>
      </c>
      <c r="N14">
        <v>4209367</v>
      </c>
      <c r="O14">
        <v>4203289</v>
      </c>
      <c r="P14">
        <v>4194579</v>
      </c>
      <c r="Q14">
        <v>4184170</v>
      </c>
      <c r="R14">
        <v>4105205</v>
      </c>
      <c r="S14">
        <v>4129854</v>
      </c>
      <c r="T14">
        <v>4127520</v>
      </c>
      <c r="U14">
        <v>4122039</v>
      </c>
      <c r="V14">
        <v>4137822</v>
      </c>
      <c r="W14">
        <v>4198546</v>
      </c>
      <c r="X14">
        <v>4216826</v>
      </c>
      <c r="Y14">
        <v>4242669</v>
      </c>
      <c r="Z14">
        <v>4397429</v>
      </c>
      <c r="AA14">
        <v>4443776</v>
      </c>
      <c r="AB14">
        <v>4436589</v>
      </c>
      <c r="AC14">
        <v>4450421</v>
      </c>
      <c r="AD14">
        <v>4484418</v>
      </c>
      <c r="AE14">
        <v>4478052</v>
      </c>
      <c r="AF14">
        <v>4482884</v>
      </c>
      <c r="AG14">
        <v>4600054</v>
      </c>
      <c r="AH14">
        <v>4677121</v>
      </c>
      <c r="AI14">
        <v>4622415</v>
      </c>
      <c r="AJ14">
        <v>4630095</v>
      </c>
      <c r="AK14">
        <v>4642457</v>
      </c>
      <c r="AL14">
        <v>4668564</v>
      </c>
      <c r="AM14">
        <v>4747127</v>
      </c>
      <c r="AN14">
        <v>4817623</v>
      </c>
      <c r="AO14">
        <v>4863203</v>
      </c>
      <c r="AP14">
        <v>4957122</v>
      </c>
      <c r="AQ14">
        <v>5013906</v>
      </c>
      <c r="AR14">
        <v>4976685</v>
      </c>
      <c r="AS14">
        <v>4768124</v>
      </c>
      <c r="AT14">
        <v>4636682</v>
      </c>
      <c r="AU14">
        <v>4537745</v>
      </c>
      <c r="AV14">
        <v>4530970</v>
      </c>
      <c r="AW14">
        <v>4539355</v>
      </c>
      <c r="AX14">
        <v>4381783</v>
      </c>
      <c r="AY14">
        <v>4424070</v>
      </c>
      <c r="AZ14">
        <v>4401805</v>
      </c>
      <c r="BA14">
        <v>4335874</v>
      </c>
      <c r="BB14">
        <v>4394671</v>
      </c>
      <c r="BC14">
        <v>4114497</v>
      </c>
      <c r="BD14">
        <v>4016028</v>
      </c>
      <c r="BE14">
        <v>3955080</v>
      </c>
      <c r="BF14">
        <v>3822481</v>
      </c>
      <c r="BG14">
        <v>3916413</v>
      </c>
      <c r="BH14">
        <v>3779587</v>
      </c>
      <c r="BI14">
        <v>3818166</v>
      </c>
      <c r="BJ14">
        <v>3967879</v>
      </c>
      <c r="BK14">
        <v>4170361</v>
      </c>
      <c r="BL14">
        <v>4200857</v>
      </c>
      <c r="BM14">
        <v>3970011</v>
      </c>
      <c r="BN14">
        <v>3870495</v>
      </c>
      <c r="BO14">
        <v>3856994</v>
      </c>
      <c r="BP14">
        <v>3905524</v>
      </c>
      <c r="BQ14">
        <v>4110193</v>
      </c>
      <c r="BR14">
        <v>4156825</v>
      </c>
      <c r="BS14">
        <v>4124038</v>
      </c>
      <c r="BT14">
        <v>4083649</v>
      </c>
      <c r="BU14">
        <v>4096407</v>
      </c>
      <c r="BV14">
        <v>4089015</v>
      </c>
      <c r="BW14">
        <v>3912940</v>
      </c>
      <c r="BX14">
        <v>3845419</v>
      </c>
      <c r="BY14">
        <v>3755217</v>
      </c>
      <c r="BZ14">
        <v>3572307</v>
      </c>
      <c r="CA14">
        <v>3488312</v>
      </c>
      <c r="CB14">
        <v>3291655</v>
      </c>
      <c r="CC14">
        <v>3110251</v>
      </c>
      <c r="CD14">
        <v>2930386</v>
      </c>
      <c r="CE14">
        <v>2778535</v>
      </c>
      <c r="CF14">
        <v>2645676</v>
      </c>
      <c r="CG14">
        <v>2498010</v>
      </c>
      <c r="CH14">
        <v>2393727</v>
      </c>
      <c r="CI14">
        <v>2405460</v>
      </c>
      <c r="CJ14">
        <v>1712330</v>
      </c>
      <c r="CK14">
        <v>1613868</v>
      </c>
      <c r="CL14">
        <v>1492338</v>
      </c>
      <c r="CM14">
        <v>1437780</v>
      </c>
      <c r="CN14">
        <v>1175287</v>
      </c>
      <c r="CO14">
        <v>998223</v>
      </c>
      <c r="CP14">
        <v>869628</v>
      </c>
      <c r="CQ14">
        <v>746032</v>
      </c>
      <c r="CR14">
        <v>644961</v>
      </c>
      <c r="CS14">
        <v>530746</v>
      </c>
      <c r="CT14">
        <v>446796</v>
      </c>
      <c r="CU14">
        <v>372733</v>
      </c>
      <c r="CV14">
        <v>286984</v>
      </c>
      <c r="CW14">
        <v>234651</v>
      </c>
      <c r="CX14">
        <v>186207</v>
      </c>
      <c r="CY14">
        <v>144887</v>
      </c>
      <c r="CZ14">
        <v>111524</v>
      </c>
      <c r="DA14">
        <v>79131</v>
      </c>
      <c r="DB14">
        <v>132009</v>
      </c>
    </row>
    <row r="15" spans="1:106">
      <c r="A15">
        <v>0</v>
      </c>
      <c r="B15">
        <v>0</v>
      </c>
      <c r="C15">
        <v>0</v>
      </c>
      <c r="D15">
        <v>2029</v>
      </c>
      <c r="E15">
        <v>353008224</v>
      </c>
      <c r="F15">
        <v>4166916</v>
      </c>
      <c r="G15">
        <v>4182788</v>
      </c>
      <c r="H15">
        <v>4196520</v>
      </c>
      <c r="I15">
        <v>4206437</v>
      </c>
      <c r="J15">
        <v>4213681</v>
      </c>
      <c r="K15">
        <v>4219205</v>
      </c>
      <c r="L15">
        <v>4223078</v>
      </c>
      <c r="M15">
        <v>4224927</v>
      </c>
      <c r="N15">
        <v>4224510</v>
      </c>
      <c r="O15">
        <v>4221649</v>
      </c>
      <c r="P15">
        <v>4215507</v>
      </c>
      <c r="Q15">
        <v>4206563</v>
      </c>
      <c r="R15">
        <v>4195941</v>
      </c>
      <c r="S15">
        <v>4117347</v>
      </c>
      <c r="T15">
        <v>4143317</v>
      </c>
      <c r="U15">
        <v>4143897</v>
      </c>
      <c r="V15">
        <v>4142975</v>
      </c>
      <c r="W15">
        <v>4164384</v>
      </c>
      <c r="X15">
        <v>4231014</v>
      </c>
      <c r="Y15">
        <v>4253925</v>
      </c>
      <c r="Z15">
        <v>4282712</v>
      </c>
      <c r="AA15">
        <v>4438780</v>
      </c>
      <c r="AB15">
        <v>4485475</v>
      </c>
      <c r="AC15">
        <v>4477965</v>
      </c>
      <c r="AD15">
        <v>4491016</v>
      </c>
      <c r="AE15">
        <v>4523797</v>
      </c>
      <c r="AF15">
        <v>4515837</v>
      </c>
      <c r="AG15">
        <v>4518679</v>
      </c>
      <c r="AH15">
        <v>4633613</v>
      </c>
      <c r="AI15">
        <v>4708050</v>
      </c>
      <c r="AJ15">
        <v>4650719</v>
      </c>
      <c r="AK15">
        <v>4655150</v>
      </c>
      <c r="AL15">
        <v>4664457</v>
      </c>
      <c r="AM15">
        <v>4687860</v>
      </c>
      <c r="AN15">
        <v>4764381</v>
      </c>
      <c r="AO15">
        <v>4833055</v>
      </c>
      <c r="AP15">
        <v>4876756</v>
      </c>
      <c r="AQ15">
        <v>4968677</v>
      </c>
      <c r="AR15">
        <v>5023831</v>
      </c>
      <c r="AS15">
        <v>4985099</v>
      </c>
      <c r="AT15">
        <v>4775266</v>
      </c>
      <c r="AU15">
        <v>4642201</v>
      </c>
      <c r="AV15">
        <v>4541953</v>
      </c>
      <c r="AW15">
        <v>4533906</v>
      </c>
      <c r="AX15">
        <v>4541268</v>
      </c>
      <c r="AY15">
        <v>4382836</v>
      </c>
      <c r="AZ15">
        <v>4423203</v>
      </c>
      <c r="BA15">
        <v>4398599</v>
      </c>
      <c r="BB15">
        <v>4330284</v>
      </c>
      <c r="BC15">
        <v>4386310</v>
      </c>
      <c r="BD15">
        <v>4105325</v>
      </c>
      <c r="BE15">
        <v>4005587</v>
      </c>
      <c r="BF15">
        <v>3943795</v>
      </c>
      <c r="BG15">
        <v>3811027</v>
      </c>
      <c r="BH15">
        <v>3903871</v>
      </c>
      <c r="BI15">
        <v>3767145</v>
      </c>
      <c r="BJ15">
        <v>3804696</v>
      </c>
      <c r="BK15">
        <v>3952604</v>
      </c>
      <c r="BL15">
        <v>4152548</v>
      </c>
      <c r="BM15">
        <v>4181174</v>
      </c>
      <c r="BN15">
        <v>3949948</v>
      </c>
      <c r="BO15">
        <v>3848708</v>
      </c>
      <c r="BP15">
        <v>3832512</v>
      </c>
      <c r="BQ15">
        <v>3877314</v>
      </c>
      <c r="BR15">
        <v>4076693</v>
      </c>
      <c r="BS15">
        <v>4119242</v>
      </c>
      <c r="BT15">
        <v>4082875</v>
      </c>
      <c r="BU15">
        <v>4038958</v>
      </c>
      <c r="BV15">
        <v>4047347</v>
      </c>
      <c r="BW15">
        <v>4035239</v>
      </c>
      <c r="BX15">
        <v>3856650</v>
      </c>
      <c r="BY15">
        <v>3784517</v>
      </c>
      <c r="BZ15">
        <v>3689555</v>
      </c>
      <c r="CA15">
        <v>3503411</v>
      </c>
      <c r="CB15">
        <v>3414133</v>
      </c>
      <c r="CC15">
        <v>3214654</v>
      </c>
      <c r="CD15">
        <v>3030082</v>
      </c>
      <c r="CE15">
        <v>2846963</v>
      </c>
      <c r="CF15">
        <v>2690952</v>
      </c>
      <c r="CG15">
        <v>2553099</v>
      </c>
      <c r="CH15">
        <v>2400304</v>
      </c>
      <c r="CI15">
        <v>2288837</v>
      </c>
      <c r="CJ15">
        <v>2287372</v>
      </c>
      <c r="CK15">
        <v>1618419</v>
      </c>
      <c r="CL15">
        <v>1514499</v>
      </c>
      <c r="CM15">
        <v>1389382</v>
      </c>
      <c r="CN15">
        <v>1327464</v>
      </c>
      <c r="CO15">
        <v>1075337</v>
      </c>
      <c r="CP15">
        <v>904323</v>
      </c>
      <c r="CQ15">
        <v>779159</v>
      </c>
      <c r="CR15">
        <v>660253</v>
      </c>
      <c r="CS15">
        <v>563222</v>
      </c>
      <c r="CT15">
        <v>456742</v>
      </c>
      <c r="CU15">
        <v>378411</v>
      </c>
      <c r="CV15">
        <v>310285</v>
      </c>
      <c r="CW15">
        <v>234462</v>
      </c>
      <c r="CX15">
        <v>187885</v>
      </c>
      <c r="CY15">
        <v>145895</v>
      </c>
      <c r="CZ15">
        <v>110914</v>
      </c>
      <c r="DA15">
        <v>83296</v>
      </c>
      <c r="DB15">
        <v>134823</v>
      </c>
    </row>
    <row r="16" spans="1:106">
      <c r="A16">
        <v>0</v>
      </c>
      <c r="B16">
        <v>0</v>
      </c>
      <c r="C16">
        <v>0</v>
      </c>
      <c r="D16">
        <v>2030</v>
      </c>
      <c r="E16">
        <v>355100730</v>
      </c>
      <c r="F16">
        <v>4166587</v>
      </c>
      <c r="G16">
        <v>4183242</v>
      </c>
      <c r="H16">
        <v>4198230</v>
      </c>
      <c r="I16">
        <v>4209626</v>
      </c>
      <c r="J16">
        <v>4217936</v>
      </c>
      <c r="K16">
        <v>4224535</v>
      </c>
      <c r="L16">
        <v>4230133</v>
      </c>
      <c r="M16">
        <v>4234407</v>
      </c>
      <c r="N16">
        <v>4236850</v>
      </c>
      <c r="O16">
        <v>4236872</v>
      </c>
      <c r="P16">
        <v>4233942</v>
      </c>
      <c r="Q16">
        <v>4227563</v>
      </c>
      <c r="R16">
        <v>4218411</v>
      </c>
      <c r="S16">
        <v>4208208</v>
      </c>
      <c r="T16">
        <v>4130876</v>
      </c>
      <c r="U16">
        <v>4159781</v>
      </c>
      <c r="V16">
        <v>4164974</v>
      </c>
      <c r="W16">
        <v>4169731</v>
      </c>
      <c r="X16">
        <v>4197143</v>
      </c>
      <c r="Y16">
        <v>4268456</v>
      </c>
      <c r="Z16">
        <v>4294345</v>
      </c>
      <c r="AA16">
        <v>4324600</v>
      </c>
      <c r="AB16">
        <v>4480917</v>
      </c>
      <c r="AC16">
        <v>4527260</v>
      </c>
      <c r="AD16">
        <v>4519009</v>
      </c>
      <c r="AE16">
        <v>4530848</v>
      </c>
      <c r="AF16">
        <v>4561994</v>
      </c>
      <c r="AG16">
        <v>4552028</v>
      </c>
      <c r="AH16">
        <v>4552740</v>
      </c>
      <c r="AI16">
        <v>4664975</v>
      </c>
      <c r="AJ16">
        <v>4736585</v>
      </c>
      <c r="AK16">
        <v>4676053</v>
      </c>
      <c r="AL16">
        <v>4677415</v>
      </c>
      <c r="AM16">
        <v>4684029</v>
      </c>
      <c r="AN16">
        <v>4705475</v>
      </c>
      <c r="AO16">
        <v>4780172</v>
      </c>
      <c r="AP16">
        <v>4846934</v>
      </c>
      <c r="AQ16">
        <v>4888747</v>
      </c>
      <c r="AR16">
        <v>4978948</v>
      </c>
      <c r="AS16">
        <v>5032469</v>
      </c>
      <c r="AT16">
        <v>4992091</v>
      </c>
      <c r="AU16">
        <v>4780826</v>
      </c>
      <c r="AV16">
        <v>4646486</v>
      </c>
      <c r="AW16">
        <v>4545189</v>
      </c>
      <c r="AX16">
        <v>4536148</v>
      </c>
      <c r="AY16">
        <v>4542217</v>
      </c>
      <c r="AZ16">
        <v>4382409</v>
      </c>
      <c r="BA16">
        <v>4420280</v>
      </c>
      <c r="BB16">
        <v>4393096</v>
      </c>
      <c r="BC16">
        <v>4322633</v>
      </c>
      <c r="BD16">
        <v>4376265</v>
      </c>
      <c r="BE16">
        <v>4094877</v>
      </c>
      <c r="BF16">
        <v>3994451</v>
      </c>
      <c r="BG16">
        <v>3932175</v>
      </c>
      <c r="BH16">
        <v>3799401</v>
      </c>
      <c r="BI16">
        <v>3891139</v>
      </c>
      <c r="BJ16">
        <v>3754345</v>
      </c>
      <c r="BK16">
        <v>3790746</v>
      </c>
      <c r="BL16">
        <v>3936521</v>
      </c>
      <c r="BM16">
        <v>4133706</v>
      </c>
      <c r="BN16">
        <v>4160120</v>
      </c>
      <c r="BO16">
        <v>3928132</v>
      </c>
      <c r="BP16">
        <v>3824744</v>
      </c>
      <c r="BQ16">
        <v>3805540</v>
      </c>
      <c r="BR16">
        <v>3846577</v>
      </c>
      <c r="BS16">
        <v>4040435</v>
      </c>
      <c r="BT16">
        <v>4078713</v>
      </c>
      <c r="BU16">
        <v>4038792</v>
      </c>
      <c r="BV16">
        <v>3991306</v>
      </c>
      <c r="BW16">
        <v>3995021</v>
      </c>
      <c r="BX16">
        <v>3977793</v>
      </c>
      <c r="BY16">
        <v>3796308</v>
      </c>
      <c r="BZ16">
        <v>3719139</v>
      </c>
      <c r="CA16">
        <v>3619126</v>
      </c>
      <c r="CB16">
        <v>3429723</v>
      </c>
      <c r="CC16">
        <v>3334976</v>
      </c>
      <c r="CD16">
        <v>3132560</v>
      </c>
      <c r="CE16">
        <v>2944652</v>
      </c>
      <c r="CF16">
        <v>2758077</v>
      </c>
      <c r="CG16">
        <v>2597651</v>
      </c>
      <c r="CH16">
        <v>2454092</v>
      </c>
      <c r="CI16">
        <v>2295996</v>
      </c>
      <c r="CJ16">
        <v>2177466</v>
      </c>
      <c r="CK16">
        <v>2162382</v>
      </c>
      <c r="CL16">
        <v>1519503</v>
      </c>
      <c r="CM16">
        <v>1410730</v>
      </c>
      <c r="CN16">
        <v>1283556</v>
      </c>
      <c r="CO16">
        <v>1215280</v>
      </c>
      <c r="CP16">
        <v>974770</v>
      </c>
      <c r="CQ16">
        <v>810869</v>
      </c>
      <c r="CR16">
        <v>690191</v>
      </c>
      <c r="CS16">
        <v>577076</v>
      </c>
      <c r="CT16">
        <v>485154</v>
      </c>
      <c r="CU16">
        <v>387244</v>
      </c>
      <c r="CV16">
        <v>315361</v>
      </c>
      <c r="CW16">
        <v>253831</v>
      </c>
      <c r="CX16">
        <v>187983</v>
      </c>
      <c r="CY16">
        <v>147425</v>
      </c>
      <c r="CZ16">
        <v>111861</v>
      </c>
      <c r="DA16">
        <v>82975</v>
      </c>
      <c r="DB16">
        <v>139553</v>
      </c>
    </row>
    <row r="17" spans="1:106">
      <c r="A17">
        <v>0</v>
      </c>
      <c r="B17">
        <v>0</v>
      </c>
      <c r="C17">
        <v>0</v>
      </c>
      <c r="D17">
        <v>2031</v>
      </c>
      <c r="E17">
        <v>357147329</v>
      </c>
      <c r="F17">
        <v>4166093</v>
      </c>
      <c r="G17">
        <v>4183089</v>
      </c>
      <c r="H17">
        <v>4198816</v>
      </c>
      <c r="I17">
        <v>4211447</v>
      </c>
      <c r="J17">
        <v>4221219</v>
      </c>
      <c r="K17">
        <v>4228875</v>
      </c>
      <c r="L17">
        <v>4235542</v>
      </c>
      <c r="M17">
        <v>4241541</v>
      </c>
      <c r="N17">
        <v>4246410</v>
      </c>
      <c r="O17">
        <v>4249290</v>
      </c>
      <c r="P17">
        <v>4249241</v>
      </c>
      <c r="Q17">
        <v>4246074</v>
      </c>
      <c r="R17">
        <v>4239488</v>
      </c>
      <c r="S17">
        <v>4230757</v>
      </c>
      <c r="T17">
        <v>4221909</v>
      </c>
      <c r="U17">
        <v>4147422</v>
      </c>
      <c r="V17">
        <v>4180966</v>
      </c>
      <c r="W17">
        <v>4191902</v>
      </c>
      <c r="X17">
        <v>4202724</v>
      </c>
      <c r="Y17">
        <v>4234919</v>
      </c>
      <c r="Z17">
        <v>4309240</v>
      </c>
      <c r="AA17">
        <v>4336623</v>
      </c>
      <c r="AB17">
        <v>4367276</v>
      </c>
      <c r="AC17">
        <v>4523138</v>
      </c>
      <c r="AD17">
        <v>4568697</v>
      </c>
      <c r="AE17">
        <v>4559261</v>
      </c>
      <c r="AF17">
        <v>4569473</v>
      </c>
      <c r="AG17">
        <v>4598565</v>
      </c>
      <c r="AH17">
        <v>4586457</v>
      </c>
      <c r="AI17">
        <v>4584572</v>
      </c>
      <c r="AJ17">
        <v>4693910</v>
      </c>
      <c r="AK17">
        <v>4762117</v>
      </c>
      <c r="AL17">
        <v>4698566</v>
      </c>
      <c r="AM17">
        <v>4697227</v>
      </c>
      <c r="AN17">
        <v>4701899</v>
      </c>
      <c r="AO17">
        <v>4721609</v>
      </c>
      <c r="AP17">
        <v>4794402</v>
      </c>
      <c r="AQ17">
        <v>4859249</v>
      </c>
      <c r="AR17">
        <v>4899452</v>
      </c>
      <c r="AS17">
        <v>4987922</v>
      </c>
      <c r="AT17">
        <v>5039667</v>
      </c>
      <c r="AU17">
        <v>4997486</v>
      </c>
      <c r="AV17">
        <v>4785126</v>
      </c>
      <c r="AW17">
        <v>4649776</v>
      </c>
      <c r="AX17">
        <v>4547710</v>
      </c>
      <c r="AY17">
        <v>4537420</v>
      </c>
      <c r="AZ17">
        <v>4541664</v>
      </c>
      <c r="BA17">
        <v>4379949</v>
      </c>
      <c r="BB17">
        <v>4415066</v>
      </c>
      <c r="BC17">
        <v>4385528</v>
      </c>
      <c r="BD17">
        <v>4313333</v>
      </c>
      <c r="BE17">
        <v>4364914</v>
      </c>
      <c r="BF17">
        <v>4083729</v>
      </c>
      <c r="BG17">
        <v>3982978</v>
      </c>
      <c r="BH17">
        <v>3920365</v>
      </c>
      <c r="BI17">
        <v>3787602</v>
      </c>
      <c r="BJ17">
        <v>3878044</v>
      </c>
      <c r="BK17">
        <v>3741087</v>
      </c>
      <c r="BL17">
        <v>3776044</v>
      </c>
      <c r="BM17">
        <v>3919477</v>
      </c>
      <c r="BN17">
        <v>4113513</v>
      </c>
      <c r="BO17">
        <v>4137230</v>
      </c>
      <c r="BP17">
        <v>3904101</v>
      </c>
      <c r="BQ17">
        <v>3798282</v>
      </c>
      <c r="BR17">
        <v>3776069</v>
      </c>
      <c r="BS17">
        <v>3813198</v>
      </c>
      <c r="BT17">
        <v>4001285</v>
      </c>
      <c r="BU17">
        <v>4035283</v>
      </c>
      <c r="BV17">
        <v>3991770</v>
      </c>
      <c r="BW17">
        <v>3940447</v>
      </c>
      <c r="BX17">
        <v>3939062</v>
      </c>
      <c r="BY17">
        <v>3916189</v>
      </c>
      <c r="BZ17">
        <v>3731477</v>
      </c>
      <c r="CA17">
        <v>3648949</v>
      </c>
      <c r="CB17">
        <v>3543758</v>
      </c>
      <c r="CC17">
        <v>3351041</v>
      </c>
      <c r="CD17">
        <v>3250554</v>
      </c>
      <c r="CE17">
        <v>3045037</v>
      </c>
      <c r="CF17">
        <v>2853575</v>
      </c>
      <c r="CG17">
        <v>2663311</v>
      </c>
      <c r="CH17">
        <v>2497768</v>
      </c>
      <c r="CI17">
        <v>2348305</v>
      </c>
      <c r="CJ17">
        <v>2185178</v>
      </c>
      <c r="CK17">
        <v>2059479</v>
      </c>
      <c r="CL17">
        <v>2030789</v>
      </c>
      <c r="CM17">
        <v>1416125</v>
      </c>
      <c r="CN17">
        <v>1303999</v>
      </c>
      <c r="CO17">
        <v>1175849</v>
      </c>
      <c r="CP17">
        <v>1102329</v>
      </c>
      <c r="CQ17">
        <v>874615</v>
      </c>
      <c r="CR17">
        <v>718883</v>
      </c>
      <c r="CS17">
        <v>603827</v>
      </c>
      <c r="CT17">
        <v>497552</v>
      </c>
      <c r="CU17">
        <v>411759</v>
      </c>
      <c r="CV17">
        <v>323092</v>
      </c>
      <c r="CW17">
        <v>258289</v>
      </c>
      <c r="CX17">
        <v>203793</v>
      </c>
      <c r="CY17">
        <v>147719</v>
      </c>
      <c r="CZ17">
        <v>113219</v>
      </c>
      <c r="DA17">
        <v>83827</v>
      </c>
      <c r="DB17">
        <v>142458</v>
      </c>
    </row>
    <row r="18" spans="1:106">
      <c r="A18">
        <v>0</v>
      </c>
      <c r="B18">
        <v>0</v>
      </c>
      <c r="C18">
        <v>0</v>
      </c>
      <c r="D18">
        <v>2032</v>
      </c>
      <c r="E18">
        <v>359146709</v>
      </c>
      <c r="F18">
        <v>4165925</v>
      </c>
      <c r="G18">
        <v>4182768</v>
      </c>
      <c r="H18">
        <v>4198786</v>
      </c>
      <c r="I18">
        <v>4212142</v>
      </c>
      <c r="J18">
        <v>4223135</v>
      </c>
      <c r="K18">
        <v>4232244</v>
      </c>
      <c r="L18">
        <v>4239954</v>
      </c>
      <c r="M18">
        <v>4247023</v>
      </c>
      <c r="N18">
        <v>4253622</v>
      </c>
      <c r="O18">
        <v>4258926</v>
      </c>
      <c r="P18">
        <v>4261731</v>
      </c>
      <c r="Q18">
        <v>4261446</v>
      </c>
      <c r="R18">
        <v>4258071</v>
      </c>
      <c r="S18">
        <v>4251909</v>
      </c>
      <c r="T18">
        <v>4244545</v>
      </c>
      <c r="U18">
        <v>4238697</v>
      </c>
      <c r="V18">
        <v>4168713</v>
      </c>
      <c r="W18">
        <v>4208030</v>
      </c>
      <c r="X18">
        <v>4225101</v>
      </c>
      <c r="Y18">
        <v>4240764</v>
      </c>
      <c r="Z18">
        <v>4276064</v>
      </c>
      <c r="AA18">
        <v>4351897</v>
      </c>
      <c r="AB18">
        <v>4379692</v>
      </c>
      <c r="AC18">
        <v>4410029</v>
      </c>
      <c r="AD18">
        <v>4564999</v>
      </c>
      <c r="AE18">
        <v>4609319</v>
      </c>
      <c r="AF18">
        <v>4598278</v>
      </c>
      <c r="AG18">
        <v>4606443</v>
      </c>
      <c r="AH18">
        <v>4633348</v>
      </c>
      <c r="AI18">
        <v>4618629</v>
      </c>
      <c r="AJ18">
        <v>4613944</v>
      </c>
      <c r="AK18">
        <v>4719809</v>
      </c>
      <c r="AL18">
        <v>4784809</v>
      </c>
      <c r="AM18">
        <v>4718609</v>
      </c>
      <c r="AN18">
        <v>4715317</v>
      </c>
      <c r="AO18">
        <v>4718274</v>
      </c>
      <c r="AP18">
        <v>4736173</v>
      </c>
      <c r="AQ18">
        <v>4807056</v>
      </c>
      <c r="AR18">
        <v>4870267</v>
      </c>
      <c r="AS18">
        <v>4908862</v>
      </c>
      <c r="AT18">
        <v>4995452</v>
      </c>
      <c r="AU18">
        <v>5045250</v>
      </c>
      <c r="AV18">
        <v>5001605</v>
      </c>
      <c r="AW18">
        <v>4788402</v>
      </c>
      <c r="AX18">
        <v>4652333</v>
      </c>
      <c r="AY18">
        <v>4549251</v>
      </c>
      <c r="AZ18">
        <v>4537195</v>
      </c>
      <c r="BA18">
        <v>4539050</v>
      </c>
      <c r="BB18">
        <v>4375226</v>
      </c>
      <c r="BC18">
        <v>4407803</v>
      </c>
      <c r="BD18">
        <v>4376306</v>
      </c>
      <c r="BE18">
        <v>4302744</v>
      </c>
      <c r="BF18">
        <v>4352844</v>
      </c>
      <c r="BG18">
        <v>4072240</v>
      </c>
      <c r="BH18">
        <v>3971319</v>
      </c>
      <c r="BI18">
        <v>3908368</v>
      </c>
      <c r="BJ18">
        <v>3775456</v>
      </c>
      <c r="BK18">
        <v>3864480</v>
      </c>
      <c r="BL18">
        <v>3727106</v>
      </c>
      <c r="BM18">
        <v>3760429</v>
      </c>
      <c r="BN18">
        <v>3901152</v>
      </c>
      <c r="BO18">
        <v>4091508</v>
      </c>
      <c r="BP18">
        <v>4112027</v>
      </c>
      <c r="BQ18">
        <v>3877521</v>
      </c>
      <c r="BR18">
        <v>3769307</v>
      </c>
      <c r="BS18">
        <v>3743992</v>
      </c>
      <c r="BT18">
        <v>3777059</v>
      </c>
      <c r="BU18">
        <v>3959291</v>
      </c>
      <c r="BV18">
        <v>3988935</v>
      </c>
      <c r="BW18">
        <v>3941569</v>
      </c>
      <c r="BX18">
        <v>3886020</v>
      </c>
      <c r="BY18">
        <v>3878983</v>
      </c>
      <c r="BZ18">
        <v>3849961</v>
      </c>
      <c r="CA18">
        <v>3661821</v>
      </c>
      <c r="CB18">
        <v>3573783</v>
      </c>
      <c r="CC18">
        <v>3463239</v>
      </c>
      <c r="CD18">
        <v>3267076</v>
      </c>
      <c r="CE18">
        <v>3160529</v>
      </c>
      <c r="CF18">
        <v>2951694</v>
      </c>
      <c r="CG18">
        <v>2756420</v>
      </c>
      <c r="CH18">
        <v>2561752</v>
      </c>
      <c r="CI18">
        <v>2390956</v>
      </c>
      <c r="CJ18">
        <v>2235832</v>
      </c>
      <c r="CK18">
        <v>2067691</v>
      </c>
      <c r="CL18">
        <v>1935139</v>
      </c>
      <c r="CM18">
        <v>1893325</v>
      </c>
      <c r="CN18">
        <v>1309728</v>
      </c>
      <c r="CO18">
        <v>1195307</v>
      </c>
      <c r="CP18">
        <v>1067322</v>
      </c>
      <c r="CQ18">
        <v>989761</v>
      </c>
      <c r="CR18">
        <v>775970</v>
      </c>
      <c r="CS18">
        <v>629497</v>
      </c>
      <c r="CT18">
        <v>521166</v>
      </c>
      <c r="CU18">
        <v>422712</v>
      </c>
      <c r="CV18">
        <v>343930</v>
      </c>
      <c r="CW18">
        <v>264943</v>
      </c>
      <c r="CX18">
        <v>207644</v>
      </c>
      <c r="CY18">
        <v>160375</v>
      </c>
      <c r="CZ18">
        <v>113617</v>
      </c>
      <c r="DA18">
        <v>84987</v>
      </c>
      <c r="DB18">
        <v>144959</v>
      </c>
    </row>
    <row r="19" spans="1:106">
      <c r="A19">
        <v>0</v>
      </c>
      <c r="B19">
        <v>0</v>
      </c>
      <c r="C19">
        <v>0</v>
      </c>
      <c r="D19">
        <v>2033</v>
      </c>
      <c r="E19">
        <v>361098559</v>
      </c>
      <c r="F19">
        <v>4166553</v>
      </c>
      <c r="G19">
        <v>4182766</v>
      </c>
      <c r="H19">
        <v>4198590</v>
      </c>
      <c r="I19">
        <v>4212219</v>
      </c>
      <c r="J19">
        <v>4223922</v>
      </c>
      <c r="K19">
        <v>4234235</v>
      </c>
      <c r="L19">
        <v>4243397</v>
      </c>
      <c r="M19">
        <v>4251510</v>
      </c>
      <c r="N19">
        <v>4259176</v>
      </c>
      <c r="O19">
        <v>4266209</v>
      </c>
      <c r="P19">
        <v>4271439</v>
      </c>
      <c r="Q19">
        <v>4274004</v>
      </c>
      <c r="R19">
        <v>4273513</v>
      </c>
      <c r="S19">
        <v>4270566</v>
      </c>
      <c r="T19">
        <v>4265783</v>
      </c>
      <c r="U19">
        <v>4261437</v>
      </c>
      <c r="V19">
        <v>4260310</v>
      </c>
      <c r="W19">
        <v>4195911</v>
      </c>
      <c r="X19">
        <v>4241397</v>
      </c>
      <c r="Y19">
        <v>4263380</v>
      </c>
      <c r="Z19">
        <v>4282191</v>
      </c>
      <c r="AA19">
        <v>4319098</v>
      </c>
      <c r="AB19">
        <v>4395341</v>
      </c>
      <c r="AC19">
        <v>4422831</v>
      </c>
      <c r="AD19">
        <v>4452397</v>
      </c>
      <c r="AE19">
        <v>4606027</v>
      </c>
      <c r="AF19">
        <v>4648688</v>
      </c>
      <c r="AG19">
        <v>4635622</v>
      </c>
      <c r="AH19">
        <v>4641597</v>
      </c>
      <c r="AI19">
        <v>4665844</v>
      </c>
      <c r="AJ19">
        <v>4648311</v>
      </c>
      <c r="AK19">
        <v>4640255</v>
      </c>
      <c r="AL19">
        <v>4742836</v>
      </c>
      <c r="AM19">
        <v>4805008</v>
      </c>
      <c r="AN19">
        <v>4736915</v>
      </c>
      <c r="AO19">
        <v>4731904</v>
      </c>
      <c r="AP19">
        <v>4733069</v>
      </c>
      <c r="AQ19">
        <v>4749151</v>
      </c>
      <c r="AR19">
        <v>4818413</v>
      </c>
      <c r="AS19">
        <v>4879983</v>
      </c>
      <c r="AT19">
        <v>4916812</v>
      </c>
      <c r="AU19">
        <v>5001364</v>
      </c>
      <c r="AV19">
        <v>5049546</v>
      </c>
      <c r="AW19">
        <v>5004692</v>
      </c>
      <c r="AX19">
        <v>4790920</v>
      </c>
      <c r="AY19">
        <v>4653896</v>
      </c>
      <c r="AZ19">
        <v>4549292</v>
      </c>
      <c r="BA19">
        <v>4534924</v>
      </c>
      <c r="BB19">
        <v>4534147</v>
      </c>
      <c r="BC19">
        <v>4368473</v>
      </c>
      <c r="BD19">
        <v>4398894</v>
      </c>
      <c r="BE19">
        <v>4365796</v>
      </c>
      <c r="BF19">
        <v>4291436</v>
      </c>
      <c r="BG19">
        <v>4340429</v>
      </c>
      <c r="BH19">
        <v>4060554</v>
      </c>
      <c r="BI19">
        <v>3959470</v>
      </c>
      <c r="BJ19">
        <v>3896012</v>
      </c>
      <c r="BK19">
        <v>3762870</v>
      </c>
      <c r="BL19">
        <v>3850181</v>
      </c>
      <c r="BM19">
        <v>3712234</v>
      </c>
      <c r="BN19">
        <v>3743591</v>
      </c>
      <c r="BO19">
        <v>3881083</v>
      </c>
      <c r="BP19">
        <v>4067208</v>
      </c>
      <c r="BQ19">
        <v>4084164</v>
      </c>
      <c r="BR19">
        <v>3848383</v>
      </c>
      <c r="BS19">
        <v>3737727</v>
      </c>
      <c r="BT19">
        <v>3709195</v>
      </c>
      <c r="BU19">
        <v>3738226</v>
      </c>
      <c r="BV19">
        <v>3914459</v>
      </c>
      <c r="BW19">
        <v>3939425</v>
      </c>
      <c r="BX19">
        <v>3887815</v>
      </c>
      <c r="BY19">
        <v>3827528</v>
      </c>
      <c r="BZ19">
        <v>3814318</v>
      </c>
      <c r="CA19">
        <v>3778774</v>
      </c>
      <c r="CB19">
        <v>3587164</v>
      </c>
      <c r="CC19">
        <v>3493428</v>
      </c>
      <c r="CD19">
        <v>3377273</v>
      </c>
      <c r="CE19">
        <v>3177483</v>
      </c>
      <c r="CF19">
        <v>3064475</v>
      </c>
      <c r="CG19">
        <v>2852065</v>
      </c>
      <c r="CH19">
        <v>2652200</v>
      </c>
      <c r="CI19">
        <v>2453037</v>
      </c>
      <c r="CJ19">
        <v>2277333</v>
      </c>
      <c r="CK19">
        <v>2116515</v>
      </c>
      <c r="CL19">
        <v>1943784</v>
      </c>
      <c r="CM19">
        <v>1805119</v>
      </c>
      <c r="CN19">
        <v>1751833</v>
      </c>
      <c r="CO19">
        <v>1201305</v>
      </c>
      <c r="CP19">
        <v>1085711</v>
      </c>
      <c r="CQ19">
        <v>959071</v>
      </c>
      <c r="CR19">
        <v>878800</v>
      </c>
      <c r="CS19">
        <v>680043</v>
      </c>
      <c r="CT19">
        <v>543860</v>
      </c>
      <c r="CU19">
        <v>443276</v>
      </c>
      <c r="CV19">
        <v>353462</v>
      </c>
      <c r="CW19">
        <v>282376</v>
      </c>
      <c r="CX19">
        <v>213272</v>
      </c>
      <c r="CY19">
        <v>163632</v>
      </c>
      <c r="CZ19">
        <v>123543</v>
      </c>
      <c r="DA19">
        <v>85423</v>
      </c>
      <c r="DB19">
        <v>147440</v>
      </c>
    </row>
    <row r="20" spans="1:106">
      <c r="A20">
        <v>0</v>
      </c>
      <c r="B20">
        <v>0</v>
      </c>
      <c r="C20">
        <v>0</v>
      </c>
      <c r="D20">
        <v>2034</v>
      </c>
      <c r="E20">
        <v>363003410</v>
      </c>
      <c r="F20">
        <v>4168367</v>
      </c>
      <c r="G20">
        <v>4183560</v>
      </c>
      <c r="H20">
        <v>4198709</v>
      </c>
      <c r="I20">
        <v>4212127</v>
      </c>
      <c r="J20">
        <v>4224089</v>
      </c>
      <c r="K20">
        <v>4235104</v>
      </c>
      <c r="L20">
        <v>4245464</v>
      </c>
      <c r="M20">
        <v>4255027</v>
      </c>
      <c r="N20">
        <v>4263734</v>
      </c>
      <c r="O20">
        <v>4271833</v>
      </c>
      <c r="P20">
        <v>4278790</v>
      </c>
      <c r="Q20">
        <v>4283778</v>
      </c>
      <c r="R20">
        <v>4286139</v>
      </c>
      <c r="S20">
        <v>4286080</v>
      </c>
      <c r="T20">
        <v>4284524</v>
      </c>
      <c r="U20">
        <v>4282782</v>
      </c>
      <c r="V20">
        <v>4283185</v>
      </c>
      <c r="W20">
        <v>4287923</v>
      </c>
      <c r="X20">
        <v>4229440</v>
      </c>
      <c r="Y20">
        <v>4279864</v>
      </c>
      <c r="Z20">
        <v>4305064</v>
      </c>
      <c r="AA20">
        <v>4325523</v>
      </c>
      <c r="AB20">
        <v>4362928</v>
      </c>
      <c r="AC20">
        <v>4438855</v>
      </c>
      <c r="AD20">
        <v>4465574</v>
      </c>
      <c r="AE20">
        <v>4493905</v>
      </c>
      <c r="AF20">
        <v>4645776</v>
      </c>
      <c r="AG20">
        <v>4686359</v>
      </c>
      <c r="AH20">
        <v>4671117</v>
      </c>
      <c r="AI20">
        <v>4674432</v>
      </c>
      <c r="AJ20">
        <v>4695817</v>
      </c>
      <c r="AK20">
        <v>4674898</v>
      </c>
      <c r="AL20">
        <v>4663659</v>
      </c>
      <c r="AM20">
        <v>4763349</v>
      </c>
      <c r="AN20">
        <v>4823451</v>
      </c>
      <c r="AO20">
        <v>4753699</v>
      </c>
      <c r="AP20">
        <v>4746899</v>
      </c>
      <c r="AQ20">
        <v>4746274</v>
      </c>
      <c r="AR20">
        <v>4760826</v>
      </c>
      <c r="AS20">
        <v>4828458</v>
      </c>
      <c r="AT20">
        <v>4888230</v>
      </c>
      <c r="AU20">
        <v>4923135</v>
      </c>
      <c r="AV20">
        <v>5005980</v>
      </c>
      <c r="AW20">
        <v>5052797</v>
      </c>
      <c r="AX20">
        <v>5007005</v>
      </c>
      <c r="AY20">
        <v>4792420</v>
      </c>
      <c r="AZ20">
        <v>4653944</v>
      </c>
      <c r="BA20">
        <v>4547289</v>
      </c>
      <c r="BB20">
        <v>4530373</v>
      </c>
      <c r="BC20">
        <v>4527187</v>
      </c>
      <c r="BD20">
        <v>4360098</v>
      </c>
      <c r="BE20">
        <v>4388702</v>
      </c>
      <c r="BF20">
        <v>4354574</v>
      </c>
      <c r="BG20">
        <v>4279789</v>
      </c>
      <c r="BH20">
        <v>4327815</v>
      </c>
      <c r="BI20">
        <v>4048670</v>
      </c>
      <c r="BJ20">
        <v>3947255</v>
      </c>
      <c r="BK20">
        <v>3883203</v>
      </c>
      <c r="BL20">
        <v>3749576</v>
      </c>
      <c r="BM20">
        <v>3834979</v>
      </c>
      <c r="BN20">
        <v>3696162</v>
      </c>
      <c r="BO20">
        <v>3725067</v>
      </c>
      <c r="BP20">
        <v>3858799</v>
      </c>
      <c r="BQ20">
        <v>4040260</v>
      </c>
      <c r="BR20">
        <v>4053619</v>
      </c>
      <c r="BS20">
        <v>3816593</v>
      </c>
      <c r="BT20">
        <v>3703434</v>
      </c>
      <c r="BU20">
        <v>3671752</v>
      </c>
      <c r="BV20">
        <v>3696711</v>
      </c>
      <c r="BW20">
        <v>3866539</v>
      </c>
      <c r="BX20">
        <v>3886383</v>
      </c>
      <c r="BY20">
        <v>3830012</v>
      </c>
      <c r="BZ20">
        <v>3764513</v>
      </c>
      <c r="CA20">
        <v>3744725</v>
      </c>
      <c r="CB20">
        <v>3702433</v>
      </c>
      <c r="CC20">
        <v>3507312</v>
      </c>
      <c r="CD20">
        <v>3407593</v>
      </c>
      <c r="CE20">
        <v>3285493</v>
      </c>
      <c r="CF20">
        <v>3081830</v>
      </c>
      <c r="CG20">
        <v>2961899</v>
      </c>
      <c r="CH20">
        <v>2745086</v>
      </c>
      <c r="CI20">
        <v>2540530</v>
      </c>
      <c r="CJ20">
        <v>2337318</v>
      </c>
      <c r="CK20">
        <v>2156733</v>
      </c>
      <c r="CL20">
        <v>1990585</v>
      </c>
      <c r="CM20">
        <v>1814121</v>
      </c>
      <c r="CN20">
        <v>1671205</v>
      </c>
      <c r="CO20">
        <v>1607595</v>
      </c>
      <c r="CP20">
        <v>1091896</v>
      </c>
      <c r="CQ20">
        <v>976310</v>
      </c>
      <c r="CR20">
        <v>852270</v>
      </c>
      <c r="CS20">
        <v>770811</v>
      </c>
      <c r="CT20">
        <v>588055</v>
      </c>
      <c r="CU20">
        <v>463076</v>
      </c>
      <c r="CV20">
        <v>371124</v>
      </c>
      <c r="CW20">
        <v>290549</v>
      </c>
      <c r="CX20">
        <v>227604</v>
      </c>
      <c r="CY20">
        <v>168303</v>
      </c>
      <c r="CZ20">
        <v>126237</v>
      </c>
      <c r="DA20">
        <v>93039</v>
      </c>
      <c r="DB20">
        <v>149431</v>
      </c>
    </row>
    <row r="21" spans="1:106">
      <c r="A21">
        <v>0</v>
      </c>
      <c r="B21">
        <v>0</v>
      </c>
      <c r="C21">
        <v>0</v>
      </c>
      <c r="D21">
        <v>2035</v>
      </c>
      <c r="E21">
        <v>364862145</v>
      </c>
      <c r="F21">
        <v>4171492</v>
      </c>
      <c r="G21">
        <v>4185536</v>
      </c>
      <c r="H21">
        <v>4199626</v>
      </c>
      <c r="I21">
        <v>4212350</v>
      </c>
      <c r="J21">
        <v>4224085</v>
      </c>
      <c r="K21">
        <v>4235348</v>
      </c>
      <c r="L21">
        <v>4246406</v>
      </c>
      <c r="M21">
        <v>4257162</v>
      </c>
      <c r="N21">
        <v>4267323</v>
      </c>
      <c r="O21">
        <v>4276460</v>
      </c>
      <c r="P21">
        <v>4284484</v>
      </c>
      <c r="Q21">
        <v>4291197</v>
      </c>
      <c r="R21">
        <v>4295979</v>
      </c>
      <c r="S21">
        <v>4298775</v>
      </c>
      <c r="T21">
        <v>4300118</v>
      </c>
      <c r="U21">
        <v>4301624</v>
      </c>
      <c r="V21">
        <v>4304660</v>
      </c>
      <c r="W21">
        <v>4310964</v>
      </c>
      <c r="X21">
        <v>4321942</v>
      </c>
      <c r="Y21">
        <v>4268095</v>
      </c>
      <c r="Z21">
        <v>4321760</v>
      </c>
      <c r="AA21">
        <v>4348666</v>
      </c>
      <c r="AB21">
        <v>4369666</v>
      </c>
      <c r="AC21">
        <v>4406824</v>
      </c>
      <c r="AD21">
        <v>4481960</v>
      </c>
      <c r="AE21">
        <v>4507445</v>
      </c>
      <c r="AF21">
        <v>4534117</v>
      </c>
      <c r="AG21">
        <v>4683805</v>
      </c>
      <c r="AH21">
        <v>4722159</v>
      </c>
      <c r="AI21">
        <v>4704263</v>
      </c>
      <c r="AJ21">
        <v>4704715</v>
      </c>
      <c r="AK21">
        <v>4722667</v>
      </c>
      <c r="AL21">
        <v>4698550</v>
      </c>
      <c r="AM21">
        <v>4684527</v>
      </c>
      <c r="AN21">
        <v>4782088</v>
      </c>
      <c r="AO21">
        <v>4840362</v>
      </c>
      <c r="AP21">
        <v>4768880</v>
      </c>
      <c r="AQ21">
        <v>4760290</v>
      </c>
      <c r="AR21">
        <v>4758161</v>
      </c>
      <c r="AS21">
        <v>4771189</v>
      </c>
      <c r="AT21">
        <v>4837033</v>
      </c>
      <c r="AU21">
        <v>4894839</v>
      </c>
      <c r="AV21">
        <v>4928146</v>
      </c>
      <c r="AW21">
        <v>5009552</v>
      </c>
      <c r="AX21">
        <v>5055274</v>
      </c>
      <c r="AY21">
        <v>5008285</v>
      </c>
      <c r="AZ21">
        <v>4792390</v>
      </c>
      <c r="BA21">
        <v>4651937</v>
      </c>
      <c r="BB21">
        <v>4543023</v>
      </c>
      <c r="BC21">
        <v>4523785</v>
      </c>
      <c r="BD21">
        <v>4518585</v>
      </c>
      <c r="BE21">
        <v>4350454</v>
      </c>
      <c r="BF21">
        <v>4377797</v>
      </c>
      <c r="BG21">
        <v>4343018</v>
      </c>
      <c r="BH21">
        <v>4267942</v>
      </c>
      <c r="BI21">
        <v>4314994</v>
      </c>
      <c r="BJ21">
        <v>4036407</v>
      </c>
      <c r="BK21">
        <v>3934576</v>
      </c>
      <c r="BL21">
        <v>3869662</v>
      </c>
      <c r="BM21">
        <v>3735415</v>
      </c>
      <c r="BN21">
        <v>3818549</v>
      </c>
      <c r="BO21">
        <v>3678422</v>
      </c>
      <c r="BP21">
        <v>3704382</v>
      </c>
      <c r="BQ21">
        <v>3833947</v>
      </c>
      <c r="BR21">
        <v>4010648</v>
      </c>
      <c r="BS21">
        <v>4020307</v>
      </c>
      <c r="BT21">
        <v>3782045</v>
      </c>
      <c r="BU21">
        <v>3666516</v>
      </c>
      <c r="BV21">
        <v>3631676</v>
      </c>
      <c r="BW21">
        <v>3652283</v>
      </c>
      <c r="BX21">
        <v>3815163</v>
      </c>
      <c r="BY21">
        <v>3829300</v>
      </c>
      <c r="BZ21">
        <v>3767690</v>
      </c>
      <c r="CA21">
        <v>3696628</v>
      </c>
      <c r="CB21">
        <v>3670029</v>
      </c>
      <c r="CC21">
        <v>3620757</v>
      </c>
      <c r="CD21">
        <v>3421972</v>
      </c>
      <c r="CE21">
        <v>3315897</v>
      </c>
      <c r="CF21">
        <v>3187454</v>
      </c>
      <c r="CG21">
        <v>2979612</v>
      </c>
      <c r="CH21">
        <v>2851657</v>
      </c>
      <c r="CI21">
        <v>2630360</v>
      </c>
      <c r="CJ21">
        <v>2421586</v>
      </c>
      <c r="CK21">
        <v>2214409</v>
      </c>
      <c r="CL21">
        <v>2029375</v>
      </c>
      <c r="CM21">
        <v>1858710</v>
      </c>
      <c r="CN21">
        <v>1680497</v>
      </c>
      <c r="CO21">
        <v>1534600</v>
      </c>
      <c r="CP21">
        <v>1461974</v>
      </c>
      <c r="CQ21">
        <v>982594</v>
      </c>
      <c r="CR21">
        <v>868280</v>
      </c>
      <c r="CS21">
        <v>748215</v>
      </c>
      <c r="CT21">
        <v>667162</v>
      </c>
      <c r="CU21">
        <v>501193</v>
      </c>
      <c r="CV21">
        <v>388146</v>
      </c>
      <c r="CW21">
        <v>305466</v>
      </c>
      <c r="CX21">
        <v>234485</v>
      </c>
      <c r="CY21">
        <v>179859</v>
      </c>
      <c r="CZ21">
        <v>130034</v>
      </c>
      <c r="DA21">
        <v>95218</v>
      </c>
      <c r="DB21">
        <v>156214</v>
      </c>
    </row>
    <row r="22" spans="1:106">
      <c r="A22">
        <v>0</v>
      </c>
      <c r="B22">
        <v>0</v>
      </c>
      <c r="C22">
        <v>0</v>
      </c>
      <c r="D22">
        <v>2036</v>
      </c>
      <c r="E22">
        <v>366676312</v>
      </c>
      <c r="F22">
        <v>4175979</v>
      </c>
      <c r="G22">
        <v>4188812</v>
      </c>
      <c r="H22">
        <v>4201714</v>
      </c>
      <c r="I22">
        <v>4213365</v>
      </c>
      <c r="J22">
        <v>4224391</v>
      </c>
      <c r="K22">
        <v>4235423</v>
      </c>
      <c r="L22">
        <v>4246720</v>
      </c>
      <c r="M22">
        <v>4258174</v>
      </c>
      <c r="N22">
        <v>4269529</v>
      </c>
      <c r="O22">
        <v>4280119</v>
      </c>
      <c r="P22">
        <v>4289172</v>
      </c>
      <c r="Q22">
        <v>4296953</v>
      </c>
      <c r="R22">
        <v>4303463</v>
      </c>
      <c r="S22">
        <v>4308682</v>
      </c>
      <c r="T22">
        <v>4312894</v>
      </c>
      <c r="U22">
        <v>4317317</v>
      </c>
      <c r="V22">
        <v>4323627</v>
      </c>
      <c r="W22">
        <v>4332599</v>
      </c>
      <c r="X22">
        <v>4345186</v>
      </c>
      <c r="Y22">
        <v>4361140</v>
      </c>
      <c r="Z22">
        <v>4310191</v>
      </c>
      <c r="AA22">
        <v>4365590</v>
      </c>
      <c r="AB22">
        <v>4393087</v>
      </c>
      <c r="AC22">
        <v>4413877</v>
      </c>
      <c r="AD22">
        <v>4450307</v>
      </c>
      <c r="AE22">
        <v>4524177</v>
      </c>
      <c r="AF22">
        <v>4548003</v>
      </c>
      <c r="AG22">
        <v>4572581</v>
      </c>
      <c r="AH22">
        <v>4719935</v>
      </c>
      <c r="AI22">
        <v>4755585</v>
      </c>
      <c r="AJ22">
        <v>4734826</v>
      </c>
      <c r="AK22">
        <v>4731844</v>
      </c>
      <c r="AL22">
        <v>4746549</v>
      </c>
      <c r="AM22">
        <v>4719640</v>
      </c>
      <c r="AN22">
        <v>4703599</v>
      </c>
      <c r="AO22">
        <v>4799279</v>
      </c>
      <c r="AP22">
        <v>4855658</v>
      </c>
      <c r="AQ22">
        <v>4782448</v>
      </c>
      <c r="AR22">
        <v>4772361</v>
      </c>
      <c r="AS22">
        <v>4768724</v>
      </c>
      <c r="AT22">
        <v>4780070</v>
      </c>
      <c r="AU22">
        <v>4843964</v>
      </c>
      <c r="AV22">
        <v>4900128</v>
      </c>
      <c r="AW22">
        <v>4932110</v>
      </c>
      <c r="AX22">
        <v>5012348</v>
      </c>
      <c r="AY22">
        <v>5056704</v>
      </c>
      <c r="AZ22">
        <v>5008002</v>
      </c>
      <c r="BA22">
        <v>4790280</v>
      </c>
      <c r="BB22">
        <v>4647656</v>
      </c>
      <c r="BC22">
        <v>4536736</v>
      </c>
      <c r="BD22">
        <v>4515570</v>
      </c>
      <c r="BE22">
        <v>4508706</v>
      </c>
      <c r="BF22">
        <v>4340108</v>
      </c>
      <c r="BG22">
        <v>4366555</v>
      </c>
      <c r="BH22">
        <v>4331261</v>
      </c>
      <c r="BI22">
        <v>4255884</v>
      </c>
      <c r="BJ22">
        <v>4301782</v>
      </c>
      <c r="BK22">
        <v>4023664</v>
      </c>
      <c r="BL22">
        <v>3921170</v>
      </c>
      <c r="BM22">
        <v>3855234</v>
      </c>
      <c r="BN22">
        <v>3720060</v>
      </c>
      <c r="BO22">
        <v>3800413</v>
      </c>
      <c r="BP22">
        <v>3658538</v>
      </c>
      <c r="BQ22">
        <v>3681186</v>
      </c>
      <c r="BR22">
        <v>3806529</v>
      </c>
      <c r="BS22">
        <v>3978296</v>
      </c>
      <c r="BT22">
        <v>3984132</v>
      </c>
      <c r="BU22">
        <v>3744838</v>
      </c>
      <c r="BV22">
        <v>3626992</v>
      </c>
      <c r="BW22">
        <v>3588748</v>
      </c>
      <c r="BX22">
        <v>3604585</v>
      </c>
      <c r="BY22">
        <v>3759815</v>
      </c>
      <c r="BZ22">
        <v>3767700</v>
      </c>
      <c r="CA22">
        <v>3700500</v>
      </c>
      <c r="CB22">
        <v>3623706</v>
      </c>
      <c r="CC22">
        <v>3590042</v>
      </c>
      <c r="CD22">
        <v>3533445</v>
      </c>
      <c r="CE22">
        <v>3330765</v>
      </c>
      <c r="CF22">
        <v>3217878</v>
      </c>
      <c r="CG22">
        <v>3082621</v>
      </c>
      <c r="CH22">
        <v>2869646</v>
      </c>
      <c r="CI22">
        <v>2733332</v>
      </c>
      <c r="CJ22">
        <v>2508101</v>
      </c>
      <c r="CK22">
        <v>2295169</v>
      </c>
      <c r="CL22">
        <v>2084542</v>
      </c>
      <c r="CM22">
        <v>1895929</v>
      </c>
      <c r="CN22">
        <v>1722735</v>
      </c>
      <c r="CO22">
        <v>1544095</v>
      </c>
      <c r="CP22">
        <v>1396579</v>
      </c>
      <c r="CQ22">
        <v>1316409</v>
      </c>
      <c r="CR22">
        <v>874564</v>
      </c>
      <c r="CS22">
        <v>762942</v>
      </c>
      <c r="CT22">
        <v>648242</v>
      </c>
      <c r="CU22">
        <v>569191</v>
      </c>
      <c r="CV22">
        <v>420538</v>
      </c>
      <c r="CW22">
        <v>319876</v>
      </c>
      <c r="CX22">
        <v>246873</v>
      </c>
      <c r="CY22">
        <v>185553</v>
      </c>
      <c r="CZ22">
        <v>139174</v>
      </c>
      <c r="DA22">
        <v>98240</v>
      </c>
      <c r="DB22">
        <v>162341</v>
      </c>
    </row>
    <row r="23" spans="1:106">
      <c r="A23">
        <v>0</v>
      </c>
      <c r="B23">
        <v>0</v>
      </c>
      <c r="C23">
        <v>0</v>
      </c>
      <c r="D23">
        <v>2037</v>
      </c>
      <c r="E23">
        <v>368447857</v>
      </c>
      <c r="F23">
        <v>4181715</v>
      </c>
      <c r="G23">
        <v>4193451</v>
      </c>
      <c r="H23">
        <v>4205104</v>
      </c>
      <c r="I23">
        <v>4215551</v>
      </c>
      <c r="J23">
        <v>4225489</v>
      </c>
      <c r="K23">
        <v>4235800</v>
      </c>
      <c r="L23">
        <v>4246861</v>
      </c>
      <c r="M23">
        <v>4258553</v>
      </c>
      <c r="N23">
        <v>4270606</v>
      </c>
      <c r="O23">
        <v>4282389</v>
      </c>
      <c r="P23">
        <v>4292896</v>
      </c>
      <c r="Q23">
        <v>4301705</v>
      </c>
      <c r="R23">
        <v>4309283</v>
      </c>
      <c r="S23">
        <v>4316235</v>
      </c>
      <c r="T23">
        <v>4322874</v>
      </c>
      <c r="U23">
        <v>4330186</v>
      </c>
      <c r="V23">
        <v>4339444</v>
      </c>
      <c r="W23">
        <v>4351729</v>
      </c>
      <c r="X23">
        <v>4367017</v>
      </c>
      <c r="Y23">
        <v>4384618</v>
      </c>
      <c r="Z23">
        <v>4403790</v>
      </c>
      <c r="AA23">
        <v>4354236</v>
      </c>
      <c r="AB23">
        <v>4410247</v>
      </c>
      <c r="AC23">
        <v>4437584</v>
      </c>
      <c r="AD23">
        <v>4457675</v>
      </c>
      <c r="AE23">
        <v>4492884</v>
      </c>
      <c r="AF23">
        <v>4565057</v>
      </c>
      <c r="AG23">
        <v>4586790</v>
      </c>
      <c r="AH23">
        <v>4609120</v>
      </c>
      <c r="AI23">
        <v>4753667</v>
      </c>
      <c r="AJ23">
        <v>4786400</v>
      </c>
      <c r="AK23">
        <v>4762215</v>
      </c>
      <c r="AL23">
        <v>4755985</v>
      </c>
      <c r="AM23">
        <v>4767852</v>
      </c>
      <c r="AN23">
        <v>4738927</v>
      </c>
      <c r="AO23">
        <v>4721111</v>
      </c>
      <c r="AP23">
        <v>4814844</v>
      </c>
      <c r="AQ23">
        <v>4869329</v>
      </c>
      <c r="AR23">
        <v>4794686</v>
      </c>
      <c r="AS23">
        <v>4783103</v>
      </c>
      <c r="AT23">
        <v>4777807</v>
      </c>
      <c r="AU23">
        <v>4787298</v>
      </c>
      <c r="AV23">
        <v>4849565</v>
      </c>
      <c r="AW23">
        <v>4904360</v>
      </c>
      <c r="AX23">
        <v>4935296</v>
      </c>
      <c r="AY23">
        <v>5014112</v>
      </c>
      <c r="AZ23">
        <v>5056564</v>
      </c>
      <c r="BA23">
        <v>5005600</v>
      </c>
      <c r="BB23">
        <v>4785877</v>
      </c>
      <c r="BC23">
        <v>4641339</v>
      </c>
      <c r="BD23">
        <v>4528827</v>
      </c>
      <c r="BE23">
        <v>4506081</v>
      </c>
      <c r="BF23">
        <v>4498107</v>
      </c>
      <c r="BG23">
        <v>4329422</v>
      </c>
      <c r="BH23">
        <v>4355110</v>
      </c>
      <c r="BI23">
        <v>4319295</v>
      </c>
      <c r="BJ23">
        <v>4243438</v>
      </c>
      <c r="BK23">
        <v>4288057</v>
      </c>
      <c r="BL23">
        <v>4010182</v>
      </c>
      <c r="BM23">
        <v>3906870</v>
      </c>
      <c r="BN23">
        <v>3839594</v>
      </c>
      <c r="BO23">
        <v>3703050</v>
      </c>
      <c r="BP23">
        <v>3780085</v>
      </c>
      <c r="BQ23">
        <v>3636173</v>
      </c>
      <c r="BR23">
        <v>3655500</v>
      </c>
      <c r="BS23">
        <v>3776472</v>
      </c>
      <c r="BT23">
        <v>3943109</v>
      </c>
      <c r="BU23">
        <v>3945193</v>
      </c>
      <c r="BV23">
        <v>3704989</v>
      </c>
      <c r="BW23">
        <v>3584644</v>
      </c>
      <c r="BX23">
        <v>3542616</v>
      </c>
      <c r="BY23">
        <v>3553127</v>
      </c>
      <c r="BZ23">
        <v>3700025</v>
      </c>
      <c r="CA23">
        <v>3701234</v>
      </c>
      <c r="CB23">
        <v>3628278</v>
      </c>
      <c r="CC23">
        <v>3545562</v>
      </c>
      <c r="CD23">
        <v>3504465</v>
      </c>
      <c r="CE23">
        <v>3440109</v>
      </c>
      <c r="CF23">
        <v>3233215</v>
      </c>
      <c r="CG23">
        <v>3112997</v>
      </c>
      <c r="CH23">
        <v>2969737</v>
      </c>
      <c r="CI23">
        <v>2751501</v>
      </c>
      <c r="CJ23">
        <v>2607155</v>
      </c>
      <c r="CK23">
        <v>2378080</v>
      </c>
      <c r="CL23">
        <v>2161513</v>
      </c>
      <c r="CM23">
        <v>1948385</v>
      </c>
      <c r="CN23">
        <v>1758240</v>
      </c>
      <c r="CO23">
        <v>1583845</v>
      </c>
      <c r="CP23">
        <v>1406180</v>
      </c>
      <c r="CQ23">
        <v>1258503</v>
      </c>
      <c r="CR23">
        <v>1172476</v>
      </c>
      <c r="CS23">
        <v>769124</v>
      </c>
      <c r="CT23">
        <v>661622</v>
      </c>
      <c r="CU23">
        <v>553631</v>
      </c>
      <c r="CV23">
        <v>478118</v>
      </c>
      <c r="CW23">
        <v>346959</v>
      </c>
      <c r="CX23">
        <v>258866</v>
      </c>
      <c r="CY23">
        <v>195653</v>
      </c>
      <c r="CZ23">
        <v>143781</v>
      </c>
      <c r="DA23">
        <v>105309</v>
      </c>
      <c r="DB23">
        <v>168527</v>
      </c>
    </row>
    <row r="24" spans="1:106">
      <c r="A24">
        <v>0</v>
      </c>
      <c r="B24">
        <v>0</v>
      </c>
      <c r="C24">
        <v>0</v>
      </c>
      <c r="D24">
        <v>2038</v>
      </c>
      <c r="E24">
        <v>370178704</v>
      </c>
      <c r="F24">
        <v>4188292</v>
      </c>
      <c r="G24">
        <v>4199330</v>
      </c>
      <c r="H24">
        <v>4209852</v>
      </c>
      <c r="I24">
        <v>4219041</v>
      </c>
      <c r="J24">
        <v>4227758</v>
      </c>
      <c r="K24">
        <v>4236971</v>
      </c>
      <c r="L24">
        <v>4247303</v>
      </c>
      <c r="M24">
        <v>4258759</v>
      </c>
      <c r="N24">
        <v>4271048</v>
      </c>
      <c r="O24">
        <v>4283528</v>
      </c>
      <c r="P24">
        <v>4295229</v>
      </c>
      <c r="Q24">
        <v>4305489</v>
      </c>
      <c r="R24">
        <v>4314098</v>
      </c>
      <c r="S24">
        <v>4322120</v>
      </c>
      <c r="T24">
        <v>4330503</v>
      </c>
      <c r="U24">
        <v>4340260</v>
      </c>
      <c r="V24">
        <v>4352431</v>
      </c>
      <c r="W24">
        <v>4367700</v>
      </c>
      <c r="X24">
        <v>4386340</v>
      </c>
      <c r="Y24">
        <v>4406671</v>
      </c>
      <c r="Z24">
        <v>4427514</v>
      </c>
      <c r="AA24">
        <v>4448368</v>
      </c>
      <c r="AB24">
        <v>4399118</v>
      </c>
      <c r="AC24">
        <v>4454997</v>
      </c>
      <c r="AD24">
        <v>4481668</v>
      </c>
      <c r="AE24">
        <v>4500555</v>
      </c>
      <c r="AF24">
        <v>4534112</v>
      </c>
      <c r="AG24">
        <v>4604146</v>
      </c>
      <c r="AH24">
        <v>4623622</v>
      </c>
      <c r="AI24">
        <v>4643230</v>
      </c>
      <c r="AJ24">
        <v>4784757</v>
      </c>
      <c r="AK24">
        <v>4814011</v>
      </c>
      <c r="AL24">
        <v>4786584</v>
      </c>
      <c r="AM24">
        <v>4777523</v>
      </c>
      <c r="AN24">
        <v>4787327</v>
      </c>
      <c r="AO24">
        <v>4756633</v>
      </c>
      <c r="AP24">
        <v>4736986</v>
      </c>
      <c r="AQ24">
        <v>4828786</v>
      </c>
      <c r="AR24">
        <v>4881659</v>
      </c>
      <c r="AS24">
        <v>4805584</v>
      </c>
      <c r="AT24">
        <v>4792356</v>
      </c>
      <c r="AU24">
        <v>4785230</v>
      </c>
      <c r="AV24">
        <v>4793197</v>
      </c>
      <c r="AW24">
        <v>4854112</v>
      </c>
      <c r="AX24">
        <v>4907818</v>
      </c>
      <c r="AY24">
        <v>4937449</v>
      </c>
      <c r="AZ24">
        <v>5014309</v>
      </c>
      <c r="BA24">
        <v>5054307</v>
      </c>
      <c r="BB24">
        <v>5000871</v>
      </c>
      <c r="BC24">
        <v>4779419</v>
      </c>
      <c r="BD24">
        <v>4633393</v>
      </c>
      <c r="BE24">
        <v>4519653</v>
      </c>
      <c r="BF24">
        <v>4495873</v>
      </c>
      <c r="BG24">
        <v>4487160</v>
      </c>
      <c r="BH24">
        <v>4318534</v>
      </c>
      <c r="BI24">
        <v>4343458</v>
      </c>
      <c r="BJ24">
        <v>4306938</v>
      </c>
      <c r="BK24">
        <v>4230497</v>
      </c>
      <c r="BL24">
        <v>4273557</v>
      </c>
      <c r="BM24">
        <v>3995794</v>
      </c>
      <c r="BN24">
        <v>3891357</v>
      </c>
      <c r="BO24">
        <v>3822264</v>
      </c>
      <c r="BP24">
        <v>3683896</v>
      </c>
      <c r="BQ24">
        <v>3757214</v>
      </c>
      <c r="BR24">
        <v>3611332</v>
      </c>
      <c r="BS24">
        <v>3627254</v>
      </c>
      <c r="BT24">
        <v>3743702</v>
      </c>
      <c r="BU24">
        <v>3905193</v>
      </c>
      <c r="BV24">
        <v>3903508</v>
      </c>
      <c r="BW24">
        <v>3662267</v>
      </c>
      <c r="BX24">
        <v>3539119</v>
      </c>
      <c r="BY24">
        <v>3492795</v>
      </c>
      <c r="BZ24">
        <v>3497450</v>
      </c>
      <c r="CA24">
        <v>3635446</v>
      </c>
      <c r="CB24">
        <v>3629743</v>
      </c>
      <c r="CC24">
        <v>3550849</v>
      </c>
      <c r="CD24">
        <v>3461911</v>
      </c>
      <c r="CE24">
        <v>3412901</v>
      </c>
      <c r="CF24">
        <v>3340249</v>
      </c>
      <c r="CG24">
        <v>3128784</v>
      </c>
      <c r="CH24">
        <v>2999939</v>
      </c>
      <c r="CI24">
        <v>2848349</v>
      </c>
      <c r="CJ24">
        <v>2625436</v>
      </c>
      <c r="CK24">
        <v>2472882</v>
      </c>
      <c r="CL24">
        <v>2240525</v>
      </c>
      <c r="CM24">
        <v>2021282</v>
      </c>
      <c r="CN24">
        <v>1807825</v>
      </c>
      <c r="CO24">
        <v>1617510</v>
      </c>
      <c r="CP24">
        <v>1443325</v>
      </c>
      <c r="CQ24">
        <v>1268098</v>
      </c>
      <c r="CR24">
        <v>1121846</v>
      </c>
      <c r="CS24">
        <v>1031910</v>
      </c>
      <c r="CT24">
        <v>667612</v>
      </c>
      <c r="CU24">
        <v>565636</v>
      </c>
      <c r="CV24">
        <v>465573</v>
      </c>
      <c r="CW24">
        <v>394941</v>
      </c>
      <c r="CX24">
        <v>281125</v>
      </c>
      <c r="CY24">
        <v>205445</v>
      </c>
      <c r="CZ24">
        <v>151849</v>
      </c>
      <c r="DA24">
        <v>108965</v>
      </c>
      <c r="DB24">
        <v>177569</v>
      </c>
    </row>
    <row r="25" spans="1:106">
      <c r="A25">
        <v>0</v>
      </c>
      <c r="B25">
        <v>0</v>
      </c>
      <c r="C25">
        <v>0</v>
      </c>
      <c r="D25">
        <v>2039</v>
      </c>
      <c r="E25">
        <v>371871238</v>
      </c>
      <c r="F25">
        <v>4195580</v>
      </c>
      <c r="G25">
        <v>4206046</v>
      </c>
      <c r="H25">
        <v>4215835</v>
      </c>
      <c r="I25">
        <v>4223879</v>
      </c>
      <c r="J25">
        <v>4231326</v>
      </c>
      <c r="K25">
        <v>4239308</v>
      </c>
      <c r="L25">
        <v>4248541</v>
      </c>
      <c r="M25">
        <v>4259263</v>
      </c>
      <c r="N25">
        <v>4271317</v>
      </c>
      <c r="O25">
        <v>4284030</v>
      </c>
      <c r="P25">
        <v>4296431</v>
      </c>
      <c r="Q25">
        <v>4307878</v>
      </c>
      <c r="R25">
        <v>4317940</v>
      </c>
      <c r="S25">
        <v>4326995</v>
      </c>
      <c r="T25">
        <v>4336458</v>
      </c>
      <c r="U25">
        <v>4347982</v>
      </c>
      <c r="V25">
        <v>4362622</v>
      </c>
      <c r="W25">
        <v>4380841</v>
      </c>
      <c r="X25">
        <v>4402498</v>
      </c>
      <c r="Y25">
        <v>4426214</v>
      </c>
      <c r="Z25">
        <v>4449807</v>
      </c>
      <c r="AA25">
        <v>4472350</v>
      </c>
      <c r="AB25">
        <v>4493743</v>
      </c>
      <c r="AC25">
        <v>4444108</v>
      </c>
      <c r="AD25">
        <v>4499334</v>
      </c>
      <c r="AE25">
        <v>4524822</v>
      </c>
      <c r="AF25">
        <v>4542073</v>
      </c>
      <c r="AG25">
        <v>4573524</v>
      </c>
      <c r="AH25">
        <v>4641258</v>
      </c>
      <c r="AI25">
        <v>4658002</v>
      </c>
      <c r="AJ25">
        <v>4674675</v>
      </c>
      <c r="AK25">
        <v>4812617</v>
      </c>
      <c r="AL25">
        <v>4838574</v>
      </c>
      <c r="AM25">
        <v>4808327</v>
      </c>
      <c r="AN25">
        <v>4797213</v>
      </c>
      <c r="AO25">
        <v>4805214</v>
      </c>
      <c r="AP25">
        <v>4772696</v>
      </c>
      <c r="AQ25">
        <v>4751231</v>
      </c>
      <c r="AR25">
        <v>4841383</v>
      </c>
      <c r="AS25">
        <v>4892638</v>
      </c>
      <c r="AT25">
        <v>4814988</v>
      </c>
      <c r="AU25">
        <v>4799941</v>
      </c>
      <c r="AV25">
        <v>4791314</v>
      </c>
      <c r="AW25">
        <v>4798041</v>
      </c>
      <c r="AX25">
        <v>4857883</v>
      </c>
      <c r="AY25">
        <v>4910246</v>
      </c>
      <c r="AZ25">
        <v>4938056</v>
      </c>
      <c r="BA25">
        <v>5012395</v>
      </c>
      <c r="BB25">
        <v>5049714</v>
      </c>
      <c r="BC25">
        <v>4994052</v>
      </c>
      <c r="BD25">
        <v>4771331</v>
      </c>
      <c r="BE25">
        <v>4624175</v>
      </c>
      <c r="BF25">
        <v>4509766</v>
      </c>
      <c r="BG25">
        <v>4485322</v>
      </c>
      <c r="BH25">
        <v>4476001</v>
      </c>
      <c r="BI25">
        <v>4307437</v>
      </c>
      <c r="BJ25">
        <v>4331407</v>
      </c>
      <c r="BK25">
        <v>4294079</v>
      </c>
      <c r="BL25">
        <v>4216788</v>
      </c>
      <c r="BM25">
        <v>4258106</v>
      </c>
      <c r="BN25">
        <v>3980176</v>
      </c>
      <c r="BO25">
        <v>3874154</v>
      </c>
      <c r="BP25">
        <v>3802752</v>
      </c>
      <c r="BQ25">
        <v>3662248</v>
      </c>
      <c r="BR25">
        <v>3731804</v>
      </c>
      <c r="BS25">
        <v>3583952</v>
      </c>
      <c r="BT25">
        <v>3596386</v>
      </c>
      <c r="BU25">
        <v>3708335</v>
      </c>
      <c r="BV25">
        <v>3864571</v>
      </c>
      <c r="BW25">
        <v>3858834</v>
      </c>
      <c r="BX25">
        <v>3616314</v>
      </c>
      <c r="BY25">
        <v>3489915</v>
      </c>
      <c r="BZ25">
        <v>3438823</v>
      </c>
      <c r="CA25">
        <v>3437224</v>
      </c>
      <c r="CB25">
        <v>3565920</v>
      </c>
      <c r="CC25">
        <v>3553048</v>
      </c>
      <c r="CD25">
        <v>3467924</v>
      </c>
      <c r="CE25">
        <v>3372365</v>
      </c>
      <c r="CF25">
        <v>3314861</v>
      </c>
      <c r="CG25">
        <v>3233278</v>
      </c>
      <c r="CH25">
        <v>3016103</v>
      </c>
      <c r="CI25">
        <v>2878250</v>
      </c>
      <c r="CJ25">
        <v>2718760</v>
      </c>
      <c r="CK25">
        <v>2491195</v>
      </c>
      <c r="CL25">
        <v>2330734</v>
      </c>
      <c r="CM25">
        <v>2096121</v>
      </c>
      <c r="CN25">
        <v>1876449</v>
      </c>
      <c r="CO25">
        <v>1664071</v>
      </c>
      <c r="CP25">
        <v>1475014</v>
      </c>
      <c r="CQ25">
        <v>1302529</v>
      </c>
      <c r="CR25">
        <v>1131319</v>
      </c>
      <c r="CS25">
        <v>988246</v>
      </c>
      <c r="CT25">
        <v>896485</v>
      </c>
      <c r="CU25">
        <v>571337</v>
      </c>
      <c r="CV25">
        <v>476194</v>
      </c>
      <c r="CW25">
        <v>385045</v>
      </c>
      <c r="CX25">
        <v>320411</v>
      </c>
      <c r="CY25">
        <v>223408</v>
      </c>
      <c r="CZ25">
        <v>159695</v>
      </c>
      <c r="DA25">
        <v>115275</v>
      </c>
      <c r="DB25">
        <v>186098</v>
      </c>
    </row>
    <row r="26" spans="1:106">
      <c r="A26">
        <v>0</v>
      </c>
      <c r="B26">
        <v>0</v>
      </c>
      <c r="C26">
        <v>0</v>
      </c>
      <c r="D26">
        <v>2040</v>
      </c>
      <c r="E26">
        <v>373527973</v>
      </c>
      <c r="F26">
        <v>4203337</v>
      </c>
      <c r="G26">
        <v>4213469</v>
      </c>
      <c r="H26">
        <v>4222656</v>
      </c>
      <c r="I26">
        <v>4229955</v>
      </c>
      <c r="J26">
        <v>4236241</v>
      </c>
      <c r="K26">
        <v>4242944</v>
      </c>
      <c r="L26">
        <v>4250942</v>
      </c>
      <c r="M26">
        <v>4260562</v>
      </c>
      <c r="N26">
        <v>4271879</v>
      </c>
      <c r="O26">
        <v>4284360</v>
      </c>
      <c r="P26">
        <v>4296990</v>
      </c>
      <c r="Q26">
        <v>4309137</v>
      </c>
      <c r="R26">
        <v>4320388</v>
      </c>
      <c r="S26">
        <v>4330894</v>
      </c>
      <c r="T26">
        <v>4341407</v>
      </c>
      <c r="U26">
        <v>4354022</v>
      </c>
      <c r="V26">
        <v>4370458</v>
      </c>
      <c r="W26">
        <v>4391176</v>
      </c>
      <c r="X26">
        <v>4415821</v>
      </c>
      <c r="Y26">
        <v>4442581</v>
      </c>
      <c r="Z26">
        <v>4469579</v>
      </c>
      <c r="AA26">
        <v>4494888</v>
      </c>
      <c r="AB26">
        <v>4517987</v>
      </c>
      <c r="AC26">
        <v>4539174</v>
      </c>
      <c r="AD26">
        <v>4488691</v>
      </c>
      <c r="AE26">
        <v>4542737</v>
      </c>
      <c r="AF26">
        <v>4566599</v>
      </c>
      <c r="AG26">
        <v>4581756</v>
      </c>
      <c r="AH26">
        <v>4610932</v>
      </c>
      <c r="AI26">
        <v>4675893</v>
      </c>
      <c r="AJ26">
        <v>4689692</v>
      </c>
      <c r="AK26">
        <v>4702861</v>
      </c>
      <c r="AL26">
        <v>4837407</v>
      </c>
      <c r="AM26">
        <v>4860492</v>
      </c>
      <c r="AN26">
        <v>4828212</v>
      </c>
      <c r="AO26">
        <v>4815302</v>
      </c>
      <c r="AP26">
        <v>4821446</v>
      </c>
      <c r="AQ26">
        <v>4787121</v>
      </c>
      <c r="AR26">
        <v>4764123</v>
      </c>
      <c r="AS26">
        <v>4852622</v>
      </c>
      <c r="AT26">
        <v>4902107</v>
      </c>
      <c r="AU26">
        <v>4822721</v>
      </c>
      <c r="AV26">
        <v>4806178</v>
      </c>
      <c r="AW26">
        <v>4796342</v>
      </c>
      <c r="AX26">
        <v>4802110</v>
      </c>
      <c r="AY26">
        <v>4860631</v>
      </c>
      <c r="AZ26">
        <v>4911129</v>
      </c>
      <c r="BA26">
        <v>4936573</v>
      </c>
      <c r="BB26">
        <v>5008162</v>
      </c>
      <c r="BC26">
        <v>5043032</v>
      </c>
      <c r="BD26">
        <v>4985568</v>
      </c>
      <c r="BE26">
        <v>4761958</v>
      </c>
      <c r="BF26">
        <v>4614246</v>
      </c>
      <c r="BG26">
        <v>4499532</v>
      </c>
      <c r="BH26">
        <v>4474557</v>
      </c>
      <c r="BI26">
        <v>4464610</v>
      </c>
      <c r="BJ26">
        <v>4295949</v>
      </c>
      <c r="BK26">
        <v>4318852</v>
      </c>
      <c r="BL26">
        <v>4280456</v>
      </c>
      <c r="BM26">
        <v>4202149</v>
      </c>
      <c r="BN26">
        <v>4241367</v>
      </c>
      <c r="BO26">
        <v>3962854</v>
      </c>
      <c r="BP26">
        <v>3854759</v>
      </c>
      <c r="BQ26">
        <v>3780698</v>
      </c>
      <c r="BR26">
        <v>3638109</v>
      </c>
      <c r="BS26">
        <v>3703786</v>
      </c>
      <c r="BT26">
        <v>3553980</v>
      </c>
      <c r="BU26">
        <v>3563019</v>
      </c>
      <c r="BV26">
        <v>3670413</v>
      </c>
      <c r="BW26">
        <v>3821006</v>
      </c>
      <c r="BX26">
        <v>3810784</v>
      </c>
      <c r="BY26">
        <v>3566622</v>
      </c>
      <c r="BZ26">
        <v>3436574</v>
      </c>
      <c r="CA26">
        <v>3380372</v>
      </c>
      <c r="CB26">
        <v>3372318</v>
      </c>
      <c r="CC26">
        <v>3491302</v>
      </c>
      <c r="CD26">
        <v>3470879</v>
      </c>
      <c r="CE26">
        <v>3379114</v>
      </c>
      <c r="CF26">
        <v>3276429</v>
      </c>
      <c r="CG26">
        <v>3209748</v>
      </c>
      <c r="CH26">
        <v>3117753</v>
      </c>
      <c r="CI26">
        <v>2894707</v>
      </c>
      <c r="CJ26">
        <v>2748248</v>
      </c>
      <c r="CK26">
        <v>2580694</v>
      </c>
      <c r="CL26">
        <v>2348992</v>
      </c>
      <c r="CM26">
        <v>2181420</v>
      </c>
      <c r="CN26">
        <v>1946908</v>
      </c>
      <c r="CO26">
        <v>1728240</v>
      </c>
      <c r="CP26">
        <v>1518414</v>
      </c>
      <c r="CQ26">
        <v>1332124</v>
      </c>
      <c r="CR26">
        <v>1162947</v>
      </c>
      <c r="CS26">
        <v>997479</v>
      </c>
      <c r="CT26">
        <v>859393</v>
      </c>
      <c r="CU26">
        <v>767933</v>
      </c>
      <c r="CV26">
        <v>481511</v>
      </c>
      <c r="CW26">
        <v>394293</v>
      </c>
      <c r="CX26">
        <v>312785</v>
      </c>
      <c r="CY26">
        <v>254982</v>
      </c>
      <c r="CZ26">
        <v>173903</v>
      </c>
      <c r="DA26">
        <v>121430</v>
      </c>
      <c r="DB26">
        <v>196089</v>
      </c>
    </row>
    <row r="27" spans="1:106">
      <c r="A27">
        <v>0</v>
      </c>
      <c r="B27">
        <v>0</v>
      </c>
      <c r="C27">
        <v>0</v>
      </c>
      <c r="D27">
        <v>2041</v>
      </c>
      <c r="E27">
        <v>375151805</v>
      </c>
      <c r="F27">
        <v>4211495</v>
      </c>
      <c r="G27">
        <v>4221358</v>
      </c>
      <c r="H27">
        <v>4230176</v>
      </c>
      <c r="I27">
        <v>4236861</v>
      </c>
      <c r="J27">
        <v>4242393</v>
      </c>
      <c r="K27">
        <v>4247922</v>
      </c>
      <c r="L27">
        <v>4254636</v>
      </c>
      <c r="M27">
        <v>4263019</v>
      </c>
      <c r="N27">
        <v>4273236</v>
      </c>
      <c r="O27">
        <v>4284978</v>
      </c>
      <c r="P27">
        <v>4297373</v>
      </c>
      <c r="Q27">
        <v>4309750</v>
      </c>
      <c r="R27">
        <v>4321703</v>
      </c>
      <c r="S27">
        <v>4333399</v>
      </c>
      <c r="T27">
        <v>4345371</v>
      </c>
      <c r="U27">
        <v>4359052</v>
      </c>
      <c r="V27">
        <v>4376612</v>
      </c>
      <c r="W27">
        <v>4399155</v>
      </c>
      <c r="X27">
        <v>4426327</v>
      </c>
      <c r="Y27">
        <v>4456108</v>
      </c>
      <c r="Z27">
        <v>4486172</v>
      </c>
      <c r="AA27">
        <v>4514904</v>
      </c>
      <c r="AB27">
        <v>4540779</v>
      </c>
      <c r="AC27">
        <v>4563678</v>
      </c>
      <c r="AD27">
        <v>4584141</v>
      </c>
      <c r="AE27">
        <v>4532335</v>
      </c>
      <c r="AF27">
        <v>4584757</v>
      </c>
      <c r="AG27">
        <v>4606529</v>
      </c>
      <c r="AH27">
        <v>4619415</v>
      </c>
      <c r="AI27">
        <v>4645843</v>
      </c>
      <c r="AJ27">
        <v>4707809</v>
      </c>
      <c r="AK27">
        <v>4718096</v>
      </c>
      <c r="AL27">
        <v>4727946</v>
      </c>
      <c r="AM27">
        <v>4859537</v>
      </c>
      <c r="AN27">
        <v>4880535</v>
      </c>
      <c r="AO27">
        <v>4846481</v>
      </c>
      <c r="AP27">
        <v>4831727</v>
      </c>
      <c r="AQ27">
        <v>4836031</v>
      </c>
      <c r="AR27">
        <v>4800185</v>
      </c>
      <c r="AS27">
        <v>4775660</v>
      </c>
      <c r="AT27">
        <v>4862344</v>
      </c>
      <c r="AU27">
        <v>4909897</v>
      </c>
      <c r="AV27">
        <v>4829104</v>
      </c>
      <c r="AW27">
        <v>4811366</v>
      </c>
      <c r="AX27">
        <v>4800597</v>
      </c>
      <c r="AY27">
        <v>4805159</v>
      </c>
      <c r="AZ27">
        <v>4861842</v>
      </c>
      <c r="BA27">
        <v>4909931</v>
      </c>
      <c r="BB27">
        <v>4932785</v>
      </c>
      <c r="BC27">
        <v>5001856</v>
      </c>
      <c r="BD27">
        <v>5034690</v>
      </c>
      <c r="BE27">
        <v>4975789</v>
      </c>
      <c r="BF27">
        <v>4751863</v>
      </c>
      <c r="BG27">
        <v>4603963</v>
      </c>
      <c r="BH27">
        <v>4489084</v>
      </c>
      <c r="BI27">
        <v>4463564</v>
      </c>
      <c r="BJ27">
        <v>4452814</v>
      </c>
      <c r="BK27">
        <v>4283961</v>
      </c>
      <c r="BL27">
        <v>4305531</v>
      </c>
      <c r="BM27">
        <v>4265900</v>
      </c>
      <c r="BN27">
        <v>4186251</v>
      </c>
      <c r="BO27">
        <v>4222843</v>
      </c>
      <c r="BP27">
        <v>3943319</v>
      </c>
      <c r="BQ27">
        <v>3832809</v>
      </c>
      <c r="BR27">
        <v>3756102</v>
      </c>
      <c r="BS27">
        <v>3611422</v>
      </c>
      <c r="BT27">
        <v>3673115</v>
      </c>
      <c r="BU27">
        <v>3521540</v>
      </c>
      <c r="BV27">
        <v>3527203</v>
      </c>
      <c r="BW27">
        <v>3629709</v>
      </c>
      <c r="BX27">
        <v>3774107</v>
      </c>
      <c r="BY27">
        <v>3758825</v>
      </c>
      <c r="BZ27">
        <v>3512716</v>
      </c>
      <c r="CA27">
        <v>3378764</v>
      </c>
      <c r="CB27">
        <v>3317316</v>
      </c>
      <c r="CC27">
        <v>3302586</v>
      </c>
      <c r="CD27">
        <v>3411315</v>
      </c>
      <c r="CE27">
        <v>3382836</v>
      </c>
      <c r="CF27">
        <v>3283922</v>
      </c>
      <c r="CG27">
        <v>3173510</v>
      </c>
      <c r="CH27">
        <v>3096106</v>
      </c>
      <c r="CI27">
        <v>2993174</v>
      </c>
      <c r="CJ27">
        <v>2764917</v>
      </c>
      <c r="CK27">
        <v>2609638</v>
      </c>
      <c r="CL27">
        <v>2434359</v>
      </c>
      <c r="CM27">
        <v>2199514</v>
      </c>
      <c r="CN27">
        <v>2027071</v>
      </c>
      <c r="CO27">
        <v>1794125</v>
      </c>
      <c r="CP27">
        <v>1577965</v>
      </c>
      <c r="CQ27">
        <v>1372246</v>
      </c>
      <c r="CR27">
        <v>1190336</v>
      </c>
      <c r="CS27">
        <v>1026239</v>
      </c>
      <c r="CT27">
        <v>868258</v>
      </c>
      <c r="CU27">
        <v>736949</v>
      </c>
      <c r="CV27">
        <v>647883</v>
      </c>
      <c r="CW27">
        <v>399164</v>
      </c>
      <c r="CX27">
        <v>320707</v>
      </c>
      <c r="CY27">
        <v>249255</v>
      </c>
      <c r="CZ27">
        <v>198778</v>
      </c>
      <c r="DA27">
        <v>132425</v>
      </c>
      <c r="DB27">
        <v>206962</v>
      </c>
    </row>
    <row r="28" spans="1:106">
      <c r="A28">
        <v>0</v>
      </c>
      <c r="B28">
        <v>0</v>
      </c>
      <c r="C28">
        <v>0</v>
      </c>
      <c r="D28">
        <v>2042</v>
      </c>
      <c r="E28">
        <v>376746115</v>
      </c>
      <c r="F28">
        <v>4220328</v>
      </c>
      <c r="G28">
        <v>4229645</v>
      </c>
      <c r="H28">
        <v>4238161</v>
      </c>
      <c r="I28">
        <v>4244467</v>
      </c>
      <c r="J28">
        <v>4249370</v>
      </c>
      <c r="K28">
        <v>4254136</v>
      </c>
      <c r="L28">
        <v>4259672</v>
      </c>
      <c r="M28">
        <v>4266773</v>
      </c>
      <c r="N28">
        <v>4275751</v>
      </c>
      <c r="O28">
        <v>4286389</v>
      </c>
      <c r="P28">
        <v>4298038</v>
      </c>
      <c r="Q28">
        <v>4310184</v>
      </c>
      <c r="R28">
        <v>4322369</v>
      </c>
      <c r="S28">
        <v>4334770</v>
      </c>
      <c r="T28">
        <v>4347941</v>
      </c>
      <c r="U28">
        <v>4363096</v>
      </c>
      <c r="V28">
        <v>4381746</v>
      </c>
      <c r="W28">
        <v>4405443</v>
      </c>
      <c r="X28">
        <v>4434480</v>
      </c>
      <c r="Y28">
        <v>4466809</v>
      </c>
      <c r="Z28">
        <v>4499917</v>
      </c>
      <c r="AA28">
        <v>4531727</v>
      </c>
      <c r="AB28">
        <v>4561042</v>
      </c>
      <c r="AC28">
        <v>4586727</v>
      </c>
      <c r="AD28">
        <v>4608900</v>
      </c>
      <c r="AE28">
        <v>4628115</v>
      </c>
      <c r="AF28">
        <v>4574587</v>
      </c>
      <c r="AG28">
        <v>4624909</v>
      </c>
      <c r="AH28">
        <v>4644408</v>
      </c>
      <c r="AI28">
        <v>4654551</v>
      </c>
      <c r="AJ28">
        <v>4678010</v>
      </c>
      <c r="AK28">
        <v>4736417</v>
      </c>
      <c r="AL28">
        <v>4743378</v>
      </c>
      <c r="AM28">
        <v>4750356</v>
      </c>
      <c r="AN28">
        <v>4879774</v>
      </c>
      <c r="AO28">
        <v>4898951</v>
      </c>
      <c r="AP28">
        <v>4863074</v>
      </c>
      <c r="AQ28">
        <v>4846500</v>
      </c>
      <c r="AR28">
        <v>4849250</v>
      </c>
      <c r="AS28">
        <v>4811887</v>
      </c>
      <c r="AT28">
        <v>4785682</v>
      </c>
      <c r="AU28">
        <v>4870381</v>
      </c>
      <c r="AV28">
        <v>4916335</v>
      </c>
      <c r="AW28">
        <v>4834432</v>
      </c>
      <c r="AX28">
        <v>4815780</v>
      </c>
      <c r="AY28">
        <v>4803833</v>
      </c>
      <c r="AZ28">
        <v>4806681</v>
      </c>
      <c r="BA28">
        <v>4860977</v>
      </c>
      <c r="BB28">
        <v>4906445</v>
      </c>
      <c r="BC28">
        <v>4926945</v>
      </c>
      <c r="BD28">
        <v>4993896</v>
      </c>
      <c r="BE28">
        <v>5025058</v>
      </c>
      <c r="BF28">
        <v>4965275</v>
      </c>
      <c r="BG28">
        <v>4741406</v>
      </c>
      <c r="BH28">
        <v>4593456</v>
      </c>
      <c r="BI28">
        <v>4478407</v>
      </c>
      <c r="BJ28">
        <v>4452164</v>
      </c>
      <c r="BK28">
        <v>4440498</v>
      </c>
      <c r="BL28">
        <v>4271217</v>
      </c>
      <c r="BM28">
        <v>4291278</v>
      </c>
      <c r="BN28">
        <v>4250079</v>
      </c>
      <c r="BO28">
        <v>4168603</v>
      </c>
      <c r="BP28">
        <v>4202002</v>
      </c>
      <c r="BQ28">
        <v>3921194</v>
      </c>
      <c r="BR28">
        <v>3808296</v>
      </c>
      <c r="BS28">
        <v>3728900</v>
      </c>
      <c r="BT28">
        <v>3582130</v>
      </c>
      <c r="BU28">
        <v>3639917</v>
      </c>
      <c r="BV28">
        <v>3486687</v>
      </c>
      <c r="BW28">
        <v>3488734</v>
      </c>
      <c r="BX28">
        <v>3585854</v>
      </c>
      <c r="BY28">
        <v>3723343</v>
      </c>
      <c r="BZ28">
        <v>3702454</v>
      </c>
      <c r="CA28">
        <v>3454266</v>
      </c>
      <c r="CB28">
        <v>3316362</v>
      </c>
      <c r="CC28">
        <v>3249519</v>
      </c>
      <c r="CD28">
        <v>3227788</v>
      </c>
      <c r="CE28">
        <v>3325575</v>
      </c>
      <c r="CF28">
        <v>3288414</v>
      </c>
      <c r="CG28">
        <v>3181724</v>
      </c>
      <c r="CH28">
        <v>3062115</v>
      </c>
      <c r="CI28">
        <v>2973431</v>
      </c>
      <c r="CJ28">
        <v>2859887</v>
      </c>
      <c r="CK28">
        <v>2626446</v>
      </c>
      <c r="CL28">
        <v>2462627</v>
      </c>
      <c r="CM28">
        <v>2280465</v>
      </c>
      <c r="CN28">
        <v>2044920</v>
      </c>
      <c r="CO28">
        <v>1868958</v>
      </c>
      <c r="CP28">
        <v>1639125</v>
      </c>
      <c r="CQ28">
        <v>1427053</v>
      </c>
      <c r="CR28">
        <v>1227091</v>
      </c>
      <c r="CS28">
        <v>1051340</v>
      </c>
      <c r="CT28">
        <v>894124</v>
      </c>
      <c r="CU28">
        <v>745325</v>
      </c>
      <c r="CV28">
        <v>622456</v>
      </c>
      <c r="CW28">
        <v>537696</v>
      </c>
      <c r="CX28">
        <v>325079</v>
      </c>
      <c r="CY28">
        <v>255908</v>
      </c>
      <c r="CZ28">
        <v>194595</v>
      </c>
      <c r="DA28">
        <v>151611</v>
      </c>
      <c r="DB28">
        <v>221828</v>
      </c>
    </row>
    <row r="29" spans="1:106">
      <c r="A29">
        <v>0</v>
      </c>
      <c r="B29">
        <v>0</v>
      </c>
      <c r="C29">
        <v>0</v>
      </c>
      <c r="D29">
        <v>2043</v>
      </c>
      <c r="E29">
        <v>378314343</v>
      </c>
      <c r="F29">
        <v>4229838</v>
      </c>
      <c r="G29">
        <v>4238599</v>
      </c>
      <c r="H29">
        <v>4246542</v>
      </c>
      <c r="I29">
        <v>4252535</v>
      </c>
      <c r="J29">
        <v>4257044</v>
      </c>
      <c r="K29">
        <v>4261174</v>
      </c>
      <c r="L29">
        <v>4265943</v>
      </c>
      <c r="M29">
        <v>4271863</v>
      </c>
      <c r="N29">
        <v>4279557</v>
      </c>
      <c r="O29">
        <v>4288955</v>
      </c>
      <c r="P29">
        <v>4299500</v>
      </c>
      <c r="Q29">
        <v>4310903</v>
      </c>
      <c r="R29">
        <v>4322854</v>
      </c>
      <c r="S29">
        <v>4335491</v>
      </c>
      <c r="T29">
        <v>4349374</v>
      </c>
      <c r="U29">
        <v>4365744</v>
      </c>
      <c r="V29">
        <v>4385886</v>
      </c>
      <c r="W29">
        <v>4410707</v>
      </c>
      <c r="X29">
        <v>4440930</v>
      </c>
      <c r="Y29">
        <v>4475154</v>
      </c>
      <c r="Z29">
        <v>4510829</v>
      </c>
      <c r="AA29">
        <v>4545700</v>
      </c>
      <c r="AB29">
        <v>4578106</v>
      </c>
      <c r="AC29">
        <v>4607236</v>
      </c>
      <c r="AD29">
        <v>4632195</v>
      </c>
      <c r="AE29">
        <v>4653123</v>
      </c>
      <c r="AF29">
        <v>4670663</v>
      </c>
      <c r="AG29">
        <v>4614956</v>
      </c>
      <c r="AH29">
        <v>4662994</v>
      </c>
      <c r="AI29">
        <v>4679740</v>
      </c>
      <c r="AJ29">
        <v>4686919</v>
      </c>
      <c r="AK29">
        <v>4706847</v>
      </c>
      <c r="AL29">
        <v>4761882</v>
      </c>
      <c r="AM29">
        <v>4765971</v>
      </c>
      <c r="AN29">
        <v>4770859</v>
      </c>
      <c r="AO29">
        <v>4898372</v>
      </c>
      <c r="AP29">
        <v>4915686</v>
      </c>
      <c r="AQ29">
        <v>4878006</v>
      </c>
      <c r="AR29">
        <v>4859899</v>
      </c>
      <c r="AS29">
        <v>4861100</v>
      </c>
      <c r="AT29">
        <v>4822066</v>
      </c>
      <c r="AU29">
        <v>4794010</v>
      </c>
      <c r="AV29">
        <v>4877055</v>
      </c>
      <c r="AW29">
        <v>4921709</v>
      </c>
      <c r="AX29">
        <v>4838988</v>
      </c>
      <c r="AY29">
        <v>4819173</v>
      </c>
      <c r="AZ29">
        <v>4805547</v>
      </c>
      <c r="BA29">
        <v>4806138</v>
      </c>
      <c r="BB29">
        <v>4857835</v>
      </c>
      <c r="BC29">
        <v>4900911</v>
      </c>
      <c r="BD29">
        <v>4919478</v>
      </c>
      <c r="BE29">
        <v>4984662</v>
      </c>
      <c r="BF29">
        <v>5014696</v>
      </c>
      <c r="BG29">
        <v>4954392</v>
      </c>
      <c r="BH29">
        <v>4730718</v>
      </c>
      <c r="BI29">
        <v>4582715</v>
      </c>
      <c r="BJ29">
        <v>4467320</v>
      </c>
      <c r="BK29">
        <v>4440239</v>
      </c>
      <c r="BL29">
        <v>4427395</v>
      </c>
      <c r="BM29">
        <v>4257554</v>
      </c>
      <c r="BN29">
        <v>4275769</v>
      </c>
      <c r="BO29">
        <v>4232498</v>
      </c>
      <c r="BP29">
        <v>4148682</v>
      </c>
      <c r="BQ29">
        <v>4178452</v>
      </c>
      <c r="BR29">
        <v>3896469</v>
      </c>
      <c r="BS29">
        <v>3781149</v>
      </c>
      <c r="BT29">
        <v>3699033</v>
      </c>
      <c r="BU29">
        <v>3550369</v>
      </c>
      <c r="BV29">
        <v>3604243</v>
      </c>
      <c r="BW29">
        <v>3449222</v>
      </c>
      <c r="BX29">
        <v>3447242</v>
      </c>
      <c r="BY29">
        <v>3538323</v>
      </c>
      <c r="BZ29">
        <v>3668228</v>
      </c>
      <c r="CA29">
        <v>3641323</v>
      </c>
      <c r="CB29">
        <v>3391125</v>
      </c>
      <c r="CC29">
        <v>3249235</v>
      </c>
      <c r="CD29">
        <v>3176739</v>
      </c>
      <c r="CE29">
        <v>3147543</v>
      </c>
      <c r="CF29">
        <v>3233585</v>
      </c>
      <c r="CG29">
        <v>3186988</v>
      </c>
      <c r="CH29">
        <v>3070996</v>
      </c>
      <c r="CI29">
        <v>2941742</v>
      </c>
      <c r="CJ29">
        <v>2842097</v>
      </c>
      <c r="CK29">
        <v>2717571</v>
      </c>
      <c r="CL29">
        <v>2479481</v>
      </c>
      <c r="CM29">
        <v>2307924</v>
      </c>
      <c r="CN29">
        <v>2121228</v>
      </c>
      <c r="CO29">
        <v>1886470</v>
      </c>
      <c r="CP29">
        <v>1708459</v>
      </c>
      <c r="CQ29">
        <v>1483360</v>
      </c>
      <c r="CR29">
        <v>1277072</v>
      </c>
      <c r="CS29">
        <v>1084671</v>
      </c>
      <c r="CT29">
        <v>916872</v>
      </c>
      <c r="CU29">
        <v>768298</v>
      </c>
      <c r="CV29">
        <v>630241</v>
      </c>
      <c r="CW29">
        <v>517229</v>
      </c>
      <c r="CX29">
        <v>438444</v>
      </c>
      <c r="CY29">
        <v>259745</v>
      </c>
      <c r="CZ29">
        <v>200077</v>
      </c>
      <c r="DA29">
        <v>148646</v>
      </c>
      <c r="DB29">
        <v>245226</v>
      </c>
    </row>
    <row r="30" spans="1:106">
      <c r="A30">
        <v>0</v>
      </c>
      <c r="B30">
        <v>0</v>
      </c>
      <c r="C30">
        <v>0</v>
      </c>
      <c r="D30">
        <v>2044</v>
      </c>
      <c r="E30">
        <v>379860859</v>
      </c>
      <c r="F30">
        <v>4240079</v>
      </c>
      <c r="G30">
        <v>4248226</v>
      </c>
      <c r="H30">
        <v>4255585</v>
      </c>
      <c r="I30">
        <v>4260992</v>
      </c>
      <c r="J30">
        <v>4265180</v>
      </c>
      <c r="K30">
        <v>4268909</v>
      </c>
      <c r="L30">
        <v>4273036</v>
      </c>
      <c r="M30">
        <v>4278183</v>
      </c>
      <c r="N30">
        <v>4284700</v>
      </c>
      <c r="O30">
        <v>4292812</v>
      </c>
      <c r="P30">
        <v>4302114</v>
      </c>
      <c r="Q30">
        <v>4312413</v>
      </c>
      <c r="R30">
        <v>4323621</v>
      </c>
      <c r="S30">
        <v>4336022</v>
      </c>
      <c r="T30">
        <v>4350155</v>
      </c>
      <c r="U30">
        <v>4367255</v>
      </c>
      <c r="V30">
        <v>4388634</v>
      </c>
      <c r="W30">
        <v>4414975</v>
      </c>
      <c r="X30">
        <v>4446349</v>
      </c>
      <c r="Y30">
        <v>4481795</v>
      </c>
      <c r="Z30">
        <v>4519377</v>
      </c>
      <c r="AA30">
        <v>4556832</v>
      </c>
      <c r="AB30">
        <v>4592305</v>
      </c>
      <c r="AC30">
        <v>4624542</v>
      </c>
      <c r="AD30">
        <v>4652948</v>
      </c>
      <c r="AE30">
        <v>4676658</v>
      </c>
      <c r="AF30">
        <v>4695901</v>
      </c>
      <c r="AG30">
        <v>4711297</v>
      </c>
      <c r="AH30">
        <v>4653242</v>
      </c>
      <c r="AI30">
        <v>4698513</v>
      </c>
      <c r="AJ30">
        <v>4712287</v>
      </c>
      <c r="AK30">
        <v>4715934</v>
      </c>
      <c r="AL30">
        <v>4732516</v>
      </c>
      <c r="AM30">
        <v>4784638</v>
      </c>
      <c r="AN30">
        <v>4786642</v>
      </c>
      <c r="AO30">
        <v>4789713</v>
      </c>
      <c r="AP30">
        <v>4915281</v>
      </c>
      <c r="AQ30">
        <v>4930750</v>
      </c>
      <c r="AR30">
        <v>4891561</v>
      </c>
      <c r="AS30">
        <v>4871921</v>
      </c>
      <c r="AT30">
        <v>4871418</v>
      </c>
      <c r="AU30">
        <v>4830545</v>
      </c>
      <c r="AV30">
        <v>4800970</v>
      </c>
      <c r="AW30">
        <v>4882666</v>
      </c>
      <c r="AX30">
        <v>4926303</v>
      </c>
      <c r="AY30">
        <v>4842521</v>
      </c>
      <c r="AZ30">
        <v>4821040</v>
      </c>
      <c r="BA30">
        <v>4805195</v>
      </c>
      <c r="BB30">
        <v>4803326</v>
      </c>
      <c r="BC30">
        <v>4852661</v>
      </c>
      <c r="BD30">
        <v>4893760</v>
      </c>
      <c r="BE30">
        <v>4910754</v>
      </c>
      <c r="BF30">
        <v>4974716</v>
      </c>
      <c r="BG30">
        <v>5003970</v>
      </c>
      <c r="BH30">
        <v>4943269</v>
      </c>
      <c r="BI30">
        <v>4719787</v>
      </c>
      <c r="BJ30">
        <v>4571550</v>
      </c>
      <c r="BK30">
        <v>4455699</v>
      </c>
      <c r="BL30">
        <v>4427540</v>
      </c>
      <c r="BM30">
        <v>4413357</v>
      </c>
      <c r="BN30">
        <v>4242655</v>
      </c>
      <c r="BO30">
        <v>4258506</v>
      </c>
      <c r="BP30">
        <v>4212629</v>
      </c>
      <c r="BQ30">
        <v>4126091</v>
      </c>
      <c r="BR30">
        <v>4152176</v>
      </c>
      <c r="BS30">
        <v>3869066</v>
      </c>
      <c r="BT30">
        <v>3751311</v>
      </c>
      <c r="BU30">
        <v>3666633</v>
      </c>
      <c r="BV30">
        <v>3516189</v>
      </c>
      <c r="BW30">
        <v>3565883</v>
      </c>
      <c r="BX30">
        <v>3408773</v>
      </c>
      <c r="BY30">
        <v>3402220</v>
      </c>
      <c r="BZ30">
        <v>3486640</v>
      </c>
      <c r="CA30">
        <v>3608399</v>
      </c>
      <c r="CB30">
        <v>3575281</v>
      </c>
      <c r="CC30">
        <v>3323174</v>
      </c>
      <c r="CD30">
        <v>3177144</v>
      </c>
      <c r="CE30">
        <v>3098605</v>
      </c>
      <c r="CF30">
        <v>3061385</v>
      </c>
      <c r="CG30">
        <v>3134710</v>
      </c>
      <c r="CH30">
        <v>3076981</v>
      </c>
      <c r="CI30">
        <v>2951207</v>
      </c>
      <c r="CJ30">
        <v>2812767</v>
      </c>
      <c r="CK30">
        <v>2701771</v>
      </c>
      <c r="CL30">
        <v>2566418</v>
      </c>
      <c r="CM30">
        <v>2324721</v>
      </c>
      <c r="CN30">
        <v>2147776</v>
      </c>
      <c r="CO30">
        <v>1957920</v>
      </c>
      <c r="CP30">
        <v>1725522</v>
      </c>
      <c r="CQ30">
        <v>1547063</v>
      </c>
      <c r="CR30">
        <v>1328441</v>
      </c>
      <c r="CS30">
        <v>1129787</v>
      </c>
      <c r="CT30">
        <v>946769</v>
      </c>
      <c r="CU30">
        <v>788672</v>
      </c>
      <c r="CV30">
        <v>650372</v>
      </c>
      <c r="CW30">
        <v>524330</v>
      </c>
      <c r="CX30">
        <v>422306</v>
      </c>
      <c r="CY30">
        <v>350807</v>
      </c>
      <c r="CZ30">
        <v>203369</v>
      </c>
      <c r="DA30">
        <v>153070</v>
      </c>
      <c r="DB30">
        <v>258380</v>
      </c>
    </row>
    <row r="31" spans="1:106">
      <c r="A31">
        <v>0</v>
      </c>
      <c r="B31">
        <v>0</v>
      </c>
      <c r="C31">
        <v>0</v>
      </c>
      <c r="D31">
        <v>2045</v>
      </c>
      <c r="E31">
        <v>381390297</v>
      </c>
      <c r="F31">
        <v>4251107</v>
      </c>
      <c r="G31">
        <v>4258581</v>
      </c>
      <c r="H31">
        <v>4265302</v>
      </c>
      <c r="I31">
        <v>4270115</v>
      </c>
      <c r="J31">
        <v>4273697</v>
      </c>
      <c r="K31">
        <v>4277097</v>
      </c>
      <c r="L31">
        <v>4280821</v>
      </c>
      <c r="M31">
        <v>4285326</v>
      </c>
      <c r="N31">
        <v>4291065</v>
      </c>
      <c r="O31">
        <v>4298001</v>
      </c>
      <c r="P31">
        <v>4306017</v>
      </c>
      <c r="Q31">
        <v>4315068</v>
      </c>
      <c r="R31">
        <v>4325179</v>
      </c>
      <c r="S31">
        <v>4336838</v>
      </c>
      <c r="T31">
        <v>4350742</v>
      </c>
      <c r="U31">
        <v>4368106</v>
      </c>
      <c r="V31">
        <v>4390238</v>
      </c>
      <c r="W31">
        <v>4417843</v>
      </c>
      <c r="X31">
        <v>4450765</v>
      </c>
      <c r="Y31">
        <v>4487393</v>
      </c>
      <c r="Z31">
        <v>4526208</v>
      </c>
      <c r="AA31">
        <v>4565591</v>
      </c>
      <c r="AB31">
        <v>4603667</v>
      </c>
      <c r="AC31">
        <v>4638974</v>
      </c>
      <c r="AD31">
        <v>4670491</v>
      </c>
      <c r="AE31">
        <v>4697639</v>
      </c>
      <c r="AF31">
        <v>4719663</v>
      </c>
      <c r="AG31">
        <v>4736752</v>
      </c>
      <c r="AH31">
        <v>4749815</v>
      </c>
      <c r="AI31">
        <v>4688938</v>
      </c>
      <c r="AJ31">
        <v>4731216</v>
      </c>
      <c r="AK31">
        <v>4741461</v>
      </c>
      <c r="AL31">
        <v>4741765</v>
      </c>
      <c r="AM31">
        <v>4755462</v>
      </c>
      <c r="AN31">
        <v>4805459</v>
      </c>
      <c r="AO31">
        <v>4805652</v>
      </c>
      <c r="AP31">
        <v>4806870</v>
      </c>
      <c r="AQ31">
        <v>4930512</v>
      </c>
      <c r="AR31">
        <v>4944426</v>
      </c>
      <c r="AS31">
        <v>4903733</v>
      </c>
      <c r="AT31">
        <v>4882407</v>
      </c>
      <c r="AU31">
        <v>4880026</v>
      </c>
      <c r="AV31">
        <v>4837643</v>
      </c>
      <c r="AW31">
        <v>4806867</v>
      </c>
      <c r="AX31">
        <v>4887499</v>
      </c>
      <c r="AY31">
        <v>4929874</v>
      </c>
      <c r="AZ31">
        <v>4844524</v>
      </c>
      <c r="BA31">
        <v>4820840</v>
      </c>
      <c r="BB31">
        <v>4802572</v>
      </c>
      <c r="BC31">
        <v>4798493</v>
      </c>
      <c r="BD31">
        <v>4845894</v>
      </c>
      <c r="BE31">
        <v>4885369</v>
      </c>
      <c r="BF31">
        <v>4901330</v>
      </c>
      <c r="BG31">
        <v>4964421</v>
      </c>
      <c r="BH31">
        <v>4993003</v>
      </c>
      <c r="BI31">
        <v>4931881</v>
      </c>
      <c r="BJ31">
        <v>4708417</v>
      </c>
      <c r="BK31">
        <v>4559850</v>
      </c>
      <c r="BL31">
        <v>4443308</v>
      </c>
      <c r="BM31">
        <v>4413912</v>
      </c>
      <c r="BN31">
        <v>4398056</v>
      </c>
      <c r="BO31">
        <v>4226032</v>
      </c>
      <c r="BP31">
        <v>4238964</v>
      </c>
      <c r="BQ31">
        <v>4190076</v>
      </c>
      <c r="BR31">
        <v>4100817</v>
      </c>
      <c r="BS31">
        <v>4123096</v>
      </c>
      <c r="BT31">
        <v>3838931</v>
      </c>
      <c r="BU31">
        <v>3718910</v>
      </c>
      <c r="BV31">
        <v>3631743</v>
      </c>
      <c r="BW31">
        <v>3479400</v>
      </c>
      <c r="BX31">
        <v>3524452</v>
      </c>
      <c r="BY31">
        <v>3364835</v>
      </c>
      <c r="BZ31">
        <v>3353196</v>
      </c>
      <c r="CA31">
        <v>3430459</v>
      </c>
      <c r="CB31">
        <v>3543712</v>
      </c>
      <c r="CC31">
        <v>3504202</v>
      </c>
      <c r="CD31">
        <v>3250167</v>
      </c>
      <c r="CE31">
        <v>3099727</v>
      </c>
      <c r="CF31">
        <v>3014652</v>
      </c>
      <c r="CG31">
        <v>2968712</v>
      </c>
      <c r="CH31">
        <v>3027369</v>
      </c>
      <c r="CI31">
        <v>2957863</v>
      </c>
      <c r="CJ31">
        <v>2822755</v>
      </c>
      <c r="CK31">
        <v>2674842</v>
      </c>
      <c r="CL31">
        <v>2552642</v>
      </c>
      <c r="CM31">
        <v>2407138</v>
      </c>
      <c r="CN31">
        <v>2164434</v>
      </c>
      <c r="CO31">
        <v>1983454</v>
      </c>
      <c r="CP31">
        <v>1791937</v>
      </c>
      <c r="CQ31">
        <v>1563561</v>
      </c>
      <c r="CR31">
        <v>1386436</v>
      </c>
      <c r="CS31">
        <v>1176182</v>
      </c>
      <c r="CT31">
        <v>987035</v>
      </c>
      <c r="CU31">
        <v>815161</v>
      </c>
      <c r="CV31">
        <v>668365</v>
      </c>
      <c r="CW31">
        <v>541714</v>
      </c>
      <c r="CX31">
        <v>428659</v>
      </c>
      <c r="CY31">
        <v>338368</v>
      </c>
      <c r="CZ31">
        <v>275067</v>
      </c>
      <c r="DA31">
        <v>155823</v>
      </c>
      <c r="DB31">
        <v>269628</v>
      </c>
    </row>
    <row r="32" spans="1:106">
      <c r="A32">
        <v>0</v>
      </c>
      <c r="B32">
        <v>0</v>
      </c>
      <c r="C32">
        <v>0</v>
      </c>
      <c r="D32">
        <v>2046</v>
      </c>
      <c r="E32">
        <v>382907447</v>
      </c>
      <c r="F32">
        <v>4262884</v>
      </c>
      <c r="G32">
        <v>4269723</v>
      </c>
      <c r="H32">
        <v>4275741</v>
      </c>
      <c r="I32">
        <v>4279906</v>
      </c>
      <c r="J32">
        <v>4282886</v>
      </c>
      <c r="K32">
        <v>4285673</v>
      </c>
      <c r="L32">
        <v>4289057</v>
      </c>
      <c r="M32">
        <v>4293157</v>
      </c>
      <c r="N32">
        <v>4298251</v>
      </c>
      <c r="O32">
        <v>4304411</v>
      </c>
      <c r="P32">
        <v>4311249</v>
      </c>
      <c r="Q32">
        <v>4319014</v>
      </c>
      <c r="R32">
        <v>4327876</v>
      </c>
      <c r="S32">
        <v>4338441</v>
      </c>
      <c r="T32">
        <v>4351609</v>
      </c>
      <c r="U32">
        <v>4368763</v>
      </c>
      <c r="V32">
        <v>4391177</v>
      </c>
      <c r="W32">
        <v>4419560</v>
      </c>
      <c r="X32">
        <v>4453782</v>
      </c>
      <c r="Y32">
        <v>4491981</v>
      </c>
      <c r="Z32">
        <v>4531997</v>
      </c>
      <c r="AA32">
        <v>4572626</v>
      </c>
      <c r="AB32">
        <v>4612634</v>
      </c>
      <c r="AC32">
        <v>4650562</v>
      </c>
      <c r="AD32">
        <v>4685154</v>
      </c>
      <c r="AE32">
        <v>4715408</v>
      </c>
      <c r="AF32">
        <v>4740861</v>
      </c>
      <c r="AG32">
        <v>4760719</v>
      </c>
      <c r="AH32">
        <v>4775465</v>
      </c>
      <c r="AI32">
        <v>4785720</v>
      </c>
      <c r="AJ32">
        <v>4721798</v>
      </c>
      <c r="AK32">
        <v>4760526</v>
      </c>
      <c r="AL32">
        <v>4767425</v>
      </c>
      <c r="AM32">
        <v>4764860</v>
      </c>
      <c r="AN32">
        <v>4776459</v>
      </c>
      <c r="AO32">
        <v>4824608</v>
      </c>
      <c r="AP32">
        <v>4822959</v>
      </c>
      <c r="AQ32">
        <v>4822354</v>
      </c>
      <c r="AR32">
        <v>4944354</v>
      </c>
      <c r="AS32">
        <v>4956716</v>
      </c>
      <c r="AT32">
        <v>4914357</v>
      </c>
      <c r="AU32">
        <v>4891175</v>
      </c>
      <c r="AV32">
        <v>4887246</v>
      </c>
      <c r="AW32">
        <v>4843673</v>
      </c>
      <c r="AX32">
        <v>4811989</v>
      </c>
      <c r="AY32">
        <v>4891313</v>
      </c>
      <c r="AZ32">
        <v>4931905</v>
      </c>
      <c r="BA32">
        <v>4844461</v>
      </c>
      <c r="BB32">
        <v>4818371</v>
      </c>
      <c r="BC32">
        <v>4797942</v>
      </c>
      <c r="BD32">
        <v>4792081</v>
      </c>
      <c r="BE32">
        <v>4837901</v>
      </c>
      <c r="BF32">
        <v>4876297</v>
      </c>
      <c r="BG32">
        <v>4891580</v>
      </c>
      <c r="BH32">
        <v>4953905</v>
      </c>
      <c r="BI32">
        <v>4981777</v>
      </c>
      <c r="BJ32">
        <v>4920036</v>
      </c>
      <c r="BK32">
        <v>4696490</v>
      </c>
      <c r="BL32">
        <v>4547363</v>
      </c>
      <c r="BM32">
        <v>4429992</v>
      </c>
      <c r="BN32">
        <v>4399031</v>
      </c>
      <c r="BO32">
        <v>4380997</v>
      </c>
      <c r="BP32">
        <v>4207163</v>
      </c>
      <c r="BQ32">
        <v>4216739</v>
      </c>
      <c r="BR32">
        <v>4164813</v>
      </c>
      <c r="BS32">
        <v>4072774</v>
      </c>
      <c r="BT32">
        <v>4091146</v>
      </c>
      <c r="BU32">
        <v>3806178</v>
      </c>
      <c r="BV32">
        <v>3683982</v>
      </c>
      <c r="BW32">
        <v>3594164</v>
      </c>
      <c r="BX32">
        <v>3439617</v>
      </c>
      <c r="BY32">
        <v>3479436</v>
      </c>
      <c r="BZ32">
        <v>3316936</v>
      </c>
      <c r="CA32">
        <v>3299840</v>
      </c>
      <c r="CB32">
        <v>3369660</v>
      </c>
      <c r="CC32">
        <v>3474042</v>
      </c>
      <c r="CD32">
        <v>3427806</v>
      </c>
      <c r="CE32">
        <v>3171710</v>
      </c>
      <c r="CF32">
        <v>3016502</v>
      </c>
      <c r="CG32">
        <v>2924272</v>
      </c>
      <c r="CH32">
        <v>2867983</v>
      </c>
      <c r="CI32">
        <v>2911036</v>
      </c>
      <c r="CJ32">
        <v>2830035</v>
      </c>
      <c r="CK32">
        <v>2685266</v>
      </c>
      <c r="CL32">
        <v>2528142</v>
      </c>
      <c r="CM32">
        <v>2395387</v>
      </c>
      <c r="CN32">
        <v>2242123</v>
      </c>
      <c r="CO32">
        <v>1999889</v>
      </c>
      <c r="CP32">
        <v>1816339</v>
      </c>
      <c r="CQ32">
        <v>1624801</v>
      </c>
      <c r="CR32">
        <v>1402249</v>
      </c>
      <c r="CS32">
        <v>1228440</v>
      </c>
      <c r="CT32">
        <v>1028471</v>
      </c>
      <c r="CU32">
        <v>850660</v>
      </c>
      <c r="CV32">
        <v>691521</v>
      </c>
      <c r="CW32">
        <v>557379</v>
      </c>
      <c r="CX32">
        <v>443426</v>
      </c>
      <c r="CY32">
        <v>343938</v>
      </c>
      <c r="CZ32">
        <v>265712</v>
      </c>
      <c r="DA32">
        <v>211093</v>
      </c>
      <c r="DB32">
        <v>278549</v>
      </c>
    </row>
    <row r="33" spans="1:106">
      <c r="A33">
        <v>0</v>
      </c>
      <c r="B33">
        <v>0</v>
      </c>
      <c r="C33">
        <v>0</v>
      </c>
      <c r="D33">
        <v>2047</v>
      </c>
      <c r="E33">
        <v>384415207</v>
      </c>
      <c r="F33">
        <v>4275205</v>
      </c>
      <c r="G33">
        <v>4281602</v>
      </c>
      <c r="H33">
        <v>4286961</v>
      </c>
      <c r="I33">
        <v>4290420</v>
      </c>
      <c r="J33">
        <v>4292738</v>
      </c>
      <c r="K33">
        <v>4294914</v>
      </c>
      <c r="L33">
        <v>4297684</v>
      </c>
      <c r="M33">
        <v>4301436</v>
      </c>
      <c r="N33">
        <v>4306128</v>
      </c>
      <c r="O33">
        <v>4311644</v>
      </c>
      <c r="P33">
        <v>4317701</v>
      </c>
      <c r="Q33">
        <v>4324284</v>
      </c>
      <c r="R33">
        <v>4331865</v>
      </c>
      <c r="S33">
        <v>4341180</v>
      </c>
      <c r="T33">
        <v>4353263</v>
      </c>
      <c r="U33">
        <v>4369689</v>
      </c>
      <c r="V33">
        <v>4391921</v>
      </c>
      <c r="W33">
        <v>4420612</v>
      </c>
      <c r="X33">
        <v>4455635</v>
      </c>
      <c r="Y33">
        <v>4495159</v>
      </c>
      <c r="Z33">
        <v>4536761</v>
      </c>
      <c r="AA33">
        <v>4578610</v>
      </c>
      <c r="AB33">
        <v>4619878</v>
      </c>
      <c r="AC33">
        <v>4659746</v>
      </c>
      <c r="AD33">
        <v>4696964</v>
      </c>
      <c r="AE33">
        <v>4730288</v>
      </c>
      <c r="AF33">
        <v>4758841</v>
      </c>
      <c r="AG33">
        <v>4782119</v>
      </c>
      <c r="AH33">
        <v>4799621</v>
      </c>
      <c r="AI33">
        <v>4811547</v>
      </c>
      <c r="AJ33">
        <v>4818767</v>
      </c>
      <c r="AK33">
        <v>4751248</v>
      </c>
      <c r="AL33">
        <v>4786611</v>
      </c>
      <c r="AM33">
        <v>4790646</v>
      </c>
      <c r="AN33">
        <v>4785993</v>
      </c>
      <c r="AO33">
        <v>4795775</v>
      </c>
      <c r="AP33">
        <v>4842048</v>
      </c>
      <c r="AQ33">
        <v>4838580</v>
      </c>
      <c r="AR33">
        <v>4836437</v>
      </c>
      <c r="AS33">
        <v>4956799</v>
      </c>
      <c r="AT33">
        <v>4967447</v>
      </c>
      <c r="AU33">
        <v>4923261</v>
      </c>
      <c r="AV33">
        <v>4898547</v>
      </c>
      <c r="AW33">
        <v>4893391</v>
      </c>
      <c r="AX33">
        <v>4848923</v>
      </c>
      <c r="AY33">
        <v>4816099</v>
      </c>
      <c r="AZ33">
        <v>4893595</v>
      </c>
      <c r="BA33">
        <v>4931854</v>
      </c>
      <c r="BB33">
        <v>4842121</v>
      </c>
      <c r="BC33">
        <v>4813888</v>
      </c>
      <c r="BD33">
        <v>4791736</v>
      </c>
      <c r="BE33">
        <v>4784464</v>
      </c>
      <c r="BF33">
        <v>4829243</v>
      </c>
      <c r="BG33">
        <v>4866910</v>
      </c>
      <c r="BH33">
        <v>4881621</v>
      </c>
      <c r="BI33">
        <v>4943144</v>
      </c>
      <c r="BJ33">
        <v>4970091</v>
      </c>
      <c r="BK33">
        <v>4907609</v>
      </c>
      <c r="BL33">
        <v>4683760</v>
      </c>
      <c r="BM33">
        <v>4533938</v>
      </c>
      <c r="BN33">
        <v>4415438</v>
      </c>
      <c r="BO33">
        <v>4382411</v>
      </c>
      <c r="BP33">
        <v>4361645</v>
      </c>
      <c r="BQ33">
        <v>4185644</v>
      </c>
      <c r="BR33">
        <v>4191802</v>
      </c>
      <c r="BS33">
        <v>4136748</v>
      </c>
      <c r="BT33">
        <v>4041889</v>
      </c>
      <c r="BU33">
        <v>4056446</v>
      </c>
      <c r="BV33">
        <v>3770844</v>
      </c>
      <c r="BW33">
        <v>3646329</v>
      </c>
      <c r="BX33">
        <v>3553504</v>
      </c>
      <c r="BY33">
        <v>3396331</v>
      </c>
      <c r="BZ33">
        <v>3430350</v>
      </c>
      <c r="CA33">
        <v>3264755</v>
      </c>
      <c r="CB33">
        <v>3242035</v>
      </c>
      <c r="CC33">
        <v>3304126</v>
      </c>
      <c r="CD33">
        <v>3399122</v>
      </c>
      <c r="CE33">
        <v>3345706</v>
      </c>
      <c r="CF33">
        <v>3087321</v>
      </c>
      <c r="CG33">
        <v>2926853</v>
      </c>
      <c r="CH33">
        <v>2825934</v>
      </c>
      <c r="CI33">
        <v>2758685</v>
      </c>
      <c r="CJ33">
        <v>2786100</v>
      </c>
      <c r="CK33">
        <v>2693128</v>
      </c>
      <c r="CL33">
        <v>2538912</v>
      </c>
      <c r="CM33">
        <v>2373340</v>
      </c>
      <c r="CN33">
        <v>2232378</v>
      </c>
      <c r="CO33">
        <v>2072652</v>
      </c>
      <c r="CP33">
        <v>1832449</v>
      </c>
      <c r="CQ33">
        <v>1647945</v>
      </c>
      <c r="CR33">
        <v>1458204</v>
      </c>
      <c r="CS33">
        <v>1243444</v>
      </c>
      <c r="CT33">
        <v>1075049</v>
      </c>
      <c r="CU33">
        <v>887212</v>
      </c>
      <c r="CV33">
        <v>722401</v>
      </c>
      <c r="CW33">
        <v>577324</v>
      </c>
      <c r="CX33">
        <v>456844</v>
      </c>
      <c r="CY33">
        <v>356264</v>
      </c>
      <c r="CZ33">
        <v>270482</v>
      </c>
      <c r="DA33">
        <v>204240</v>
      </c>
      <c r="DB33">
        <v>323959</v>
      </c>
    </row>
    <row r="34" spans="1:106">
      <c r="A34">
        <v>0</v>
      </c>
      <c r="B34">
        <v>0</v>
      </c>
      <c r="C34">
        <v>0</v>
      </c>
      <c r="D34">
        <v>2048</v>
      </c>
      <c r="E34">
        <v>385917628</v>
      </c>
      <c r="F34">
        <v>4287874</v>
      </c>
      <c r="G34">
        <v>4294027</v>
      </c>
      <c r="H34">
        <v>4298920</v>
      </c>
      <c r="I34">
        <v>4301709</v>
      </c>
      <c r="J34">
        <v>4303313</v>
      </c>
      <c r="K34">
        <v>4304814</v>
      </c>
      <c r="L34">
        <v>4306970</v>
      </c>
      <c r="M34">
        <v>4310107</v>
      </c>
      <c r="N34">
        <v>4314454</v>
      </c>
      <c r="O34">
        <v>4319557</v>
      </c>
      <c r="P34">
        <v>4324974</v>
      </c>
      <c r="Q34">
        <v>4330778</v>
      </c>
      <c r="R34">
        <v>4337170</v>
      </c>
      <c r="S34">
        <v>4345209</v>
      </c>
      <c r="T34">
        <v>4356047</v>
      </c>
      <c r="U34">
        <v>4371404</v>
      </c>
      <c r="V34">
        <v>4392924</v>
      </c>
      <c r="W34">
        <v>4421466</v>
      </c>
      <c r="X34">
        <v>4456818</v>
      </c>
      <c r="Y34">
        <v>4497164</v>
      </c>
      <c r="Z34">
        <v>4540114</v>
      </c>
      <c r="AA34">
        <v>4583562</v>
      </c>
      <c r="AB34">
        <v>4626063</v>
      </c>
      <c r="AC34">
        <v>4667200</v>
      </c>
      <c r="AD34">
        <v>4706362</v>
      </c>
      <c r="AE34">
        <v>4742307</v>
      </c>
      <c r="AF34">
        <v>4773930</v>
      </c>
      <c r="AG34">
        <v>4800292</v>
      </c>
      <c r="AH34">
        <v>4821203</v>
      </c>
      <c r="AI34">
        <v>4835869</v>
      </c>
      <c r="AJ34">
        <v>4844747</v>
      </c>
      <c r="AK34">
        <v>4848374</v>
      </c>
      <c r="AL34">
        <v>4777457</v>
      </c>
      <c r="AM34">
        <v>4809937</v>
      </c>
      <c r="AN34">
        <v>4811893</v>
      </c>
      <c r="AO34">
        <v>4805432</v>
      </c>
      <c r="AP34">
        <v>4813370</v>
      </c>
      <c r="AQ34">
        <v>4857797</v>
      </c>
      <c r="AR34">
        <v>4852800</v>
      </c>
      <c r="AS34">
        <v>4849127</v>
      </c>
      <c r="AT34">
        <v>4967683</v>
      </c>
      <c r="AU34">
        <v>4976451</v>
      </c>
      <c r="AV34">
        <v>4930763</v>
      </c>
      <c r="AW34">
        <v>4904841</v>
      </c>
      <c r="AX34">
        <v>4898753</v>
      </c>
      <c r="AY34">
        <v>4853155</v>
      </c>
      <c r="AZ34">
        <v>4818686</v>
      </c>
      <c r="BA34">
        <v>4893802</v>
      </c>
      <c r="BB34">
        <v>4929521</v>
      </c>
      <c r="BC34">
        <v>4837771</v>
      </c>
      <c r="BD34">
        <v>4807835</v>
      </c>
      <c r="BE34">
        <v>4784336</v>
      </c>
      <c r="BF34">
        <v>4776200</v>
      </c>
      <c r="BG34">
        <v>4820287</v>
      </c>
      <c r="BH34">
        <v>4857335</v>
      </c>
      <c r="BI34">
        <v>4871436</v>
      </c>
      <c r="BJ34">
        <v>4931942</v>
      </c>
      <c r="BK34">
        <v>4957828</v>
      </c>
      <c r="BL34">
        <v>4894349</v>
      </c>
      <c r="BM34">
        <v>4670074</v>
      </c>
      <c r="BN34">
        <v>4519254</v>
      </c>
      <c r="BO34">
        <v>4399146</v>
      </c>
      <c r="BP34">
        <v>4363513</v>
      </c>
      <c r="BQ34">
        <v>4339586</v>
      </c>
      <c r="BR34">
        <v>4161431</v>
      </c>
      <c r="BS34">
        <v>4164054</v>
      </c>
      <c r="BT34">
        <v>4105816</v>
      </c>
      <c r="BU34">
        <v>4008283</v>
      </c>
      <c r="BV34">
        <v>4019031</v>
      </c>
      <c r="BW34">
        <v>3732732</v>
      </c>
      <c r="BX34">
        <v>3605566</v>
      </c>
      <c r="BY34">
        <v>3509254</v>
      </c>
      <c r="BZ34">
        <v>3349073</v>
      </c>
      <c r="CA34">
        <v>3376851</v>
      </c>
      <c r="CB34">
        <v>3208173</v>
      </c>
      <c r="CC34">
        <v>3179686</v>
      </c>
      <c r="CD34">
        <v>3233614</v>
      </c>
      <c r="CE34">
        <v>3318542</v>
      </c>
      <c r="CF34">
        <v>3257365</v>
      </c>
      <c r="CG34">
        <v>2996353</v>
      </c>
      <c r="CH34">
        <v>2829211</v>
      </c>
      <c r="CI34">
        <v>2719113</v>
      </c>
      <c r="CJ34">
        <v>2641193</v>
      </c>
      <c r="CK34">
        <v>2652175</v>
      </c>
      <c r="CL34">
        <v>2547282</v>
      </c>
      <c r="CM34">
        <v>2384358</v>
      </c>
      <c r="CN34">
        <v>2212799</v>
      </c>
      <c r="CO34">
        <v>2064847</v>
      </c>
      <c r="CP34">
        <v>1900116</v>
      </c>
      <c r="CQ34">
        <v>1663624</v>
      </c>
      <c r="CR34">
        <v>1479983</v>
      </c>
      <c r="CS34">
        <v>1294074</v>
      </c>
      <c r="CT34">
        <v>1089125</v>
      </c>
      <c r="CU34">
        <v>928219</v>
      </c>
      <c r="CV34">
        <v>754218</v>
      </c>
      <c r="CW34">
        <v>603788</v>
      </c>
      <c r="CX34">
        <v>473754</v>
      </c>
      <c r="CY34">
        <v>367553</v>
      </c>
      <c r="CZ34">
        <v>280576</v>
      </c>
      <c r="DA34">
        <v>208236</v>
      </c>
      <c r="DB34">
        <v>349478</v>
      </c>
    </row>
    <row r="35" spans="1:106">
      <c r="A35">
        <v>0</v>
      </c>
      <c r="B35">
        <v>0</v>
      </c>
      <c r="C35">
        <v>0</v>
      </c>
      <c r="D35">
        <v>2049</v>
      </c>
      <c r="E35">
        <v>387418788</v>
      </c>
      <c r="F35">
        <v>4300717</v>
      </c>
      <c r="G35">
        <v>4306794</v>
      </c>
      <c r="H35">
        <v>4311418</v>
      </c>
      <c r="I35">
        <v>4313731</v>
      </c>
      <c r="J35">
        <v>4314659</v>
      </c>
      <c r="K35">
        <v>4315439</v>
      </c>
      <c r="L35">
        <v>4316912</v>
      </c>
      <c r="M35">
        <v>4319437</v>
      </c>
      <c r="N35">
        <v>4323160</v>
      </c>
      <c r="O35">
        <v>4327919</v>
      </c>
      <c r="P35">
        <v>4332927</v>
      </c>
      <c r="Q35">
        <v>4338084</v>
      </c>
      <c r="R35">
        <v>4343701</v>
      </c>
      <c r="S35">
        <v>4350552</v>
      </c>
      <c r="T35">
        <v>4360119</v>
      </c>
      <c r="U35">
        <v>4374244</v>
      </c>
      <c r="V35">
        <v>4394713</v>
      </c>
      <c r="W35">
        <v>4422565</v>
      </c>
      <c r="X35">
        <v>4457801</v>
      </c>
      <c r="Y35">
        <v>4498496</v>
      </c>
      <c r="Z35">
        <v>4542283</v>
      </c>
      <c r="AA35">
        <v>4587089</v>
      </c>
      <c r="AB35">
        <v>4631205</v>
      </c>
      <c r="AC35">
        <v>4673585</v>
      </c>
      <c r="AD35">
        <v>4714021</v>
      </c>
      <c r="AE35">
        <v>4751907</v>
      </c>
      <c r="AF35">
        <v>4786146</v>
      </c>
      <c r="AG35">
        <v>4815576</v>
      </c>
      <c r="AH35">
        <v>4839553</v>
      </c>
      <c r="AI35">
        <v>4857615</v>
      </c>
      <c r="AJ35">
        <v>4869215</v>
      </c>
      <c r="AK35">
        <v>4874485</v>
      </c>
      <c r="AL35">
        <v>4874714</v>
      </c>
      <c r="AM35">
        <v>4800896</v>
      </c>
      <c r="AN35">
        <v>4831284</v>
      </c>
      <c r="AO35">
        <v>4831435</v>
      </c>
      <c r="AP35">
        <v>4823143</v>
      </c>
      <c r="AQ35">
        <v>4829274</v>
      </c>
      <c r="AR35">
        <v>4872136</v>
      </c>
      <c r="AS35">
        <v>4865615</v>
      </c>
      <c r="AT35">
        <v>4860250</v>
      </c>
      <c r="AU35">
        <v>4976836</v>
      </c>
      <c r="AV35">
        <v>4984041</v>
      </c>
      <c r="AW35">
        <v>4937180</v>
      </c>
      <c r="AX35">
        <v>4910350</v>
      </c>
      <c r="AY35">
        <v>4903091</v>
      </c>
      <c r="AZ35">
        <v>4855866</v>
      </c>
      <c r="BA35">
        <v>4819217</v>
      </c>
      <c r="BB35">
        <v>4891739</v>
      </c>
      <c r="BC35">
        <v>4925177</v>
      </c>
      <c r="BD35">
        <v>4831857</v>
      </c>
      <c r="BE35">
        <v>4800599</v>
      </c>
      <c r="BF35">
        <v>4776303</v>
      </c>
      <c r="BG35">
        <v>4767662</v>
      </c>
      <c r="BH35">
        <v>4811156</v>
      </c>
      <c r="BI35">
        <v>4847553</v>
      </c>
      <c r="BJ35">
        <v>4860824</v>
      </c>
      <c r="BK35">
        <v>4920172</v>
      </c>
      <c r="BL35">
        <v>4944731</v>
      </c>
      <c r="BM35">
        <v>4880103</v>
      </c>
      <c r="BN35">
        <v>4655114</v>
      </c>
      <c r="BO35">
        <v>4502827</v>
      </c>
      <c r="BP35">
        <v>4380588</v>
      </c>
      <c r="BQ35">
        <v>4341915</v>
      </c>
      <c r="BR35">
        <v>4314774</v>
      </c>
      <c r="BS35">
        <v>4134431</v>
      </c>
      <c r="BT35">
        <v>4133428</v>
      </c>
      <c r="BU35">
        <v>4072128</v>
      </c>
      <c r="BV35">
        <v>3971992</v>
      </c>
      <c r="BW35">
        <v>3978680</v>
      </c>
      <c r="BX35">
        <v>3691450</v>
      </c>
      <c r="BY35">
        <v>3561165</v>
      </c>
      <c r="BZ35">
        <v>3460916</v>
      </c>
      <c r="CA35">
        <v>3297510</v>
      </c>
      <c r="CB35">
        <v>3318820</v>
      </c>
      <c r="CC35">
        <v>3147099</v>
      </c>
      <c r="CD35">
        <v>3112560</v>
      </c>
      <c r="CE35">
        <v>3157752</v>
      </c>
      <c r="CF35">
        <v>3231786</v>
      </c>
      <c r="CG35">
        <v>3162098</v>
      </c>
      <c r="CH35">
        <v>2897169</v>
      </c>
      <c r="CI35">
        <v>2723027</v>
      </c>
      <c r="CJ35">
        <v>2604192</v>
      </c>
      <c r="CK35">
        <v>2515133</v>
      </c>
      <c r="CL35">
        <v>2509403</v>
      </c>
      <c r="CM35">
        <v>2393170</v>
      </c>
      <c r="CN35">
        <v>2224029</v>
      </c>
      <c r="CO35">
        <v>2047737</v>
      </c>
      <c r="CP35">
        <v>1894172</v>
      </c>
      <c r="CQ35">
        <v>1726056</v>
      </c>
      <c r="CR35">
        <v>1495109</v>
      </c>
      <c r="CS35">
        <v>1314377</v>
      </c>
      <c r="CT35">
        <v>1134429</v>
      </c>
      <c r="CU35">
        <v>941263</v>
      </c>
      <c r="CV35">
        <v>789836</v>
      </c>
      <c r="CW35">
        <v>631087</v>
      </c>
      <c r="CX35">
        <v>496077</v>
      </c>
      <c r="CY35">
        <v>381644</v>
      </c>
      <c r="CZ35">
        <v>289900</v>
      </c>
      <c r="DA35">
        <v>216335</v>
      </c>
      <c r="DB35">
        <v>368338</v>
      </c>
    </row>
    <row r="36" spans="1:106">
      <c r="A36">
        <v>0</v>
      </c>
      <c r="B36">
        <v>0</v>
      </c>
      <c r="C36">
        <v>0</v>
      </c>
      <c r="D36">
        <v>2050</v>
      </c>
      <c r="E36">
        <v>388922201</v>
      </c>
      <c r="F36">
        <v>4313446</v>
      </c>
      <c r="G36">
        <v>4319726</v>
      </c>
      <c r="H36">
        <v>4324259</v>
      </c>
      <c r="I36">
        <v>4326295</v>
      </c>
      <c r="J36">
        <v>4326735</v>
      </c>
      <c r="K36">
        <v>4326831</v>
      </c>
      <c r="L36">
        <v>4327577</v>
      </c>
      <c r="M36">
        <v>4329420</v>
      </c>
      <c r="N36">
        <v>4332527</v>
      </c>
      <c r="O36">
        <v>4336664</v>
      </c>
      <c r="P36">
        <v>4341320</v>
      </c>
      <c r="Q36">
        <v>4346071</v>
      </c>
      <c r="R36">
        <v>4351042</v>
      </c>
      <c r="S36">
        <v>4357119</v>
      </c>
      <c r="T36">
        <v>4365506</v>
      </c>
      <c r="U36">
        <v>4378373</v>
      </c>
      <c r="V36">
        <v>4397626</v>
      </c>
      <c r="W36">
        <v>4424447</v>
      </c>
      <c r="X36">
        <v>4459015</v>
      </c>
      <c r="Y36">
        <v>4499616</v>
      </c>
      <c r="Z36">
        <v>4543769</v>
      </c>
      <c r="AA36">
        <v>4589428</v>
      </c>
      <c r="AB36">
        <v>4634911</v>
      </c>
      <c r="AC36">
        <v>4678918</v>
      </c>
      <c r="AD36">
        <v>4720601</v>
      </c>
      <c r="AE36">
        <v>4759760</v>
      </c>
      <c r="AF36">
        <v>4795939</v>
      </c>
      <c r="AG36">
        <v>4827975</v>
      </c>
      <c r="AH36">
        <v>4855002</v>
      </c>
      <c r="AI36">
        <v>4876117</v>
      </c>
      <c r="AJ36">
        <v>4891098</v>
      </c>
      <c r="AK36">
        <v>4899083</v>
      </c>
      <c r="AL36">
        <v>4900943</v>
      </c>
      <c r="AM36">
        <v>4898264</v>
      </c>
      <c r="AN36">
        <v>4822341</v>
      </c>
      <c r="AO36">
        <v>4850915</v>
      </c>
      <c r="AP36">
        <v>4849245</v>
      </c>
      <c r="AQ36">
        <v>4839159</v>
      </c>
      <c r="AR36">
        <v>4843764</v>
      </c>
      <c r="AS36">
        <v>4885067</v>
      </c>
      <c r="AT36">
        <v>4876860</v>
      </c>
      <c r="AU36">
        <v>4869639</v>
      </c>
      <c r="AV36">
        <v>4984568</v>
      </c>
      <c r="AW36">
        <v>4990550</v>
      </c>
      <c r="AX36">
        <v>4942807</v>
      </c>
      <c r="AY36">
        <v>4914836</v>
      </c>
      <c r="AZ36">
        <v>4905906</v>
      </c>
      <c r="BA36">
        <v>4856521</v>
      </c>
      <c r="BB36">
        <v>4817484</v>
      </c>
      <c r="BC36">
        <v>4887670</v>
      </c>
      <c r="BD36">
        <v>4919258</v>
      </c>
      <c r="BE36">
        <v>4824767</v>
      </c>
      <c r="BF36">
        <v>4792738</v>
      </c>
      <c r="BG36">
        <v>4768004</v>
      </c>
      <c r="BH36">
        <v>4758973</v>
      </c>
      <c r="BI36">
        <v>4801839</v>
      </c>
      <c r="BJ36">
        <v>4837361</v>
      </c>
      <c r="BK36">
        <v>4849670</v>
      </c>
      <c r="BL36">
        <v>4907585</v>
      </c>
      <c r="BM36">
        <v>4930641</v>
      </c>
      <c r="BN36">
        <v>4864541</v>
      </c>
      <c r="BO36">
        <v>4638371</v>
      </c>
      <c r="BP36">
        <v>4484104</v>
      </c>
      <c r="BQ36">
        <v>4359340</v>
      </c>
      <c r="BR36">
        <v>4317580</v>
      </c>
      <c r="BS36">
        <v>4287107</v>
      </c>
      <c r="BT36">
        <v>4104579</v>
      </c>
      <c r="BU36">
        <v>4100034</v>
      </c>
      <c r="BV36">
        <v>4035727</v>
      </c>
      <c r="BW36">
        <v>3932796</v>
      </c>
      <c r="BX36">
        <v>3934979</v>
      </c>
      <c r="BY36">
        <v>3646461</v>
      </c>
      <c r="BZ36">
        <v>3512631</v>
      </c>
      <c r="CA36">
        <v>3408161</v>
      </c>
      <c r="CB36">
        <v>3241520</v>
      </c>
      <c r="CC36">
        <v>3256159</v>
      </c>
      <c r="CD36">
        <v>3081312</v>
      </c>
      <c r="CE36">
        <v>3040293</v>
      </c>
      <c r="CF36">
        <v>3076018</v>
      </c>
      <c r="CG36">
        <v>3138159</v>
      </c>
      <c r="CH36">
        <v>3058148</v>
      </c>
      <c r="CI36">
        <v>2789213</v>
      </c>
      <c r="CJ36">
        <v>2608700</v>
      </c>
      <c r="CK36">
        <v>2480798</v>
      </c>
      <c r="CL36">
        <v>2380622</v>
      </c>
      <c r="CM36">
        <v>2358426</v>
      </c>
      <c r="CN36">
        <v>2233230</v>
      </c>
      <c r="CO36">
        <v>2059112</v>
      </c>
      <c r="CP36">
        <v>1879489</v>
      </c>
      <c r="CQ36">
        <v>1721846</v>
      </c>
      <c r="CR36">
        <v>1552202</v>
      </c>
      <c r="CS36">
        <v>1328819</v>
      </c>
      <c r="CT36">
        <v>1153161</v>
      </c>
      <c r="CU36">
        <v>981318</v>
      </c>
      <c r="CV36">
        <v>801759</v>
      </c>
      <c r="CW36">
        <v>661578</v>
      </c>
      <c r="CX36">
        <v>519129</v>
      </c>
      <c r="CY36">
        <v>400153</v>
      </c>
      <c r="CZ36">
        <v>301424</v>
      </c>
      <c r="DA36">
        <v>223879</v>
      </c>
      <c r="DB36">
        <v>385732</v>
      </c>
    </row>
    <row r="37" spans="1:106">
      <c r="A37">
        <v>0</v>
      </c>
      <c r="B37">
        <v>0</v>
      </c>
      <c r="C37">
        <v>0</v>
      </c>
      <c r="D37">
        <v>2051</v>
      </c>
      <c r="E37">
        <v>390430803</v>
      </c>
      <c r="F37">
        <v>4325825</v>
      </c>
      <c r="G37">
        <v>4332545</v>
      </c>
      <c r="H37">
        <v>4337264</v>
      </c>
      <c r="I37">
        <v>4339197</v>
      </c>
      <c r="J37">
        <v>4339353</v>
      </c>
      <c r="K37">
        <v>4338952</v>
      </c>
      <c r="L37">
        <v>4339007</v>
      </c>
      <c r="M37">
        <v>4340120</v>
      </c>
      <c r="N37">
        <v>4342545</v>
      </c>
      <c r="O37">
        <v>4346064</v>
      </c>
      <c r="P37">
        <v>4350099</v>
      </c>
      <c r="Q37">
        <v>4354495</v>
      </c>
      <c r="R37">
        <v>4359059</v>
      </c>
      <c r="S37">
        <v>4364492</v>
      </c>
      <c r="T37">
        <v>4372113</v>
      </c>
      <c r="U37">
        <v>4383809</v>
      </c>
      <c r="V37">
        <v>4401819</v>
      </c>
      <c r="W37">
        <v>4427446</v>
      </c>
      <c r="X37">
        <v>4461008</v>
      </c>
      <c r="Y37">
        <v>4500963</v>
      </c>
      <c r="Z37">
        <v>4545036</v>
      </c>
      <c r="AA37">
        <v>4591073</v>
      </c>
      <c r="AB37">
        <v>4637421</v>
      </c>
      <c r="AC37">
        <v>4682807</v>
      </c>
      <c r="AD37">
        <v>4726119</v>
      </c>
      <c r="AE37">
        <v>4766527</v>
      </c>
      <c r="AF37">
        <v>4803970</v>
      </c>
      <c r="AG37">
        <v>4837941</v>
      </c>
      <c r="AH37">
        <v>4867566</v>
      </c>
      <c r="AI37">
        <v>4891716</v>
      </c>
      <c r="AJ37">
        <v>4909739</v>
      </c>
      <c r="AK37">
        <v>4921085</v>
      </c>
      <c r="AL37">
        <v>4925648</v>
      </c>
      <c r="AM37">
        <v>4924594</v>
      </c>
      <c r="AN37">
        <v>4919796</v>
      </c>
      <c r="AO37">
        <v>4842066</v>
      </c>
      <c r="AP37">
        <v>4868811</v>
      </c>
      <c r="AQ37">
        <v>4865353</v>
      </c>
      <c r="AR37">
        <v>4853756</v>
      </c>
      <c r="AS37">
        <v>4856841</v>
      </c>
      <c r="AT37">
        <v>4896423</v>
      </c>
      <c r="AU37">
        <v>4886364</v>
      </c>
      <c r="AV37">
        <v>4877607</v>
      </c>
      <c r="AW37">
        <v>4991214</v>
      </c>
      <c r="AX37">
        <v>4996261</v>
      </c>
      <c r="AY37">
        <v>4947409</v>
      </c>
      <c r="AZ37">
        <v>4917801</v>
      </c>
      <c r="BA37">
        <v>4906662</v>
      </c>
      <c r="BB37">
        <v>4854913</v>
      </c>
      <c r="BC37">
        <v>4813769</v>
      </c>
      <c r="BD37">
        <v>4882043</v>
      </c>
      <c r="BE37">
        <v>4912164</v>
      </c>
      <c r="BF37">
        <v>4817059</v>
      </c>
      <c r="BG37">
        <v>4784623</v>
      </c>
      <c r="BH37">
        <v>4759565</v>
      </c>
      <c r="BI37">
        <v>4750120</v>
      </c>
      <c r="BJ37">
        <v>4792139</v>
      </c>
      <c r="BK37">
        <v>4826643</v>
      </c>
      <c r="BL37">
        <v>4837725</v>
      </c>
      <c r="BM37">
        <v>4894029</v>
      </c>
      <c r="BN37">
        <v>4915241</v>
      </c>
      <c r="BO37">
        <v>4847152</v>
      </c>
      <c r="BP37">
        <v>4619301</v>
      </c>
      <c r="BQ37">
        <v>4462663</v>
      </c>
      <c r="BR37">
        <v>4335357</v>
      </c>
      <c r="BS37">
        <v>4290392</v>
      </c>
      <c r="BT37">
        <v>4256507</v>
      </c>
      <c r="BU37">
        <v>4071974</v>
      </c>
      <c r="BV37">
        <v>4063901</v>
      </c>
      <c r="BW37">
        <v>3996381</v>
      </c>
      <c r="BX37">
        <v>3890295</v>
      </c>
      <c r="BY37">
        <v>3887360</v>
      </c>
      <c r="BZ37">
        <v>3597276</v>
      </c>
      <c r="CA37">
        <v>3459640</v>
      </c>
      <c r="CB37">
        <v>3350860</v>
      </c>
      <c r="CC37">
        <v>3181021</v>
      </c>
      <c r="CD37">
        <v>3188645</v>
      </c>
      <c r="CE37">
        <v>3010442</v>
      </c>
      <c r="CF37">
        <v>2962399</v>
      </c>
      <c r="CG37">
        <v>2987756</v>
      </c>
      <c r="CH37">
        <v>3035895</v>
      </c>
      <c r="CI37">
        <v>2944918</v>
      </c>
      <c r="CJ37">
        <v>2672903</v>
      </c>
      <c r="CK37">
        <v>2485833</v>
      </c>
      <c r="CL37">
        <v>2349034</v>
      </c>
      <c r="CM37">
        <v>2238255</v>
      </c>
      <c r="CN37">
        <v>2201689</v>
      </c>
      <c r="CO37">
        <v>2068641</v>
      </c>
      <c r="CP37">
        <v>1890917</v>
      </c>
      <c r="CQ37">
        <v>1709520</v>
      </c>
      <c r="CR37">
        <v>1549588</v>
      </c>
      <c r="CS37">
        <v>1380528</v>
      </c>
      <c r="CT37">
        <v>1166801</v>
      </c>
      <c r="CU37">
        <v>998396</v>
      </c>
      <c r="CV37">
        <v>836711</v>
      </c>
      <c r="CW37">
        <v>672303</v>
      </c>
      <c r="CX37">
        <v>544817</v>
      </c>
      <c r="CY37">
        <v>419285</v>
      </c>
      <c r="CZ37">
        <v>316479</v>
      </c>
      <c r="DA37">
        <v>233112</v>
      </c>
      <c r="DB37">
        <v>402042</v>
      </c>
    </row>
    <row r="38" spans="1:106">
      <c r="A38">
        <v>0</v>
      </c>
      <c r="B38">
        <v>0</v>
      </c>
      <c r="C38">
        <v>0</v>
      </c>
      <c r="D38">
        <v>2052</v>
      </c>
      <c r="E38">
        <v>391947055</v>
      </c>
      <c r="F38">
        <v>4337643</v>
      </c>
      <c r="G38">
        <v>4345016</v>
      </c>
      <c r="H38">
        <v>4350150</v>
      </c>
      <c r="I38">
        <v>4352266</v>
      </c>
      <c r="J38">
        <v>4352307</v>
      </c>
      <c r="K38">
        <v>4351610</v>
      </c>
      <c r="L38">
        <v>4351170</v>
      </c>
      <c r="M38">
        <v>4351589</v>
      </c>
      <c r="N38">
        <v>4353279</v>
      </c>
      <c r="O38">
        <v>4356112</v>
      </c>
      <c r="P38">
        <v>4359528</v>
      </c>
      <c r="Q38">
        <v>4363306</v>
      </c>
      <c r="R38">
        <v>4367513</v>
      </c>
      <c r="S38">
        <v>4372541</v>
      </c>
      <c r="T38">
        <v>4379524</v>
      </c>
      <c r="U38">
        <v>4390466</v>
      </c>
      <c r="V38">
        <v>4407322</v>
      </c>
      <c r="W38">
        <v>4431727</v>
      </c>
      <c r="X38">
        <v>4464116</v>
      </c>
      <c r="Y38">
        <v>4503085</v>
      </c>
      <c r="Z38">
        <v>4546528</v>
      </c>
      <c r="AA38">
        <v>4592498</v>
      </c>
      <c r="AB38">
        <v>4639235</v>
      </c>
      <c r="AC38">
        <v>4685502</v>
      </c>
      <c r="AD38">
        <v>4730200</v>
      </c>
      <c r="AE38">
        <v>4772234</v>
      </c>
      <c r="AF38">
        <v>4810920</v>
      </c>
      <c r="AG38">
        <v>4846144</v>
      </c>
      <c r="AH38">
        <v>4877695</v>
      </c>
      <c r="AI38">
        <v>4904434</v>
      </c>
      <c r="AJ38">
        <v>4925471</v>
      </c>
      <c r="AK38">
        <v>4939849</v>
      </c>
      <c r="AL38">
        <v>4947762</v>
      </c>
      <c r="AM38">
        <v>4949397</v>
      </c>
      <c r="AN38">
        <v>4946225</v>
      </c>
      <c r="AO38">
        <v>4939594</v>
      </c>
      <c r="AP38">
        <v>4860052</v>
      </c>
      <c r="AQ38">
        <v>4885001</v>
      </c>
      <c r="AR38">
        <v>4880046</v>
      </c>
      <c r="AS38">
        <v>4866938</v>
      </c>
      <c r="AT38">
        <v>4868341</v>
      </c>
      <c r="AU38">
        <v>4906035</v>
      </c>
      <c r="AV38">
        <v>4894445</v>
      </c>
      <c r="AW38">
        <v>4884494</v>
      </c>
      <c r="AX38">
        <v>4997061</v>
      </c>
      <c r="AY38">
        <v>5000946</v>
      </c>
      <c r="AZ38">
        <v>4950496</v>
      </c>
      <c r="BA38">
        <v>4918707</v>
      </c>
      <c r="BB38">
        <v>4905155</v>
      </c>
      <c r="BC38">
        <v>4851321</v>
      </c>
      <c r="BD38">
        <v>4808521</v>
      </c>
      <c r="BE38">
        <v>4875252</v>
      </c>
      <c r="BF38">
        <v>4904452</v>
      </c>
      <c r="BG38">
        <v>4809109</v>
      </c>
      <c r="BH38">
        <v>4776386</v>
      </c>
      <c r="BI38">
        <v>4750979</v>
      </c>
      <c r="BJ38">
        <v>4740907</v>
      </c>
      <c r="BK38">
        <v>4781928</v>
      </c>
      <c r="BL38">
        <v>4815154</v>
      </c>
      <c r="BM38">
        <v>4824836</v>
      </c>
      <c r="BN38">
        <v>4879179</v>
      </c>
      <c r="BO38">
        <v>4898013</v>
      </c>
      <c r="BP38">
        <v>4827379</v>
      </c>
      <c r="BQ38">
        <v>4597468</v>
      </c>
      <c r="BR38">
        <v>4438447</v>
      </c>
      <c r="BS38">
        <v>4308521</v>
      </c>
      <c r="BT38">
        <v>4260274</v>
      </c>
      <c r="BU38">
        <v>4223068</v>
      </c>
      <c r="BV38">
        <v>4036643</v>
      </c>
      <c r="BW38">
        <v>4024815</v>
      </c>
      <c r="BX38">
        <v>3953697</v>
      </c>
      <c r="BY38">
        <v>3843932</v>
      </c>
      <c r="BZ38">
        <v>3835306</v>
      </c>
      <c r="CA38">
        <v>3543550</v>
      </c>
      <c r="CB38">
        <v>3402051</v>
      </c>
      <c r="CC38">
        <v>3288913</v>
      </c>
      <c r="CD38">
        <v>3115784</v>
      </c>
      <c r="CE38">
        <v>3115887</v>
      </c>
      <c r="CF38">
        <v>2933999</v>
      </c>
      <c r="CG38">
        <v>2878223</v>
      </c>
      <c r="CH38">
        <v>2891235</v>
      </c>
      <c r="CI38">
        <v>2924401</v>
      </c>
      <c r="CJ38">
        <v>2822875</v>
      </c>
      <c r="CK38">
        <v>2547838</v>
      </c>
      <c r="CL38">
        <v>2354538</v>
      </c>
      <c r="CM38">
        <v>2209478</v>
      </c>
      <c r="CN38">
        <v>2090398</v>
      </c>
      <c r="CO38">
        <v>2040334</v>
      </c>
      <c r="CP38">
        <v>1900690</v>
      </c>
      <c r="CQ38">
        <v>1720912</v>
      </c>
      <c r="CR38">
        <v>1539494</v>
      </c>
      <c r="CS38">
        <v>1379330</v>
      </c>
      <c r="CT38">
        <v>1213129</v>
      </c>
      <c r="CU38">
        <v>1011119</v>
      </c>
      <c r="CV38">
        <v>852085</v>
      </c>
      <c r="CW38">
        <v>702366</v>
      </c>
      <c r="CX38">
        <v>554309</v>
      </c>
      <c r="CY38">
        <v>440562</v>
      </c>
      <c r="CZ38">
        <v>332070</v>
      </c>
      <c r="DA38">
        <v>245118</v>
      </c>
      <c r="DB38">
        <v>419105</v>
      </c>
    </row>
    <row r="39" spans="1:106">
      <c r="A39">
        <v>0</v>
      </c>
      <c r="B39">
        <v>0</v>
      </c>
      <c r="C39">
        <v>0</v>
      </c>
      <c r="D39">
        <v>2053</v>
      </c>
      <c r="E39">
        <v>393472783</v>
      </c>
      <c r="F39">
        <v>4348788</v>
      </c>
      <c r="G39">
        <v>4356925</v>
      </c>
      <c r="H39">
        <v>4362692</v>
      </c>
      <c r="I39">
        <v>4365217</v>
      </c>
      <c r="J39">
        <v>4365427</v>
      </c>
      <c r="K39">
        <v>4364611</v>
      </c>
      <c r="L39">
        <v>4363867</v>
      </c>
      <c r="M39">
        <v>4363787</v>
      </c>
      <c r="N39">
        <v>4364782</v>
      </c>
      <c r="O39">
        <v>4366879</v>
      </c>
      <c r="P39">
        <v>4369608</v>
      </c>
      <c r="Q39">
        <v>4372767</v>
      </c>
      <c r="R39">
        <v>4376356</v>
      </c>
      <c r="S39">
        <v>4381029</v>
      </c>
      <c r="T39">
        <v>4387611</v>
      </c>
      <c r="U39">
        <v>4397927</v>
      </c>
      <c r="V39">
        <v>4414047</v>
      </c>
      <c r="W39">
        <v>4437317</v>
      </c>
      <c r="X39">
        <v>4468507</v>
      </c>
      <c r="Y39">
        <v>4506326</v>
      </c>
      <c r="Z39">
        <v>4548796</v>
      </c>
      <c r="AA39">
        <v>4594151</v>
      </c>
      <c r="AB39">
        <v>4640834</v>
      </c>
      <c r="AC39">
        <v>4687501</v>
      </c>
      <c r="AD39">
        <v>4733085</v>
      </c>
      <c r="AE39">
        <v>4776498</v>
      </c>
      <c r="AF39">
        <v>4816814</v>
      </c>
      <c r="AG39">
        <v>4853272</v>
      </c>
      <c r="AH39">
        <v>4886065</v>
      </c>
      <c r="AI39">
        <v>4914717</v>
      </c>
      <c r="AJ39">
        <v>4938331</v>
      </c>
      <c r="AK39">
        <v>4955710</v>
      </c>
      <c r="AL39">
        <v>4966639</v>
      </c>
      <c r="AM39">
        <v>4971619</v>
      </c>
      <c r="AN39">
        <v>4971127</v>
      </c>
      <c r="AO39">
        <v>4966120</v>
      </c>
      <c r="AP39">
        <v>4957648</v>
      </c>
      <c r="AQ39">
        <v>4876334</v>
      </c>
      <c r="AR39">
        <v>4899771</v>
      </c>
      <c r="AS39">
        <v>4893318</v>
      </c>
      <c r="AT39">
        <v>4878542</v>
      </c>
      <c r="AU39">
        <v>4878100</v>
      </c>
      <c r="AV39">
        <v>4914220</v>
      </c>
      <c r="AW39">
        <v>4901445</v>
      </c>
      <c r="AX39">
        <v>4890598</v>
      </c>
      <c r="AY39">
        <v>5001886</v>
      </c>
      <c r="AZ39">
        <v>5004114</v>
      </c>
      <c r="BA39">
        <v>4951526</v>
      </c>
      <c r="BB39">
        <v>4917358</v>
      </c>
      <c r="BC39">
        <v>4901667</v>
      </c>
      <c r="BD39">
        <v>4846202</v>
      </c>
      <c r="BE39">
        <v>4802123</v>
      </c>
      <c r="BF39">
        <v>4867861</v>
      </c>
      <c r="BG39">
        <v>4896506</v>
      </c>
      <c r="BH39">
        <v>4801048</v>
      </c>
      <c r="BI39">
        <v>4768014</v>
      </c>
      <c r="BJ39">
        <v>4742052</v>
      </c>
      <c r="BK39">
        <v>4731203</v>
      </c>
      <c r="BL39">
        <v>4770974</v>
      </c>
      <c r="BM39">
        <v>4802740</v>
      </c>
      <c r="BN39">
        <v>4810675</v>
      </c>
      <c r="BO39">
        <v>4862526</v>
      </c>
      <c r="BP39">
        <v>4878397</v>
      </c>
      <c r="BQ39">
        <v>4804768</v>
      </c>
      <c r="BR39">
        <v>4572812</v>
      </c>
      <c r="BS39">
        <v>4411339</v>
      </c>
      <c r="BT39">
        <v>4278748</v>
      </c>
      <c r="BU39">
        <v>4227325</v>
      </c>
      <c r="BV39">
        <v>4186823</v>
      </c>
      <c r="BW39">
        <v>3998382</v>
      </c>
      <c r="BX39">
        <v>3982370</v>
      </c>
      <c r="BY39">
        <v>3907109</v>
      </c>
      <c r="BZ39">
        <v>3793198</v>
      </c>
      <c r="CA39">
        <v>3778451</v>
      </c>
      <c r="CB39">
        <v>3485138</v>
      </c>
      <c r="CC39">
        <v>3339762</v>
      </c>
      <c r="CD39">
        <v>3222079</v>
      </c>
      <c r="CE39">
        <v>3045419</v>
      </c>
      <c r="CF39">
        <v>3037376</v>
      </c>
      <c r="CG39">
        <v>2851339</v>
      </c>
      <c r="CH39">
        <v>2786061</v>
      </c>
      <c r="CI39">
        <v>2785876</v>
      </c>
      <c r="CJ39">
        <v>2804147</v>
      </c>
      <c r="CK39">
        <v>2691591</v>
      </c>
      <c r="CL39">
        <v>2414119</v>
      </c>
      <c r="CM39">
        <v>2215383</v>
      </c>
      <c r="CN39">
        <v>2064470</v>
      </c>
      <c r="CO39">
        <v>1938120</v>
      </c>
      <c r="CP39">
        <v>1875616</v>
      </c>
      <c r="CQ39">
        <v>1730826</v>
      </c>
      <c r="CR39">
        <v>1550739</v>
      </c>
      <c r="CS39">
        <v>1371319</v>
      </c>
      <c r="CT39">
        <v>1213149</v>
      </c>
      <c r="CU39">
        <v>1052140</v>
      </c>
      <c r="CV39">
        <v>863783</v>
      </c>
      <c r="CW39">
        <v>716008</v>
      </c>
      <c r="CX39">
        <v>579768</v>
      </c>
      <c r="CY39">
        <v>448805</v>
      </c>
      <c r="CZ39">
        <v>349368</v>
      </c>
      <c r="DA39">
        <v>257567</v>
      </c>
      <c r="DB39">
        <v>438893</v>
      </c>
    </row>
    <row r="40" spans="1:106">
      <c r="A40">
        <v>0</v>
      </c>
      <c r="B40">
        <v>0</v>
      </c>
      <c r="C40">
        <v>0</v>
      </c>
      <c r="D40">
        <v>2054</v>
      </c>
      <c r="E40">
        <v>395009307</v>
      </c>
      <c r="F40">
        <v>4359221</v>
      </c>
      <c r="G40">
        <v>4368159</v>
      </c>
      <c r="H40">
        <v>4374671</v>
      </c>
      <c r="I40">
        <v>4377819</v>
      </c>
      <c r="J40">
        <v>4378435</v>
      </c>
      <c r="K40">
        <v>4377776</v>
      </c>
      <c r="L40">
        <v>4376906</v>
      </c>
      <c r="M40">
        <v>4376523</v>
      </c>
      <c r="N40">
        <v>4377015</v>
      </c>
      <c r="O40">
        <v>4378418</v>
      </c>
      <c r="P40">
        <v>4380408</v>
      </c>
      <c r="Q40">
        <v>4382876</v>
      </c>
      <c r="R40">
        <v>4385847</v>
      </c>
      <c r="S40">
        <v>4389903</v>
      </c>
      <c r="T40">
        <v>4396139</v>
      </c>
      <c r="U40">
        <v>4406062</v>
      </c>
      <c r="V40">
        <v>4421572</v>
      </c>
      <c r="W40">
        <v>4444129</v>
      </c>
      <c r="X40">
        <v>4474209</v>
      </c>
      <c r="Y40">
        <v>4510853</v>
      </c>
      <c r="Z40">
        <v>4552183</v>
      </c>
      <c r="AA40">
        <v>4596581</v>
      </c>
      <c r="AB40">
        <v>4642656</v>
      </c>
      <c r="AC40">
        <v>4689287</v>
      </c>
      <c r="AD40">
        <v>4735276</v>
      </c>
      <c r="AE40">
        <v>4779577</v>
      </c>
      <c r="AF40">
        <v>4821262</v>
      </c>
      <c r="AG40">
        <v>4859342</v>
      </c>
      <c r="AH40">
        <v>4893359</v>
      </c>
      <c r="AI40">
        <v>4923238</v>
      </c>
      <c r="AJ40">
        <v>4948751</v>
      </c>
      <c r="AK40">
        <v>4968694</v>
      </c>
      <c r="AL40">
        <v>4982614</v>
      </c>
      <c r="AM40">
        <v>4990605</v>
      </c>
      <c r="AN40">
        <v>4993447</v>
      </c>
      <c r="AO40">
        <v>4991114</v>
      </c>
      <c r="AP40">
        <v>4984263</v>
      </c>
      <c r="AQ40">
        <v>4973996</v>
      </c>
      <c r="AR40">
        <v>4891192</v>
      </c>
      <c r="AS40">
        <v>4913122</v>
      </c>
      <c r="AT40">
        <v>4905006</v>
      </c>
      <c r="AU40">
        <v>4888402</v>
      </c>
      <c r="AV40">
        <v>4886428</v>
      </c>
      <c r="AW40">
        <v>4921326</v>
      </c>
      <c r="AX40">
        <v>4907659</v>
      </c>
      <c r="AY40">
        <v>4895688</v>
      </c>
      <c r="AZ40">
        <v>5005198</v>
      </c>
      <c r="BA40">
        <v>5005224</v>
      </c>
      <c r="BB40">
        <v>4950307</v>
      </c>
      <c r="BC40">
        <v>4914038</v>
      </c>
      <c r="BD40">
        <v>4896657</v>
      </c>
      <c r="BE40">
        <v>4839943</v>
      </c>
      <c r="BF40">
        <v>4795144</v>
      </c>
      <c r="BG40">
        <v>4860253</v>
      </c>
      <c r="BH40">
        <v>4888453</v>
      </c>
      <c r="BI40">
        <v>4792870</v>
      </c>
      <c r="BJ40">
        <v>4759308</v>
      </c>
      <c r="BK40">
        <v>4732651</v>
      </c>
      <c r="BL40">
        <v>4720779</v>
      </c>
      <c r="BM40">
        <v>4759113</v>
      </c>
      <c r="BN40">
        <v>4789076</v>
      </c>
      <c r="BO40">
        <v>4794745</v>
      </c>
      <c r="BP40">
        <v>4843508</v>
      </c>
      <c r="BQ40">
        <v>4855931</v>
      </c>
      <c r="BR40">
        <v>4779246</v>
      </c>
      <c r="BS40">
        <v>4545203</v>
      </c>
      <c r="BT40">
        <v>4381251</v>
      </c>
      <c r="BU40">
        <v>4246144</v>
      </c>
      <c r="BV40">
        <v>4191560</v>
      </c>
      <c r="BW40">
        <v>4147549</v>
      </c>
      <c r="BX40">
        <v>3956790</v>
      </c>
      <c r="BY40">
        <v>3936009</v>
      </c>
      <c r="BZ40">
        <v>3856104</v>
      </c>
      <c r="CA40">
        <v>3737728</v>
      </c>
      <c r="CB40">
        <v>3716637</v>
      </c>
      <c r="CC40">
        <v>3421933</v>
      </c>
      <c r="CD40">
        <v>3272525</v>
      </c>
      <c r="CE40">
        <v>3149964</v>
      </c>
      <c r="CF40">
        <v>2969441</v>
      </c>
      <c r="CG40">
        <v>2952435</v>
      </c>
      <c r="CH40">
        <v>2760755</v>
      </c>
      <c r="CI40">
        <v>2685345</v>
      </c>
      <c r="CJ40">
        <v>2672128</v>
      </c>
      <c r="CK40">
        <v>2674703</v>
      </c>
      <c r="CL40">
        <v>2551170</v>
      </c>
      <c r="CM40">
        <v>2272326</v>
      </c>
      <c r="CN40">
        <v>2070760</v>
      </c>
      <c r="CO40">
        <v>1915043</v>
      </c>
      <c r="CP40">
        <v>1782588</v>
      </c>
      <c r="CQ40">
        <v>1708926</v>
      </c>
      <c r="CR40">
        <v>1560685</v>
      </c>
      <c r="CS40">
        <v>1382300</v>
      </c>
      <c r="CT40">
        <v>1207038</v>
      </c>
      <c r="CU40">
        <v>1053171</v>
      </c>
      <c r="CV40">
        <v>899635</v>
      </c>
      <c r="CW40">
        <v>726603</v>
      </c>
      <c r="CX40">
        <v>591682</v>
      </c>
      <c r="CY40">
        <v>470006</v>
      </c>
      <c r="CZ40">
        <v>356391</v>
      </c>
      <c r="DA40">
        <v>271360</v>
      </c>
      <c r="DB40">
        <v>460966</v>
      </c>
    </row>
    <row r="41" spans="1:106">
      <c r="A41">
        <v>0</v>
      </c>
      <c r="B41">
        <v>0</v>
      </c>
      <c r="C41">
        <v>0</v>
      </c>
      <c r="D41">
        <v>2055</v>
      </c>
      <c r="E41">
        <v>396557404</v>
      </c>
      <c r="F41">
        <v>4368875</v>
      </c>
      <c r="G41">
        <v>4378687</v>
      </c>
      <c r="H41">
        <v>4385976</v>
      </c>
      <c r="I41">
        <v>4389865</v>
      </c>
      <c r="J41">
        <v>4391090</v>
      </c>
      <c r="K41">
        <v>4390831</v>
      </c>
      <c r="L41">
        <v>4390111</v>
      </c>
      <c r="M41">
        <v>4389597</v>
      </c>
      <c r="N41">
        <v>4389787</v>
      </c>
      <c r="O41">
        <v>4390684</v>
      </c>
      <c r="P41">
        <v>4391980</v>
      </c>
      <c r="Q41">
        <v>4393711</v>
      </c>
      <c r="R41">
        <v>4395992</v>
      </c>
      <c r="S41">
        <v>4399429</v>
      </c>
      <c r="T41">
        <v>4405053</v>
      </c>
      <c r="U41">
        <v>4414641</v>
      </c>
      <c r="V41">
        <v>4429775</v>
      </c>
      <c r="W41">
        <v>4451745</v>
      </c>
      <c r="X41">
        <v>4481133</v>
      </c>
      <c r="Y41">
        <v>4516684</v>
      </c>
      <c r="Z41">
        <v>4556855</v>
      </c>
      <c r="AA41">
        <v>4600127</v>
      </c>
      <c r="AB41">
        <v>4645267</v>
      </c>
      <c r="AC41">
        <v>4691291</v>
      </c>
      <c r="AD41">
        <v>4737253</v>
      </c>
      <c r="AE41">
        <v>4781953</v>
      </c>
      <c r="AF41">
        <v>4824528</v>
      </c>
      <c r="AG41">
        <v>4863970</v>
      </c>
      <c r="AH41">
        <v>4899596</v>
      </c>
      <c r="AI41">
        <v>4930689</v>
      </c>
      <c r="AJ41">
        <v>4957411</v>
      </c>
      <c r="AK41">
        <v>4979244</v>
      </c>
      <c r="AL41">
        <v>4995711</v>
      </c>
      <c r="AM41">
        <v>5006687</v>
      </c>
      <c r="AN41">
        <v>5012538</v>
      </c>
      <c r="AO41">
        <v>5013528</v>
      </c>
      <c r="AP41">
        <v>5009349</v>
      </c>
      <c r="AQ41">
        <v>5000703</v>
      </c>
      <c r="AR41">
        <v>4988922</v>
      </c>
      <c r="AS41">
        <v>4904632</v>
      </c>
      <c r="AT41">
        <v>4924891</v>
      </c>
      <c r="AU41">
        <v>4914949</v>
      </c>
      <c r="AV41">
        <v>4896830</v>
      </c>
      <c r="AW41">
        <v>4893678</v>
      </c>
      <c r="AX41">
        <v>4927647</v>
      </c>
      <c r="AY41">
        <v>4912865</v>
      </c>
      <c r="AZ41">
        <v>4899274</v>
      </c>
      <c r="BA41">
        <v>5006460</v>
      </c>
      <c r="BB41">
        <v>5004087</v>
      </c>
      <c r="BC41">
        <v>4947113</v>
      </c>
      <c r="BD41">
        <v>4909203</v>
      </c>
      <c r="BE41">
        <v>4890514</v>
      </c>
      <c r="BF41">
        <v>4833107</v>
      </c>
      <c r="BG41">
        <v>4787964</v>
      </c>
      <c r="BH41">
        <v>4852558</v>
      </c>
      <c r="BI41">
        <v>4880285</v>
      </c>
      <c r="BJ41">
        <v>4784369</v>
      </c>
      <c r="BK41">
        <v>4750145</v>
      </c>
      <c r="BL41">
        <v>4722542</v>
      </c>
      <c r="BM41">
        <v>4709478</v>
      </c>
      <c r="BN41">
        <v>4746026</v>
      </c>
      <c r="BO41">
        <v>4773661</v>
      </c>
      <c r="BP41">
        <v>4776482</v>
      </c>
      <c r="BQ41">
        <v>4821664</v>
      </c>
      <c r="BR41">
        <v>4830544</v>
      </c>
      <c r="BS41">
        <v>4750686</v>
      </c>
      <c r="BT41">
        <v>4514555</v>
      </c>
      <c r="BU41">
        <v>4348280</v>
      </c>
      <c r="BV41">
        <v>4210720</v>
      </c>
      <c r="BW41">
        <v>4152768</v>
      </c>
      <c r="BX41">
        <v>4104835</v>
      </c>
      <c r="BY41">
        <v>3911309</v>
      </c>
      <c r="BZ41">
        <v>3885210</v>
      </c>
      <c r="CA41">
        <v>3800304</v>
      </c>
      <c r="CB41">
        <v>3677366</v>
      </c>
      <c r="CC41">
        <v>3649737</v>
      </c>
      <c r="CD41">
        <v>3353670</v>
      </c>
      <c r="CE41">
        <v>3199928</v>
      </c>
      <c r="CF41">
        <v>3072040</v>
      </c>
      <c r="CG41">
        <v>2887182</v>
      </c>
      <c r="CH41">
        <v>2859271</v>
      </c>
      <c r="CI41">
        <v>2661661</v>
      </c>
      <c r="CJ41">
        <v>2576508</v>
      </c>
      <c r="CK41">
        <v>2549552</v>
      </c>
      <c r="CL41">
        <v>2536164</v>
      </c>
      <c r="CM41">
        <v>2402222</v>
      </c>
      <c r="CN41">
        <v>2124900</v>
      </c>
      <c r="CO41">
        <v>1921679</v>
      </c>
      <c r="CP41">
        <v>1762341</v>
      </c>
      <c r="CQ41">
        <v>1625103</v>
      </c>
      <c r="CR41">
        <v>1541869</v>
      </c>
      <c r="CS41">
        <v>1392159</v>
      </c>
      <c r="CT41">
        <v>1217635</v>
      </c>
      <c r="CU41">
        <v>1048746</v>
      </c>
      <c r="CV41">
        <v>901453</v>
      </c>
      <c r="CW41">
        <v>757496</v>
      </c>
      <c r="CX41">
        <v>601117</v>
      </c>
      <c r="CY41">
        <v>480230</v>
      </c>
      <c r="CZ41">
        <v>373721</v>
      </c>
      <c r="DA41">
        <v>277216</v>
      </c>
      <c r="DB41">
        <v>485535</v>
      </c>
    </row>
    <row r="42" spans="1:106">
      <c r="A42">
        <v>0</v>
      </c>
      <c r="B42">
        <v>0</v>
      </c>
      <c r="C42">
        <v>0</v>
      </c>
      <c r="D42">
        <v>2056</v>
      </c>
      <c r="E42">
        <v>398117875</v>
      </c>
      <c r="F42">
        <v>4377793</v>
      </c>
      <c r="G42">
        <v>4388431</v>
      </c>
      <c r="H42">
        <v>4396575</v>
      </c>
      <c r="I42">
        <v>4401231</v>
      </c>
      <c r="J42">
        <v>4403188</v>
      </c>
      <c r="K42">
        <v>4403532</v>
      </c>
      <c r="L42">
        <v>4403207</v>
      </c>
      <c r="M42">
        <v>4402843</v>
      </c>
      <c r="N42">
        <v>4402898</v>
      </c>
      <c r="O42">
        <v>4403493</v>
      </c>
      <c r="P42">
        <v>4404276</v>
      </c>
      <c r="Q42">
        <v>4405315</v>
      </c>
      <c r="R42">
        <v>4406860</v>
      </c>
      <c r="S42">
        <v>4409608</v>
      </c>
      <c r="T42">
        <v>4414621</v>
      </c>
      <c r="U42">
        <v>4423609</v>
      </c>
      <c r="V42">
        <v>4438421</v>
      </c>
      <c r="W42">
        <v>4460038</v>
      </c>
      <c r="X42">
        <v>4488859</v>
      </c>
      <c r="Y42">
        <v>4523739</v>
      </c>
      <c r="Z42">
        <v>4562835</v>
      </c>
      <c r="AA42">
        <v>4604965</v>
      </c>
      <c r="AB42">
        <v>4648986</v>
      </c>
      <c r="AC42">
        <v>4694093</v>
      </c>
      <c r="AD42">
        <v>4739453</v>
      </c>
      <c r="AE42">
        <v>4784123</v>
      </c>
      <c r="AF42">
        <v>4827095</v>
      </c>
      <c r="AG42">
        <v>4867419</v>
      </c>
      <c r="AH42">
        <v>4904391</v>
      </c>
      <c r="AI42">
        <v>4937083</v>
      </c>
      <c r="AJ42">
        <v>4965006</v>
      </c>
      <c r="AK42">
        <v>4988038</v>
      </c>
      <c r="AL42">
        <v>5006383</v>
      </c>
      <c r="AM42">
        <v>5019893</v>
      </c>
      <c r="AN42">
        <v>5028723</v>
      </c>
      <c r="AO42">
        <v>5032718</v>
      </c>
      <c r="AP42">
        <v>5031858</v>
      </c>
      <c r="AQ42">
        <v>5025880</v>
      </c>
      <c r="AR42">
        <v>5015717</v>
      </c>
      <c r="AS42">
        <v>5002429</v>
      </c>
      <c r="AT42">
        <v>4916488</v>
      </c>
      <c r="AU42">
        <v>4934909</v>
      </c>
      <c r="AV42">
        <v>4923461</v>
      </c>
      <c r="AW42">
        <v>4904178</v>
      </c>
      <c r="AX42">
        <v>4900146</v>
      </c>
      <c r="AY42">
        <v>4932956</v>
      </c>
      <c r="AZ42">
        <v>4916567</v>
      </c>
      <c r="BA42">
        <v>4900826</v>
      </c>
      <c r="BB42">
        <v>5005477</v>
      </c>
      <c r="BC42">
        <v>5000978</v>
      </c>
      <c r="BD42">
        <v>4942411</v>
      </c>
      <c r="BE42">
        <v>4903237</v>
      </c>
      <c r="BF42">
        <v>4883798</v>
      </c>
      <c r="BG42">
        <v>4826079</v>
      </c>
      <c r="BH42">
        <v>4780719</v>
      </c>
      <c r="BI42">
        <v>4844763</v>
      </c>
      <c r="BJ42">
        <v>4871794</v>
      </c>
      <c r="BK42">
        <v>4775420</v>
      </c>
      <c r="BL42">
        <v>4740281</v>
      </c>
      <c r="BM42">
        <v>4711570</v>
      </c>
      <c r="BN42">
        <v>4696972</v>
      </c>
      <c r="BO42">
        <v>4731208</v>
      </c>
      <c r="BP42">
        <v>4755924</v>
      </c>
      <c r="BQ42">
        <v>4755432</v>
      </c>
      <c r="BR42">
        <v>4796924</v>
      </c>
      <c r="BS42">
        <v>4802107</v>
      </c>
      <c r="BT42">
        <v>4718988</v>
      </c>
      <c r="BU42">
        <v>4480952</v>
      </c>
      <c r="BV42">
        <v>4312432</v>
      </c>
      <c r="BW42">
        <v>4172264</v>
      </c>
      <c r="BX42">
        <v>4110545</v>
      </c>
      <c r="BY42">
        <v>4058114</v>
      </c>
      <c r="BZ42">
        <v>3861439</v>
      </c>
      <c r="CA42">
        <v>3829602</v>
      </c>
      <c r="CB42">
        <v>3739553</v>
      </c>
      <c r="CC42">
        <v>3611989</v>
      </c>
      <c r="CD42">
        <v>3577476</v>
      </c>
      <c r="CE42">
        <v>3279921</v>
      </c>
      <c r="CF42">
        <v>3121434</v>
      </c>
      <c r="CG42">
        <v>2987620</v>
      </c>
      <c r="CH42">
        <v>2796863</v>
      </c>
      <c r="CI42">
        <v>2757294</v>
      </c>
      <c r="CJ42">
        <v>2554505</v>
      </c>
      <c r="CK42">
        <v>2459118</v>
      </c>
      <c r="CL42">
        <v>2418238</v>
      </c>
      <c r="CM42">
        <v>2389115</v>
      </c>
      <c r="CN42">
        <v>2247304</v>
      </c>
      <c r="CO42">
        <v>1972859</v>
      </c>
      <c r="CP42">
        <v>1769268</v>
      </c>
      <c r="CQ42">
        <v>1607623</v>
      </c>
      <c r="CR42">
        <v>1467166</v>
      </c>
      <c r="CS42">
        <v>1376285</v>
      </c>
      <c r="CT42">
        <v>1227268</v>
      </c>
      <c r="CU42">
        <v>1058825</v>
      </c>
      <c r="CV42">
        <v>898482</v>
      </c>
      <c r="CW42">
        <v>759879</v>
      </c>
      <c r="CX42">
        <v>627331</v>
      </c>
      <c r="CY42">
        <v>488479</v>
      </c>
      <c r="CZ42">
        <v>382333</v>
      </c>
      <c r="DA42">
        <v>291110</v>
      </c>
      <c r="DB42">
        <v>505951</v>
      </c>
    </row>
    <row r="43" spans="1:106">
      <c r="A43">
        <v>0</v>
      </c>
      <c r="B43">
        <v>0</v>
      </c>
      <c r="C43">
        <v>0</v>
      </c>
      <c r="D43">
        <v>2057</v>
      </c>
      <c r="E43">
        <v>399690963</v>
      </c>
      <c r="F43">
        <v>4386039</v>
      </c>
      <c r="G43">
        <v>4397441</v>
      </c>
      <c r="H43">
        <v>4406391</v>
      </c>
      <c r="I43">
        <v>4411893</v>
      </c>
      <c r="J43">
        <v>4414610</v>
      </c>
      <c r="K43">
        <v>4415673</v>
      </c>
      <c r="L43">
        <v>4415950</v>
      </c>
      <c r="M43">
        <v>4415975</v>
      </c>
      <c r="N43">
        <v>4416184</v>
      </c>
      <c r="O43">
        <v>4416636</v>
      </c>
      <c r="P43">
        <v>4417121</v>
      </c>
      <c r="Q43">
        <v>4417645</v>
      </c>
      <c r="R43">
        <v>4418498</v>
      </c>
      <c r="S43">
        <v>4420506</v>
      </c>
      <c r="T43">
        <v>4424839</v>
      </c>
      <c r="U43">
        <v>4433227</v>
      </c>
      <c r="V43">
        <v>4447454</v>
      </c>
      <c r="W43">
        <v>4468773</v>
      </c>
      <c r="X43">
        <v>4497264</v>
      </c>
      <c r="Y43">
        <v>4531603</v>
      </c>
      <c r="Z43">
        <v>4570035</v>
      </c>
      <c r="AA43">
        <v>4611107</v>
      </c>
      <c r="AB43">
        <v>4654004</v>
      </c>
      <c r="AC43">
        <v>4697997</v>
      </c>
      <c r="AD43">
        <v>4742446</v>
      </c>
      <c r="AE43">
        <v>4786518</v>
      </c>
      <c r="AF43">
        <v>4829449</v>
      </c>
      <c r="AG43">
        <v>4870167</v>
      </c>
      <c r="AH43">
        <v>4908009</v>
      </c>
      <c r="AI43">
        <v>4942032</v>
      </c>
      <c r="AJ43">
        <v>4971543</v>
      </c>
      <c r="AK43">
        <v>4995764</v>
      </c>
      <c r="AL43">
        <v>5015294</v>
      </c>
      <c r="AM43">
        <v>5030679</v>
      </c>
      <c r="AN43">
        <v>5042034</v>
      </c>
      <c r="AO43">
        <v>5049006</v>
      </c>
      <c r="AP43">
        <v>5051144</v>
      </c>
      <c r="AQ43">
        <v>5048489</v>
      </c>
      <c r="AR43">
        <v>5040987</v>
      </c>
      <c r="AS43">
        <v>5029312</v>
      </c>
      <c r="AT43">
        <v>5014365</v>
      </c>
      <c r="AU43">
        <v>4926600</v>
      </c>
      <c r="AV43">
        <v>4943500</v>
      </c>
      <c r="AW43">
        <v>4930894</v>
      </c>
      <c r="AX43">
        <v>4910744</v>
      </c>
      <c r="AY43">
        <v>4905607</v>
      </c>
      <c r="AZ43">
        <v>4936767</v>
      </c>
      <c r="BA43">
        <v>4918238</v>
      </c>
      <c r="BB43">
        <v>4900149</v>
      </c>
      <c r="BC43">
        <v>5002534</v>
      </c>
      <c r="BD43">
        <v>4996362</v>
      </c>
      <c r="BE43">
        <v>4936587</v>
      </c>
      <c r="BF43">
        <v>4896710</v>
      </c>
      <c r="BG43">
        <v>4876896</v>
      </c>
      <c r="BH43">
        <v>4818991</v>
      </c>
      <c r="BI43">
        <v>4773401</v>
      </c>
      <c r="BJ43">
        <v>4836665</v>
      </c>
      <c r="BK43">
        <v>4862854</v>
      </c>
      <c r="BL43">
        <v>4765784</v>
      </c>
      <c r="BM43">
        <v>4729563</v>
      </c>
      <c r="BN43">
        <v>4699411</v>
      </c>
      <c r="BO43">
        <v>4682755</v>
      </c>
      <c r="BP43">
        <v>4714097</v>
      </c>
      <c r="BQ43">
        <v>4735421</v>
      </c>
      <c r="BR43">
        <v>4731518</v>
      </c>
      <c r="BS43">
        <v>4769155</v>
      </c>
      <c r="BT43">
        <v>4770517</v>
      </c>
      <c r="BU43">
        <v>4684239</v>
      </c>
      <c r="BV43">
        <v>4444408</v>
      </c>
      <c r="BW43">
        <v>4273492</v>
      </c>
      <c r="BX43">
        <v>4130363</v>
      </c>
      <c r="BY43">
        <v>4064322</v>
      </c>
      <c r="BZ43">
        <v>4006868</v>
      </c>
      <c r="CA43">
        <v>3806809</v>
      </c>
      <c r="CB43">
        <v>3769033</v>
      </c>
      <c r="CC43">
        <v>3673727</v>
      </c>
      <c r="CD43">
        <v>3541310</v>
      </c>
      <c r="CE43">
        <v>3499396</v>
      </c>
      <c r="CF43">
        <v>3200137</v>
      </c>
      <c r="CG43">
        <v>3036334</v>
      </c>
      <c r="CH43">
        <v>2894856</v>
      </c>
      <c r="CI43">
        <v>2697898</v>
      </c>
      <c r="CJ43">
        <v>2646973</v>
      </c>
      <c r="CK43">
        <v>2438849</v>
      </c>
      <c r="CL43">
        <v>2333241</v>
      </c>
      <c r="CM43">
        <v>2278730</v>
      </c>
      <c r="CN43">
        <v>2236101</v>
      </c>
      <c r="CO43">
        <v>2087466</v>
      </c>
      <c r="CP43">
        <v>1817334</v>
      </c>
      <c r="CQ43">
        <v>1614771</v>
      </c>
      <c r="CR43">
        <v>1452344</v>
      </c>
      <c r="CS43">
        <v>1310499</v>
      </c>
      <c r="CT43">
        <v>1214154</v>
      </c>
      <c r="CU43">
        <v>1068106</v>
      </c>
      <c r="CV43">
        <v>907935</v>
      </c>
      <c r="CW43">
        <v>758119</v>
      </c>
      <c r="CX43">
        <v>630059</v>
      </c>
      <c r="CY43">
        <v>510357</v>
      </c>
      <c r="CZ43">
        <v>389412</v>
      </c>
      <c r="DA43">
        <v>298218</v>
      </c>
      <c r="DB43">
        <v>529280</v>
      </c>
    </row>
    <row r="44" spans="1:106">
      <c r="A44">
        <v>0</v>
      </c>
      <c r="B44">
        <v>0</v>
      </c>
      <c r="C44">
        <v>0</v>
      </c>
      <c r="D44">
        <v>2058</v>
      </c>
      <c r="E44">
        <v>401276590</v>
      </c>
      <c r="F44">
        <v>4393696</v>
      </c>
      <c r="G44">
        <v>4405783</v>
      </c>
      <c r="H44">
        <v>4415474</v>
      </c>
      <c r="I44">
        <v>4421774</v>
      </c>
      <c r="J44">
        <v>4425326</v>
      </c>
      <c r="K44">
        <v>4427144</v>
      </c>
      <c r="L44">
        <v>4428133</v>
      </c>
      <c r="M44">
        <v>4428755</v>
      </c>
      <c r="N44">
        <v>4429352</v>
      </c>
      <c r="O44">
        <v>4429956</v>
      </c>
      <c r="P44">
        <v>4430299</v>
      </c>
      <c r="Q44">
        <v>4430525</v>
      </c>
      <c r="R44">
        <v>4430861</v>
      </c>
      <c r="S44">
        <v>4432182</v>
      </c>
      <c r="T44">
        <v>4435776</v>
      </c>
      <c r="U44">
        <v>4443497</v>
      </c>
      <c r="V44">
        <v>4457142</v>
      </c>
      <c r="W44">
        <v>4477895</v>
      </c>
      <c r="X44">
        <v>4506112</v>
      </c>
      <c r="Y44">
        <v>4540139</v>
      </c>
      <c r="Z44">
        <v>4578048</v>
      </c>
      <c r="AA44">
        <v>4618469</v>
      </c>
      <c r="AB44">
        <v>4660316</v>
      </c>
      <c r="AC44">
        <v>4703203</v>
      </c>
      <c r="AD44">
        <v>4746547</v>
      </c>
      <c r="AE44">
        <v>4789700</v>
      </c>
      <c r="AF44">
        <v>4832035</v>
      </c>
      <c r="AG44">
        <v>4872702</v>
      </c>
      <c r="AH44">
        <v>4910927</v>
      </c>
      <c r="AI44">
        <v>4945808</v>
      </c>
      <c r="AJ44">
        <v>4976636</v>
      </c>
      <c r="AK44">
        <v>5002428</v>
      </c>
      <c r="AL44">
        <v>5023139</v>
      </c>
      <c r="AM44">
        <v>5039702</v>
      </c>
      <c r="AN44">
        <v>5052924</v>
      </c>
      <c r="AO44">
        <v>5062418</v>
      </c>
      <c r="AP44">
        <v>5067532</v>
      </c>
      <c r="AQ44">
        <v>5067870</v>
      </c>
      <c r="AR44">
        <v>5063689</v>
      </c>
      <c r="AS44">
        <v>5054676</v>
      </c>
      <c r="AT44">
        <v>5041333</v>
      </c>
      <c r="AU44">
        <v>5024556</v>
      </c>
      <c r="AV44">
        <v>4935280</v>
      </c>
      <c r="AW44">
        <v>4951009</v>
      </c>
      <c r="AX44">
        <v>4937540</v>
      </c>
      <c r="AY44">
        <v>4916304</v>
      </c>
      <c r="AZ44">
        <v>4909574</v>
      </c>
      <c r="BA44">
        <v>4938548</v>
      </c>
      <c r="BB44">
        <v>4917682</v>
      </c>
      <c r="BC44">
        <v>4897531</v>
      </c>
      <c r="BD44">
        <v>4998089</v>
      </c>
      <c r="BE44">
        <v>4990634</v>
      </c>
      <c r="BF44">
        <v>4930208</v>
      </c>
      <c r="BG44">
        <v>4890007</v>
      </c>
      <c r="BH44">
        <v>4869938</v>
      </c>
      <c r="BI44">
        <v>4811839</v>
      </c>
      <c r="BJ44">
        <v>4765799</v>
      </c>
      <c r="BK44">
        <v>4828140</v>
      </c>
      <c r="BL44">
        <v>4853223</v>
      </c>
      <c r="BM44">
        <v>4755293</v>
      </c>
      <c r="BN44">
        <v>4717658</v>
      </c>
      <c r="BO44">
        <v>4685546</v>
      </c>
      <c r="BP44">
        <v>4666275</v>
      </c>
      <c r="BQ44">
        <v>4694245</v>
      </c>
      <c r="BR44">
        <v>4712081</v>
      </c>
      <c r="BS44">
        <v>4704621</v>
      </c>
      <c r="BT44">
        <v>4738263</v>
      </c>
      <c r="BU44">
        <v>4735855</v>
      </c>
      <c r="BV44">
        <v>4646431</v>
      </c>
      <c r="BW44">
        <v>4404692</v>
      </c>
      <c r="BX44">
        <v>4231052</v>
      </c>
      <c r="BY44">
        <v>4084469</v>
      </c>
      <c r="BZ44">
        <v>4013581</v>
      </c>
      <c r="CA44">
        <v>3950719</v>
      </c>
      <c r="CB44">
        <v>3747256</v>
      </c>
      <c r="CC44">
        <v>3703357</v>
      </c>
      <c r="CD44">
        <v>3602526</v>
      </c>
      <c r="CE44">
        <v>3464862</v>
      </c>
      <c r="CF44">
        <v>3414883</v>
      </c>
      <c r="CG44">
        <v>3113590</v>
      </c>
      <c r="CH44">
        <v>2942741</v>
      </c>
      <c r="CI44">
        <v>2793145</v>
      </c>
      <c r="CJ44">
        <v>2590775</v>
      </c>
      <c r="CK44">
        <v>2527858</v>
      </c>
      <c r="CL44">
        <v>2314755</v>
      </c>
      <c r="CM44">
        <v>2199407</v>
      </c>
      <c r="CN44">
        <v>2133538</v>
      </c>
      <c r="CO44">
        <v>2078145</v>
      </c>
      <c r="CP44">
        <v>1923886</v>
      </c>
      <c r="CQ44">
        <v>1659589</v>
      </c>
      <c r="CR44">
        <v>1459631</v>
      </c>
      <c r="CS44">
        <v>1298205</v>
      </c>
      <c r="CT44">
        <v>1156981</v>
      </c>
      <c r="CU44">
        <v>1057533</v>
      </c>
      <c r="CV44">
        <v>916728</v>
      </c>
      <c r="CW44">
        <v>766842</v>
      </c>
      <c r="CX44">
        <v>629269</v>
      </c>
      <c r="CY44">
        <v>513233</v>
      </c>
      <c r="CZ44">
        <v>407344</v>
      </c>
      <c r="DA44">
        <v>304158</v>
      </c>
      <c r="DB44">
        <v>549748</v>
      </c>
    </row>
    <row r="45" spans="1:106">
      <c r="A45">
        <v>0</v>
      </c>
      <c r="B45">
        <v>0</v>
      </c>
      <c r="C45">
        <v>0</v>
      </c>
      <c r="D45">
        <v>2059</v>
      </c>
      <c r="E45">
        <v>402874337</v>
      </c>
      <c r="F45">
        <v>4400897</v>
      </c>
      <c r="G45">
        <v>4413531</v>
      </c>
      <c r="H45">
        <v>4423888</v>
      </c>
      <c r="I45">
        <v>4430923</v>
      </c>
      <c r="J45">
        <v>4435262</v>
      </c>
      <c r="K45">
        <v>4437908</v>
      </c>
      <c r="L45">
        <v>4439645</v>
      </c>
      <c r="M45">
        <v>4440978</v>
      </c>
      <c r="N45">
        <v>4442171</v>
      </c>
      <c r="O45">
        <v>4443160</v>
      </c>
      <c r="P45">
        <v>4443652</v>
      </c>
      <c r="Q45">
        <v>4443736</v>
      </c>
      <c r="R45">
        <v>4443776</v>
      </c>
      <c r="S45">
        <v>4444580</v>
      </c>
      <c r="T45">
        <v>4447492</v>
      </c>
      <c r="U45">
        <v>4454485</v>
      </c>
      <c r="V45">
        <v>4467482</v>
      </c>
      <c r="W45">
        <v>4487671</v>
      </c>
      <c r="X45">
        <v>4515347</v>
      </c>
      <c r="Y45">
        <v>4549121</v>
      </c>
      <c r="Z45">
        <v>4586736</v>
      </c>
      <c r="AA45">
        <v>4626643</v>
      </c>
      <c r="AB45">
        <v>4667858</v>
      </c>
      <c r="AC45">
        <v>4709706</v>
      </c>
      <c r="AD45">
        <v>4751945</v>
      </c>
      <c r="AE45">
        <v>4793995</v>
      </c>
      <c r="AF45">
        <v>4835409</v>
      </c>
      <c r="AG45">
        <v>4875469</v>
      </c>
      <c r="AH45">
        <v>4913634</v>
      </c>
      <c r="AI45">
        <v>4948889</v>
      </c>
      <c r="AJ45">
        <v>4980556</v>
      </c>
      <c r="AK45">
        <v>5007658</v>
      </c>
      <c r="AL45">
        <v>5029924</v>
      </c>
      <c r="AM45">
        <v>5047662</v>
      </c>
      <c r="AN45">
        <v>5062052</v>
      </c>
      <c r="AO45">
        <v>5073405</v>
      </c>
      <c r="AP45">
        <v>5081038</v>
      </c>
      <c r="AQ45">
        <v>5084353</v>
      </c>
      <c r="AR45">
        <v>5083168</v>
      </c>
      <c r="AS45">
        <v>5077470</v>
      </c>
      <c r="AT45">
        <v>5066786</v>
      </c>
      <c r="AU45">
        <v>5051607</v>
      </c>
      <c r="AV45">
        <v>5033324</v>
      </c>
      <c r="AW45">
        <v>4942883</v>
      </c>
      <c r="AX45">
        <v>4957736</v>
      </c>
      <c r="AY45">
        <v>4943178</v>
      </c>
      <c r="AZ45">
        <v>4920376</v>
      </c>
      <c r="BA45">
        <v>4911514</v>
      </c>
      <c r="BB45">
        <v>4938108</v>
      </c>
      <c r="BC45">
        <v>4915188</v>
      </c>
      <c r="BD45">
        <v>4893433</v>
      </c>
      <c r="BE45">
        <v>4992545</v>
      </c>
      <c r="BF45">
        <v>4984355</v>
      </c>
      <c r="BG45">
        <v>4923659</v>
      </c>
      <c r="BH45">
        <v>4883258</v>
      </c>
      <c r="BI45">
        <v>4862914</v>
      </c>
      <c r="BJ45">
        <v>4804411</v>
      </c>
      <c r="BK45">
        <v>4757789</v>
      </c>
      <c r="BL45">
        <v>4818946</v>
      </c>
      <c r="BM45">
        <v>4842734</v>
      </c>
      <c r="BN45">
        <v>4743629</v>
      </c>
      <c r="BO45">
        <v>4704066</v>
      </c>
      <c r="BP45">
        <v>4669430</v>
      </c>
      <c r="BQ45">
        <v>4647085</v>
      </c>
      <c r="BR45">
        <v>4671581</v>
      </c>
      <c r="BS45">
        <v>4685774</v>
      </c>
      <c r="BT45">
        <v>4674646</v>
      </c>
      <c r="BU45">
        <v>4704330</v>
      </c>
      <c r="BV45">
        <v>4698121</v>
      </c>
      <c r="BW45">
        <v>4605342</v>
      </c>
      <c r="BX45">
        <v>4361385</v>
      </c>
      <c r="BY45">
        <v>4184534</v>
      </c>
      <c r="BZ45">
        <v>4034056</v>
      </c>
      <c r="CA45">
        <v>3957946</v>
      </c>
      <c r="CB45">
        <v>3889485</v>
      </c>
      <c r="CC45">
        <v>3682638</v>
      </c>
      <c r="CD45">
        <v>3632276</v>
      </c>
      <c r="CE45">
        <v>3525460</v>
      </c>
      <c r="CF45">
        <v>3382048</v>
      </c>
      <c r="CG45">
        <v>3323169</v>
      </c>
      <c r="CH45">
        <v>3018318</v>
      </c>
      <c r="CI45">
        <v>2840054</v>
      </c>
      <c r="CJ45">
        <v>2683020</v>
      </c>
      <c r="CK45">
        <v>2475033</v>
      </c>
      <c r="CL45">
        <v>2400026</v>
      </c>
      <c r="CM45">
        <v>2182735</v>
      </c>
      <c r="CN45">
        <v>2060072</v>
      </c>
      <c r="CO45">
        <v>1983615</v>
      </c>
      <c r="CP45">
        <v>1916394</v>
      </c>
      <c r="CQ45">
        <v>1757886</v>
      </c>
      <c r="CR45">
        <v>1501088</v>
      </c>
      <c r="CS45">
        <v>1305535</v>
      </c>
      <c r="CT45">
        <v>1147028</v>
      </c>
      <c r="CU45">
        <v>1008552</v>
      </c>
      <c r="CV45">
        <v>908433</v>
      </c>
      <c r="CW45">
        <v>775031</v>
      </c>
      <c r="CX45">
        <v>637175</v>
      </c>
      <c r="CY45">
        <v>513171</v>
      </c>
      <c r="CZ45">
        <v>410197</v>
      </c>
      <c r="DA45">
        <v>318575</v>
      </c>
      <c r="DB45">
        <v>567379</v>
      </c>
    </row>
    <row r="46" spans="1:106">
      <c r="A46">
        <v>0</v>
      </c>
      <c r="B46">
        <v>0</v>
      </c>
      <c r="C46">
        <v>0</v>
      </c>
      <c r="D46">
        <v>2060</v>
      </c>
      <c r="E46">
        <v>404483055</v>
      </c>
      <c r="F46">
        <v>4407785</v>
      </c>
      <c r="G46">
        <v>4420827</v>
      </c>
      <c r="H46">
        <v>4431709</v>
      </c>
      <c r="I46">
        <v>4439404</v>
      </c>
      <c r="J46">
        <v>4444469</v>
      </c>
      <c r="K46">
        <v>4447891</v>
      </c>
      <c r="L46">
        <v>4450448</v>
      </c>
      <c r="M46">
        <v>4452526</v>
      </c>
      <c r="N46">
        <v>4454427</v>
      </c>
      <c r="O46">
        <v>4456018</v>
      </c>
      <c r="P46">
        <v>4456892</v>
      </c>
      <c r="Q46">
        <v>4457123</v>
      </c>
      <c r="R46">
        <v>4457023</v>
      </c>
      <c r="S46">
        <v>4457530</v>
      </c>
      <c r="T46">
        <v>4459930</v>
      </c>
      <c r="U46">
        <v>4466253</v>
      </c>
      <c r="V46">
        <v>4478539</v>
      </c>
      <c r="W46">
        <v>4498105</v>
      </c>
      <c r="X46">
        <v>4525241</v>
      </c>
      <c r="Y46">
        <v>4558494</v>
      </c>
      <c r="Z46">
        <v>4595867</v>
      </c>
      <c r="AA46">
        <v>4635497</v>
      </c>
      <c r="AB46">
        <v>4676205</v>
      </c>
      <c r="AC46">
        <v>4717434</v>
      </c>
      <c r="AD46">
        <v>4758640</v>
      </c>
      <c r="AE46">
        <v>4799584</v>
      </c>
      <c r="AF46">
        <v>4839891</v>
      </c>
      <c r="AG46">
        <v>4879022</v>
      </c>
      <c r="AH46">
        <v>4916572</v>
      </c>
      <c r="AI46">
        <v>4951752</v>
      </c>
      <c r="AJ46">
        <v>4983783</v>
      </c>
      <c r="AK46">
        <v>5011706</v>
      </c>
      <c r="AL46">
        <v>5035276</v>
      </c>
      <c r="AM46">
        <v>5054557</v>
      </c>
      <c r="AN46">
        <v>5070118</v>
      </c>
      <c r="AO46">
        <v>5082636</v>
      </c>
      <c r="AP46">
        <v>5092131</v>
      </c>
      <c r="AQ46">
        <v>5097958</v>
      </c>
      <c r="AR46">
        <v>5099747</v>
      </c>
      <c r="AS46">
        <v>5097041</v>
      </c>
      <c r="AT46">
        <v>5089666</v>
      </c>
      <c r="AU46">
        <v>5077153</v>
      </c>
      <c r="AV46">
        <v>5060454</v>
      </c>
      <c r="AW46">
        <v>5041022</v>
      </c>
      <c r="AX46">
        <v>4949707</v>
      </c>
      <c r="AY46">
        <v>4963457</v>
      </c>
      <c r="AZ46">
        <v>4947331</v>
      </c>
      <c r="BA46">
        <v>4922419</v>
      </c>
      <c r="BB46">
        <v>4911243</v>
      </c>
      <c r="BC46">
        <v>4935731</v>
      </c>
      <c r="BD46">
        <v>4911220</v>
      </c>
      <c r="BE46">
        <v>4888254</v>
      </c>
      <c r="BF46">
        <v>4986460</v>
      </c>
      <c r="BG46">
        <v>4977910</v>
      </c>
      <c r="BH46">
        <v>4917069</v>
      </c>
      <c r="BI46">
        <v>4876452</v>
      </c>
      <c r="BJ46">
        <v>4855621</v>
      </c>
      <c r="BK46">
        <v>4796575</v>
      </c>
      <c r="BL46">
        <v>4749136</v>
      </c>
      <c r="BM46">
        <v>4808914</v>
      </c>
      <c r="BN46">
        <v>4831065</v>
      </c>
      <c r="BO46">
        <v>4730282</v>
      </c>
      <c r="BP46">
        <v>4688219</v>
      </c>
      <c r="BQ46">
        <v>4650606</v>
      </c>
      <c r="BR46">
        <v>4625110</v>
      </c>
      <c r="BS46">
        <v>4645987</v>
      </c>
      <c r="BT46">
        <v>4656414</v>
      </c>
      <c r="BU46">
        <v>4641681</v>
      </c>
      <c r="BV46">
        <v>4667364</v>
      </c>
      <c r="BW46">
        <v>4657078</v>
      </c>
      <c r="BX46">
        <v>4560519</v>
      </c>
      <c r="BY46">
        <v>4313908</v>
      </c>
      <c r="BZ46">
        <v>4133422</v>
      </c>
      <c r="CA46">
        <v>3978746</v>
      </c>
      <c r="CB46">
        <v>3897238</v>
      </c>
      <c r="CC46">
        <v>3823025</v>
      </c>
      <c r="CD46">
        <v>3612657</v>
      </c>
      <c r="CE46">
        <v>3555296</v>
      </c>
      <c r="CF46">
        <v>3441926</v>
      </c>
      <c r="CG46">
        <v>3292095</v>
      </c>
      <c r="CH46">
        <v>3222151</v>
      </c>
      <c r="CI46">
        <v>2913713</v>
      </c>
      <c r="CJ46">
        <v>2728825</v>
      </c>
      <c r="CK46">
        <v>2564025</v>
      </c>
      <c r="CL46">
        <v>2350742</v>
      </c>
      <c r="CM46">
        <v>2263978</v>
      </c>
      <c r="CN46">
        <v>2045250</v>
      </c>
      <c r="CO46">
        <v>1916142</v>
      </c>
      <c r="CP46">
        <v>1830039</v>
      </c>
      <c r="CQ46">
        <v>1752135</v>
      </c>
      <c r="CR46">
        <v>1590984</v>
      </c>
      <c r="CS46">
        <v>1343535</v>
      </c>
      <c r="CT46">
        <v>1154297</v>
      </c>
      <c r="CU46">
        <v>1000730</v>
      </c>
      <c r="CV46">
        <v>867121</v>
      </c>
      <c r="CW46">
        <v>768737</v>
      </c>
      <c r="CX46">
        <v>644664</v>
      </c>
      <c r="CY46">
        <v>520204</v>
      </c>
      <c r="CZ46">
        <v>410644</v>
      </c>
      <c r="DA46">
        <v>321274</v>
      </c>
      <c r="DB46">
        <v>589382</v>
      </c>
    </row>
  </sheetDat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T38"/>
  <sheetViews>
    <sheetView workbookViewId="0">
      <selection activeCell="G2" sqref="G2"/>
    </sheetView>
  </sheetViews>
  <sheetFormatPr defaultColWidth="9" defaultRowHeight="15"/>
  <cols>
    <col min="1" max="1" width="15.85546875" customWidth="1"/>
    <col min="2" max="46" width="10" bestFit="1" customWidth="1"/>
  </cols>
  <sheetData>
    <row r="1" spans="1:46">
      <c r="A1" t="s">
        <v>153</v>
      </c>
      <c r="B1">
        <f t="array" ref="B1:AT2">TRANSPOSE(Data!D2:E46)</f>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c r="AK1">
        <v>2051</v>
      </c>
      <c r="AL1">
        <v>2052</v>
      </c>
      <c r="AM1">
        <v>2053</v>
      </c>
      <c r="AN1">
        <v>2054</v>
      </c>
      <c r="AO1">
        <v>2055</v>
      </c>
      <c r="AP1">
        <v>2056</v>
      </c>
      <c r="AQ1">
        <v>2057</v>
      </c>
      <c r="AR1">
        <v>2058</v>
      </c>
      <c r="AS1">
        <v>2059</v>
      </c>
      <c r="AT1">
        <v>2060</v>
      </c>
    </row>
    <row r="2" spans="1:46">
      <c r="A2" t="s">
        <v>15</v>
      </c>
      <c r="B2">
        <v>323127513</v>
      </c>
      <c r="C2">
        <v>325511184</v>
      </c>
      <c r="D2">
        <v>327891911</v>
      </c>
      <c r="E2">
        <v>330268840</v>
      </c>
      <c r="F2">
        <v>332639102</v>
      </c>
      <c r="G2">
        <v>334998398</v>
      </c>
      <c r="H2">
        <v>337341954</v>
      </c>
      <c r="I2">
        <v>339665118</v>
      </c>
      <c r="J2">
        <v>341963408</v>
      </c>
      <c r="K2">
        <v>344234377</v>
      </c>
      <c r="L2">
        <v>346481182</v>
      </c>
      <c r="M2">
        <v>348695115</v>
      </c>
      <c r="N2">
        <v>350872007</v>
      </c>
      <c r="O2">
        <v>353008224</v>
      </c>
      <c r="P2">
        <v>355100730</v>
      </c>
      <c r="Q2">
        <v>357147329</v>
      </c>
      <c r="R2">
        <v>359146709</v>
      </c>
      <c r="S2">
        <v>361098559</v>
      </c>
      <c r="T2">
        <v>363003410</v>
      </c>
      <c r="U2">
        <v>364862145</v>
      </c>
      <c r="V2">
        <v>366676312</v>
      </c>
      <c r="W2">
        <v>368447857</v>
      </c>
      <c r="X2">
        <v>370178704</v>
      </c>
      <c r="Y2">
        <v>371871238</v>
      </c>
      <c r="Z2">
        <v>373527973</v>
      </c>
      <c r="AA2">
        <v>375151805</v>
      </c>
      <c r="AB2">
        <v>376746115</v>
      </c>
      <c r="AC2">
        <v>378314343</v>
      </c>
      <c r="AD2">
        <v>379860859</v>
      </c>
      <c r="AE2">
        <v>381390297</v>
      </c>
      <c r="AF2">
        <v>382907447</v>
      </c>
      <c r="AG2">
        <v>384415207</v>
      </c>
      <c r="AH2">
        <v>385917628</v>
      </c>
      <c r="AI2">
        <v>387418788</v>
      </c>
      <c r="AJ2">
        <v>388922201</v>
      </c>
      <c r="AK2">
        <v>390430803</v>
      </c>
      <c r="AL2">
        <v>391947055</v>
      </c>
      <c r="AM2">
        <v>393472783</v>
      </c>
      <c r="AN2">
        <v>395009307</v>
      </c>
      <c r="AO2">
        <v>396557404</v>
      </c>
      <c r="AP2">
        <v>398117875</v>
      </c>
      <c r="AQ2">
        <v>399690963</v>
      </c>
      <c r="AR2">
        <v>401276590</v>
      </c>
      <c r="AS2">
        <v>402874337</v>
      </c>
      <c r="AT2">
        <v>404483055</v>
      </c>
    </row>
    <row r="3" spans="1:46">
      <c r="B3">
        <v>7116800</v>
      </c>
      <c r="C3">
        <v>7173000</v>
      </c>
      <c r="D3">
        <v>7233000</v>
      </c>
      <c r="E3">
        <v>7285300</v>
      </c>
      <c r="F3">
        <v>7340100</v>
      </c>
      <c r="G3">
        <v>7389500</v>
      </c>
      <c r="H3">
        <v>7437500</v>
      </c>
      <c r="I3">
        <v>7484700</v>
      </c>
      <c r="J3">
        <v>7527000</v>
      </c>
      <c r="K3">
        <v>7565900</v>
      </c>
      <c r="L3">
        <v>7600500</v>
      </c>
      <c r="M3">
        <v>7632500</v>
      </c>
      <c r="N3">
        <v>7665400</v>
      </c>
      <c r="O3">
        <v>7697900</v>
      </c>
      <c r="P3">
        <v>7728800</v>
      </c>
      <c r="Q3">
        <v>7759100</v>
      </c>
      <c r="R3">
        <v>7789300</v>
      </c>
      <c r="S3">
        <v>7819800</v>
      </c>
      <c r="T3">
        <v>7849700</v>
      </c>
      <c r="U3">
        <v>7878100</v>
      </c>
      <c r="V3">
        <v>7903800</v>
      </c>
      <c r="W3">
        <v>7926400</v>
      </c>
      <c r="X3">
        <v>7947600</v>
      </c>
      <c r="Y3">
        <v>7964100</v>
      </c>
      <c r="Z3">
        <v>7976800</v>
      </c>
      <c r="AA3">
        <v>7985300</v>
      </c>
      <c r="AB3">
        <v>7990100</v>
      </c>
      <c r="AC3">
        <v>7993100</v>
      </c>
      <c r="AD3">
        <v>7993700</v>
      </c>
      <c r="AE3">
        <v>7991300</v>
      </c>
      <c r="AF3">
        <v>7986300</v>
      </c>
      <c r="AG3">
        <v>7977600</v>
      </c>
      <c r="AH3">
        <v>7967000</v>
      </c>
      <c r="AI3">
        <v>7953000</v>
      </c>
      <c r="AJ3">
        <v>7936900</v>
      </c>
    </row>
    <row r="4" spans="1:46">
      <c r="B4">
        <v>7116800</v>
      </c>
    </row>
    <row r="5" spans="1:46">
      <c r="B5">
        <v>7173000</v>
      </c>
    </row>
    <row r="6" spans="1:46">
      <c r="B6">
        <v>7233000</v>
      </c>
    </row>
    <row r="7" spans="1:46">
      <c r="B7">
        <v>7285300</v>
      </c>
    </row>
    <row r="8" spans="1:46">
      <c r="B8">
        <v>7340100</v>
      </c>
    </row>
    <row r="9" spans="1:46">
      <c r="B9">
        <v>7389500</v>
      </c>
    </row>
    <row r="10" spans="1:46">
      <c r="B10">
        <v>7437500</v>
      </c>
    </row>
    <row r="11" spans="1:46">
      <c r="B11">
        <v>7484700</v>
      </c>
    </row>
    <row r="12" spans="1:46">
      <c r="B12">
        <v>7527000</v>
      </c>
    </row>
    <row r="13" spans="1:46">
      <c r="B13">
        <v>7565900</v>
      </c>
    </row>
    <row r="14" spans="1:46">
      <c r="B14">
        <v>7600500</v>
      </c>
    </row>
    <row r="15" spans="1:46">
      <c r="B15">
        <v>7632500</v>
      </c>
    </row>
    <row r="16" spans="1:46">
      <c r="B16">
        <v>7665400</v>
      </c>
    </row>
    <row r="17" spans="2:2">
      <c r="B17">
        <v>7697900</v>
      </c>
    </row>
    <row r="18" spans="2:2">
      <c r="B18">
        <v>7728800</v>
      </c>
    </row>
    <row r="19" spans="2:2">
      <c r="B19">
        <v>7759100</v>
      </c>
    </row>
    <row r="20" spans="2:2">
      <c r="B20">
        <v>7789300</v>
      </c>
    </row>
    <row r="21" spans="2:2">
      <c r="B21">
        <v>7819800</v>
      </c>
    </row>
    <row r="22" spans="2:2">
      <c r="B22">
        <v>7849700</v>
      </c>
    </row>
    <row r="23" spans="2:2">
      <c r="B23">
        <v>7878100</v>
      </c>
    </row>
    <row r="24" spans="2:2">
      <c r="B24">
        <v>7903800</v>
      </c>
    </row>
    <row r="25" spans="2:2">
      <c r="B25">
        <v>7926400</v>
      </c>
    </row>
    <row r="26" spans="2:2">
      <c r="B26">
        <v>7947600</v>
      </c>
    </row>
    <row r="27" spans="2:2">
      <c r="B27">
        <v>7964100</v>
      </c>
    </row>
    <row r="28" spans="2:2">
      <c r="B28">
        <v>7976800</v>
      </c>
    </row>
    <row r="29" spans="2:2">
      <c r="B29">
        <v>7985300</v>
      </c>
    </row>
    <row r="30" spans="2:2">
      <c r="B30">
        <v>7990100</v>
      </c>
    </row>
    <row r="31" spans="2:2">
      <c r="B31">
        <v>7993100</v>
      </c>
    </row>
    <row r="32" spans="2:2">
      <c r="B32">
        <v>7993700</v>
      </c>
    </row>
    <row r="33" spans="2:2">
      <c r="B33">
        <v>7991300</v>
      </c>
    </row>
    <row r="34" spans="2:2">
      <c r="B34">
        <v>7986300</v>
      </c>
    </row>
    <row r="35" spans="2:2">
      <c r="B35">
        <v>7977600</v>
      </c>
    </row>
    <row r="36" spans="2:2">
      <c r="B36">
        <v>7967000</v>
      </c>
    </row>
    <row r="37" spans="2:2">
      <c r="B37">
        <v>7953000</v>
      </c>
    </row>
    <row r="38" spans="2:2">
      <c r="B38">
        <v>7936900</v>
      </c>
    </row>
  </sheetData>
  <phoneticPr fontId="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C1D3E5-F6AC-4810-B3D2-E7077D4D9108}"/>
</file>

<file path=customXml/itemProps2.xml><?xml version="1.0" encoding="utf-8"?>
<ds:datastoreItem xmlns:ds="http://schemas.openxmlformats.org/officeDocument/2006/customXml" ds:itemID="{A4BF6261-33B4-415E-B25D-24FD9789352E}"/>
</file>

<file path=customXml/itemProps3.xml><?xml version="1.0" encoding="utf-8"?>
<ds:datastoreItem xmlns:ds="http://schemas.openxmlformats.org/officeDocument/2006/customXml" ds:itemID="{21C59D61-AF6E-455F-BBB9-6509F592A0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Harriet Tsang</cp:lastModifiedBy>
  <cp:revision/>
  <dcterms:created xsi:type="dcterms:W3CDTF">2019-06-04T23:20:21Z</dcterms:created>
  <dcterms:modified xsi:type="dcterms:W3CDTF">2023-12-19T08:48:53Z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MediaServiceImageTags">
    <vt:lpwstr/>
  </property>
</Properties>
</file>