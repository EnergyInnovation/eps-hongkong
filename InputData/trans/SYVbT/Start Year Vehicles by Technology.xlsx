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codeName="ThisWorkbook" defaultThemeVersion="124226"/>
  <mc:AlternateContent xmlns:mc="http://schemas.openxmlformats.org/markup-compatibility/2006">
    <mc:Choice Requires="x15">
      <x15ac:absPath xmlns:x15ac="http://schemas.microsoft.com/office/spreadsheetml/2010/11/ac" url="/Users/lawrenceiu/Desktop/eps-HK-3.4.9-working/InputData/trans/SYVbT/"/>
    </mc:Choice>
  </mc:AlternateContent>
  <xr:revisionPtr revIDLastSave="0" documentId="13_ncr:1_{FEE63E1B-D14D-5F44-B045-851D85EC0FCD}" xr6:coauthVersionLast="47" xr6:coauthVersionMax="47" xr10:uidLastSave="{00000000-0000-0000-0000-000000000000}"/>
  <bookViews>
    <workbookView xWindow="0" yWindow="760" windowWidth="30240" windowHeight="17740" firstSheet="5" activeTab="15" xr2:uid="{00000000-000D-0000-FFFF-FFFF00000000}"/>
  </bookViews>
  <sheets>
    <sheet name="About" sheetId="1" r:id="rId1"/>
    <sheet name="Air" sheetId="29" r:id="rId2"/>
    <sheet name="HK TD Motorcycles" sheetId="16" r:id="rId3"/>
    <sheet name="HK TD Cars" sheetId="17" r:id="rId4"/>
    <sheet name="HK TD Buses" sheetId="19" r:id="rId5"/>
    <sheet name="HK TD Freight" sheetId="20" r:id="rId6"/>
    <sheet name="HD TD Gov vehicles" sheetId="21" r:id="rId7"/>
    <sheet name="EV" sheetId="22" r:id="rId8"/>
    <sheet name="Diesel Gasoline split" sheetId="14" r:id="rId9"/>
    <sheet name="Vehicle Fuel Type" sheetId="24" r:id="rId10"/>
    <sheet name="MTR" sheetId="18" r:id="rId11"/>
    <sheet name="Non-road Vehicles" sheetId="23" r:id="rId12"/>
    <sheet name="Ferries" sheetId="27" r:id="rId13"/>
    <sheet name="Fuel Type" sheetId="26" r:id="rId14"/>
    <sheet name="Ships" sheetId="28" r:id="rId15"/>
    <sheet name="SYVbT-passenger" sheetId="2" r:id="rId16"/>
    <sheet name="SYVbT-freight" sheetId="4" r:id="rId17"/>
    <sheet name="_56F9DC9755BA473782653E2940F9" sheetId="25" state="veryHidden" r:id="rId18"/>
  </sheets>
  <definedNames>
    <definedName name="_56F9DC9755BA473782653E2940F9FormId">"H6xrR7I22UqGmc2mutH4Yq3_1cZmZKxHmcZ_ItVFhVdUOEtSUDhYTjJWOVVBSkQ2R0Y2U041STNMMiQlQCN0PWcu"</definedName>
    <definedName name="_56F9DC9755BA473782653E2940F9ResponseSheet">"Form1"</definedName>
    <definedName name="_56F9DC9755BA473782653E2940F9SourceDocId">"{3e8ee12f-b9ec-4a22-8587-d20e6899a3d9}"</definedName>
    <definedName name="_Key1" localSheetId="3" hidden="1">'HK TD Cars'!#REF!</definedName>
    <definedName name="_Key1" localSheetId="2" hidden="1">'HK TD Motorcycles'!#REF!</definedName>
    <definedName name="_Key1" hidden="1">#REF!</definedName>
    <definedName name="_Order1" localSheetId="3" hidden="1">255</definedName>
    <definedName name="_Order1" localSheetId="2" hidden="1">255</definedName>
    <definedName name="_Sort" localSheetId="3" hidden="1">'HK TD Cars'!#REF!</definedName>
    <definedName name="_Sort" localSheetId="2" hidden="1">'HK TD Motorcycles'!#REF!</definedName>
    <definedName name="_Sort" hidden="1">#REF!</definedName>
    <definedName name="internet_4a" localSheetId="3">'HK TD Cars'!#REF!</definedName>
    <definedName name="internet_4a" localSheetId="2">'HK TD Motorcycles'!#REF!</definedName>
    <definedName name="internet_4a">#REF!</definedName>
    <definedName name="internet_4b">#REF!</definedName>
    <definedName name="internet_4c">#REF!</definedName>
    <definedName name="internet_4d">#REF!</definedName>
    <definedName name="internet_4e">#REF!</definedName>
    <definedName name="_xlnm.Print_Area" localSheetId="3">'HK TD Cars'!#REF!</definedName>
    <definedName name="_xlnm.Print_Area" localSheetId="2">'HK TD Motorcycles'!#REF!</definedName>
    <definedName name="wrn.Full_Set." localSheetId="3" hidden="1">{#N/A,#N/A,FALSE,"T3.1a";#N/A,#N/A,FALSE,"T3.1b";#N/A,#N/A,FALSE,"T3.2-3";#N/A,#N/A,FALSE,"T3.4a";#N/A,#N/A,FALSE,"T3.4b";#N/A,#N/A,FALSE,"T3.4c";#N/A,#N/A,FALSE,"T3.4d"}</definedName>
    <definedName name="wrn.Full_Set." hidden="1">{#N/A,#N/A,FALSE,"T3.1a";#N/A,#N/A,FALSE,"T3.1b";#N/A,#N/A,FALSE,"T3.2-3";#N/A,#N/A,FALSE,"T3.4a";#N/A,#N/A,FALSE,"T3.4b";#N/A,#N/A,FALSE,"T3.4c";#N/A,#N/A,FALSE,"T3.4d"}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E53" i="18"/>
  <c r="E58" i="18" s="1"/>
  <c r="E61" i="18" s="1"/>
  <c r="D53" i="18"/>
  <c r="D58" i="18" s="1"/>
  <c r="D61" i="18" s="1"/>
  <c r="C53" i="18"/>
  <c r="C58" i="18" s="1"/>
  <c r="C61" i="18" s="1"/>
  <c r="D51" i="18"/>
  <c r="D56" i="18" s="1"/>
  <c r="C51" i="18"/>
  <c r="C56" i="18" s="1"/>
  <c r="E50" i="18"/>
  <c r="E55" i="18" s="1"/>
  <c r="D50" i="18"/>
  <c r="D52" i="18" s="1"/>
  <c r="C50" i="18"/>
  <c r="C52" i="18" s="1"/>
  <c r="D44" i="18"/>
  <c r="D47" i="18" s="1"/>
  <c r="C44" i="18"/>
  <c r="C47" i="18" s="1"/>
  <c r="E42" i="18"/>
  <c r="E45" i="18" s="1"/>
  <c r="E48" i="18" s="1"/>
  <c r="D41" i="18"/>
  <c r="C41" i="18"/>
  <c r="E39" i="18"/>
  <c r="D39" i="18"/>
  <c r="C39" i="18"/>
  <c r="E38" i="18"/>
  <c r="D38" i="18"/>
  <c r="C38" i="18"/>
  <c r="E37" i="18"/>
  <c r="E51" i="18" s="1"/>
  <c r="E56" i="18" s="1"/>
  <c r="D37" i="18"/>
  <c r="C37" i="18"/>
  <c r="E36" i="18"/>
  <c r="D36" i="18"/>
  <c r="C36" i="18"/>
  <c r="E34" i="18"/>
  <c r="D34" i="18"/>
  <c r="C34" i="18"/>
  <c r="E33" i="18"/>
  <c r="D33" i="18"/>
  <c r="E32" i="18"/>
  <c r="D32" i="18"/>
  <c r="C32" i="18"/>
  <c r="E31" i="18"/>
  <c r="D31" i="18"/>
  <c r="C31" i="18"/>
  <c r="C33" i="18" s="1"/>
  <c r="E28" i="18"/>
  <c r="D28" i="18"/>
  <c r="C28" i="18"/>
  <c r="E15" i="18"/>
  <c r="D15" i="18"/>
  <c r="E13" i="18"/>
  <c r="D13" i="18"/>
  <c r="C13" i="18"/>
  <c r="C15" i="18" s="1"/>
  <c r="E10" i="18"/>
  <c r="D10" i="18"/>
  <c r="C10" i="18"/>
  <c r="E6" i="18"/>
  <c r="D6" i="18"/>
  <c r="D42" i="18" s="1"/>
  <c r="D45" i="18" s="1"/>
  <c r="D48" i="18" s="1"/>
  <c r="C6" i="18"/>
  <c r="C42" i="18" s="1"/>
  <c r="C45" i="18" s="1"/>
  <c r="C48" i="18" s="1"/>
  <c r="E5" i="18"/>
  <c r="E41" i="18" s="1"/>
  <c r="E44" i="18" s="1"/>
  <c r="E47" i="18" s="1"/>
  <c r="D5" i="18"/>
  <c r="C5" i="18"/>
  <c r="E57" i="18" l="1"/>
  <c r="E60" i="18" s="1"/>
  <c r="C55" i="18"/>
  <c r="C57" i="18" s="1"/>
  <c r="C60" i="18" s="1"/>
  <c r="E52" i="18"/>
  <c r="D55" i="18"/>
  <c r="D57" i="18" s="1"/>
  <c r="D60" i="18" s="1"/>
  <c r="C65" i="27" l="1"/>
  <c r="B24" i="28"/>
  <c r="H11" i="26" l="1"/>
  <c r="H9" i="26"/>
  <c r="F42" i="14"/>
  <c r="F45" i="14"/>
  <c r="C27" i="29"/>
  <c r="C25" i="29" l="1"/>
  <c r="C12" i="29"/>
  <c r="C5" i="29"/>
  <c r="F5" i="26"/>
  <c r="G3" i="2" s="1"/>
  <c r="E3" i="24"/>
  <c r="C3" i="24"/>
  <c r="B28" i="28"/>
  <c r="B29" i="28"/>
  <c r="G7" i="26"/>
  <c r="F3" i="4" s="1"/>
  <c r="G4" i="26"/>
  <c r="F2" i="2" s="1"/>
  <c r="E7" i="26"/>
  <c r="B3" i="4" s="1"/>
  <c r="E6" i="26"/>
  <c r="B2" i="4" s="1"/>
  <c r="E4" i="26"/>
  <c r="B2" i="2" s="1"/>
  <c r="C7" i="26"/>
  <c r="D3" i="4" s="1"/>
  <c r="C6" i="26"/>
  <c r="D2" i="4" s="1"/>
  <c r="F7" i="26"/>
  <c r="G3" i="4" s="1"/>
  <c r="E5" i="26"/>
  <c r="B3" i="2" s="1"/>
  <c r="D7" i="26"/>
  <c r="E3" i="4" s="1"/>
  <c r="D6" i="26"/>
  <c r="E2" i="4" s="1"/>
  <c r="D5" i="26"/>
  <c r="E3" i="2" s="1"/>
  <c r="D4" i="26"/>
  <c r="E2" i="2" s="1"/>
  <c r="C4" i="26"/>
  <c r="D2" i="2" s="1"/>
  <c r="F3" i="26"/>
  <c r="G7" i="4" s="1"/>
  <c r="E3" i="26"/>
  <c r="B7" i="4" s="1"/>
  <c r="C3" i="26"/>
  <c r="D7" i="4" s="1"/>
  <c r="E2" i="26"/>
  <c r="B7" i="2" s="1"/>
  <c r="C2" i="26"/>
  <c r="D7" i="2" s="1"/>
  <c r="B33" i="28"/>
  <c r="H10" i="26" s="1"/>
  <c r="B32" i="28"/>
  <c r="B31" i="28"/>
  <c r="B30" i="28"/>
  <c r="H8" i="26"/>
  <c r="F2" i="4"/>
  <c r="G2" i="4"/>
  <c r="F46" i="14"/>
  <c r="F43" i="14"/>
  <c r="G2" i="2" l="1"/>
</calcChain>
</file>

<file path=xl/sharedStrings.xml><?xml version="1.0" encoding="utf-8"?>
<sst xmlns="http://schemas.openxmlformats.org/spreadsheetml/2006/main" count="1157" uniqueCount="402">
  <si>
    <t>SYVbT Start Year Vehicles by Technology</t>
  </si>
  <si>
    <t>Sources:</t>
  </si>
  <si>
    <t>Motorcycles, private cars, taxis, buses, goods (freight)</t>
  </si>
  <si>
    <t>HK Transport Department</t>
  </si>
  <si>
    <t>Registration and Licensing of Vehicles by Class of Vehicles</t>
  </si>
  <si>
    <t>https://www.td.gov.hk/filemanager/en/content_5217/2307_e.pdf</t>
  </si>
  <si>
    <t>Tables T4.1a-T4.1k</t>
  </si>
  <si>
    <t>Division of cars, buses and goods into Diesel and petrol</t>
  </si>
  <si>
    <t>Competition Commission</t>
  </si>
  <si>
    <t>Report on Study into Hong Kong's Auto-fuel Market</t>
  </si>
  <si>
    <t>https://www.compcomm.hk/en/media/press/files/Full_Report_Auto_fuel_Market_Study_Report_Eng.pdf</t>
  </si>
  <si>
    <t>Table 1</t>
  </si>
  <si>
    <t>aircraft</t>
  </si>
  <si>
    <t>Cathay Pacific Group Fact Sheet</t>
  </si>
  <si>
    <t>Corporate Affairs Department</t>
  </si>
  <si>
    <t>https://news.cathaypacific.com/fact-sheet</t>
  </si>
  <si>
    <t>https://www.cathaypacific.com/content/dam/cx/about-us/investor-relations/interim-annual-reports/en/2023_cx_interim_report_en.pdf</t>
  </si>
  <si>
    <t>passenger rail</t>
  </si>
  <si>
    <t>MTR Business Overview</t>
  </si>
  <si>
    <t>MTR Number of Train Cars</t>
  </si>
  <si>
    <t>https://www.mtr.com.hk/archive/corporate/en/publications/images/business_overview_e.pdf</t>
  </si>
  <si>
    <t>Table Page 7</t>
  </si>
  <si>
    <t>freight rail</t>
  </si>
  <si>
    <t>Checkerboardhill</t>
  </si>
  <si>
    <t>Blog entry</t>
  </si>
  <si>
    <t>https://www.checkerboardhill.com/2011/09/demise-of-hong-kong-rail-freight/</t>
  </si>
  <si>
    <t>Electric Vehicles</t>
  </si>
  <si>
    <t>Hong Kong Environmental Protection Department</t>
  </si>
  <si>
    <t xml:space="preserve">Promotion of Electric Vehicles </t>
  </si>
  <si>
    <t xml:space="preserve">https://www.epd.gov.hk/epd/english/environmentinhk/air/prob_solutions/promotion_ev.html </t>
  </si>
  <si>
    <t>number under section "EV Models in Hong Kong"</t>
  </si>
  <si>
    <t>Vehicle Licensing by Fuel Type</t>
  </si>
  <si>
    <t>Registration and Licensing of Vehicles by Fuel Type</t>
  </si>
  <si>
    <t>Transport Department</t>
  </si>
  <si>
    <t>https://www.td.gov.hk/en/transport_in_hong_kong/transport_figures/monthly_traffic_and_transport_digest/2018/201803/index.html</t>
  </si>
  <si>
    <t>Table 4.4</t>
  </si>
  <si>
    <t>Ferry Count</t>
  </si>
  <si>
    <t>Hong Kong Licensed Vessels (New Series)</t>
  </si>
  <si>
    <t>n.d.</t>
  </si>
  <si>
    <t>Hong Kong Marine Department</t>
  </si>
  <si>
    <t>https://www.mardep.gov.hk/en/publication/pdf/portstat_2_y_e3.pdf</t>
  </si>
  <si>
    <t>Public Sector Operator</t>
  </si>
  <si>
    <t>Operating Statistics by Public Sector Operators</t>
  </si>
  <si>
    <t>Transportation Department: The Government of the Hong Kong Special Administrative Region</t>
  </si>
  <si>
    <t>https://www.td.gov.hk/filemanager/en/content_4893/table22.pdf</t>
  </si>
  <si>
    <t>Table 2.2</t>
  </si>
  <si>
    <t>Notes</t>
  </si>
  <si>
    <t>###</t>
  </si>
  <si>
    <t>In the future, we could use the "Freight Motorcycle" category for Taxis, but it requires changes to many of the files.</t>
  </si>
  <si>
    <t>The start year is the year prior the first simulated year in the model.</t>
  </si>
  <si>
    <t>For the U.S. in EPS 1.3.2, the start year is 2016, as the first simulated year is 2017.</t>
  </si>
  <si>
    <t>For passenger rail, we only have the number of rail cars from MTR. We assume an average of 8 cars per train.</t>
  </si>
  <si>
    <t>We assume vehicles listed as other fuel type besides diesel, petrol, and natural gas represents hybrid vehicles.</t>
  </si>
  <si>
    <t>Air data are based on Cathay Pacific and Dragon Air passenger and cargo fleet.</t>
  </si>
  <si>
    <t>Natural gas data represents liquefied petroleum gas (LPG) vehicle figures.</t>
  </si>
  <si>
    <t xml:space="preserve">Cathay Pacific Freighters (Air Hong Kong) </t>
  </si>
  <si>
    <t>Airbus A300-600F</t>
  </si>
  <si>
    <t>A330-243F</t>
  </si>
  <si>
    <t>A330-300P2F</t>
  </si>
  <si>
    <t xml:space="preserve">HK Express </t>
  </si>
  <si>
    <t>Airbus A320-200</t>
  </si>
  <si>
    <t>A321-200</t>
  </si>
  <si>
    <t>A320-200neo</t>
  </si>
  <si>
    <t>A321-200neo</t>
  </si>
  <si>
    <t xml:space="preserve">Cathay Pacific </t>
  </si>
  <si>
    <t>A320-200</t>
  </si>
  <si>
    <t>A330-300</t>
  </si>
  <si>
    <t>A350-900</t>
  </si>
  <si>
    <t>A350 -1000</t>
  </si>
  <si>
    <t>747-400ERF</t>
  </si>
  <si>
    <t>747-8F</t>
  </si>
  <si>
    <t>777-300</t>
  </si>
  <si>
    <t>777-300ER</t>
  </si>
  <si>
    <t xml:space="preserve">Passenger Aircrafts </t>
  </si>
  <si>
    <r>
      <t>表</t>
    </r>
    <r>
      <rPr>
        <b/>
        <sz val="12"/>
        <rFont val="Times New Roman"/>
        <family val="1"/>
      </rPr>
      <t xml:space="preserve"> 4.1(a)</t>
    </r>
  </si>
  <si>
    <r>
      <t xml:space="preserve">: </t>
    </r>
    <r>
      <rPr>
        <b/>
        <sz val="12"/>
        <rFont val="標楷體"/>
        <family val="4"/>
        <charset val="136"/>
      </rPr>
      <t>按車輛種類劃分的車輛登記及領牌統計數字</t>
    </r>
    <r>
      <rPr>
        <b/>
        <sz val="12"/>
        <rFont val="Times New Roman"/>
        <family val="1"/>
      </rPr>
      <t xml:space="preserve"> </t>
    </r>
    <r>
      <rPr>
        <b/>
        <vertAlign val="superscript"/>
        <sz val="12"/>
        <rFont val="Times New Roman"/>
        <family val="1"/>
      </rPr>
      <t>(1) (2) (3)</t>
    </r>
  </si>
  <si>
    <t>Table 4.1(a)</t>
    <phoneticPr fontId="7" type="noConversion"/>
  </si>
  <si>
    <r>
      <t xml:space="preserve">: Registration and Licensing of Vehicles by Class of Vehicles </t>
    </r>
    <r>
      <rPr>
        <b/>
        <vertAlign val="superscript"/>
        <sz val="12"/>
        <rFont val="Times New Roman"/>
        <family val="1"/>
      </rPr>
      <t xml:space="preserve">(1) (2) (3) </t>
    </r>
  </si>
  <si>
    <t>電單車</t>
    <phoneticPr fontId="7" type="noConversion"/>
  </si>
  <si>
    <t>Motor Cycles</t>
    <phoneticPr fontId="7" type="noConversion"/>
  </si>
  <si>
    <t>無邊卡</t>
    <phoneticPr fontId="7" type="noConversion"/>
  </si>
  <si>
    <t>連邊卡</t>
    <phoneticPr fontId="7" type="noConversion"/>
  </si>
  <si>
    <t>機動三輪車</t>
  </si>
  <si>
    <t>機動三輪車</t>
    <phoneticPr fontId="7" type="noConversion"/>
  </si>
  <si>
    <t>私家車</t>
  </si>
  <si>
    <t>小計</t>
    <phoneticPr fontId="7" type="noConversion"/>
  </si>
  <si>
    <t>Solo</t>
    <phoneticPr fontId="7" type="noConversion"/>
  </si>
  <si>
    <t>Combo</t>
    <phoneticPr fontId="7" type="noConversion"/>
  </si>
  <si>
    <t>Motor Tricycles</t>
    <phoneticPr fontId="7" type="noConversion"/>
  </si>
  <si>
    <t>Sub-total</t>
  </si>
  <si>
    <r>
      <t xml:space="preserve"> </t>
    </r>
    <r>
      <rPr>
        <sz val="8"/>
        <rFont val="細明體"/>
        <family val="3"/>
        <charset val="136"/>
      </rPr>
      <t>年</t>
    </r>
    <r>
      <rPr>
        <sz val="8"/>
        <rFont val="Times New Roman"/>
        <family val="1"/>
      </rPr>
      <t xml:space="preserve"> / </t>
    </r>
    <r>
      <rPr>
        <sz val="8"/>
        <rFont val="細明體"/>
        <family val="3"/>
        <charset val="136"/>
      </rPr>
      <t>月</t>
    </r>
  </si>
  <si>
    <t>首次登記</t>
  </si>
  <si>
    <t>登記總數</t>
  </si>
  <si>
    <t>領牌總數</t>
  </si>
  <si>
    <t>登記總數</t>
    <phoneticPr fontId="7" type="noConversion"/>
  </si>
  <si>
    <t>領牌總數</t>
    <phoneticPr fontId="7" type="noConversion"/>
  </si>
  <si>
    <t>首次登記</t>
    <phoneticPr fontId="7" type="noConversion"/>
  </si>
  <si>
    <t xml:space="preserve"> Year/Month</t>
  </si>
  <si>
    <t>First Registration</t>
    <phoneticPr fontId="7" type="noConversion"/>
  </si>
  <si>
    <t>Total Registration</t>
  </si>
  <si>
    <t>Total Licensed</t>
  </si>
  <si>
    <t>First Registration</t>
  </si>
  <si>
    <t>Total Registration</t>
    <phoneticPr fontId="7" type="noConversion"/>
  </si>
  <si>
    <t>Total Licensed</t>
    <phoneticPr fontId="7" type="noConversion"/>
  </si>
  <si>
    <t/>
  </si>
  <si>
    <r>
      <t>註：</t>
    </r>
    <r>
      <rPr>
        <sz val="8"/>
        <rFont val="Times New Roman"/>
        <family val="1"/>
      </rPr>
      <t>(1)</t>
    </r>
  </si>
  <si>
    <r>
      <t>車輛登記</t>
    </r>
    <r>
      <rPr>
        <sz val="8"/>
        <rFont val="Times New Roman"/>
        <family val="1"/>
      </rPr>
      <t xml:space="preserve"> -</t>
    </r>
  </si>
  <si>
    <r>
      <t>車輛登記是指由運輸署編配車輛登記號碼</t>
    </r>
    <r>
      <rPr>
        <sz val="8"/>
        <rFont val="Times New Roman"/>
        <family val="1"/>
      </rPr>
      <t>(</t>
    </r>
    <r>
      <rPr>
        <sz val="8"/>
        <rFont val="細明體"/>
        <family val="3"/>
        <charset val="136"/>
      </rPr>
      <t>車牌</t>
    </r>
    <r>
      <rPr>
        <sz val="8"/>
        <rFont val="Times New Roman"/>
        <family val="1"/>
      </rPr>
      <t>)</t>
    </r>
    <r>
      <rPr>
        <sz val="8"/>
        <rFont val="細明體"/>
        <family val="3"/>
        <charset val="136"/>
      </rPr>
      <t>，並將車輛予以適當分類。一部車通常只需登記一次。「首次登記」車輛數字指該期間所登記的車輛數目。「登記總數」指期末已登記的車輛總數。</t>
    </r>
  </si>
  <si>
    <t>Notes : (1)</t>
    <phoneticPr fontId="7" type="noConversion"/>
  </si>
  <si>
    <t>Vehicle Registration -</t>
  </si>
  <si>
    <t>Motor vehicle registration, which is normally a one-off matter, means giving the vehicle a registration mark and putting it into its appropriate class.  "First registration" refers to registration during the period.   "Total registration" refers to the total number of vehicles registered as at end of the period.</t>
    <phoneticPr fontId="7" type="noConversion"/>
  </si>
  <si>
    <t>(2)</t>
    <phoneticPr fontId="7" type="noConversion"/>
  </si>
  <si>
    <r>
      <t>車輛牌照</t>
    </r>
    <r>
      <rPr>
        <sz val="8"/>
        <rFont val="Times New Roman"/>
        <family val="1"/>
      </rPr>
      <t xml:space="preserve"> -</t>
    </r>
  </si>
  <si>
    <t>車輛牌照給予車輛在道路上行駛的權利，有效期分為四個月及一年兩種。「領牌總數」指期末的已領牌車輛數字。</t>
    <phoneticPr fontId="7" type="noConversion"/>
  </si>
  <si>
    <t>Vehicle Licence -</t>
  </si>
  <si>
    <t>Motor vehicle licensing conveys the right for a vehicle to be driven on a road. The valid period is either four months or a year.  "Total licensed" figure refers to the total number of vehicles licensed as at end of the period.</t>
    <phoneticPr fontId="7" type="noConversion"/>
  </si>
  <si>
    <t>(3)</t>
    <phoneticPr fontId="7" type="noConversion"/>
  </si>
  <si>
    <r>
      <t>自</t>
    </r>
    <r>
      <rPr>
        <sz val="8"/>
        <rFont val="Times New Roman"/>
        <family val="1"/>
      </rPr>
      <t>2019</t>
    </r>
    <r>
      <rPr>
        <sz val="8"/>
        <rFont val="細明體"/>
        <family val="3"/>
        <charset val="136"/>
      </rPr>
      <t>年</t>
    </r>
    <r>
      <rPr>
        <sz val="8"/>
        <rFont val="Times New Roman"/>
        <family val="1"/>
      </rPr>
      <t>1</t>
    </r>
    <r>
      <rPr>
        <sz val="8"/>
        <rFont val="細明體"/>
        <family val="3"/>
        <charset val="136"/>
      </rPr>
      <t>月</t>
    </r>
    <r>
      <rPr>
        <sz val="8"/>
        <rFont val="Times New Roman"/>
        <family val="1"/>
      </rPr>
      <t>2</t>
    </r>
    <r>
      <rPr>
        <sz val="8"/>
        <rFont val="細明體"/>
        <family val="3"/>
        <charset val="136"/>
      </rPr>
      <t>日開始，有關車輛登記類別已更改；詳情請參考表格</t>
    </r>
    <r>
      <rPr>
        <sz val="8"/>
        <rFont val="Times New Roman"/>
        <family val="1"/>
      </rPr>
      <t>4.1(d)</t>
    </r>
    <r>
      <rPr>
        <sz val="8"/>
        <rFont val="細明體"/>
        <family val="3"/>
        <charset val="136"/>
      </rPr>
      <t>至</t>
    </r>
    <r>
      <rPr>
        <sz val="8"/>
        <rFont val="Times New Roman"/>
        <family val="1"/>
      </rPr>
      <t>(h)</t>
    </r>
    <r>
      <rPr>
        <sz val="8"/>
        <rFont val="細明體"/>
        <family val="3"/>
        <charset val="136"/>
      </rPr>
      <t>。</t>
    </r>
  </si>
  <si>
    <t>The categorization of the vehicle registration status has been changed since 2.1.2019.  For detailed breakdown, please refer to tables 4.1 (d) to (h).</t>
  </si>
  <si>
    <r>
      <t>(</t>
    </r>
    <r>
      <rPr>
        <b/>
        <sz val="12"/>
        <rFont val="標楷體"/>
        <family val="4"/>
        <charset val="136"/>
      </rPr>
      <t>續</t>
    </r>
    <r>
      <rPr>
        <b/>
        <sz val="12"/>
        <rFont val="Times New Roman"/>
        <family val="1"/>
      </rPr>
      <t>)</t>
    </r>
  </si>
  <si>
    <t>(cont'd)</t>
  </si>
  <si>
    <t>私家車</t>
    <phoneticPr fontId="7" type="noConversion"/>
  </si>
  <si>
    <t>Private Cars</t>
    <phoneticPr fontId="7" type="noConversion"/>
  </si>
  <si>
    <t>汽油</t>
  </si>
  <si>
    <t>電力</t>
  </si>
  <si>
    <t>柴油</t>
  </si>
  <si>
    <r>
      <t>其他</t>
    </r>
    <r>
      <rPr>
        <vertAlign val="superscript"/>
        <sz val="8"/>
        <rFont val="Times New Roman"/>
        <family val="1"/>
      </rPr>
      <t>(4)</t>
    </r>
  </si>
  <si>
    <t>小計</t>
  </si>
  <si>
    <t>Petrol</t>
  </si>
  <si>
    <t>Electric</t>
  </si>
  <si>
    <t>Diesel</t>
  </si>
  <si>
    <r>
      <t>Other</t>
    </r>
    <r>
      <rPr>
        <vertAlign val="superscript"/>
        <sz val="8"/>
        <rFont val="Times New Roman"/>
        <family val="1"/>
      </rPr>
      <t>(4)</t>
    </r>
  </si>
  <si>
    <t>註 :</t>
  </si>
  <si>
    <t xml:space="preserve">(4)   </t>
    <phoneticPr fontId="7" type="noConversion"/>
  </si>
  <si>
    <t>包括各種其發動機為「渦輪引擎」、「燃油電池車」等的車輛，它們的燃料種類不能進一步被劃分。</t>
    <phoneticPr fontId="7" type="noConversion"/>
  </si>
  <si>
    <t>Note:</t>
    <phoneticPr fontId="7" type="noConversion"/>
  </si>
  <si>
    <t>(4)</t>
    <phoneticPr fontId="7" type="noConversion"/>
  </si>
  <si>
    <t>Including various vehicles with power plants such as turbine engines, fuel cell vehicles, etc. of which fuel types cannot be further classified.</t>
  </si>
  <si>
    <t>的士</t>
    <phoneticPr fontId="7" type="noConversion"/>
  </si>
  <si>
    <t>Taxis</t>
    <phoneticPr fontId="7" type="noConversion"/>
  </si>
  <si>
    <t>市區</t>
  </si>
  <si>
    <t>新界</t>
  </si>
  <si>
    <t>大嶼山</t>
  </si>
  <si>
    <t>Urban</t>
  </si>
  <si>
    <t>New Territories</t>
  </si>
  <si>
    <t>Lantau</t>
  </si>
  <si>
    <r>
      <t>公共巴士</t>
    </r>
    <r>
      <rPr>
        <sz val="8"/>
        <rFont val="Times New Roman"/>
        <family val="1"/>
      </rPr>
      <t xml:space="preserve">    Public Buses</t>
    </r>
  </si>
  <si>
    <r>
      <t>專營</t>
    </r>
    <r>
      <rPr>
        <sz val="8"/>
        <rFont val="Times New Roman"/>
        <family val="1"/>
      </rPr>
      <t xml:space="preserve">    Franchised</t>
    </r>
  </si>
  <si>
    <r>
      <t>九巴</t>
    </r>
    <r>
      <rPr>
        <sz val="8"/>
        <rFont val="Times New Roman"/>
        <family val="1"/>
      </rPr>
      <t xml:space="preserve">    KMB   </t>
    </r>
  </si>
  <si>
    <r>
      <t>單層</t>
    </r>
    <r>
      <rPr>
        <sz val="8"/>
        <rFont val="Times New Roman"/>
        <family val="1"/>
      </rPr>
      <t xml:space="preserve">   Single Deck  </t>
    </r>
  </si>
  <si>
    <r>
      <t>雙層</t>
    </r>
    <r>
      <rPr>
        <sz val="8"/>
        <rFont val="Times New Roman"/>
        <family val="1"/>
      </rPr>
      <t xml:space="preserve">   Double Deck  </t>
    </r>
  </si>
  <si>
    <t xml:space="preserve"> 年 / 月</t>
  </si>
  <si>
    <r>
      <rPr>
        <sz val="8"/>
        <rFont val="細明體"/>
        <family val="3"/>
        <charset val="136"/>
      </rPr>
      <t>城巴專營</t>
    </r>
    <r>
      <rPr>
        <sz val="8"/>
        <rFont val="Times New Roman"/>
        <family val="1"/>
      </rPr>
      <t xml:space="preserve"> (</t>
    </r>
    <r>
      <rPr>
        <sz val="8"/>
        <rFont val="細明體"/>
        <family val="3"/>
        <charset val="136"/>
      </rPr>
      <t>港島及過海巴士</t>
    </r>
    <r>
      <rPr>
        <sz val="8"/>
        <rFont val="Times New Roman"/>
        <family val="1"/>
      </rPr>
      <t>)</t>
    </r>
    <r>
      <rPr>
        <vertAlign val="superscript"/>
        <sz val="8"/>
        <rFont val="Times New Roman"/>
        <family val="1"/>
      </rPr>
      <t xml:space="preserve"> </t>
    </r>
    <r>
      <rPr>
        <sz val="8"/>
        <rFont val="Times New Roman"/>
        <family val="1"/>
      </rPr>
      <t xml:space="preserve"> / </t>
    </r>
    <r>
      <rPr>
        <sz val="8"/>
        <rFont val="新細明體"/>
        <family val="1"/>
        <charset val="136"/>
      </rPr>
      <t>城巴專營</t>
    </r>
    <r>
      <rPr>
        <sz val="8"/>
        <rFont val="Times New Roman"/>
        <family val="1"/>
      </rPr>
      <t xml:space="preserve"> (</t>
    </r>
    <r>
      <rPr>
        <sz val="8"/>
        <rFont val="新細明體"/>
        <family val="1"/>
        <charset val="136"/>
      </rPr>
      <t>市區及新界</t>
    </r>
    <r>
      <rPr>
        <sz val="8"/>
        <rFont val="Times New Roman"/>
        <family val="1"/>
      </rPr>
      <t>)</t>
    </r>
    <r>
      <rPr>
        <vertAlign val="superscript"/>
        <sz val="8"/>
        <rFont val="Times New Roman"/>
        <family val="1"/>
      </rPr>
      <t xml:space="preserve"> (5)
</t>
    </r>
    <r>
      <rPr>
        <sz val="8"/>
        <rFont val="Times New Roman"/>
        <family val="1"/>
      </rPr>
      <t xml:space="preserve">Citybus Franchise (HK &amp; XHT) / Citybus Franchise (U &amp; NT) </t>
    </r>
    <r>
      <rPr>
        <vertAlign val="superscript"/>
        <sz val="8"/>
        <rFont val="Times New Roman"/>
        <family val="1"/>
      </rPr>
      <t>(5)</t>
    </r>
  </si>
  <si>
    <r>
      <t>城巴專營</t>
    </r>
    <r>
      <rPr>
        <sz val="8"/>
        <rFont val="Times New Roman"/>
        <family val="1"/>
      </rPr>
      <t xml:space="preserve"> (</t>
    </r>
    <r>
      <rPr>
        <sz val="8"/>
        <rFont val="細明體"/>
        <family val="3"/>
        <charset val="136"/>
      </rPr>
      <t>大嶼山</t>
    </r>
    <r>
      <rPr>
        <sz val="8"/>
        <rFont val="Times New Roman"/>
        <family val="1"/>
      </rPr>
      <t>)   Citybus Franchise (Lantau)</t>
    </r>
  </si>
  <si>
    <t xml:space="preserve">(5)   </t>
    <phoneticPr fontId="7" type="noConversion"/>
  </si>
  <si>
    <t>在二零二三年七月一日之前，城巴有限公司營運兩個巴士專營權，分別為香港島及過海巴士網絡專營權，以及機場及北大嶼山巴士網絡專營權。
新巴與城巴（香港島及過海巴士網絡）的專營權在二零二三年七月一日合併，新巴領牌車隊的擁有權亦已全部轉至城巴。新專營權名為「城巴有限公司（市區及新界巴士網絡專營權）」，並於二零二三年七月一日開始生效，涵蓋新巴與城巴（香港島及過海巴士）原先營運的兩個巴士網絡。
自二零二三年七月一日起，城巴有限公司營運市區及新界巴士網絡專營權，以及機場及北大嶼山巴士網絡專營權。</t>
    <phoneticPr fontId="7" type="noConversion"/>
  </si>
  <si>
    <t xml:space="preserve">Note:    (5)   </t>
    <phoneticPr fontId="7" type="noConversion"/>
  </si>
  <si>
    <r>
      <t xml:space="preserve">Before 1 July 2023, Citybus Limited operated two respective franchises for operation of the Hong Kong Island and Cross Harbour bus network, and the Airport and North Lantau bus network. </t>
    </r>
    <r>
      <rPr>
        <sz val="6"/>
        <rFont val="Times New Roman"/>
        <family val="1"/>
      </rPr>
      <t xml:space="preserve">
</t>
    </r>
    <r>
      <rPr>
        <sz val="8"/>
        <rFont val="Times New Roman"/>
        <family val="1"/>
      </rPr>
      <t xml:space="preserve">The franchises of NWFB and Citybus Limited (Franchise for Hong Kong Island and Cross-Harbour bus network) were merged on 1 July 2023.  The ownership of licensed buses of NWFB had also been transferred entirely to Citybus Limited.  The franchise named Citybus Limited (Franchise for the Urban and New Territories bus network) covering the two bus networks of the aforesaid two franchises commenced from 1 July 2023. </t>
    </r>
    <r>
      <rPr>
        <sz val="6"/>
        <rFont val="Times New Roman"/>
        <family val="1"/>
      </rPr>
      <t xml:space="preserve">
</t>
    </r>
    <r>
      <rPr>
        <sz val="8"/>
        <rFont val="Times New Roman"/>
        <family val="1"/>
      </rPr>
      <t>With effect from 1 July 2023, Citybus Limited operates the franchises for the Urban and New Territories bus network, and the Airport and North Lantau bus network.</t>
    </r>
  </si>
  <si>
    <t>Table 4.1(a)</t>
  </si>
  <si>
    <r>
      <t>新巴</t>
    </r>
    <r>
      <rPr>
        <sz val="8"/>
        <rFont val="Times New Roman"/>
        <family val="1"/>
      </rPr>
      <t xml:space="preserve"> </t>
    </r>
    <r>
      <rPr>
        <vertAlign val="superscript"/>
        <sz val="8"/>
        <rFont val="Times New Roman"/>
        <family val="1"/>
      </rPr>
      <t>(6)</t>
    </r>
    <r>
      <rPr>
        <sz val="8"/>
        <rFont val="Times New Roman"/>
        <family val="1"/>
      </rPr>
      <t xml:space="preserve">  NWFB </t>
    </r>
    <r>
      <rPr>
        <vertAlign val="superscript"/>
        <sz val="8"/>
        <rFont val="Times New Roman"/>
        <family val="1"/>
      </rPr>
      <t>(6)</t>
    </r>
  </si>
  <si>
    <r>
      <t>龍運</t>
    </r>
    <r>
      <rPr>
        <sz val="8"/>
        <rFont val="Times New Roman"/>
        <family val="1"/>
      </rPr>
      <t xml:space="preserve">   LWB</t>
    </r>
  </si>
  <si>
    <t xml:space="preserve">    -</t>
  </si>
  <si>
    <t>2022 /</t>
  </si>
  <si>
    <t>2023 /</t>
  </si>
  <si>
    <t xml:space="preserve">       -</t>
  </si>
  <si>
    <t>在二零二三年七月一日之前，城巴有限公司營運兩個巴士專營權，分別為香港島及過海巴士網絡專營權，以及機場及北大嶼山巴士網絡專營權。
新巴與城巴（香港島及過海巴士網絡）的專營權在二零二三年七月一日合併，新巴領牌車隊的擁有權亦已全部轉至城巴。新專營權名為「城巴有限公司（市區及新界巴士網絡專營權）」，並於二零二三年七月一日開始生效，涵蓋新巴與城巴（香港島及過海巴士）原先營運的兩個巴士網絡。
自二零二三年七月一日起，城巴有限公司營運市區及新界巴士網絡專營權，以及機場及北大嶼山巴士網絡專營權。</t>
  </si>
  <si>
    <t xml:space="preserve">Note:    (6)   </t>
  </si>
  <si>
    <r>
      <t>非專營</t>
    </r>
    <r>
      <rPr>
        <sz val="8"/>
        <rFont val="Times New Roman"/>
        <family val="1"/>
      </rPr>
      <t xml:space="preserve">    Non-franchised</t>
    </r>
  </si>
  <si>
    <r>
      <t>新大嶼山巴士</t>
    </r>
    <r>
      <rPr>
        <sz val="8"/>
        <rFont val="Times New Roman"/>
        <family val="1"/>
      </rPr>
      <t xml:space="preserve">    NLB</t>
    </r>
  </si>
  <si>
    <r>
      <t>港鐵巴士</t>
    </r>
    <r>
      <rPr>
        <sz val="8"/>
        <rFont val="Times New Roman"/>
        <family val="1"/>
      </rPr>
      <t>(</t>
    </r>
    <r>
      <rPr>
        <sz val="8"/>
        <rFont val="細明體"/>
        <family val="3"/>
        <charset val="136"/>
      </rPr>
      <t>新界西北</t>
    </r>
    <r>
      <rPr>
        <sz val="8"/>
        <rFont val="Times New Roman"/>
        <family val="1"/>
      </rPr>
      <t>)
MTR Buses (Northwest New Territories)</t>
    </r>
  </si>
  <si>
    <r>
      <rPr>
        <sz val="8"/>
        <rFont val="細明體"/>
        <family val="3"/>
        <charset val="136"/>
      </rPr>
      <t>其他</t>
    </r>
    <r>
      <rPr>
        <sz val="8"/>
        <rFont val="Times New Roman"/>
        <family val="1"/>
      </rPr>
      <t xml:space="preserve"> </t>
    </r>
    <r>
      <rPr>
        <vertAlign val="superscript"/>
        <sz val="8"/>
        <rFont val="Times New Roman"/>
        <family val="1"/>
      </rPr>
      <t>(7)</t>
    </r>
    <r>
      <rPr>
        <sz val="8"/>
        <rFont val="Times New Roman"/>
        <family val="1"/>
      </rPr>
      <t xml:space="preserve">   Others </t>
    </r>
    <r>
      <rPr>
        <vertAlign val="superscript"/>
        <sz val="8"/>
        <rFont val="Times New Roman"/>
        <family val="1"/>
      </rPr>
      <t>(7)</t>
    </r>
  </si>
  <si>
    <t xml:space="preserve">(7)   </t>
    <phoneticPr fontId="7" type="noConversion"/>
  </si>
  <si>
    <t>包括兩輛前新巴登記的單層巴士，其專營權已於二零二三年七月一日屆滿。該兩輛巴士不會用於提供專營巴士服務。</t>
    <phoneticPr fontId="7" type="noConversion"/>
  </si>
  <si>
    <t xml:space="preserve">Note: (7)  </t>
    <phoneticPr fontId="7" type="noConversion"/>
  </si>
  <si>
    <t>Including two single deck buses registered by former NWFB, with its franchise expired on 1 July 2023. These two buses would not be deployed for the provision of franchised bus services.</t>
    <phoneticPr fontId="20" type="noConversion"/>
  </si>
  <si>
    <t>私家巴士</t>
    <phoneticPr fontId="7" type="noConversion"/>
  </si>
  <si>
    <t>Private Buses</t>
    <phoneticPr fontId="7" type="noConversion"/>
  </si>
  <si>
    <t>單層</t>
  </si>
  <si>
    <t>雙層</t>
  </si>
  <si>
    <t xml:space="preserve">Single Deck  </t>
  </si>
  <si>
    <t xml:space="preserve">Double Deck  </t>
  </si>
  <si>
    <t>公共小巴</t>
    <phoneticPr fontId="7" type="noConversion"/>
  </si>
  <si>
    <t>Public Light Buses</t>
    <phoneticPr fontId="7" type="noConversion"/>
  </si>
  <si>
    <t>私家小巴</t>
  </si>
  <si>
    <t>紅色小巴</t>
    <phoneticPr fontId="7" type="noConversion"/>
  </si>
  <si>
    <t>專線小巴</t>
    <phoneticPr fontId="7" type="noConversion"/>
  </si>
  <si>
    <t>Private Light Buses</t>
  </si>
  <si>
    <t>RMB</t>
    <phoneticPr fontId="7" type="noConversion"/>
  </si>
  <si>
    <t>GMB</t>
    <phoneticPr fontId="7" type="noConversion"/>
  </si>
  <si>
    <t>貨車</t>
    <phoneticPr fontId="7" type="noConversion"/>
  </si>
  <si>
    <t>Goods Vehicles</t>
    <phoneticPr fontId="7" type="noConversion"/>
  </si>
  <si>
    <r>
      <t>輕型貨車</t>
    </r>
    <r>
      <rPr>
        <vertAlign val="superscript"/>
        <sz val="8"/>
        <rFont val="Times New Roman"/>
        <family val="1"/>
      </rPr>
      <t xml:space="preserve"> (8)</t>
    </r>
  </si>
  <si>
    <r>
      <t>中型貨車</t>
    </r>
    <r>
      <rPr>
        <vertAlign val="superscript"/>
        <sz val="8"/>
        <rFont val="Times New Roman"/>
        <family val="1"/>
      </rPr>
      <t xml:space="preserve"> (9)</t>
    </r>
  </si>
  <si>
    <r>
      <t>重型貨車</t>
    </r>
    <r>
      <rPr>
        <vertAlign val="superscript"/>
        <sz val="8"/>
        <rFont val="Times New Roman"/>
        <family val="1"/>
      </rPr>
      <t xml:space="preserve"> (10)</t>
    </r>
  </si>
  <si>
    <r>
      <t>Light Goods Vehicles</t>
    </r>
    <r>
      <rPr>
        <vertAlign val="superscript"/>
        <sz val="8"/>
        <rFont val="Times New Roman"/>
        <family val="1"/>
      </rPr>
      <t xml:space="preserve"> (8)</t>
    </r>
  </si>
  <si>
    <r>
      <t>Medium Goods Vehicles</t>
    </r>
    <r>
      <rPr>
        <vertAlign val="superscript"/>
        <sz val="8"/>
        <rFont val="Times New Roman"/>
        <family val="1"/>
      </rPr>
      <t xml:space="preserve"> (9)</t>
    </r>
  </si>
  <si>
    <r>
      <t>Heavy Goods Vehicles</t>
    </r>
    <r>
      <rPr>
        <vertAlign val="superscript"/>
        <sz val="8"/>
        <rFont val="Times New Roman"/>
        <family val="1"/>
      </rPr>
      <t xml:space="preserve"> (10)</t>
    </r>
  </si>
  <si>
    <r>
      <t>註</t>
    </r>
    <r>
      <rPr>
        <sz val="8"/>
        <rFont val="Times New Roman"/>
        <family val="1"/>
      </rPr>
      <t xml:space="preserve"> :</t>
    </r>
  </si>
  <si>
    <t>(8)</t>
  </si>
  <si>
    <r>
      <t>輕型貨車</t>
    </r>
    <r>
      <rPr>
        <sz val="8"/>
        <rFont val="Times New Roman"/>
        <family val="1"/>
      </rPr>
      <t xml:space="preserve"> - </t>
    </r>
    <r>
      <rPr>
        <sz val="8"/>
        <rFont val="細明體"/>
        <family val="3"/>
        <charset val="136"/>
      </rPr>
      <t>許可車輛總重量不超過</t>
    </r>
    <r>
      <rPr>
        <sz val="8"/>
        <rFont val="Times New Roman"/>
        <family val="1"/>
      </rPr>
      <t>5.5</t>
    </r>
    <r>
      <rPr>
        <sz val="8"/>
        <rFont val="細明體"/>
        <family val="3"/>
        <charset val="136"/>
      </rPr>
      <t>公噸的貨車。</t>
    </r>
  </si>
  <si>
    <t>Notes :</t>
    <phoneticPr fontId="7" type="noConversion"/>
  </si>
  <si>
    <t xml:space="preserve">Light Goods Vehicles - Goods vehicles of permitted gross vehicle weight not exceeding 5.5 tonnes. </t>
    <phoneticPr fontId="7" type="noConversion"/>
  </si>
  <si>
    <t>(9)</t>
  </si>
  <si>
    <r>
      <rPr>
        <sz val="8"/>
        <rFont val="細明體"/>
        <family val="3"/>
        <charset val="136"/>
      </rPr>
      <t>中型貨車</t>
    </r>
    <r>
      <rPr>
        <sz val="8"/>
        <rFont val="Times New Roman"/>
        <family val="1"/>
      </rPr>
      <t xml:space="preserve"> - </t>
    </r>
    <r>
      <rPr>
        <sz val="8"/>
        <rFont val="細明體"/>
        <family val="3"/>
        <charset val="136"/>
      </rPr>
      <t>許可車輛總重量超過</t>
    </r>
    <r>
      <rPr>
        <sz val="8"/>
        <rFont val="Times New Roman"/>
        <family val="1"/>
      </rPr>
      <t>5.5</t>
    </r>
    <r>
      <rPr>
        <sz val="8"/>
        <rFont val="細明體"/>
        <family val="3"/>
        <charset val="136"/>
      </rPr>
      <t>公噸而在</t>
    </r>
    <r>
      <rPr>
        <sz val="8"/>
        <rFont val="Times New Roman"/>
        <family val="1"/>
      </rPr>
      <t>24</t>
    </r>
    <r>
      <rPr>
        <sz val="8"/>
        <rFont val="細明體"/>
        <family val="3"/>
        <charset val="136"/>
      </rPr>
      <t>公噸及以下的貨車。</t>
    </r>
  </si>
  <si>
    <t>Medium Goods Vehicles -  Goods vehicles of permitted gross vehicle weight exceeding 5.5 tonnes but not exceeding 24 tonnes.</t>
    <phoneticPr fontId="7" type="noConversion"/>
  </si>
  <si>
    <t>(10)</t>
  </si>
  <si>
    <r>
      <rPr>
        <sz val="8"/>
        <rFont val="細明體"/>
        <family val="3"/>
        <charset val="136"/>
      </rPr>
      <t>重型貨車</t>
    </r>
    <r>
      <rPr>
        <sz val="8"/>
        <rFont val="Times New Roman"/>
        <family val="1"/>
      </rPr>
      <t xml:space="preserve"> - </t>
    </r>
    <r>
      <rPr>
        <sz val="8"/>
        <rFont val="細明體"/>
        <family val="3"/>
        <charset val="136"/>
      </rPr>
      <t>許可車輛總重量超過</t>
    </r>
    <r>
      <rPr>
        <sz val="8"/>
        <rFont val="Times New Roman"/>
        <family val="1"/>
      </rPr>
      <t>24</t>
    </r>
    <r>
      <rPr>
        <sz val="8"/>
        <rFont val="細明體"/>
        <family val="3"/>
        <charset val="136"/>
      </rPr>
      <t>公噸而在</t>
    </r>
    <r>
      <rPr>
        <sz val="8"/>
        <rFont val="Times New Roman"/>
        <family val="1"/>
      </rPr>
      <t>38</t>
    </r>
    <r>
      <rPr>
        <sz val="8"/>
        <rFont val="細明體"/>
        <family val="3"/>
        <charset val="136"/>
      </rPr>
      <t>公噸及以下的貨車。</t>
    </r>
  </si>
  <si>
    <t>Heavy Goods Vehicles -  Goods vehicles of permitted gross vehicle weight exceeding 24 tonnes but not exceeding 38 tonnes.</t>
    <phoneticPr fontId="7" type="noConversion"/>
  </si>
  <si>
    <r>
      <t>政府車輛</t>
    </r>
    <r>
      <rPr>
        <sz val="8"/>
        <rFont val="Times New Roman"/>
        <family val="1"/>
      </rPr>
      <t xml:space="preserve"> </t>
    </r>
    <r>
      <rPr>
        <vertAlign val="superscript"/>
        <sz val="8"/>
        <rFont val="Times New Roman"/>
        <family val="1"/>
      </rPr>
      <t>(12)</t>
    </r>
  </si>
  <si>
    <r>
      <t>特別用途車輛</t>
    </r>
    <r>
      <rPr>
        <vertAlign val="superscript"/>
        <sz val="8"/>
        <rFont val="Times New Roman"/>
        <family val="1"/>
      </rPr>
      <t xml:space="preserve"> (11)</t>
    </r>
  </si>
  <si>
    <r>
      <t xml:space="preserve">Government Vehicles </t>
    </r>
    <r>
      <rPr>
        <vertAlign val="superscript"/>
        <sz val="8"/>
        <rFont val="Times New Roman"/>
        <family val="1"/>
      </rPr>
      <t>(12)</t>
    </r>
  </si>
  <si>
    <r>
      <t>Special Purpose Vehicles</t>
    </r>
    <r>
      <rPr>
        <vertAlign val="superscript"/>
        <sz val="8"/>
        <rFont val="Times New Roman"/>
        <family val="1"/>
      </rPr>
      <t xml:space="preserve"> (11)</t>
    </r>
  </si>
  <si>
    <t>電單車</t>
  </si>
  <si>
    <t>其他車輛</t>
    <phoneticPr fontId="7" type="noConversion"/>
  </si>
  <si>
    <t>Motor Cycles</t>
  </si>
  <si>
    <t>Other Vehicles</t>
    <phoneticPr fontId="7" type="noConversion"/>
  </si>
  <si>
    <r>
      <t>註</t>
    </r>
    <r>
      <rPr>
        <sz val="8"/>
        <rFont val="Times New Roman"/>
        <family val="1"/>
      </rPr>
      <t xml:space="preserve"> : </t>
    </r>
  </si>
  <si>
    <t>(11)</t>
    <phoneticPr fontId="7" type="noConversion"/>
  </si>
  <si>
    <t>不包括只在工業用地及建築用地內使用的貨車。</t>
    <phoneticPr fontId="7" type="noConversion"/>
  </si>
  <si>
    <t>Notes :</t>
  </si>
  <si>
    <t>Excluding goods vehicles used solely within industrial and construction sites.</t>
    <phoneticPr fontId="7" type="noConversion"/>
  </si>
  <si>
    <t>(12)</t>
    <phoneticPr fontId="7" type="noConversion"/>
  </si>
  <si>
    <t>不包括軍部車輛。</t>
    <phoneticPr fontId="7" type="noConversion"/>
  </si>
  <si>
    <t>Excluding military vehicles.</t>
    <phoneticPr fontId="7" type="noConversion"/>
  </si>
  <si>
    <t xml:space="preserve">https://www.td.gov.hk/filemanager/en/content_5217/2307_e.pdf </t>
  </si>
  <si>
    <t xml:space="preserve">As of the end of August 2023, the total number of EVs has risen to 65,935, which represents 7.1% of the vehicle fleet in Hong Kong. </t>
  </si>
  <si>
    <t xml:space="preserve">As of the time of updating, July 2023 is the most updated Traffic Digest avaiable and provides the breakdown of registsered electric vehicles is as follows: </t>
  </si>
  <si>
    <t xml:space="preserve">Motorcycles </t>
  </si>
  <si>
    <t>Taxis</t>
  </si>
  <si>
    <t xml:space="preserve">Buses </t>
  </si>
  <si>
    <t>Goods Vehicles</t>
  </si>
  <si>
    <t>Special Purpose</t>
  </si>
  <si>
    <t xml:space="preserve">Government </t>
  </si>
  <si>
    <t xml:space="preserve">NOTE --&gt; these figures only take into account pure electric vehicles and not hybrid cars </t>
  </si>
  <si>
    <t>Fraction of Diesel cars:</t>
  </si>
  <si>
    <t>Fraction of gasoline cars:</t>
  </si>
  <si>
    <t>Fraction of Diesel buses:</t>
  </si>
  <si>
    <t>Fraction of gasoline buses:</t>
  </si>
  <si>
    <t>表 4.4</t>
  </si>
  <si>
    <t>: 按燃料種類劃分的車輛登記及領牌統計數字 (二零一七年六月)</t>
  </si>
  <si>
    <t>Table 4.4 :  Registration and Licensing of Vehicles by Fuel Type (July 2023)</t>
  </si>
  <si>
    <t>石油氣</t>
  </si>
  <si>
    <t>其他</t>
  </si>
  <si>
    <t>總計</t>
  </si>
  <si>
    <t>LP Gas</t>
  </si>
  <si>
    <t>Others (1)</t>
  </si>
  <si>
    <t>Total</t>
  </si>
  <si>
    <t>Registered</t>
  </si>
  <si>
    <t>Licensed</t>
  </si>
  <si>
    <t>電單車 (無邊卡)</t>
  </si>
  <si>
    <t>-</t>
  </si>
  <si>
    <t>Motor Cycles (Solo)</t>
  </si>
  <si>
    <t>電單車 (連邊卡)</t>
  </si>
  <si>
    <t>Motor Cycles (Combo)</t>
  </si>
  <si>
    <t>Motor Tricycles</t>
  </si>
  <si>
    <t>Private Cars</t>
  </si>
  <si>
    <t>的士 (市區)</t>
  </si>
  <si>
    <t>Taxis (Urban)</t>
  </si>
  <si>
    <t>的士 (新界)</t>
  </si>
  <si>
    <t>Taxis (NT)</t>
  </si>
  <si>
    <t>的士 (大嶼山)</t>
  </si>
  <si>
    <t>Taxis (Lantau)</t>
  </si>
  <si>
    <t>九巴</t>
  </si>
  <si>
    <t>單層  SD</t>
  </si>
  <si>
    <t>KMB</t>
  </si>
  <si>
    <t>雙層  DD</t>
  </si>
  <si>
    <t>城巴</t>
  </si>
  <si>
    <t>Citybus</t>
  </si>
  <si>
    <t>龍運</t>
  </si>
  <si>
    <t>LWB</t>
  </si>
  <si>
    <t>新大嶼山巴士</t>
  </si>
  <si>
    <t>NLB</t>
  </si>
  <si>
    <t>港鐵巴士 (西鐵線/輕鐵)</t>
  </si>
  <si>
    <t>MTR Buses (for West Rail Line/Light</t>
  </si>
  <si>
    <t>Rail)</t>
  </si>
  <si>
    <t>其他非專營公共巴士</t>
  </si>
  <si>
    <t>Other Non-franchised Public Buses</t>
  </si>
  <si>
    <t>私家巴士</t>
  </si>
  <si>
    <t>Private Buses</t>
  </si>
  <si>
    <t>公共小型巴士</t>
  </si>
  <si>
    <t>Public Light Buses</t>
  </si>
  <si>
    <t>私家小型巴士</t>
  </si>
  <si>
    <t>輕型貨車</t>
  </si>
  <si>
    <t>Light Goods Vehicles</t>
  </si>
  <si>
    <t>中型貨車</t>
  </si>
  <si>
    <t>Medium Goods Vehicles</t>
  </si>
  <si>
    <t>重型貨車</t>
  </si>
  <si>
    <t>Heavy Goods Vehicles</t>
  </si>
  <si>
    <t>特別用途車輛</t>
  </si>
  <si>
    <t>Special Purpose Vehicles</t>
  </si>
  <si>
    <t>總計 (2)</t>
  </si>
  <si>
    <t>Total (2)</t>
  </si>
  <si>
    <t>月底數字</t>
  </si>
  <si>
    <t>Figures as at end of the month.</t>
  </si>
  <si>
    <t>(1)   包括各種其發動機為「渦輪引擎」、「燃油電池車」</t>
  </si>
  <si>
    <t>Including various vehicles with power plants such as turbine engines, fuel</t>
  </si>
  <si>
    <t>等的車輛，它們的燃料種類不能進一步被劃分。</t>
  </si>
  <si>
    <t>cell vehicles, etc. of which fuel types cannot be further classified.</t>
  </si>
  <si>
    <t>(2)   不包括政府車輛。</t>
  </si>
  <si>
    <t>(2)  Excluding government vehicles.</t>
  </si>
  <si>
    <t>SD -  單層</t>
  </si>
  <si>
    <t>SD -  Single Deck</t>
  </si>
  <si>
    <t>DD -  雙層</t>
  </si>
  <si>
    <t>DD -  Double Deck</t>
  </si>
  <si>
    <t>資料來源 :</t>
  </si>
  <si>
    <t>牌照電腦計劃及牌照事務部</t>
  </si>
  <si>
    <t>Source :</t>
  </si>
  <si>
    <t>VALID &amp; Licensing Division</t>
  </si>
  <si>
    <t>Passenger</t>
  </si>
  <si>
    <t>Freight</t>
  </si>
  <si>
    <t>Ships</t>
  </si>
  <si>
    <t>Aircrafts</t>
  </si>
  <si>
    <t>›</t>
  </si>
  <si>
    <t>We use the number of dangerous goods carriers and dry cargo vessel as proxy for the number of freight boats.</t>
  </si>
  <si>
    <t>Year Taken from: 2022</t>
  </si>
  <si>
    <t>Motorcycles (P)</t>
  </si>
  <si>
    <t>Motorcycles (F)</t>
  </si>
  <si>
    <t>LDVs (P)</t>
  </si>
  <si>
    <t>HDVs (P)</t>
  </si>
  <si>
    <t>LDVs (F)</t>
  </si>
  <si>
    <t>HDVs (F)</t>
  </si>
  <si>
    <t>Ships (P)</t>
  </si>
  <si>
    <t>Air (P)</t>
  </si>
  <si>
    <t>Ships (F)</t>
  </si>
  <si>
    <t>Air (F)</t>
  </si>
  <si>
    <t>Note: We use Freight Motorcycles category for taxis</t>
  </si>
  <si>
    <t>Vessel</t>
  </si>
  <si>
    <t>Number</t>
  </si>
  <si>
    <t>Type (G, I, C)</t>
  </si>
  <si>
    <t>Ferry Vessel</t>
  </si>
  <si>
    <t>IP</t>
  </si>
  <si>
    <t>Launch</t>
  </si>
  <si>
    <t>Multi-purpose Vessel</t>
  </si>
  <si>
    <t>IF</t>
  </si>
  <si>
    <t>Tug</t>
  </si>
  <si>
    <t>Dangerous Goods Carrier</t>
  </si>
  <si>
    <t>Dredger</t>
  </si>
  <si>
    <t>Dry Cargo Vessel</t>
  </si>
  <si>
    <t>Edible Oil Carrier</t>
  </si>
  <si>
    <t>Noxious Liquid Substance Carrier</t>
  </si>
  <si>
    <t>Oil Carrier</t>
  </si>
  <si>
    <t>Pilot Boat</t>
  </si>
  <si>
    <t>Special Purpose Vessel</t>
  </si>
  <si>
    <t>Transportation Boat</t>
  </si>
  <si>
    <t>Transportation Sampan</t>
  </si>
  <si>
    <t>Water Boat</t>
  </si>
  <si>
    <t>Work Boat</t>
  </si>
  <si>
    <t>Fish Carrier</t>
  </si>
  <si>
    <t>Fishing Vessel</t>
  </si>
  <si>
    <t>Auxiliary Powered Yacht</t>
  </si>
  <si>
    <t>CP</t>
  </si>
  <si>
    <t>Cruiser</t>
  </si>
  <si>
    <t>Open Cruiser</t>
  </si>
  <si>
    <t>Governmnet Launch</t>
  </si>
  <si>
    <t>GP</t>
  </si>
  <si>
    <t>**113 government marine</t>
  </si>
  <si>
    <t>Passenger Ships</t>
  </si>
  <si>
    <t>Freight Ships</t>
  </si>
  <si>
    <t>Consumer Passenger</t>
  </si>
  <si>
    <t>Industry Passenger</t>
  </si>
  <si>
    <t>Government Passenger</t>
  </si>
  <si>
    <t>Industry Ferry</t>
  </si>
  <si>
    <t>battery electric vehicle</t>
  </si>
  <si>
    <t>natural gas vehicle</t>
  </si>
  <si>
    <t>gasoline vehicle</t>
  </si>
  <si>
    <t>diesel vehicle</t>
  </si>
  <si>
    <t>plugin hybrid vehicle</t>
  </si>
  <si>
    <t>LPG vehicle</t>
  </si>
  <si>
    <t>hydrogen vehicle</t>
  </si>
  <si>
    <t>LDVs</t>
  </si>
  <si>
    <t>HDVs</t>
  </si>
  <si>
    <t>rail</t>
  </si>
  <si>
    <t>ships</t>
  </si>
  <si>
    <t>motorbikes</t>
  </si>
  <si>
    <t>H6xrR7I22UqGmc2mutH4Yq3_1cZmZKxHmcZ_ItVFhVdUMjU0QUpHQldKVTlUUzNUVDhBU1VMUjk4NCQlQCN0PWcu</t>
  </si>
  <si>
    <t>Form2</t>
  </si>
  <si>
    <t>{3e8ee12f-b9ec-4a22-8587-d20e6899a3d9}</t>
  </si>
  <si>
    <t>UPDATE (12/23): Although it was previously noted that freight rail had stopped service back in 2011, due to the COVID19 pandemic, freight trains between Hong Kong and China were re-established to supplement food chain supplies https://www.checkerboardhill.com/2023/01/hong-kong-cross-border-covid-pandemic-supplies-freight-train-service/</t>
  </si>
  <si>
    <t>Railway Operations</t>
    <phoneticPr fontId="58" type="noConversion"/>
  </si>
  <si>
    <t>MW</t>
    <phoneticPr fontId="58" type="noConversion"/>
  </si>
  <si>
    <t>=</t>
    <phoneticPr fontId="58" type="noConversion"/>
  </si>
  <si>
    <t>btu</t>
  </si>
  <si>
    <t>Electricity Consumption in Hong Kong (MWh)</t>
    <phoneticPr fontId="58" type="noConversion"/>
  </si>
  <si>
    <t>Heavy Rail</t>
    <phoneticPr fontId="58" type="noConversion"/>
  </si>
  <si>
    <t>KWh</t>
    <phoneticPr fontId="58" type="noConversion"/>
  </si>
  <si>
    <t>Light Rail</t>
    <phoneticPr fontId="58" type="noConversion"/>
  </si>
  <si>
    <t>Electricity Consumption in Hong Kong (BTU)</t>
    <phoneticPr fontId="58" type="noConversion"/>
  </si>
  <si>
    <t>Domestic and Cross-boundary services</t>
    <phoneticPr fontId="58" type="noConversion"/>
  </si>
  <si>
    <t>Revenue car-km operated (thousand)</t>
    <phoneticPr fontId="58" type="noConversion"/>
  </si>
  <si>
    <t>Airport Express</t>
    <phoneticPr fontId="58" type="noConversion"/>
  </si>
  <si>
    <t>Total number of passengers (thousand)</t>
    <phoneticPr fontId="58" type="noConversion"/>
  </si>
  <si>
    <t>Average passenger km travelled</t>
    <phoneticPr fontId="58" type="noConversion"/>
  </si>
  <si>
    <t>Average car occupancy (number of passengers)</t>
    <phoneticPr fontId="58" type="noConversion"/>
  </si>
  <si>
    <t>Number of train cars</t>
    <phoneticPr fontId="58" type="noConversion"/>
  </si>
  <si>
    <t>Number of train (assume 8 car per train, except light rail)</t>
    <phoneticPr fontId="58" type="noConversion"/>
  </si>
  <si>
    <t>Energy consumption train BTU/ km/car</t>
    <phoneticPr fontId="58" type="noConversion"/>
  </si>
  <si>
    <t>Energy consumption train BTU/ km / train</t>
    <phoneticPr fontId="58" type="noConversion"/>
  </si>
  <si>
    <t>(assume 8 car per train, except light rail)</t>
    <phoneticPr fontId="58" type="noConversion"/>
  </si>
  <si>
    <t>Energy consumption train KWh/ km / train</t>
    <phoneticPr fontId="58" type="noConversion"/>
  </si>
  <si>
    <t xml:space="preserve">Total cargo distance  (thousand KM * people) </t>
    <phoneticPr fontId="58" type="noConversion"/>
  </si>
  <si>
    <t xml:space="preserve">Total cargo distance  (mile people) </t>
    <phoneticPr fontId="58" type="noConversion"/>
  </si>
  <si>
    <t>Fuel eco ppl*mile/BTU</t>
    <phoneticPr fontId="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</si>
</sst>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76" formatCode="_(&quot;$&quot;* #,##0.00_);_(&quot;$&quot;* \(#,##0.00\);_(&quot;$&quot;* &quot;-&quot;??_);_(@_)"/>
    <numFmt numFmtId="177" formatCode="###0.00_)"/>
    <numFmt numFmtId="178" formatCode="#,##0_)"/>
    <numFmt numFmtId="179" formatCode="???\ ??0"/>
    <numFmt numFmtId="180" formatCode="?\ ??0;;?\ ??\-"/>
    <numFmt numFmtId="181" formatCode="00"/>
    <numFmt numFmtId="182" formatCode="0000\ &quot;/&quot;"/>
    <numFmt numFmtId="183" formatCode="0000\ _/"/>
    <numFmt numFmtId="184" formatCode="&quot;2003/&quot;0#"/>
    <numFmt numFmtId="185" formatCode="&quot;2014/&quot;0#"/>
    <numFmt numFmtId="186" formatCode="???\ ??0;;???\ ??\-"/>
    <numFmt numFmtId="187" formatCode="?\ ??0\ &quot;  &quot;;;?\ ??\-"/>
    <numFmt numFmtId="188" formatCode="0000&quot;/&quot;0#"/>
    <numFmt numFmtId="189" formatCode="&quot;2022/&quot;0#"/>
    <numFmt numFmtId="190" formatCode="##\ ###\ ##0\ \ \ \ \ \ ;;\-\ \ \ \ \ \ "/>
    <numFmt numFmtId="191" formatCode="???\ ??0&quot;  &quot;;;???\ ??\-"/>
    <numFmt numFmtId="192" formatCode="&quot;2002/&quot;0#"/>
    <numFmt numFmtId="193" formatCode="0_ "/>
  </numFmts>
  <fonts count="61">
    <font>
      <sz val="11"/>
      <color theme="1"/>
      <name val="新細明體"/>
      <family val="2"/>
      <scheme val="minor"/>
    </font>
    <font>
      <b/>
      <sz val="11"/>
      <color theme="1"/>
      <name val="新細明體"/>
      <family val="2"/>
      <scheme val="minor"/>
    </font>
    <font>
      <sz val="9"/>
      <color indexed="8"/>
      <name val="Calibri"/>
      <family val="2"/>
    </font>
    <font>
      <b/>
      <sz val="9"/>
      <color indexed="8"/>
      <name val="Calibri"/>
      <family val="2"/>
    </font>
    <font>
      <b/>
      <sz val="12"/>
      <color indexed="30"/>
      <name val="Calibri"/>
      <family val="2"/>
    </font>
    <font>
      <sz val="10"/>
      <color indexed="8"/>
      <name val="Arial"/>
      <family val="2"/>
    </font>
    <font>
      <sz val="11"/>
      <color theme="1"/>
      <name val="新細明體"/>
      <family val="2"/>
      <scheme val="minor"/>
    </font>
    <font>
      <sz val="10"/>
      <name val="Arial"/>
      <family val="2"/>
    </font>
    <font>
      <sz val="8"/>
      <name val="Helv"/>
    </font>
    <font>
      <b/>
      <sz val="10"/>
      <name val="Helv"/>
    </font>
    <font>
      <b/>
      <sz val="14"/>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color theme="1"/>
      <name val="新細明體"/>
      <family val="2"/>
      <charset val="129"/>
      <scheme val="minor"/>
    </font>
    <font>
      <sz val="10"/>
      <name val="HELV"/>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9"/>
      <name val="Helv"/>
    </font>
    <font>
      <sz val="8.5"/>
      <name val="Helv"/>
    </font>
    <font>
      <sz val="11"/>
      <color indexed="62"/>
      <name val="Calibri"/>
      <family val="2"/>
    </font>
    <font>
      <sz val="11"/>
      <color indexed="52"/>
      <name val="Calibri"/>
      <family val="2"/>
    </font>
    <font>
      <sz val="11"/>
      <color indexed="60"/>
      <name val="Calibri"/>
      <family val="2"/>
    </font>
    <font>
      <sz val="10"/>
      <name val="P-AVGARD"/>
    </font>
    <font>
      <sz val="6"/>
      <name val="P-AVGARD"/>
    </font>
    <font>
      <b/>
      <sz val="11"/>
      <color indexed="63"/>
      <name val="Calibri"/>
      <family val="2"/>
    </font>
    <font>
      <b/>
      <sz val="18"/>
      <color indexed="56"/>
      <name val="Cambria"/>
      <family val="2"/>
    </font>
    <font>
      <b/>
      <sz val="12"/>
      <name val="Helv"/>
    </font>
    <font>
      <b/>
      <sz val="11"/>
      <color indexed="8"/>
      <name val="Calibri"/>
      <family val="2"/>
    </font>
    <font>
      <sz val="11"/>
      <color indexed="10"/>
      <name val="Calibri"/>
      <family val="2"/>
    </font>
    <font>
      <u/>
      <sz val="11"/>
      <color theme="10"/>
      <name val="新細明體"/>
      <family val="2"/>
      <scheme val="minor"/>
    </font>
    <font>
      <sz val="10"/>
      <name val="Times New Roman"/>
      <family val="1"/>
    </font>
    <font>
      <sz val="8"/>
      <name val="Times New Roman"/>
      <family val="1"/>
    </font>
    <font>
      <sz val="8"/>
      <name val="細明體"/>
      <family val="3"/>
      <charset val="136"/>
    </font>
    <font>
      <vertAlign val="superscript"/>
      <sz val="8"/>
      <name val="Times New Roman"/>
      <family val="1"/>
    </font>
    <font>
      <b/>
      <sz val="8"/>
      <name val="Times New Roman"/>
      <family val="1"/>
    </font>
    <font>
      <sz val="12"/>
      <name val="Times New Roman"/>
      <family val="1"/>
    </font>
    <font>
      <b/>
      <sz val="12"/>
      <name val="Times New Roman"/>
      <family val="1"/>
    </font>
    <font>
      <b/>
      <vertAlign val="superscript"/>
      <sz val="12"/>
      <name val="Times New Roman"/>
      <family val="1"/>
    </font>
    <font>
      <b/>
      <sz val="12"/>
      <name val="細明體"/>
      <family val="3"/>
      <charset val="136"/>
    </font>
    <font>
      <b/>
      <sz val="12"/>
      <name val="標楷體"/>
      <family val="4"/>
      <charset val="136"/>
    </font>
    <font>
      <sz val="11"/>
      <color rgb="FF000000"/>
      <name val="新細明體"/>
      <family val="2"/>
      <scheme val="minor"/>
    </font>
    <font>
      <sz val="11"/>
      <color rgb="FFFF0000"/>
      <name val="新細明體"/>
      <family val="2"/>
      <scheme val="minor"/>
    </font>
    <font>
      <b/>
      <sz val="11"/>
      <color rgb="FFFF0000"/>
      <name val="新細明體"/>
      <family val="2"/>
      <scheme val="minor"/>
    </font>
    <font>
      <b/>
      <sz val="14"/>
      <name val="標楷體"/>
      <family val="4"/>
      <charset val="136"/>
    </font>
    <font>
      <b/>
      <sz val="14"/>
      <name val="Times New Roman"/>
      <family val="1"/>
    </font>
    <font>
      <b/>
      <sz val="14"/>
      <name val="Arial"/>
      <family val="2"/>
    </font>
    <font>
      <vertAlign val="superscript"/>
      <sz val="10"/>
      <name val="Times New Roman"/>
      <family val="1"/>
    </font>
    <font>
      <sz val="8"/>
      <name val="新細明體"/>
      <family val="1"/>
      <charset val="136"/>
    </font>
    <font>
      <sz val="6"/>
      <name val="Times New Roman"/>
      <family val="1"/>
    </font>
    <font>
      <sz val="9"/>
      <name val="新細明體"/>
      <family val="3"/>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s>
  <fills count="34">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B4C6E7"/>
        <bgColor indexed="64"/>
      </patternFill>
    </fill>
    <fill>
      <patternFill patternType="solid">
        <fgColor rgb="FFD9E1F2"/>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s>
  <borders count="53">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hair">
        <color indexed="64"/>
      </top>
      <bottom/>
      <diagonal/>
    </border>
    <border>
      <left style="hair">
        <color indexed="64"/>
      </left>
      <right style="hair">
        <color indexed="64"/>
      </right>
      <top/>
      <bottom/>
      <diagonal/>
    </border>
    <border>
      <left style="hair">
        <color indexed="64"/>
      </left>
      <right style="double">
        <color indexed="64"/>
      </right>
      <top/>
      <bottom style="hair">
        <color indexed="64"/>
      </bottom>
      <diagonal/>
    </border>
    <border>
      <left/>
      <right style="hair">
        <color indexed="64"/>
      </right>
      <top/>
      <bottom style="hair">
        <color indexed="64"/>
      </bottom>
      <diagonal/>
    </border>
    <border>
      <left/>
      <right style="hair">
        <color indexed="64"/>
      </right>
      <top/>
      <bottom/>
      <diagonal/>
    </border>
    <border>
      <left style="hair">
        <color indexed="64"/>
      </left>
      <right style="hair">
        <color indexed="64"/>
      </right>
      <top/>
      <bottom style="hair">
        <color indexed="64"/>
      </bottom>
      <diagonal/>
    </border>
    <border>
      <left style="double">
        <color indexed="64"/>
      </left>
      <right style="hair">
        <color indexed="64"/>
      </right>
      <top/>
      <bottom style="hair">
        <color indexed="64"/>
      </bottom>
      <diagonal/>
    </border>
    <border>
      <left style="hair">
        <color indexed="64"/>
      </left>
      <right/>
      <top/>
      <bottom style="hair">
        <color indexed="64"/>
      </bottom>
      <diagonal/>
    </border>
    <border>
      <left style="double">
        <color indexed="64"/>
      </left>
      <right/>
      <top/>
      <bottom style="hair">
        <color indexed="64"/>
      </bottom>
      <diagonal/>
    </border>
    <border>
      <left/>
      <right style="double">
        <color indexed="64"/>
      </right>
      <top/>
      <bottom style="hair">
        <color indexed="64"/>
      </bottom>
      <diagonal/>
    </border>
    <border>
      <left style="hair">
        <color indexed="64"/>
      </left>
      <right/>
      <top/>
      <bottom/>
      <diagonal/>
    </border>
    <border>
      <left style="hair">
        <color indexed="64"/>
      </left>
      <right style="double">
        <color indexed="64"/>
      </right>
      <top/>
      <bottom/>
      <diagonal/>
    </border>
    <border>
      <left style="double">
        <color indexed="64"/>
      </left>
      <right style="hair">
        <color indexed="64"/>
      </right>
      <top/>
      <bottom/>
      <diagonal/>
    </border>
    <border>
      <left style="double">
        <color indexed="64"/>
      </left>
      <right/>
      <top/>
      <bottom/>
      <diagonal/>
    </border>
    <border>
      <left/>
      <right style="double">
        <color indexed="64"/>
      </right>
      <top/>
      <bottom/>
      <diagonal/>
    </border>
    <border>
      <left style="double">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double">
        <color indexed="64"/>
      </left>
      <right/>
      <top style="hair">
        <color indexed="64"/>
      </top>
      <bottom/>
      <diagonal/>
    </border>
    <border>
      <left style="hair">
        <color indexed="64"/>
      </left>
      <right style="double">
        <color indexed="64"/>
      </right>
      <top style="hair">
        <color indexed="64"/>
      </top>
      <bottom/>
      <diagonal/>
    </border>
    <border>
      <left/>
      <right style="double">
        <color indexed="64"/>
      </right>
      <top style="hair">
        <color indexed="64"/>
      </top>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style="hair">
        <color rgb="FF000000"/>
      </right>
      <top style="hair">
        <color indexed="64"/>
      </top>
      <bottom style="hair">
        <color indexed="64"/>
      </bottom>
      <diagonal/>
    </border>
    <border>
      <left/>
      <right style="double">
        <color rgb="FF000000"/>
      </right>
      <top style="hair">
        <color indexed="64"/>
      </top>
      <bottom style="hair">
        <color indexed="64"/>
      </bottom>
      <diagonal/>
    </border>
    <border>
      <left/>
      <right style="double">
        <color rgb="FF000000"/>
      </right>
      <top/>
      <bottom/>
      <diagonal/>
    </border>
    <border>
      <left style="double">
        <color rgb="FF000000"/>
      </left>
      <right/>
      <top style="hair">
        <color indexed="64"/>
      </top>
      <bottom style="hair">
        <color indexed="64"/>
      </bottom>
      <diagonal/>
    </border>
    <border>
      <left style="hair">
        <color rgb="FF000000"/>
      </left>
      <right/>
      <top style="hair">
        <color indexed="64"/>
      </top>
      <bottom style="hair">
        <color indexed="64"/>
      </bottom>
      <diagonal/>
    </border>
    <border>
      <left/>
      <right/>
      <top/>
      <bottom style="double">
        <color indexed="64"/>
      </bottom>
      <diagonal/>
    </border>
  </borders>
  <cellStyleXfs count="151">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7" fillId="0" borderId="0"/>
    <xf numFmtId="0" fontId="8" fillId="0" borderId="0">
      <alignment horizontal="left"/>
    </xf>
    <xf numFmtId="0" fontId="6" fillId="0" borderId="0"/>
    <xf numFmtId="43" fontId="7" fillId="0" borderId="0" applyFont="0" applyFill="0" applyBorder="0" applyAlignment="0" applyProtection="0"/>
    <xf numFmtId="0" fontId="6" fillId="0" borderId="0"/>
    <xf numFmtId="0" fontId="9" fillId="0" borderId="6">
      <alignment horizontal="left"/>
    </xf>
    <xf numFmtId="0" fontId="10" fillId="0" borderId="0">
      <alignment horizontal="left" vertical="top"/>
    </xf>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7"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21" borderId="0" applyNumberFormat="0" applyBorder="0" applyAlignment="0" applyProtection="0"/>
    <xf numFmtId="0" fontId="13" fillId="5" borderId="0" applyNumberFormat="0" applyBorder="0" applyAlignment="0" applyProtection="0"/>
    <xf numFmtId="0" fontId="14" fillId="22" borderId="7" applyNumberFormat="0" applyAlignment="0" applyProtection="0"/>
    <xf numFmtId="0" fontId="15" fillId="23" borderId="8" applyNumberFormat="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6" fontId="7" fillId="0" borderId="0" applyFont="0" applyFill="0" applyBorder="0" applyAlignment="0" applyProtection="0"/>
    <xf numFmtId="176" fontId="6" fillId="0" borderId="0" applyFont="0" applyFill="0" applyBorder="0" applyAlignment="0" applyProtection="0"/>
    <xf numFmtId="176" fontId="7" fillId="0" borderId="0" applyFont="0" applyFill="0" applyBorder="0" applyAlignment="0" applyProtection="0"/>
    <xf numFmtId="177" fontId="17" fillId="0" borderId="6" applyNumberFormat="0" applyFill="0">
      <alignment horizontal="right"/>
    </xf>
    <xf numFmtId="178" fontId="18" fillId="0" borderId="6">
      <alignment horizontal="right" vertical="center"/>
    </xf>
    <xf numFmtId="49" fontId="19" fillId="0" borderId="6">
      <alignment horizontal="left" vertical="center"/>
    </xf>
    <xf numFmtId="177" fontId="17" fillId="0" borderId="6" applyNumberFormat="0" applyFill="0">
      <alignment horizontal="right"/>
    </xf>
    <xf numFmtId="0" fontId="20" fillId="0" borderId="0" applyNumberFormat="0" applyFill="0" applyBorder="0" applyAlignment="0" applyProtection="0"/>
    <xf numFmtId="0" fontId="21" fillId="6" borderId="0" applyNumberFormat="0" applyBorder="0" applyAlignment="0" applyProtection="0"/>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12">
      <alignment horizontal="right" vertical="center"/>
    </xf>
    <xf numFmtId="0" fontId="26" fillId="0" borderId="6">
      <alignment horizontal="left" vertical="center"/>
    </xf>
    <xf numFmtId="0" fontId="17" fillId="0" borderId="6">
      <alignment horizontal="left" vertical="center"/>
    </xf>
    <xf numFmtId="0" fontId="9" fillId="0" borderId="6">
      <alignment horizontal="left"/>
    </xf>
    <xf numFmtId="0" fontId="9" fillId="24" borderId="0">
      <alignment horizontal="centerContinuous" wrapText="1"/>
    </xf>
    <xf numFmtId="0" fontId="27" fillId="9" borderId="7" applyNumberFormat="0" applyAlignment="0" applyProtection="0"/>
    <xf numFmtId="0" fontId="28" fillId="0" borderId="13" applyNumberFormat="0" applyFill="0" applyAlignment="0" applyProtection="0"/>
    <xf numFmtId="0" fontId="29" fillId="25" borderId="0" applyNumberFormat="0" applyBorder="0" applyAlignment="0" applyProtection="0"/>
    <xf numFmtId="0" fontId="6"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1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7" fillId="0" borderId="0"/>
    <xf numFmtId="37" fontId="30" fillId="0" borderId="0"/>
    <xf numFmtId="0" fontId="6" fillId="0" borderId="0"/>
    <xf numFmtId="37" fontId="31" fillId="0" borderId="0"/>
    <xf numFmtId="0" fontId="7" fillId="0" borderId="0"/>
    <xf numFmtId="0" fontId="6" fillId="0" borderId="0"/>
    <xf numFmtId="0" fontId="6" fillId="0" borderId="0"/>
    <xf numFmtId="0" fontId="6" fillId="0" borderId="0"/>
    <xf numFmtId="0" fontId="6" fillId="3" borderId="5" applyNumberFormat="0" applyFont="0" applyAlignment="0" applyProtection="0"/>
    <xf numFmtId="0" fontId="7" fillId="26" borderId="14" applyNumberFormat="0" applyFont="0" applyAlignment="0" applyProtection="0"/>
    <xf numFmtId="0" fontId="32" fillId="22" borderId="15" applyNumberFormat="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8" fillId="0" borderId="0">
      <alignment horizontal="right"/>
    </xf>
    <xf numFmtId="0" fontId="19" fillId="0" borderId="0">
      <alignment horizontal="right"/>
    </xf>
    <xf numFmtId="49" fontId="18" fillId="0" borderId="0">
      <alignment horizontal="left" vertical="center"/>
    </xf>
    <xf numFmtId="49" fontId="19" fillId="0" borderId="6">
      <alignment horizontal="left"/>
    </xf>
    <xf numFmtId="177" fontId="18" fillId="0" borderId="0" applyNumberFormat="0">
      <alignment horizontal="right"/>
    </xf>
    <xf numFmtId="0" fontId="25" fillId="27" borderId="0">
      <alignment horizontal="centerContinuous" vertical="center" wrapText="1"/>
    </xf>
    <xf numFmtId="0" fontId="25" fillId="0" borderId="16">
      <alignment horizontal="left" vertical="center"/>
    </xf>
    <xf numFmtId="0" fontId="33" fillId="0" borderId="0" applyNumberFormat="0" applyFill="0" applyBorder="0" applyAlignment="0" applyProtection="0"/>
    <xf numFmtId="0" fontId="9" fillId="0" borderId="0">
      <alignment horizontal="left"/>
    </xf>
    <xf numFmtId="0" fontId="34" fillId="0" borderId="0">
      <alignment horizontal="left"/>
    </xf>
    <xf numFmtId="0" fontId="17" fillId="0" borderId="0">
      <alignment horizontal="left"/>
    </xf>
    <xf numFmtId="0" fontId="34" fillId="0" borderId="0">
      <alignment horizontal="left"/>
    </xf>
    <xf numFmtId="0" fontId="17" fillId="0" borderId="0">
      <alignment horizontal="left"/>
    </xf>
    <xf numFmtId="0" fontId="35" fillId="0" borderId="17" applyNumberFormat="0" applyFill="0" applyAlignment="0" applyProtection="0"/>
    <xf numFmtId="0" fontId="36" fillId="0" borderId="0" applyNumberFormat="0" applyFill="0" applyBorder="0" applyAlignment="0" applyProtection="0"/>
    <xf numFmtId="49" fontId="18" fillId="0" borderId="6">
      <alignment horizontal="left"/>
    </xf>
    <xf numFmtId="0" fontId="25" fillId="0" borderId="12">
      <alignment horizontal="left"/>
    </xf>
    <xf numFmtId="0" fontId="9" fillId="0" borderId="0">
      <alignment horizontal="left" vertical="center"/>
    </xf>
    <xf numFmtId="0" fontId="37" fillId="0" borderId="0" applyNumberFormat="0" applyFill="0" applyBorder="0" applyAlignment="0" applyProtection="0"/>
    <xf numFmtId="179" fontId="38" fillId="0" borderId="19" applyBorder="0">
      <alignment horizontal="center" vertical="center"/>
    </xf>
    <xf numFmtId="181" fontId="38" fillId="0" borderId="22">
      <alignment horizontal="left"/>
    </xf>
    <xf numFmtId="182" fontId="38" fillId="0" borderId="28"/>
    <xf numFmtId="183" fontId="38" fillId="0" borderId="28"/>
    <xf numFmtId="0" fontId="44" fillId="0" borderId="0" applyNumberFormat="0" applyFill="0" applyBorder="0" applyProtection="0"/>
    <xf numFmtId="0" fontId="46" fillId="0" borderId="0" applyNumberFormat="0" applyFill="0" applyBorder="0" applyProtection="0"/>
    <xf numFmtId="186" fontId="38" fillId="0" borderId="43" applyBorder="0">
      <alignment horizontal="center" vertical="center"/>
    </xf>
    <xf numFmtId="9" fontId="6" fillId="0" borderId="0" applyFont="0" applyFill="0" applyBorder="0" applyAlignment="0" applyProtection="0"/>
    <xf numFmtId="190" fontId="38" fillId="0" borderId="19" applyFill="0"/>
    <xf numFmtId="43" fontId="6" fillId="0" borderId="0" applyFont="0" applyFill="0" applyBorder="0" applyAlignment="0" applyProtection="0">
      <alignment vertical="center"/>
    </xf>
  </cellStyleXfs>
  <cellXfs count="384">
    <xf numFmtId="0" fontId="0" fillId="0" borderId="0" xfId="0"/>
    <xf numFmtId="0" fontId="1" fillId="0" borderId="0" xfId="0" applyFont="1"/>
    <xf numFmtId="0" fontId="1" fillId="2" borderId="0" xfId="0" applyFont="1" applyFill="1"/>
    <xf numFmtId="0" fontId="0" fillId="0" borderId="0" xfId="0" applyAlignment="1">
      <alignment horizontal="left"/>
    </xf>
    <xf numFmtId="0" fontId="0" fillId="2" borderId="0" xfId="0" applyFill="1"/>
    <xf numFmtId="0" fontId="1" fillId="0" borderId="0" xfId="0" applyFont="1" applyAlignment="1">
      <alignment horizontal="right"/>
    </xf>
    <xf numFmtId="1" fontId="0" fillId="0" borderId="0" xfId="0" applyNumberFormat="1"/>
    <xf numFmtId="1" fontId="0" fillId="2" borderId="0" xfId="0" applyNumberFormat="1" applyFill="1"/>
    <xf numFmtId="0" fontId="1" fillId="2" borderId="0" xfId="0" applyFont="1" applyFill="1" applyAlignment="1">
      <alignment horizontal="left"/>
    </xf>
    <xf numFmtId="0" fontId="37" fillId="0" borderId="0" xfId="140" applyAlignment="1">
      <alignment horizontal="left"/>
    </xf>
    <xf numFmtId="0" fontId="38" fillId="0" borderId="0" xfId="73" applyFont="1"/>
    <xf numFmtId="180" fontId="39" fillId="0" borderId="20" xfId="141" applyNumberFormat="1" applyFont="1" applyBorder="1">
      <alignment horizontal="center" vertical="center"/>
    </xf>
    <xf numFmtId="180" fontId="39" fillId="0" borderId="21" xfId="141" applyNumberFormat="1" applyFont="1" applyBorder="1">
      <alignment horizontal="center" vertical="center"/>
    </xf>
    <xf numFmtId="180" fontId="39" fillId="0" borderId="21" xfId="142" quotePrefix="1" applyNumberFormat="1" applyFont="1" applyBorder="1">
      <alignment horizontal="left"/>
    </xf>
    <xf numFmtId="180" fontId="39" fillId="0" borderId="24" xfId="142" quotePrefix="1" applyNumberFormat="1" applyFont="1" applyBorder="1">
      <alignment horizontal="left"/>
    </xf>
    <xf numFmtId="180" fontId="39" fillId="0" borderId="23" xfId="141" applyNumberFormat="1" applyFont="1" applyBorder="1">
      <alignment horizontal="center" vertical="center"/>
    </xf>
    <xf numFmtId="180" fontId="39" fillId="0" borderId="12" xfId="141" applyNumberFormat="1" applyFont="1" applyBorder="1">
      <alignment horizontal="center" vertical="center"/>
    </xf>
    <xf numFmtId="181" fontId="39" fillId="0" borderId="27" xfId="142" quotePrefix="1" applyFont="1" applyBorder="1">
      <alignment horizontal="left"/>
    </xf>
    <xf numFmtId="182" fontId="39" fillId="0" borderId="25" xfId="143" applyFont="1" applyBorder="1"/>
    <xf numFmtId="180" fontId="39" fillId="0" borderId="29" xfId="141" applyNumberFormat="1" applyFont="1" applyBorder="1">
      <alignment horizontal="center" vertical="center"/>
    </xf>
    <xf numFmtId="180" fontId="39" fillId="0" borderId="22" xfId="141" applyNumberFormat="1" applyFont="1" applyBorder="1">
      <alignment horizontal="center" vertical="center"/>
    </xf>
    <xf numFmtId="180" fontId="39" fillId="0" borderId="19" xfId="141" applyNumberFormat="1" applyFont="1" applyBorder="1">
      <alignment horizontal="center" vertical="center"/>
    </xf>
    <xf numFmtId="181" fontId="39" fillId="0" borderId="32" xfId="142" quotePrefix="1" applyFont="1" applyBorder="1">
      <alignment horizontal="left"/>
    </xf>
    <xf numFmtId="182" fontId="39" fillId="0" borderId="28" xfId="143" applyFont="1"/>
    <xf numFmtId="180" fontId="39" fillId="0" borderId="0" xfId="141" applyNumberFormat="1" applyFont="1" applyBorder="1">
      <alignment horizontal="center" vertical="center"/>
    </xf>
    <xf numFmtId="180" fontId="39" fillId="0" borderId="22" xfId="142" quotePrefix="1" applyNumberFormat="1" applyFont="1">
      <alignment horizontal="left"/>
    </xf>
    <xf numFmtId="180" fontId="42" fillId="0" borderId="29" xfId="141" applyNumberFormat="1" applyFont="1" applyBorder="1">
      <alignment horizontal="center" vertical="center"/>
    </xf>
    <xf numFmtId="180" fontId="42" fillId="0" borderId="19" xfId="141" applyNumberFormat="1" applyFont="1" applyBorder="1">
      <alignment horizontal="center" vertical="center"/>
    </xf>
    <xf numFmtId="180" fontId="42" fillId="0" borderId="28" xfId="141" applyNumberFormat="1" applyFont="1" applyBorder="1">
      <alignment horizontal="center" vertical="center"/>
    </xf>
    <xf numFmtId="183" fontId="42" fillId="0" borderId="28" xfId="144" applyFont="1"/>
    <xf numFmtId="180" fontId="42" fillId="0" borderId="22" xfId="141" applyNumberFormat="1" applyFont="1" applyBorder="1">
      <alignment horizontal="center" vertical="center"/>
    </xf>
    <xf numFmtId="0" fontId="44" fillId="0" borderId="0" xfId="145" quotePrefix="1" applyFill="1" applyAlignment="1">
      <alignment horizontal="left"/>
    </xf>
    <xf numFmtId="0" fontId="44" fillId="0" borderId="0" xfId="146" quotePrefix="1" applyFont="1" applyFill="1" applyAlignment="1">
      <alignment horizontal="left"/>
    </xf>
    <xf numFmtId="0" fontId="47" fillId="0" borderId="0" xfId="146" quotePrefix="1" applyFont="1" applyFill="1" applyAlignment="1">
      <alignment horizontal="left"/>
    </xf>
    <xf numFmtId="180" fontId="39" fillId="0" borderId="28" xfId="141" applyNumberFormat="1" applyFont="1" applyBorder="1">
      <alignment horizontal="center" vertical="center"/>
    </xf>
    <xf numFmtId="181" fontId="39" fillId="0" borderId="0" xfId="142" quotePrefix="1" applyFont="1" applyBorder="1">
      <alignment horizontal="left"/>
    </xf>
    <xf numFmtId="180" fontId="39" fillId="0" borderId="30" xfId="142" quotePrefix="1" applyNumberFormat="1" applyFont="1" applyBorder="1">
      <alignment horizontal="left"/>
    </xf>
    <xf numFmtId="180" fontId="39" fillId="0" borderId="30" xfId="141" applyNumberFormat="1" applyFont="1" applyBorder="1">
      <alignment horizontal="center" vertical="center"/>
    </xf>
    <xf numFmtId="180" fontId="42" fillId="0" borderId="30" xfId="141" applyNumberFormat="1" applyFont="1" applyBorder="1">
      <alignment horizontal="center" vertical="center"/>
    </xf>
    <xf numFmtId="0" fontId="44" fillId="0" borderId="0" xfId="145" applyFill="1"/>
    <xf numFmtId="0" fontId="38" fillId="0" borderId="0" xfId="0" applyFont="1"/>
    <xf numFmtId="0" fontId="38" fillId="0" borderId="0" xfId="0" quotePrefix="1" applyFont="1" applyAlignment="1">
      <alignment horizontal="left"/>
    </xf>
    <xf numFmtId="0" fontId="39" fillId="0" borderId="35" xfId="0" quotePrefix="1" applyFont="1" applyBorder="1" applyAlignment="1">
      <alignment horizontal="center" wrapText="1"/>
    </xf>
    <xf numFmtId="0" fontId="39" fillId="0" borderId="39" xfId="0" applyFont="1" applyBorder="1"/>
    <xf numFmtId="0" fontId="39" fillId="0" borderId="0" xfId="0" applyFont="1"/>
    <xf numFmtId="0" fontId="39" fillId="0" borderId="28" xfId="0" quotePrefix="1" applyFont="1" applyBorder="1" applyAlignment="1">
      <alignment horizontal="center" wrapText="1"/>
    </xf>
    <xf numFmtId="0" fontId="39" fillId="0" borderId="32" xfId="0" applyFont="1" applyBorder="1"/>
    <xf numFmtId="0" fontId="39" fillId="0" borderId="28" xfId="0" applyFont="1" applyBorder="1" applyAlignment="1">
      <alignment horizontal="center" wrapText="1"/>
    </xf>
    <xf numFmtId="0" fontId="39" fillId="0" borderId="28" xfId="0" applyFont="1" applyBorder="1"/>
    <xf numFmtId="0" fontId="39" fillId="0" borderId="32" xfId="0" applyFont="1" applyBorder="1" applyAlignment="1">
      <alignment horizontal="centerContinuous"/>
    </xf>
    <xf numFmtId="0" fontId="40" fillId="0" borderId="28" xfId="0" applyFont="1" applyBorder="1" applyAlignment="1">
      <alignment horizontal="center" wrapText="1"/>
    </xf>
    <xf numFmtId="0" fontId="40" fillId="0" borderId="19" xfId="0" applyFont="1" applyBorder="1" applyAlignment="1">
      <alignment horizontal="center" wrapText="1"/>
    </xf>
    <xf numFmtId="0" fontId="40" fillId="0" borderId="29" xfId="0" applyFont="1" applyBorder="1" applyAlignment="1">
      <alignment horizontal="center" wrapText="1"/>
    </xf>
    <xf numFmtId="0" fontId="39" fillId="0" borderId="28" xfId="0" applyFont="1" applyBorder="1" applyAlignment="1">
      <alignment horizontal="left"/>
    </xf>
    <xf numFmtId="0" fontId="40" fillId="0" borderId="30" xfId="0" applyFont="1" applyBorder="1" applyAlignment="1">
      <alignment horizontal="center"/>
    </xf>
    <xf numFmtId="0" fontId="39" fillId="0" borderId="28" xfId="0" applyFont="1" applyBorder="1" applyAlignment="1">
      <alignment horizontal="centerContinuous"/>
    </xf>
    <xf numFmtId="0" fontId="39" fillId="0" borderId="19" xfId="0" applyFont="1" applyBorder="1" applyAlignment="1">
      <alignment horizontal="centerContinuous"/>
    </xf>
    <xf numFmtId="0" fontId="40" fillId="0" borderId="22" xfId="0" applyFont="1" applyBorder="1" applyAlignment="1">
      <alignment horizontal="center"/>
    </xf>
    <xf numFmtId="0" fontId="40" fillId="0" borderId="19" xfId="0" applyFont="1" applyBorder="1" applyAlignment="1">
      <alignment horizontal="center"/>
    </xf>
    <xf numFmtId="0" fontId="39" fillId="0" borderId="29" xfId="0" applyFont="1" applyBorder="1" applyAlignment="1">
      <alignment horizontal="centerContinuous"/>
    </xf>
    <xf numFmtId="0" fontId="39" fillId="0" borderId="25" xfId="0" applyFont="1" applyBorder="1"/>
    <xf numFmtId="0" fontId="39" fillId="0" borderId="27" xfId="0" applyFont="1" applyBorder="1"/>
    <xf numFmtId="0" fontId="39" fillId="0" borderId="24" xfId="0" applyFont="1" applyBorder="1" applyAlignment="1">
      <alignment horizontal="center"/>
    </xf>
    <xf numFmtId="0" fontId="39" fillId="0" borderId="25" xfId="0" quotePrefix="1" applyFont="1" applyBorder="1" applyAlignment="1">
      <alignment horizontal="center" wrapText="1"/>
    </xf>
    <xf numFmtId="0" fontId="39" fillId="0" borderId="23" xfId="0" applyFont="1" applyBorder="1" applyAlignment="1">
      <alignment horizontal="center" wrapText="1"/>
    </xf>
    <xf numFmtId="0" fontId="39" fillId="0" borderId="23" xfId="0" applyFont="1" applyBorder="1" applyAlignment="1">
      <alignment horizontal="center"/>
    </xf>
    <xf numFmtId="0" fontId="39" fillId="0" borderId="25" xfId="0" applyFont="1" applyBorder="1" applyAlignment="1">
      <alignment horizontal="center" wrapText="1"/>
    </xf>
    <xf numFmtId="0" fontId="39" fillId="0" borderId="20" xfId="0" applyFont="1" applyBorder="1" applyAlignment="1">
      <alignment horizontal="center" wrapText="1"/>
    </xf>
    <xf numFmtId="0" fontId="42" fillId="0" borderId="35" xfId="0" applyFont="1" applyBorder="1"/>
    <xf numFmtId="0" fontId="42" fillId="0" borderId="39" xfId="0" applyFont="1" applyBorder="1"/>
    <xf numFmtId="180" fontId="42" fillId="0" borderId="33" xfId="0" applyNumberFormat="1" applyFont="1" applyBorder="1"/>
    <xf numFmtId="180" fontId="42" fillId="0" borderId="36" xfId="0" applyNumberFormat="1" applyFont="1" applyBorder="1"/>
    <xf numFmtId="180" fontId="42" fillId="0" borderId="18" xfId="0" applyNumberFormat="1" applyFont="1" applyBorder="1"/>
    <xf numFmtId="180" fontId="42" fillId="0" borderId="35" xfId="0" applyNumberFormat="1" applyFont="1" applyBorder="1"/>
    <xf numFmtId="180" fontId="42" fillId="0" borderId="34" xfId="0" applyNumberFormat="1" applyFont="1" applyBorder="1"/>
    <xf numFmtId="180" fontId="42" fillId="0" borderId="37" xfId="0" applyNumberFormat="1" applyFont="1" applyBorder="1"/>
    <xf numFmtId="180" fontId="42" fillId="0" borderId="38" xfId="0" applyNumberFormat="1" applyFont="1" applyBorder="1"/>
    <xf numFmtId="0" fontId="42" fillId="0" borderId="0" xfId="0" applyFont="1"/>
    <xf numFmtId="180" fontId="39" fillId="0" borderId="24" xfId="142" quotePrefix="1" applyNumberFormat="1" applyFont="1" applyBorder="1" applyAlignment="1">
      <alignment horizontal="center"/>
    </xf>
    <xf numFmtId="180" fontId="39" fillId="0" borderId="25" xfId="141" applyNumberFormat="1" applyFont="1" applyBorder="1">
      <alignment horizontal="center" vertical="center"/>
    </xf>
    <xf numFmtId="180" fontId="39" fillId="0" borderId="24" xfId="141" applyNumberFormat="1" applyFont="1" applyBorder="1">
      <alignment horizontal="center" vertical="center"/>
    </xf>
    <xf numFmtId="182" fontId="39" fillId="0" borderId="0" xfId="143" applyFont="1" applyBorder="1"/>
    <xf numFmtId="181" fontId="39" fillId="0" borderId="18" xfId="142" quotePrefix="1" applyFont="1" applyBorder="1" applyAlignment="1">
      <alignment horizontal="center"/>
    </xf>
    <xf numFmtId="179" fontId="39" fillId="0" borderId="18" xfId="141" applyFont="1" applyBorder="1">
      <alignment horizontal="center" vertical="center"/>
    </xf>
    <xf numFmtId="0" fontId="39" fillId="0" borderId="0" xfId="0" applyFont="1" applyAlignment="1">
      <alignment vertical="top"/>
    </xf>
    <xf numFmtId="180" fontId="39" fillId="0" borderId="30" xfId="147" applyNumberFormat="1" applyFont="1" applyBorder="1">
      <alignment horizontal="center" vertical="center"/>
    </xf>
    <xf numFmtId="180" fontId="39" fillId="0" borderId="19" xfId="147" applyNumberFormat="1" applyFont="1" applyBorder="1">
      <alignment horizontal="center" vertical="center"/>
    </xf>
    <xf numFmtId="180" fontId="39" fillId="0" borderId="29" xfId="147" applyNumberFormat="1" applyFont="1" applyBorder="1">
      <alignment horizontal="center" vertical="center"/>
    </xf>
    <xf numFmtId="180" fontId="39" fillId="0" borderId="0" xfId="147" applyNumberFormat="1" applyFont="1" applyBorder="1">
      <alignment horizontal="center" vertical="center"/>
    </xf>
    <xf numFmtId="180" fontId="39" fillId="0" borderId="23" xfId="147" applyNumberFormat="1" applyFont="1" applyBorder="1">
      <alignment horizontal="center" vertical="center"/>
    </xf>
    <xf numFmtId="0" fontId="39" fillId="0" borderId="28" xfId="0" applyFont="1" applyBorder="1" applyAlignment="1">
      <alignment horizontal="center" vertical="top" wrapText="1"/>
    </xf>
    <xf numFmtId="180" fontId="42" fillId="0" borderId="19" xfId="147" applyNumberFormat="1" applyFont="1" applyBorder="1">
      <alignment horizontal="center" vertical="center"/>
    </xf>
    <xf numFmtId="0" fontId="42" fillId="0" borderId="32" xfId="0" applyFont="1" applyBorder="1"/>
    <xf numFmtId="180" fontId="42" fillId="0" borderId="30" xfId="147" applyNumberFormat="1" applyFont="1" applyBorder="1">
      <alignment horizontal="center" vertical="center"/>
    </xf>
    <xf numFmtId="180" fontId="42" fillId="0" borderId="22" xfId="147" applyNumberFormat="1" applyFont="1" applyBorder="1">
      <alignment horizontal="center" vertical="center"/>
    </xf>
    <xf numFmtId="180" fontId="42" fillId="0" borderId="29" xfId="147" applyNumberFormat="1" applyFont="1" applyBorder="1">
      <alignment horizontal="center" vertical="center"/>
    </xf>
    <xf numFmtId="180" fontId="39" fillId="0" borderId="22" xfId="147" applyNumberFormat="1" applyFont="1" applyBorder="1">
      <alignment horizontal="center" vertical="center"/>
    </xf>
    <xf numFmtId="180" fontId="39" fillId="0" borderId="31" xfId="147" applyNumberFormat="1" applyFont="1" applyBorder="1">
      <alignment horizontal="center" vertical="center"/>
    </xf>
    <xf numFmtId="0" fontId="38" fillId="0" borderId="25" xfId="0" applyFont="1" applyBorder="1"/>
    <xf numFmtId="0" fontId="38" fillId="0" borderId="12" xfId="0" applyFont="1" applyBorder="1"/>
    <xf numFmtId="0" fontId="38" fillId="0" borderId="26" xfId="0" applyFont="1" applyBorder="1"/>
    <xf numFmtId="0" fontId="38" fillId="0" borderId="23" xfId="0" applyFont="1" applyBorder="1"/>
    <xf numFmtId="0" fontId="38" fillId="0" borderId="24" xfId="0" applyFont="1" applyBorder="1"/>
    <xf numFmtId="0" fontId="38" fillId="0" borderId="27" xfId="0" applyFont="1" applyBorder="1"/>
    <xf numFmtId="0" fontId="40" fillId="0" borderId="0" xfId="0" applyFont="1" applyAlignment="1">
      <alignment horizontal="center" wrapText="1"/>
    </xf>
    <xf numFmtId="0" fontId="39" fillId="0" borderId="0" xfId="0" applyFont="1" applyAlignment="1">
      <alignment horizontal="centerContinuous"/>
    </xf>
    <xf numFmtId="0" fontId="39" fillId="0" borderId="12" xfId="0" quotePrefix="1" applyFont="1" applyBorder="1" applyAlignment="1">
      <alignment horizontal="center" wrapText="1"/>
    </xf>
    <xf numFmtId="180" fontId="42" fillId="0" borderId="22" xfId="0" applyNumberFormat="1" applyFont="1" applyBorder="1"/>
    <xf numFmtId="187" fontId="42" fillId="0" borderId="29" xfId="147" applyNumberFormat="1" applyFont="1" applyBorder="1" applyAlignment="1">
      <alignment horizontal="right" vertical="center"/>
    </xf>
    <xf numFmtId="180" fontId="42" fillId="0" borderId="28" xfId="147" applyNumberFormat="1" applyFont="1" applyBorder="1">
      <alignment horizontal="center" vertical="center"/>
    </xf>
    <xf numFmtId="180" fontId="39" fillId="0" borderId="28" xfId="147" applyNumberFormat="1" applyFont="1" applyBorder="1">
      <alignment horizontal="center" vertical="center"/>
    </xf>
    <xf numFmtId="0" fontId="38" fillId="0" borderId="28" xfId="0" applyFont="1" applyBorder="1"/>
    <xf numFmtId="180" fontId="42" fillId="0" borderId="19" xfId="0" applyNumberFormat="1" applyFont="1" applyBorder="1"/>
    <xf numFmtId="180" fontId="39" fillId="0" borderId="32" xfId="147" applyNumberFormat="1" applyFont="1" applyBorder="1">
      <alignment horizontal="center" vertical="center"/>
    </xf>
    <xf numFmtId="0" fontId="39" fillId="0" borderId="37" xfId="0" applyFont="1" applyBorder="1" applyAlignment="1">
      <alignment horizontal="center"/>
    </xf>
    <xf numFmtId="0" fontId="39" fillId="0" borderId="18" xfId="0" applyFont="1" applyBorder="1" applyAlignment="1">
      <alignment vertical="center"/>
    </xf>
    <xf numFmtId="0" fontId="39" fillId="0" borderId="39" xfId="0" applyFont="1" applyBorder="1" applyAlignment="1">
      <alignment vertical="center"/>
    </xf>
    <xf numFmtId="0" fontId="39" fillId="0" borderId="12" xfId="0" applyFont="1" applyBorder="1"/>
    <xf numFmtId="180" fontId="39" fillId="0" borderId="24" xfId="147" applyNumberFormat="1" applyFont="1" applyBorder="1">
      <alignment horizontal="center" vertical="center"/>
    </xf>
    <xf numFmtId="180" fontId="39" fillId="0" borderId="25" xfId="147" applyNumberFormat="1" applyFont="1" applyBorder="1">
      <alignment horizontal="center" vertical="center"/>
    </xf>
    <xf numFmtId="180" fontId="39" fillId="0" borderId="20" xfId="147" applyNumberFormat="1" applyFont="1" applyBorder="1">
      <alignment horizontal="center" vertical="center"/>
    </xf>
    <xf numFmtId="180" fontId="42" fillId="0" borderId="30" xfId="0" applyNumberFormat="1" applyFont="1" applyBorder="1"/>
    <xf numFmtId="180" fontId="42" fillId="0" borderId="0" xfId="0" applyNumberFormat="1" applyFont="1"/>
    <xf numFmtId="180" fontId="42" fillId="0" borderId="29" xfId="0" applyNumberFormat="1" applyFont="1" applyBorder="1"/>
    <xf numFmtId="180" fontId="39" fillId="0" borderId="21" xfId="147" applyNumberFormat="1" applyFont="1" applyBorder="1">
      <alignment horizontal="center" vertical="center"/>
    </xf>
    <xf numFmtId="0" fontId="40" fillId="0" borderId="0" xfId="0" applyFont="1" applyAlignment="1">
      <alignment vertical="top"/>
    </xf>
    <xf numFmtId="0" fontId="39" fillId="0" borderId="0" xfId="0" quotePrefix="1" applyFont="1" applyAlignment="1">
      <alignment horizontal="center" vertical="top"/>
    </xf>
    <xf numFmtId="0" fontId="39" fillId="0" borderId="0" xfId="0" quotePrefix="1" applyFont="1" applyAlignment="1">
      <alignment horizontal="right"/>
    </xf>
    <xf numFmtId="0" fontId="39" fillId="0" borderId="0" xfId="0" quotePrefix="1" applyFont="1" applyAlignment="1">
      <alignment horizontal="right" vertical="top"/>
    </xf>
    <xf numFmtId="0" fontId="39" fillId="0" borderId="0" xfId="0" applyFont="1" applyAlignment="1">
      <alignment horizontal="justify"/>
    </xf>
    <xf numFmtId="0" fontId="39" fillId="0" borderId="0" xfId="0" quotePrefix="1" applyFont="1" applyAlignment="1">
      <alignment horizontal="left" indent="2"/>
    </xf>
    <xf numFmtId="0" fontId="39" fillId="0" borderId="0" xfId="0" quotePrefix="1" applyFont="1" applyAlignment="1">
      <alignment horizontal="center"/>
    </xf>
    <xf numFmtId="0" fontId="39" fillId="0" borderId="0" xfId="0" applyFont="1" applyAlignment="1">
      <alignment horizontal="justify" vertical="top" wrapText="1"/>
    </xf>
    <xf numFmtId="0" fontId="38" fillId="0" borderId="0" xfId="0" applyFont="1" applyAlignment="1">
      <alignment horizontal="justify" wrapText="1"/>
    </xf>
    <xf numFmtId="0" fontId="40" fillId="0" borderId="0" xfId="0" applyFont="1" applyAlignment="1">
      <alignment horizontal="left"/>
    </xf>
    <xf numFmtId="0" fontId="39" fillId="0" borderId="0" xfId="0" quotePrefix="1" applyFont="1" applyAlignment="1">
      <alignment horizontal="left"/>
    </xf>
    <xf numFmtId="0" fontId="39" fillId="0" borderId="18" xfId="0" applyFont="1" applyBorder="1"/>
    <xf numFmtId="0" fontId="39" fillId="0" borderId="18" xfId="0" quotePrefix="1" applyFont="1" applyBorder="1" applyAlignment="1">
      <alignment horizontal="left"/>
    </xf>
    <xf numFmtId="0" fontId="39" fillId="0" borderId="30" xfId="0" applyFont="1" applyBorder="1" applyAlignment="1">
      <alignment horizontal="center"/>
    </xf>
    <xf numFmtId="0" fontId="39" fillId="0" borderId="29" xfId="0" applyFont="1" applyBorder="1" applyAlignment="1">
      <alignment horizontal="center" wrapText="1"/>
    </xf>
    <xf numFmtId="0" fontId="42" fillId="0" borderId="18" xfId="0" applyFont="1" applyBorder="1"/>
    <xf numFmtId="180" fontId="42" fillId="0" borderId="28" xfId="0" applyNumberFormat="1" applyFont="1" applyBorder="1"/>
    <xf numFmtId="180" fontId="42" fillId="0" borderId="33" xfId="147" applyNumberFormat="1" applyFont="1" applyBorder="1">
      <alignment horizontal="center" vertical="center"/>
    </xf>
    <xf numFmtId="0" fontId="37" fillId="0" borderId="0" xfId="140"/>
    <xf numFmtId="0" fontId="1" fillId="29" borderId="0" xfId="0" applyFont="1" applyFill="1"/>
    <xf numFmtId="0" fontId="1" fillId="29" borderId="45" xfId="0" applyFont="1" applyFill="1" applyBorder="1"/>
    <xf numFmtId="0" fontId="1" fillId="0" borderId="45" xfId="0" applyFont="1" applyBorder="1"/>
    <xf numFmtId="49" fontId="0" fillId="0" borderId="0" xfId="0" applyNumberFormat="1"/>
    <xf numFmtId="0" fontId="0" fillId="28" borderId="0" xfId="0" applyFill="1"/>
    <xf numFmtId="0" fontId="0" fillId="30" borderId="0" xfId="0" applyFill="1"/>
    <xf numFmtId="0" fontId="48" fillId="0" borderId="0" xfId="0" applyFont="1"/>
    <xf numFmtId="0" fontId="49" fillId="0" borderId="0" xfId="0" applyFont="1"/>
    <xf numFmtId="46" fontId="0" fillId="0" borderId="0" xfId="0" applyNumberFormat="1"/>
    <xf numFmtId="0" fontId="50" fillId="0" borderId="0" xfId="0" applyFont="1"/>
    <xf numFmtId="0" fontId="1" fillId="29" borderId="0" xfId="0" applyFont="1" applyFill="1" applyAlignment="1">
      <alignment horizontal="left"/>
    </xf>
    <xf numFmtId="0" fontId="1" fillId="29" borderId="0" xfId="0" applyFont="1" applyFill="1" applyAlignment="1">
      <alignment horizontal="center"/>
    </xf>
    <xf numFmtId="0" fontId="0" fillId="0" borderId="0" xfId="0" applyAlignment="1">
      <alignment horizontal="center"/>
    </xf>
    <xf numFmtId="0" fontId="0" fillId="29" borderId="0" xfId="0" applyFill="1"/>
    <xf numFmtId="0" fontId="0" fillId="0" borderId="0" xfId="0" applyAlignment="1">
      <alignment vertical="center"/>
    </xf>
    <xf numFmtId="180" fontId="39" fillId="0" borderId="31" xfId="141" applyNumberFormat="1" applyFont="1" applyBorder="1">
      <alignment horizontal="center" vertical="center"/>
    </xf>
    <xf numFmtId="0" fontId="39" fillId="0" borderId="26" xfId="0" applyFont="1" applyBorder="1" applyAlignment="1">
      <alignment horizontal="center"/>
    </xf>
    <xf numFmtId="0" fontId="39" fillId="0" borderId="12" xfId="0" applyFont="1" applyBorder="1" applyAlignment="1">
      <alignment horizontal="center"/>
    </xf>
    <xf numFmtId="0" fontId="39" fillId="0" borderId="18" xfId="0" applyFont="1" applyBorder="1" applyAlignment="1">
      <alignment horizontal="center"/>
    </xf>
    <xf numFmtId="0" fontId="39" fillId="0" borderId="39" xfId="0" applyFont="1" applyBorder="1" applyAlignment="1">
      <alignment horizontal="center"/>
    </xf>
    <xf numFmtId="0" fontId="39" fillId="0" borderId="21" xfId="0" applyFont="1" applyBorder="1" applyAlignment="1">
      <alignment horizontal="center"/>
    </xf>
    <xf numFmtId="0" fontId="39" fillId="0" borderId="0" xfId="0" applyFont="1" applyAlignment="1">
      <alignment horizontal="center"/>
    </xf>
    <xf numFmtId="0" fontId="39" fillId="0" borderId="22" xfId="0" applyFont="1" applyBorder="1" applyAlignment="1">
      <alignment horizontal="center"/>
    </xf>
    <xf numFmtId="0" fontId="39" fillId="0" borderId="26" xfId="0" applyFont="1" applyBorder="1" applyAlignment="1">
      <alignment horizontal="center" vertical="center"/>
    </xf>
    <xf numFmtId="10" fontId="0" fillId="0" borderId="0" xfId="0" applyNumberFormat="1"/>
    <xf numFmtId="0" fontId="0" fillId="31" borderId="0" xfId="0" applyFill="1"/>
    <xf numFmtId="1" fontId="0" fillId="31" borderId="0" xfId="0" applyNumberFormat="1" applyFill="1"/>
    <xf numFmtId="0" fontId="40" fillId="0" borderId="0" xfId="0" applyFont="1" applyAlignment="1">
      <alignment horizontal="center"/>
    </xf>
    <xf numFmtId="0" fontId="39" fillId="0" borderId="32" xfId="0" applyFont="1" applyBorder="1" applyAlignment="1">
      <alignment horizontal="center"/>
    </xf>
    <xf numFmtId="0" fontId="40" fillId="0" borderId="31" xfId="0" applyFont="1" applyBorder="1" applyAlignment="1">
      <alignment horizontal="center"/>
    </xf>
    <xf numFmtId="10" fontId="0" fillId="0" borderId="0" xfId="148" applyNumberFormat="1" applyFont="1"/>
    <xf numFmtId="184" fontId="43" fillId="0" borderId="0" xfId="0" applyNumberFormat="1" applyFont="1"/>
    <xf numFmtId="188" fontId="43" fillId="0" borderId="0" xfId="0" applyNumberFormat="1" applyFont="1" applyAlignment="1">
      <alignment horizontal="right"/>
    </xf>
    <xf numFmtId="0" fontId="40" fillId="0" borderId="28" xfId="0" applyFont="1" applyBorder="1" applyAlignment="1">
      <alignment horizontal="center"/>
    </xf>
    <xf numFmtId="0" fontId="39" fillId="0" borderId="19" xfId="0" applyFont="1" applyBorder="1" applyAlignment="1">
      <alignment horizontal="center"/>
    </xf>
    <xf numFmtId="0" fontId="42" fillId="0" borderId="28" xfId="0" applyFont="1" applyBorder="1"/>
    <xf numFmtId="180" fontId="42" fillId="0" borderId="31" xfId="0" applyNumberFormat="1" applyFont="1" applyBorder="1"/>
    <xf numFmtId="180" fontId="42" fillId="0" borderId="30" xfId="0" applyNumberFormat="1" applyFont="1" applyBorder="1" applyAlignment="1">
      <alignment horizontal="center"/>
    </xf>
    <xf numFmtId="180" fontId="42" fillId="0" borderId="31" xfId="141" applyNumberFormat="1" applyFont="1" applyBorder="1" applyAlignment="1">
      <alignment horizontal="centerContinuous" vertical="center"/>
    </xf>
    <xf numFmtId="180" fontId="42" fillId="0" borderId="22" xfId="141" applyNumberFormat="1" applyFont="1" applyBorder="1" applyAlignment="1">
      <alignment horizontal="centerContinuous" vertical="center"/>
    </xf>
    <xf numFmtId="180" fontId="42" fillId="0" borderId="28" xfId="141" applyNumberFormat="1" applyFont="1" applyBorder="1" applyAlignment="1">
      <alignment horizontal="centerContinuous" vertical="center"/>
    </xf>
    <xf numFmtId="180" fontId="39" fillId="0" borderId="30" xfId="0" applyNumberFormat="1" applyFont="1" applyBorder="1" applyAlignment="1">
      <alignment horizontal="center"/>
    </xf>
    <xf numFmtId="179" fontId="39" fillId="0" borderId="0" xfId="0" applyNumberFormat="1" applyFont="1"/>
    <xf numFmtId="0" fontId="40" fillId="0" borderId="0" xfId="0" applyFont="1" applyAlignment="1">
      <alignment horizontal="right" vertical="top"/>
    </xf>
    <xf numFmtId="0" fontId="40" fillId="0" borderId="0" xfId="0" quotePrefix="1" applyFont="1" applyAlignment="1">
      <alignment horizontal="justify" vertical="top" wrapText="1"/>
    </xf>
    <xf numFmtId="0" fontId="39" fillId="0" borderId="0" xfId="0" applyFont="1" applyAlignment="1">
      <alignment horizontal="right" vertical="top"/>
    </xf>
    <xf numFmtId="0" fontId="41" fillId="0" borderId="0" xfId="0" quotePrefix="1" applyFont="1" applyAlignment="1">
      <alignment horizontal="center"/>
    </xf>
    <xf numFmtId="0" fontId="39" fillId="0" borderId="0" xfId="0" applyFont="1" applyAlignment="1">
      <alignment horizontal="left" vertical="top" wrapText="1"/>
    </xf>
    <xf numFmtId="0" fontId="39" fillId="0" borderId="0" xfId="0" applyFont="1" applyAlignment="1">
      <alignment horizontal="left"/>
    </xf>
    <xf numFmtId="0" fontId="38" fillId="0" borderId="0" xfId="0" applyFont="1" applyAlignment="1">
      <alignment vertical="top"/>
    </xf>
    <xf numFmtId="0" fontId="38" fillId="0" borderId="0" xfId="0" applyFont="1" applyAlignment="1">
      <alignment horizontal="justify" vertical="top" wrapText="1"/>
    </xf>
    <xf numFmtId="189" fontId="43" fillId="0" borderId="0" xfId="0" applyNumberFormat="1" applyFont="1" applyAlignment="1">
      <alignment horizontal="right"/>
    </xf>
    <xf numFmtId="0" fontId="40" fillId="32" borderId="31" xfId="0" applyFont="1" applyFill="1" applyBorder="1" applyAlignment="1">
      <alignment horizontal="center" vertical="center" wrapText="1"/>
    </xf>
    <xf numFmtId="0" fontId="40" fillId="32" borderId="28" xfId="0" applyFont="1" applyFill="1" applyBorder="1" applyAlignment="1">
      <alignment horizontal="center" vertical="center" wrapText="1"/>
    </xf>
    <xf numFmtId="0" fontId="40" fillId="32" borderId="29" xfId="0" applyFont="1" applyFill="1" applyBorder="1" applyAlignment="1">
      <alignment horizontal="center" vertical="center" wrapText="1"/>
    </xf>
    <xf numFmtId="0" fontId="39" fillId="0" borderId="25" xfId="0" applyFont="1" applyBorder="1" applyAlignment="1">
      <alignment horizontal="left" vertical="top"/>
    </xf>
    <xf numFmtId="0" fontId="39" fillId="0" borderId="27" xfId="0" applyFont="1" applyBorder="1" applyAlignment="1">
      <alignment horizontal="centerContinuous"/>
    </xf>
    <xf numFmtId="0" fontId="39" fillId="32" borderId="26" xfId="0" applyFont="1" applyFill="1" applyBorder="1" applyAlignment="1">
      <alignment horizontal="center" vertical="center" wrapText="1"/>
    </xf>
    <xf numFmtId="0" fontId="39" fillId="32" borderId="25" xfId="0" applyFont="1" applyFill="1" applyBorder="1" applyAlignment="1">
      <alignment horizontal="center" vertical="center" wrapText="1"/>
    </xf>
    <xf numFmtId="0" fontId="39" fillId="32" borderId="20" xfId="0" applyFont="1" applyFill="1" applyBorder="1" applyAlignment="1">
      <alignment horizontal="center" vertical="center" wrapText="1"/>
    </xf>
    <xf numFmtId="180" fontId="39" fillId="0" borderId="0" xfId="0" applyNumberFormat="1" applyFont="1" applyAlignment="1">
      <alignment horizontal="center"/>
    </xf>
    <xf numFmtId="180" fontId="39" fillId="0" borderId="28" xfId="0" applyNumberFormat="1" applyFont="1" applyBorder="1" applyAlignment="1">
      <alignment horizontal="center"/>
    </xf>
    <xf numFmtId="180" fontId="39" fillId="0" borderId="31" xfId="0" applyNumberFormat="1" applyFont="1" applyBorder="1" applyAlignment="1">
      <alignment horizontal="center"/>
    </xf>
    <xf numFmtId="180" fontId="39" fillId="0" borderId="29" xfId="0" applyNumberFormat="1" applyFont="1" applyBorder="1" applyAlignment="1">
      <alignment horizontal="center"/>
    </xf>
    <xf numFmtId="180" fontId="42" fillId="0" borderId="19" xfId="147" applyNumberFormat="1" applyFont="1" applyBorder="1" applyAlignment="1">
      <alignment horizontal="right" vertical="center" indent="1"/>
    </xf>
    <xf numFmtId="190" fontId="38" fillId="0" borderId="20" xfId="149" applyFill="1" applyBorder="1"/>
    <xf numFmtId="0" fontId="39" fillId="0" borderId="0" xfId="0" quotePrefix="1" applyFont="1"/>
    <xf numFmtId="0" fontId="39" fillId="0" borderId="0" xfId="0" applyFont="1" applyAlignment="1">
      <alignment horizontal="right"/>
    </xf>
    <xf numFmtId="180" fontId="39" fillId="0" borderId="24" xfId="0" applyNumberFormat="1" applyFont="1" applyBorder="1"/>
    <xf numFmtId="180" fontId="39" fillId="0" borderId="23" xfId="0" applyNumberFormat="1" applyFont="1" applyBorder="1"/>
    <xf numFmtId="180" fontId="39" fillId="0" borderId="20" xfId="0" applyNumberFormat="1" applyFont="1" applyBorder="1"/>
    <xf numFmtId="191" fontId="39" fillId="0" borderId="18" xfId="147" applyNumberFormat="1" applyFont="1" applyBorder="1">
      <alignment horizontal="center" vertical="center"/>
    </xf>
    <xf numFmtId="0" fontId="54" fillId="0" borderId="0" xfId="0" quotePrefix="1" applyFont="1" applyAlignment="1">
      <alignment horizontal="center"/>
    </xf>
    <xf numFmtId="179" fontId="38" fillId="0" borderId="0" xfId="0" quotePrefix="1" applyNumberFormat="1" applyFont="1" applyAlignment="1">
      <alignment horizontal="left"/>
    </xf>
    <xf numFmtId="191" fontId="39" fillId="0" borderId="0" xfId="147" applyNumberFormat="1" applyFont="1" applyBorder="1">
      <alignment horizontal="center" vertical="center"/>
    </xf>
    <xf numFmtId="0" fontId="40" fillId="0" borderId="28" xfId="0" quotePrefix="1" applyFont="1" applyBorder="1" applyAlignment="1">
      <alignment horizontal="center" wrapText="1"/>
    </xf>
    <xf numFmtId="180" fontId="39" fillId="0" borderId="32" xfId="141" applyNumberFormat="1" applyFont="1" applyBorder="1">
      <alignment horizontal="center" vertical="center"/>
    </xf>
    <xf numFmtId="0" fontId="40" fillId="0" borderId="0" xfId="0" applyFont="1" applyAlignment="1">
      <alignment vertical="top" wrapText="1"/>
    </xf>
    <xf numFmtId="0" fontId="38" fillId="0" borderId="0" xfId="0" applyFont="1" applyAlignment="1">
      <alignment horizontal="centerContinuous" wrapText="1"/>
    </xf>
    <xf numFmtId="0" fontId="47" fillId="0" borderId="0" xfId="0" applyFont="1" applyAlignment="1">
      <alignment horizontal="left"/>
    </xf>
    <xf numFmtId="0" fontId="44" fillId="0" borderId="0" xfId="0" applyFont="1"/>
    <xf numFmtId="0" fontId="44" fillId="0" borderId="0" xfId="0" applyFont="1" applyAlignment="1">
      <alignment horizontal="left"/>
    </xf>
    <xf numFmtId="192" fontId="43" fillId="0" borderId="0" xfId="0" applyNumberFormat="1" applyFont="1"/>
    <xf numFmtId="0" fontId="39" fillId="0" borderId="35" xfId="0" applyFont="1" applyBorder="1" applyAlignment="1">
      <alignment horizontal="center" wrapText="1"/>
    </xf>
    <xf numFmtId="183" fontId="39" fillId="0" borderId="28" xfId="0" applyNumberFormat="1" applyFont="1" applyBorder="1"/>
    <xf numFmtId="0" fontId="39" fillId="0" borderId="49" xfId="0" applyFont="1" applyBorder="1" applyAlignment="1">
      <alignment horizontal="left"/>
    </xf>
    <xf numFmtId="0" fontId="39" fillId="0" borderId="12" xfId="0" applyFont="1" applyBorder="1" applyAlignment="1">
      <alignment horizontal="center" wrapText="1"/>
    </xf>
    <xf numFmtId="180" fontId="42" fillId="0" borderId="22" xfId="0" applyNumberFormat="1" applyFont="1" applyBorder="1" applyAlignment="1">
      <alignment horizontal="center" vertical="center"/>
    </xf>
    <xf numFmtId="180" fontId="42" fillId="0" borderId="32" xfId="0" applyNumberFormat="1" applyFont="1" applyBorder="1"/>
    <xf numFmtId="180" fontId="42" fillId="0" borderId="32" xfId="0" applyNumberFormat="1" applyFont="1" applyBorder="1" applyAlignment="1">
      <alignment horizontal="center" vertical="center"/>
    </xf>
    <xf numFmtId="183" fontId="42" fillId="0" borderId="28" xfId="0" applyNumberFormat="1" applyFont="1" applyBorder="1"/>
    <xf numFmtId="181" fontId="39" fillId="0" borderId="32" xfId="0" applyNumberFormat="1" applyFont="1" applyBorder="1" applyAlignment="1">
      <alignment horizontal="left"/>
    </xf>
    <xf numFmtId="180" fontId="42" fillId="0" borderId="0" xfId="0" applyNumberFormat="1" applyFont="1" applyAlignment="1">
      <alignment horizontal="center" vertical="center"/>
    </xf>
    <xf numFmtId="180" fontId="42" fillId="0" borderId="30" xfId="0" applyNumberFormat="1" applyFont="1" applyBorder="1" applyAlignment="1">
      <alignment horizontal="center" vertical="center"/>
    </xf>
    <xf numFmtId="182" fontId="39" fillId="0" borderId="28" xfId="0" applyNumberFormat="1" applyFont="1" applyBorder="1"/>
    <xf numFmtId="180" fontId="39" fillId="0" borderId="22" xfId="0" applyNumberFormat="1" applyFont="1" applyBorder="1" applyAlignment="1">
      <alignment horizontal="center" vertical="center"/>
    </xf>
    <xf numFmtId="180" fontId="39" fillId="0" borderId="32" xfId="0" applyNumberFormat="1" applyFont="1" applyBorder="1" applyAlignment="1">
      <alignment horizontal="center" vertical="center"/>
    </xf>
    <xf numFmtId="193" fontId="39" fillId="0" borderId="0" xfId="0" applyNumberFormat="1" applyFont="1"/>
    <xf numFmtId="193" fontId="38" fillId="0" borderId="0" xfId="0" applyNumberFormat="1" applyFont="1"/>
    <xf numFmtId="180" fontId="39" fillId="0" borderId="0" xfId="0" applyNumberFormat="1" applyFont="1" applyAlignment="1">
      <alignment horizontal="center" vertical="center"/>
    </xf>
    <xf numFmtId="180" fontId="39" fillId="0" borderId="19" xfId="0" applyNumberFormat="1" applyFont="1" applyBorder="1" applyAlignment="1">
      <alignment horizontal="center" vertical="center"/>
    </xf>
    <xf numFmtId="180" fontId="39" fillId="0" borderId="30" xfId="0" applyNumberFormat="1" applyFont="1" applyBorder="1" applyAlignment="1">
      <alignment horizontal="center" vertical="center"/>
    </xf>
    <xf numFmtId="0" fontId="38" fillId="0" borderId="28" xfId="0" applyFont="1" applyBorder="1" applyAlignment="1">
      <alignment horizontal="center"/>
    </xf>
    <xf numFmtId="0" fontId="38" fillId="0" borderId="21" xfId="0" applyFont="1" applyBorder="1"/>
    <xf numFmtId="0" fontId="39" fillId="0" borderId="0" xfId="0" applyFont="1" applyAlignment="1">
      <alignment vertical="top" wrapText="1"/>
    </xf>
    <xf numFmtId="0" fontId="38" fillId="0" borderId="0" xfId="0" applyFont="1" applyAlignment="1">
      <alignment vertical="top" wrapText="1"/>
    </xf>
    <xf numFmtId="187" fontId="42" fillId="0" borderId="19" xfId="141" applyNumberFormat="1" applyFont="1" applyBorder="1">
      <alignment horizontal="center" vertical="center"/>
    </xf>
    <xf numFmtId="187" fontId="39" fillId="0" borderId="19" xfId="141" applyNumberFormat="1" applyFont="1" applyBorder="1">
      <alignment horizontal="center" vertical="center"/>
    </xf>
    <xf numFmtId="0" fontId="39" fillId="0" borderId="23" xfId="0" quotePrefix="1" applyFont="1" applyBorder="1" applyAlignment="1">
      <alignment horizontal="center" wrapText="1"/>
    </xf>
    <xf numFmtId="188" fontId="43" fillId="0" borderId="0" xfId="0" applyNumberFormat="1" applyFont="1"/>
    <xf numFmtId="0" fontId="39" fillId="0" borderId="30" xfId="0" applyFont="1" applyBorder="1" applyAlignment="1">
      <alignment horizontal="center" wrapText="1"/>
    </xf>
    <xf numFmtId="0" fontId="39" fillId="0" borderId="19" xfId="0" applyFont="1" applyBorder="1" applyAlignment="1">
      <alignment horizontal="center" wrapText="1"/>
    </xf>
    <xf numFmtId="0" fontId="39" fillId="0" borderId="24" xfId="0" applyFont="1" applyBorder="1" applyAlignment="1">
      <alignment vertical="top" wrapText="1"/>
    </xf>
    <xf numFmtId="0" fontId="40" fillId="0" borderId="0" xfId="0" quotePrefix="1" applyFont="1" applyAlignment="1">
      <alignment vertical="top"/>
    </xf>
    <xf numFmtId="0" fontId="0" fillId="0" borderId="0" xfId="0" applyAlignment="1">
      <alignment vertical="top"/>
    </xf>
    <xf numFmtId="0" fontId="39" fillId="0" borderId="0" xfId="0" quotePrefix="1" applyFont="1" applyAlignment="1">
      <alignment vertical="top"/>
    </xf>
    <xf numFmtId="0" fontId="44" fillId="0" borderId="0" xfId="146" applyFont="1" applyFill="1"/>
    <xf numFmtId="0" fontId="40" fillId="0" borderId="33" xfId="0" applyFont="1" applyBorder="1" applyAlignment="1">
      <alignment horizontal="center"/>
    </xf>
    <xf numFmtId="0" fontId="40" fillId="0" borderId="35" xfId="0" applyFont="1" applyBorder="1" applyAlignment="1">
      <alignment horizontal="center" wrapText="1"/>
    </xf>
    <xf numFmtId="0" fontId="40" fillId="0" borderId="38" xfId="0" applyFont="1" applyBorder="1" applyAlignment="1">
      <alignment horizontal="center" wrapText="1"/>
    </xf>
    <xf numFmtId="180" fontId="39" fillId="0" borderId="25" xfId="141" applyNumberFormat="1" applyFont="1" applyBorder="1">
      <alignment horizontal="center" vertical="center"/>
    </xf>
    <xf numFmtId="180" fontId="39" fillId="0" borderId="21" xfId="141" applyNumberFormat="1" applyFont="1" applyBorder="1">
      <alignment horizontal="center" vertical="center"/>
    </xf>
    <xf numFmtId="0" fontId="39" fillId="0" borderId="18" xfId="0" applyFont="1" applyBorder="1" applyAlignment="1">
      <alignment horizontal="center"/>
    </xf>
    <xf numFmtId="0" fontId="39" fillId="0" borderId="0" xfId="0" applyFont="1" applyAlignment="1">
      <alignment horizontal="justify" vertical="top" wrapText="1"/>
    </xf>
    <xf numFmtId="0" fontId="0" fillId="0" borderId="0" xfId="0" applyAlignment="1">
      <alignment horizontal="justify" vertical="top" wrapText="1"/>
    </xf>
    <xf numFmtId="0" fontId="40" fillId="0" borderId="0" xfId="0" quotePrefix="1" applyFont="1" applyAlignment="1">
      <alignment horizontal="justify" vertical="top" wrapText="1"/>
    </xf>
    <xf numFmtId="0" fontId="0" fillId="0" borderId="0" xfId="0" applyAlignment="1">
      <alignment horizontal="justify" wrapText="1"/>
    </xf>
    <xf numFmtId="180" fontId="39" fillId="0" borderId="26" xfId="141" applyNumberFormat="1" applyFont="1" applyBorder="1">
      <alignment horizontal="center" vertical="center"/>
    </xf>
    <xf numFmtId="180" fontId="39" fillId="0" borderId="28" xfId="141" applyNumberFormat="1" applyFont="1" applyBorder="1">
      <alignment horizontal="center" vertical="center"/>
    </xf>
    <xf numFmtId="180" fontId="39" fillId="0" borderId="22" xfId="141" applyNumberFormat="1" applyFont="1" applyBorder="1">
      <alignment horizontal="center" vertical="center"/>
    </xf>
    <xf numFmtId="180" fontId="39" fillId="0" borderId="31" xfId="141" applyNumberFormat="1" applyFont="1" applyBorder="1">
      <alignment horizontal="center" vertical="center"/>
    </xf>
    <xf numFmtId="180" fontId="42" fillId="0" borderId="28" xfId="141" applyNumberFormat="1" applyFont="1" applyBorder="1">
      <alignment horizontal="center" vertical="center"/>
    </xf>
    <xf numFmtId="180" fontId="42" fillId="0" borderId="22" xfId="141" applyNumberFormat="1" applyFont="1" applyBorder="1">
      <alignment horizontal="center" vertical="center"/>
    </xf>
    <xf numFmtId="0" fontId="51" fillId="0" borderId="0" xfId="0" applyFont="1" applyAlignment="1">
      <alignment horizontal="center"/>
    </xf>
    <xf numFmtId="0" fontId="52" fillId="0" borderId="0" xfId="0" applyFont="1" applyAlignment="1">
      <alignment horizontal="center"/>
    </xf>
    <xf numFmtId="0" fontId="53" fillId="0" borderId="0" xfId="0" applyFont="1" applyAlignment="1">
      <alignment horizontal="center"/>
    </xf>
    <xf numFmtId="0" fontId="40" fillId="0" borderId="37" xfId="0" applyFont="1" applyBorder="1" applyAlignment="1">
      <alignment horizontal="center"/>
    </xf>
    <xf numFmtId="0" fontId="39" fillId="0" borderId="39" xfId="0" applyFont="1" applyBorder="1" applyAlignment="1">
      <alignment horizontal="center"/>
    </xf>
    <xf numFmtId="0" fontId="39" fillId="0" borderId="26" xfId="0" applyFont="1" applyBorder="1" applyAlignment="1">
      <alignment horizontal="center"/>
    </xf>
    <xf numFmtId="0" fontId="39" fillId="0" borderId="12" xfId="0" applyFont="1" applyBorder="1" applyAlignment="1">
      <alignment horizontal="center"/>
    </xf>
    <xf numFmtId="0" fontId="39" fillId="0" borderId="27" xfId="0" applyFont="1" applyBorder="1" applyAlignment="1">
      <alignment horizontal="center"/>
    </xf>
    <xf numFmtId="0" fontId="40" fillId="0" borderId="31" xfId="0" applyFont="1" applyBorder="1" applyAlignment="1">
      <alignment horizontal="center"/>
    </xf>
    <xf numFmtId="0" fontId="39" fillId="0" borderId="0" xfId="0" applyFont="1" applyAlignment="1">
      <alignment horizontal="center"/>
    </xf>
    <xf numFmtId="0" fontId="40" fillId="0" borderId="28" xfId="0" applyFont="1" applyBorder="1" applyAlignment="1">
      <alignment horizontal="center"/>
    </xf>
    <xf numFmtId="0" fontId="40" fillId="0" borderId="0" xfId="0" applyFont="1" applyAlignment="1">
      <alignment horizontal="center"/>
    </xf>
    <xf numFmtId="0" fontId="39" fillId="0" borderId="22" xfId="0" applyFont="1" applyBorder="1" applyAlignment="1">
      <alignment horizontal="center"/>
    </xf>
    <xf numFmtId="0" fontId="40" fillId="0" borderId="28" xfId="0" applyFont="1" applyBorder="1" applyAlignment="1">
      <alignment horizontal="center" wrapText="1"/>
    </xf>
    <xf numFmtId="0" fontId="40" fillId="0" borderId="22" xfId="0" applyFont="1" applyBorder="1" applyAlignment="1">
      <alignment horizontal="center" wrapText="1"/>
    </xf>
    <xf numFmtId="0" fontId="39" fillId="0" borderId="31" xfId="0" applyFont="1" applyBorder="1" applyAlignment="1">
      <alignment horizontal="center"/>
    </xf>
    <xf numFmtId="0" fontId="39" fillId="0" borderId="28" xfId="0" applyFont="1" applyBorder="1" applyAlignment="1">
      <alignment horizontal="center"/>
    </xf>
    <xf numFmtId="0" fontId="39" fillId="0" borderId="25" xfId="0" quotePrefix="1" applyFont="1" applyBorder="1" applyAlignment="1">
      <alignment horizontal="center" wrapText="1"/>
    </xf>
    <xf numFmtId="0" fontId="39" fillId="0" borderId="21" xfId="0" quotePrefix="1" applyFont="1" applyBorder="1" applyAlignment="1">
      <alignment horizontal="center" wrapText="1"/>
    </xf>
    <xf numFmtId="0" fontId="39" fillId="0" borderId="25" xfId="0" applyFont="1" applyBorder="1" applyAlignment="1">
      <alignment horizontal="center"/>
    </xf>
    <xf numFmtId="0" fontId="39" fillId="0" borderId="21" xfId="0" applyFont="1" applyBorder="1" applyAlignment="1">
      <alignment horizontal="center"/>
    </xf>
    <xf numFmtId="180" fontId="42" fillId="0" borderId="31" xfId="141" applyNumberFormat="1" applyFont="1" applyBorder="1">
      <alignment horizontal="center" vertical="center"/>
    </xf>
    <xf numFmtId="0" fontId="39" fillId="0" borderId="36" xfId="0" applyFont="1" applyBorder="1" applyAlignment="1">
      <alignment horizontal="center"/>
    </xf>
    <xf numFmtId="0" fontId="40" fillId="0" borderId="18" xfId="0" applyFont="1" applyBorder="1" applyAlignment="1">
      <alignment horizontal="center"/>
    </xf>
    <xf numFmtId="0" fontId="40" fillId="0" borderId="35" xfId="0" applyFont="1" applyBorder="1" applyAlignment="1">
      <alignment horizontal="center"/>
    </xf>
    <xf numFmtId="0" fontId="40" fillId="0" borderId="39" xfId="0" applyFont="1" applyBorder="1" applyAlignment="1">
      <alignment horizontal="center"/>
    </xf>
    <xf numFmtId="0" fontId="39" fillId="0" borderId="37" xfId="0" applyFont="1" applyBorder="1" applyAlignment="1">
      <alignment horizontal="center"/>
    </xf>
    <xf numFmtId="0" fontId="40" fillId="0" borderId="32" xfId="0" applyFont="1" applyBorder="1" applyAlignment="1">
      <alignment horizontal="center"/>
    </xf>
    <xf numFmtId="0" fontId="39" fillId="0" borderId="32" xfId="0" applyFont="1" applyBorder="1" applyAlignment="1">
      <alignment horizontal="center"/>
    </xf>
    <xf numFmtId="0" fontId="39" fillId="0" borderId="18" xfId="0" quotePrefix="1" applyFont="1" applyBorder="1" applyAlignment="1">
      <alignment horizontal="center" wrapText="1"/>
    </xf>
    <xf numFmtId="0" fontId="39" fillId="0" borderId="36" xfId="0" quotePrefix="1" applyFont="1" applyBorder="1" applyAlignment="1">
      <alignment horizontal="center" wrapText="1"/>
    </xf>
    <xf numFmtId="0" fontId="39" fillId="0" borderId="35" xfId="0" quotePrefix="1" applyFont="1" applyBorder="1" applyAlignment="1">
      <alignment horizontal="center" wrapText="1"/>
    </xf>
    <xf numFmtId="0" fontId="39" fillId="0" borderId="37" xfId="0" quotePrefix="1" applyFont="1" applyBorder="1" applyAlignment="1">
      <alignment horizontal="center" wrapText="1"/>
    </xf>
    <xf numFmtId="0" fontId="39" fillId="0" borderId="39" xfId="0" quotePrefix="1" applyFont="1" applyBorder="1" applyAlignment="1">
      <alignment horizontal="center" wrapText="1"/>
    </xf>
    <xf numFmtId="180" fontId="39" fillId="0" borderId="25" xfId="0" applyNumberFormat="1" applyFont="1" applyBorder="1" applyAlignment="1">
      <alignment horizontal="center"/>
    </xf>
    <xf numFmtId="180" fontId="39" fillId="0" borderId="12" xfId="0" applyNumberFormat="1" applyFont="1" applyBorder="1" applyAlignment="1">
      <alignment horizontal="center"/>
    </xf>
    <xf numFmtId="180" fontId="39" fillId="0" borderId="21" xfId="0" applyNumberFormat="1" applyFont="1" applyBorder="1" applyAlignment="1">
      <alignment horizontal="center"/>
    </xf>
    <xf numFmtId="180" fontId="39" fillId="0" borderId="26" xfId="0" applyNumberFormat="1" applyFont="1" applyBorder="1" applyAlignment="1">
      <alignment horizontal="center"/>
    </xf>
    <xf numFmtId="180" fontId="39" fillId="0" borderId="27" xfId="0" applyNumberFormat="1" applyFont="1" applyBorder="1" applyAlignment="1">
      <alignment horizontal="center"/>
    </xf>
    <xf numFmtId="0" fontId="40" fillId="0" borderId="0" xfId="0" applyFont="1" applyAlignment="1">
      <alignment horizontal="left" vertical="top" wrapText="1"/>
    </xf>
    <xf numFmtId="0" fontId="39" fillId="0" borderId="0" xfId="0" applyFont="1" applyAlignment="1">
      <alignment horizontal="left" vertical="top" wrapText="1"/>
    </xf>
    <xf numFmtId="0" fontId="39" fillId="0" borderId="26" xfId="0" applyFont="1" applyBorder="1" applyAlignment="1">
      <alignment horizontal="center" vertical="center"/>
    </xf>
    <xf numFmtId="0" fontId="39" fillId="0" borderId="12" xfId="0" applyFont="1" applyBorder="1" applyAlignment="1">
      <alignment horizontal="center" vertical="center"/>
    </xf>
    <xf numFmtId="0" fontId="39" fillId="0" borderId="25" xfId="0" applyFont="1" applyBorder="1" applyAlignment="1">
      <alignment horizontal="center" vertical="center"/>
    </xf>
    <xf numFmtId="0" fontId="39" fillId="0" borderId="27" xfId="0" applyFont="1" applyBorder="1" applyAlignment="1">
      <alignment horizontal="center" vertical="center"/>
    </xf>
    <xf numFmtId="0" fontId="39" fillId="0" borderId="26" xfId="0" applyFont="1" applyBorder="1" applyAlignment="1">
      <alignment horizontal="center" vertical="top" wrapText="1"/>
    </xf>
    <xf numFmtId="0" fontId="39" fillId="0" borderId="12" xfId="0" applyFont="1" applyBorder="1" applyAlignment="1">
      <alignment horizontal="center" vertical="top" wrapText="1"/>
    </xf>
    <xf numFmtId="0" fontId="39" fillId="0" borderId="27" xfId="0" applyFont="1" applyBorder="1" applyAlignment="1">
      <alignment horizontal="center" vertical="top" wrapText="1"/>
    </xf>
    <xf numFmtId="0" fontId="40" fillId="0" borderId="31" xfId="0" applyFont="1" applyBorder="1" applyAlignment="1">
      <alignment horizontal="center" vertical="top" wrapText="1"/>
    </xf>
    <xf numFmtId="0" fontId="39" fillId="0" borderId="0" xfId="0" applyFont="1" applyAlignment="1">
      <alignment horizontal="center" vertical="top" wrapText="1"/>
    </xf>
    <xf numFmtId="0" fontId="39" fillId="0" borderId="32" xfId="0" applyFont="1" applyBorder="1" applyAlignment="1">
      <alignment horizontal="center" vertical="top" wrapText="1"/>
    </xf>
    <xf numFmtId="185" fontId="43" fillId="0" borderId="0" xfId="0" applyNumberFormat="1" applyFont="1" applyAlignment="1">
      <alignment horizontal="right"/>
    </xf>
    <xf numFmtId="0" fontId="39" fillId="0" borderId="40" xfId="0" applyFont="1" applyBorder="1" applyAlignment="1">
      <alignment horizontal="center"/>
    </xf>
    <xf numFmtId="0" fontId="39" fillId="0" borderId="41" xfId="0" applyFont="1" applyBorder="1" applyAlignment="1">
      <alignment horizontal="center"/>
    </xf>
    <xf numFmtId="0" fontId="39" fillId="0" borderId="42" xfId="0" applyFont="1" applyBorder="1" applyAlignment="1">
      <alignment horizontal="center"/>
    </xf>
    <xf numFmtId="0" fontId="40" fillId="0" borderId="40" xfId="0" applyFont="1" applyBorder="1" applyAlignment="1">
      <alignment horizontal="center"/>
    </xf>
    <xf numFmtId="0" fontId="39" fillId="0" borderId="40" xfId="0" applyFont="1" applyBorder="1" applyAlignment="1">
      <alignment horizontal="center" vertical="center"/>
    </xf>
    <xf numFmtId="0" fontId="39" fillId="0" borderId="41" xfId="0" applyFont="1" applyBorder="1" applyAlignment="1">
      <alignment horizontal="center" vertical="center"/>
    </xf>
    <xf numFmtId="0" fontId="39" fillId="0" borderId="42" xfId="0" applyFont="1" applyBorder="1" applyAlignment="1">
      <alignment horizontal="center" vertical="center"/>
    </xf>
    <xf numFmtId="0" fontId="40" fillId="0" borderId="0" xfId="0" applyFont="1" applyAlignment="1">
      <alignment horizontal="center" vertical="center"/>
    </xf>
    <xf numFmtId="0" fontId="39" fillId="0" borderId="0" xfId="0" applyFont="1" applyAlignment="1">
      <alignment horizontal="center" vertical="center"/>
    </xf>
    <xf numFmtId="0" fontId="39" fillId="0" borderId="32" xfId="0" applyFont="1" applyBorder="1" applyAlignment="1">
      <alignment horizontal="center" vertical="center"/>
    </xf>
    <xf numFmtId="0" fontId="40" fillId="0" borderId="44" xfId="0" applyFont="1" applyBorder="1" applyAlignment="1">
      <alignment horizontal="center"/>
    </xf>
    <xf numFmtId="0" fontId="39" fillId="0" borderId="46" xfId="0" applyFont="1" applyBorder="1" applyAlignment="1">
      <alignment horizontal="center"/>
    </xf>
    <xf numFmtId="0" fontId="40" fillId="0" borderId="25"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27" xfId="0" applyFont="1" applyBorder="1" applyAlignment="1">
      <alignment horizontal="center" vertical="center" wrapText="1"/>
    </xf>
    <xf numFmtId="0" fontId="40" fillId="0" borderId="41" xfId="0" applyFont="1" applyBorder="1" applyAlignment="1">
      <alignment horizontal="center"/>
    </xf>
    <xf numFmtId="0" fontId="40" fillId="0" borderId="40" xfId="0" applyFont="1" applyBorder="1" applyAlignment="1">
      <alignment horizontal="center" vertical="center" wrapText="1"/>
    </xf>
    <xf numFmtId="0" fontId="39" fillId="0" borderId="41" xfId="0" applyFont="1" applyBorder="1" applyAlignment="1">
      <alignment horizontal="center" vertical="center" wrapText="1"/>
    </xf>
    <xf numFmtId="0" fontId="39" fillId="0" borderId="42" xfId="0" applyFont="1" applyBorder="1" applyAlignment="1">
      <alignment horizontal="center" vertical="center" wrapText="1"/>
    </xf>
    <xf numFmtId="0" fontId="39" fillId="0" borderId="46" xfId="0" applyFont="1" applyBorder="1" applyAlignment="1">
      <alignment horizontal="center" vertical="center"/>
    </xf>
    <xf numFmtId="0" fontId="40" fillId="0" borderId="47" xfId="0" applyFont="1" applyBorder="1" applyAlignment="1">
      <alignment horizontal="center"/>
    </xf>
    <xf numFmtId="0" fontId="40" fillId="0" borderId="51" xfId="0" applyFont="1" applyBorder="1" applyAlignment="1">
      <alignment horizontal="center"/>
    </xf>
    <xf numFmtId="0" fontId="40" fillId="0" borderId="48" xfId="0" applyFont="1" applyBorder="1" applyAlignment="1">
      <alignment horizontal="center"/>
    </xf>
    <xf numFmtId="0" fontId="40" fillId="0" borderId="50" xfId="0" applyFont="1" applyBorder="1" applyAlignment="1">
      <alignment horizontal="center"/>
    </xf>
    <xf numFmtId="0" fontId="40" fillId="0" borderId="0" xfId="0" applyFont="1" applyAlignment="1">
      <alignment horizontal="justify" vertical="top" wrapText="1"/>
    </xf>
    <xf numFmtId="0" fontId="40" fillId="0" borderId="40" xfId="0" applyFont="1" applyBorder="1" applyAlignment="1">
      <alignment horizontal="center" vertical="center"/>
    </xf>
    <xf numFmtId="0" fontId="40" fillId="0" borderId="41" xfId="0" applyFont="1" applyBorder="1" applyAlignment="1">
      <alignment horizontal="center" vertical="center"/>
    </xf>
    <xf numFmtId="0" fontId="40" fillId="0" borderId="48" xfId="0" applyFont="1" applyBorder="1" applyAlignment="1">
      <alignment horizontal="center" vertical="center"/>
    </xf>
    <xf numFmtId="0" fontId="40" fillId="0" borderId="50" xfId="0" applyFont="1" applyBorder="1" applyAlignment="1">
      <alignment horizontal="center" vertical="center"/>
    </xf>
    <xf numFmtId="0" fontId="39" fillId="0" borderId="40" xfId="0" applyFont="1" applyBorder="1" applyAlignment="1">
      <alignment horizontal="center" vertical="center" wrapText="1"/>
    </xf>
    <xf numFmtId="0" fontId="39" fillId="0" borderId="26" xfId="0" applyFont="1" applyBorder="1" applyAlignment="1">
      <alignment horizontal="center" vertical="top"/>
    </xf>
    <xf numFmtId="0" fontId="39" fillId="0" borderId="12" xfId="0" applyFont="1" applyBorder="1" applyAlignment="1">
      <alignment horizontal="center" vertical="top"/>
    </xf>
    <xf numFmtId="0" fontId="39" fillId="0" borderId="27" xfId="0" applyFont="1" applyBorder="1" applyAlignment="1">
      <alignment horizontal="center" vertical="top"/>
    </xf>
    <xf numFmtId="0" fontId="39" fillId="0" borderId="21" xfId="0" applyFont="1" applyBorder="1" applyAlignment="1">
      <alignment horizontal="center" vertical="top"/>
    </xf>
    <xf numFmtId="0" fontId="39" fillId="0" borderId="0" xfId="0" applyFont="1" applyAlignment="1">
      <alignment horizontal="justify" vertical="top"/>
    </xf>
    <xf numFmtId="0" fontId="0" fillId="0" borderId="0" xfId="0" applyAlignment="1">
      <alignment horizontal="justify" vertical="top"/>
    </xf>
    <xf numFmtId="0" fontId="39" fillId="0" borderId="0" xfId="0" quotePrefix="1" applyFont="1" applyAlignment="1">
      <alignment horizontal="justify" vertical="top"/>
    </xf>
    <xf numFmtId="0" fontId="39" fillId="0" borderId="31" xfId="0" applyFont="1" applyBorder="1" applyAlignment="1">
      <alignment horizontal="center" vertical="center"/>
    </xf>
    <xf numFmtId="0" fontId="0" fillId="33" borderId="0" xfId="0" applyFill="1" applyAlignment="1">
      <alignment vertical="center"/>
    </xf>
    <xf numFmtId="3" fontId="0" fillId="33" borderId="0" xfId="0" applyNumberFormat="1" applyFill="1" applyAlignment="1">
      <alignment vertical="center"/>
    </xf>
    <xf numFmtId="3" fontId="0" fillId="0" borderId="0" xfId="0" applyNumberFormat="1" applyAlignment="1">
      <alignment vertical="center"/>
    </xf>
    <xf numFmtId="0" fontId="0" fillId="0" borderId="52" xfId="0" applyBorder="1" applyAlignment="1">
      <alignment vertical="center"/>
    </xf>
    <xf numFmtId="0" fontId="0" fillId="33" borderId="52" xfId="0" applyFill="1" applyBorder="1" applyAlignment="1">
      <alignment vertical="center"/>
    </xf>
    <xf numFmtId="0" fontId="59" fillId="0" borderId="0" xfId="0" applyFont="1" applyAlignment="1">
      <alignment vertical="center"/>
    </xf>
    <xf numFmtId="3" fontId="0" fillId="33" borderId="52" xfId="0" applyNumberFormat="1" applyFill="1" applyBorder="1" applyAlignment="1">
      <alignment vertical="center"/>
    </xf>
    <xf numFmtId="0" fontId="60" fillId="0" borderId="0" xfId="0" applyFont="1" applyAlignment="1">
      <alignment vertical="center"/>
    </xf>
    <xf numFmtId="1" fontId="0" fillId="0" borderId="0" xfId="0" applyNumberFormat="1" applyAlignment="1">
      <alignment vertical="center"/>
    </xf>
    <xf numFmtId="1" fontId="59" fillId="0" borderId="0" xfId="0" applyNumberFormat="1" applyFont="1" applyAlignment="1">
      <alignment vertical="center"/>
    </xf>
    <xf numFmtId="2" fontId="0" fillId="0" borderId="0" xfId="0" applyNumberFormat="1" applyAlignment="1">
      <alignment vertical="center"/>
    </xf>
    <xf numFmtId="2" fontId="0" fillId="0" borderId="52" xfId="0" applyNumberFormat="1" applyBorder="1" applyAlignment="1">
      <alignment vertical="center"/>
    </xf>
    <xf numFmtId="2" fontId="59" fillId="0" borderId="0" xfId="0" applyNumberFormat="1" applyFont="1" applyAlignment="1">
      <alignment vertical="center"/>
    </xf>
    <xf numFmtId="43" fontId="0" fillId="0" borderId="0" xfId="150" applyFont="1">
      <alignment vertical="center"/>
    </xf>
    <xf numFmtId="43" fontId="0" fillId="0" borderId="0" xfId="150" applyFont="1" applyFill="1">
      <alignment vertical="center"/>
    </xf>
    <xf numFmtId="0" fontId="59" fillId="28" borderId="0" xfId="0" applyFont="1" applyFill="1" applyAlignment="1">
      <alignment vertical="center"/>
    </xf>
    <xf numFmtId="0" fontId="0" fillId="28" borderId="0" xfId="0" applyFill="1" applyAlignment="1">
      <alignment vertical="center"/>
    </xf>
  </cellXfs>
  <cellStyles count="151">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一般" xfId="0" builtinId="0"/>
    <cellStyle name="千分位" xfId="150" builtinId="3"/>
    <cellStyle name="百分比" xfId="148" builtinId="5"/>
    <cellStyle name="超連結" xfId="140" builtinId="8"/>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Body: normal cell" xfId="4" xr:uid="{00000000-0005-0000-0000-000019000000}"/>
    <cellStyle name="Calculation 2" xfId="40" xr:uid="{00000000-0005-0000-0000-00001A000000}"/>
    <cellStyle name="Check Cell 2" xfId="41" xr:uid="{00000000-0005-0000-0000-00001B000000}"/>
    <cellStyle name="Comma 2" xfId="42" xr:uid="{00000000-0005-0000-0000-00001C000000}"/>
    <cellStyle name="Comma 2 2" xfId="11" xr:uid="{00000000-0005-0000-0000-00001D000000}"/>
    <cellStyle name="Comma 2 2 2" xfId="43" xr:uid="{00000000-0005-0000-0000-00001E000000}"/>
    <cellStyle name="Comma 2 2 3" xfId="44" xr:uid="{00000000-0005-0000-0000-00001F000000}"/>
    <cellStyle name="Comma 2 3" xfId="45" xr:uid="{00000000-0005-0000-0000-000020000000}"/>
    <cellStyle name="Comma 3" xfId="46" xr:uid="{00000000-0005-0000-0000-000021000000}"/>
    <cellStyle name="Comma 4" xfId="47" xr:uid="{00000000-0005-0000-0000-000022000000}"/>
    <cellStyle name="Comma 5" xfId="48" xr:uid="{00000000-0005-0000-0000-000023000000}"/>
    <cellStyle name="Comma 6" xfId="49" xr:uid="{00000000-0005-0000-0000-000024000000}"/>
    <cellStyle name="Comma 7" xfId="50" xr:uid="{00000000-0005-0000-0000-000025000000}"/>
    <cellStyle name="Currency 2" xfId="51" xr:uid="{00000000-0005-0000-0000-000026000000}"/>
    <cellStyle name="Currency 3" xfId="52" xr:uid="{00000000-0005-0000-0000-000027000000}"/>
    <cellStyle name="Currency 3 2" xfId="53" xr:uid="{00000000-0005-0000-0000-000028000000}"/>
    <cellStyle name="Data" xfId="54" xr:uid="{00000000-0005-0000-0000-000029000000}"/>
    <cellStyle name="Data no deci" xfId="55" xr:uid="{00000000-0005-0000-0000-00002A000000}"/>
    <cellStyle name="Data Superscript" xfId="56" xr:uid="{00000000-0005-0000-0000-00002B000000}"/>
    <cellStyle name="Data_1-1A-Regular" xfId="57" xr:uid="{00000000-0005-0000-0000-00002C000000}"/>
    <cellStyle name="Explanatory Text 2" xfId="58" xr:uid="{00000000-0005-0000-0000-00002E000000}"/>
    <cellStyle name="F5.0+5" xfId="149" xr:uid="{358EB30E-8DC7-6C4C-B4A4-28929D968175}"/>
    <cellStyle name="F6.-" xfId="147" xr:uid="{6B1A279A-55BA-44D0-A9C4-4957CC0059E2}"/>
    <cellStyle name="F6.0" xfId="141" xr:uid="{7BDB56A3-C6A1-4F27-BAAC-E2725BAF1773}"/>
    <cellStyle name="Font: Calibri, 9pt regular" xfId="6" xr:uid="{00000000-0005-0000-0000-00002F000000}"/>
    <cellStyle name="Footnotes: top row" xfId="2" xr:uid="{00000000-0005-0000-0000-000030000000}"/>
    <cellStyle name="Good 2" xfId="59" xr:uid="{00000000-0005-0000-0000-000031000000}"/>
    <cellStyle name="Header: bottom row" xfId="5" xr:uid="{00000000-0005-0000-0000-000032000000}"/>
    <cellStyle name="Heading 1 2" xfId="60" xr:uid="{00000000-0005-0000-0000-000033000000}"/>
    <cellStyle name="Heading 2 2" xfId="61" xr:uid="{00000000-0005-0000-0000-000034000000}"/>
    <cellStyle name="Heading 3 2" xfId="62" xr:uid="{00000000-0005-0000-0000-000035000000}"/>
    <cellStyle name="Heading 4 2" xfId="63" xr:uid="{00000000-0005-0000-0000-000036000000}"/>
    <cellStyle name="Hed Side" xfId="13" xr:uid="{00000000-0005-0000-0000-000037000000}"/>
    <cellStyle name="Hed Side bold" xfId="64" xr:uid="{00000000-0005-0000-0000-000038000000}"/>
    <cellStyle name="Hed Side Indent" xfId="65" xr:uid="{00000000-0005-0000-0000-000039000000}"/>
    <cellStyle name="Hed Side Regular" xfId="66" xr:uid="{00000000-0005-0000-0000-00003A000000}"/>
    <cellStyle name="Hed Side_1-1A-Regular" xfId="67" xr:uid="{00000000-0005-0000-0000-00003B000000}"/>
    <cellStyle name="Hed Top" xfId="68" xr:uid="{00000000-0005-0000-0000-00003D000000}"/>
    <cellStyle name="Input 2" xfId="69" xr:uid="{00000000-0005-0000-0000-00003E000000}"/>
    <cellStyle name="Linked Cell 2" xfId="70" xr:uid="{00000000-0005-0000-0000-00003F000000}"/>
    <cellStyle name="MM" xfId="142" xr:uid="{DE9EA62B-69D4-47AD-8163-C21E9C88D38F}"/>
    <cellStyle name="Neutral 2" xfId="71" xr:uid="{00000000-0005-0000-0000-000040000000}"/>
    <cellStyle name="Normal 10" xfId="72" xr:uid="{00000000-0005-0000-0000-000042000000}"/>
    <cellStyle name="Normal 11" xfId="10" xr:uid="{00000000-0005-0000-0000-000043000000}"/>
    <cellStyle name="Normal 2" xfId="1" xr:uid="{00000000-0005-0000-0000-000044000000}"/>
    <cellStyle name="Normal 2 2" xfId="73" xr:uid="{00000000-0005-0000-0000-000045000000}"/>
    <cellStyle name="Normal 2 2 2" xfId="74" xr:uid="{00000000-0005-0000-0000-000046000000}"/>
    <cellStyle name="Normal 2 2 3" xfId="75" xr:uid="{00000000-0005-0000-0000-000047000000}"/>
    <cellStyle name="Normal 2 3" xfId="76" xr:uid="{00000000-0005-0000-0000-000048000000}"/>
    <cellStyle name="Normal 2 4" xfId="77" xr:uid="{00000000-0005-0000-0000-000049000000}"/>
    <cellStyle name="Normal 3" xfId="8" xr:uid="{00000000-0005-0000-0000-00004A000000}"/>
    <cellStyle name="Normal 3 2" xfId="78" xr:uid="{00000000-0005-0000-0000-00004B000000}"/>
    <cellStyle name="Normal 3 2 2" xfId="79" xr:uid="{00000000-0005-0000-0000-00004C000000}"/>
    <cellStyle name="Normal 3 2 2 2" xfId="80" xr:uid="{00000000-0005-0000-0000-00004D000000}"/>
    <cellStyle name="Normal 3 2 3" xfId="81" xr:uid="{00000000-0005-0000-0000-00004E000000}"/>
    <cellStyle name="Normal 3 3" xfId="82" xr:uid="{00000000-0005-0000-0000-00004F000000}"/>
    <cellStyle name="Normal 3 3 2" xfId="83" xr:uid="{00000000-0005-0000-0000-000050000000}"/>
    <cellStyle name="Normal 3 3 2 2" xfId="84" xr:uid="{00000000-0005-0000-0000-000051000000}"/>
    <cellStyle name="Normal 3 3 3" xfId="85" xr:uid="{00000000-0005-0000-0000-000052000000}"/>
    <cellStyle name="Normal 3 4" xfId="86" xr:uid="{00000000-0005-0000-0000-000053000000}"/>
    <cellStyle name="Normal 3 4 2" xfId="87" xr:uid="{00000000-0005-0000-0000-000054000000}"/>
    <cellStyle name="Normal 3 5" xfId="88" xr:uid="{00000000-0005-0000-0000-000055000000}"/>
    <cellStyle name="Normal 3 6" xfId="89" xr:uid="{00000000-0005-0000-0000-000056000000}"/>
    <cellStyle name="Normal 3 7" xfId="90" xr:uid="{00000000-0005-0000-0000-000057000000}"/>
    <cellStyle name="Normal 3 8" xfId="91" xr:uid="{00000000-0005-0000-0000-000058000000}"/>
    <cellStyle name="Normal 3 9" xfId="12" xr:uid="{00000000-0005-0000-0000-000059000000}"/>
    <cellStyle name="Normal 4" xfId="92" xr:uid="{00000000-0005-0000-0000-00005A000000}"/>
    <cellStyle name="Normal 4 2" xfId="93" xr:uid="{00000000-0005-0000-0000-00005B000000}"/>
    <cellStyle name="Normal 4 2 2" xfId="94" xr:uid="{00000000-0005-0000-0000-00005C000000}"/>
    <cellStyle name="Normal 4 2 2 2" xfId="95" xr:uid="{00000000-0005-0000-0000-00005D000000}"/>
    <cellStyle name="Normal 4 2 3" xfId="96" xr:uid="{00000000-0005-0000-0000-00005E000000}"/>
    <cellStyle name="Normal 4 3" xfId="97" xr:uid="{00000000-0005-0000-0000-00005F000000}"/>
    <cellStyle name="Normal 4 3 2" xfId="98" xr:uid="{00000000-0005-0000-0000-000060000000}"/>
    <cellStyle name="Normal 4 3 2 2" xfId="99" xr:uid="{00000000-0005-0000-0000-000061000000}"/>
    <cellStyle name="Normal 4 3 3" xfId="100" xr:uid="{00000000-0005-0000-0000-000062000000}"/>
    <cellStyle name="Normal 4 4" xfId="101" xr:uid="{00000000-0005-0000-0000-000063000000}"/>
    <cellStyle name="Normal 4 4 2" xfId="102" xr:uid="{00000000-0005-0000-0000-000064000000}"/>
    <cellStyle name="Normal 4 5" xfId="103" xr:uid="{00000000-0005-0000-0000-000065000000}"/>
    <cellStyle name="Normal 4 6" xfId="104" xr:uid="{00000000-0005-0000-0000-000066000000}"/>
    <cellStyle name="Normal 4 7" xfId="105" xr:uid="{00000000-0005-0000-0000-000067000000}"/>
    <cellStyle name="Normal 4 8" xfId="106" xr:uid="{00000000-0005-0000-0000-000068000000}"/>
    <cellStyle name="Normal 5" xfId="107" xr:uid="{00000000-0005-0000-0000-000069000000}"/>
    <cellStyle name="Normal 5 2" xfId="108" xr:uid="{00000000-0005-0000-0000-00006A000000}"/>
    <cellStyle name="Normal 5 3" xfId="109" xr:uid="{00000000-0005-0000-0000-00006B000000}"/>
    <cellStyle name="Normal 6" xfId="110" xr:uid="{00000000-0005-0000-0000-00006C000000}"/>
    <cellStyle name="Normal 6 2" xfId="111" xr:uid="{00000000-0005-0000-0000-00006D000000}"/>
    <cellStyle name="Normal 7" xfId="112" xr:uid="{00000000-0005-0000-0000-00006E000000}"/>
    <cellStyle name="Normal 8" xfId="113" xr:uid="{00000000-0005-0000-0000-00006F000000}"/>
    <cellStyle name="Normal 9" xfId="114" xr:uid="{00000000-0005-0000-0000-000070000000}"/>
    <cellStyle name="Note 2" xfId="115" xr:uid="{00000000-0005-0000-0000-000071000000}"/>
    <cellStyle name="Note 2 2" xfId="116" xr:uid="{00000000-0005-0000-0000-000072000000}"/>
    <cellStyle name="Output 2" xfId="117" xr:uid="{00000000-0005-0000-0000-000073000000}"/>
    <cellStyle name="Parent row" xfId="3" xr:uid="{00000000-0005-0000-0000-000074000000}"/>
    <cellStyle name="Percent 2" xfId="118" xr:uid="{00000000-0005-0000-0000-000075000000}"/>
    <cellStyle name="Percent 2 2" xfId="119" xr:uid="{00000000-0005-0000-0000-000076000000}"/>
    <cellStyle name="Percent 3" xfId="120" xr:uid="{00000000-0005-0000-0000-000077000000}"/>
    <cellStyle name="Percent 3 2" xfId="121" xr:uid="{00000000-0005-0000-0000-000078000000}"/>
    <cellStyle name="Source Hed" xfId="122" xr:uid="{00000000-0005-0000-0000-000079000000}"/>
    <cellStyle name="Source Superscript" xfId="123" xr:uid="{00000000-0005-0000-0000-00007A000000}"/>
    <cellStyle name="Source Text" xfId="9" xr:uid="{00000000-0005-0000-0000-00007B000000}"/>
    <cellStyle name="State" xfId="124" xr:uid="{00000000-0005-0000-0000-00007C000000}"/>
    <cellStyle name="Superscript" xfId="125" xr:uid="{00000000-0005-0000-0000-00007D000000}"/>
    <cellStyle name="Table Data" xfId="126" xr:uid="{00000000-0005-0000-0000-00007E000000}"/>
    <cellStyle name="Table Head Top" xfId="127" xr:uid="{00000000-0005-0000-0000-00007F000000}"/>
    <cellStyle name="Table Hed Side" xfId="128" xr:uid="{00000000-0005-0000-0000-000080000000}"/>
    <cellStyle name="Table title" xfId="7" xr:uid="{00000000-0005-0000-0000-000081000000}"/>
    <cellStyle name="Title 2" xfId="129" xr:uid="{00000000-0005-0000-0000-000082000000}"/>
    <cellStyle name="Title Text" xfId="130" xr:uid="{00000000-0005-0000-0000-000083000000}"/>
    <cellStyle name="Title Text 1" xfId="131" xr:uid="{00000000-0005-0000-0000-000084000000}"/>
    <cellStyle name="Title Text 2" xfId="132" xr:uid="{00000000-0005-0000-0000-000085000000}"/>
    <cellStyle name="Title-1" xfId="14" xr:uid="{00000000-0005-0000-0000-000086000000}"/>
    <cellStyle name="Title-2" xfId="133" xr:uid="{00000000-0005-0000-0000-000087000000}"/>
    <cellStyle name="Title-3" xfId="134" xr:uid="{00000000-0005-0000-0000-000088000000}"/>
    <cellStyle name="Title.Chinese" xfId="146" xr:uid="{BD39DA8C-D4AC-4AE5-8E5D-FA90FCB243BA}"/>
    <cellStyle name="Title.English" xfId="145" xr:uid="{D2B98FB7-0D71-43B9-9080-539FBF0A8B7B}"/>
    <cellStyle name="Total 2" xfId="135" xr:uid="{00000000-0005-0000-0000-000089000000}"/>
    <cellStyle name="Warning Text 2" xfId="136" xr:uid="{00000000-0005-0000-0000-00008A000000}"/>
    <cellStyle name="Wrap" xfId="137" xr:uid="{00000000-0005-0000-0000-00008B000000}"/>
    <cellStyle name="Wrap Bold" xfId="138" xr:uid="{00000000-0005-0000-0000-00008C000000}"/>
    <cellStyle name="Wrap Title" xfId="139" xr:uid="{00000000-0005-0000-0000-00008D000000}"/>
    <cellStyle name="Year" xfId="144" xr:uid="{BC59B5A7-B573-4315-97E8-1FBFC95B02B8}"/>
    <cellStyle name="Year\" xfId="143" xr:uid="{02D0BD25-F64F-4289-A0C3-51CA3D4CB224}"/>
  </cellStyles>
  <dxfs count="0"/>
  <tableStyles count="0" defaultTableStyle="TableStyleMedium2"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15</xdr:col>
      <xdr:colOff>431800</xdr:colOff>
      <xdr:row>40</xdr:row>
      <xdr:rowOff>93802</xdr:rowOff>
    </xdr:to>
    <xdr:pic>
      <xdr:nvPicPr>
        <xdr:cNvPr id="5" name="Picture 4">
          <a:extLst>
            <a:ext uri="{FF2B5EF4-FFF2-40B4-BE49-F238E27FC236}">
              <a16:creationId xmlns:a16="http://schemas.microsoft.com/office/drawing/2014/main" id="{701C1F3A-2213-E32C-15BF-BCEAFFDA27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0"/>
          <a:ext cx="10490200" cy="77138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558800</xdr:colOff>
      <xdr:row>60</xdr:row>
      <xdr:rowOff>40961</xdr:rowOff>
    </xdr:to>
    <xdr:pic>
      <xdr:nvPicPr>
        <xdr:cNvPr id="8" name="Picture 7">
          <a:extLst>
            <a:ext uri="{FF2B5EF4-FFF2-40B4-BE49-F238E27FC236}">
              <a16:creationId xmlns:a16="http://schemas.microsoft.com/office/drawing/2014/main" id="{2BB72125-4893-52FA-315F-8659C439FC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794500" cy="1147096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td.gov.hk/en/transport_in_hong_kong/transport_figures/monthly_traffic_and_transport_digest/2018/201803/index.html" TargetMode="External"/><Relationship Id="rId7" Type="http://schemas.openxmlformats.org/officeDocument/2006/relationships/hyperlink" Target="https://www.td.gov.hk/filemanager/en/content_5217/2307_e.pdf" TargetMode="External"/><Relationship Id="rId2" Type="http://schemas.openxmlformats.org/officeDocument/2006/relationships/hyperlink" Target="https://www.checkerboardhill.com/2011/09/demise-of-hong-kong-rail-freight/" TargetMode="External"/><Relationship Id="rId1" Type="http://schemas.openxmlformats.org/officeDocument/2006/relationships/hyperlink" Target="https://www.td.gov.hk/filemanager/en/content_5217/2307_e.pdf" TargetMode="External"/><Relationship Id="rId6" Type="http://schemas.openxmlformats.org/officeDocument/2006/relationships/hyperlink" Target="https://www.epd.gov.hk/epd/english/environmentinhk/air/prob_solutions/promotion_ev.html" TargetMode="External"/><Relationship Id="rId5" Type="http://schemas.openxmlformats.org/officeDocument/2006/relationships/hyperlink" Target="https://www.mtr.com.hk/archive/corporate/en/publications/images/business_overview_e.pdf" TargetMode="External"/><Relationship Id="rId4" Type="http://schemas.openxmlformats.org/officeDocument/2006/relationships/hyperlink" Target="https://www.mardep.gov.hk/en/publication/pdf/portstat_2_y_e3.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athaypacific.com/content/dam/cx/about-us/investor-relations/interim-annual-reports/en/2023_cx_interim_report_en.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hyperlink" Target="https://www.td.gov.hk/filemanager/en/content_5217/2307_e.pdf" TargetMode="External"/><Relationship Id="rId1" Type="http://schemas.openxmlformats.org/officeDocument/2006/relationships/hyperlink" Target="https://www.epd.gov.hk/epd/english/environmentinhk/air/prob_solutions/promotion_ev.html"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1"/>
  <sheetViews>
    <sheetView topLeftCell="A50" workbookViewId="0">
      <selection activeCell="D95" sqref="D95"/>
    </sheetView>
  </sheetViews>
  <sheetFormatPr baseColWidth="10" defaultColWidth="8.796875" defaultRowHeight="14"/>
  <cols>
    <col min="1" max="1" width="8.796875" customWidth="1"/>
    <col min="2" max="2" width="73.19921875" customWidth="1"/>
  </cols>
  <sheetData>
    <row r="1" spans="1:6">
      <c r="A1" s="1" t="s">
        <v>0</v>
      </c>
    </row>
    <row r="3" spans="1:6">
      <c r="A3" s="1" t="s">
        <v>1</v>
      </c>
      <c r="B3" s="8" t="s">
        <v>2</v>
      </c>
      <c r="F3" s="1"/>
    </row>
    <row r="4" spans="1:6">
      <c r="B4" s="3" t="s">
        <v>3</v>
      </c>
    </row>
    <row r="5" spans="1:6">
      <c r="B5" s="3">
        <v>2023</v>
      </c>
      <c r="F5" s="3"/>
    </row>
    <row r="6" spans="1:6">
      <c r="B6" t="s">
        <v>4</v>
      </c>
    </row>
    <row r="7" spans="1:6">
      <c r="B7" s="9" t="s">
        <v>5</v>
      </c>
    </row>
    <row r="8" spans="1:6">
      <c r="B8" s="3" t="s">
        <v>6</v>
      </c>
    </row>
    <row r="9" spans="1:6">
      <c r="B9" s="3"/>
    </row>
    <row r="10" spans="1:6">
      <c r="B10" s="8" t="s">
        <v>7</v>
      </c>
      <c r="F10" s="1"/>
    </row>
    <row r="11" spans="1:6">
      <c r="B11" s="3" t="s">
        <v>8</v>
      </c>
    </row>
    <row r="12" spans="1:6">
      <c r="B12" s="3">
        <v>2017</v>
      </c>
      <c r="F12" s="3"/>
    </row>
    <row r="13" spans="1:6">
      <c r="B13" s="3" t="s">
        <v>9</v>
      </c>
    </row>
    <row r="14" spans="1:6">
      <c r="B14" s="3" t="s">
        <v>10</v>
      </c>
    </row>
    <row r="15" spans="1:6">
      <c r="B15" s="3" t="s">
        <v>11</v>
      </c>
    </row>
    <row r="16" spans="1:6">
      <c r="B16" s="3"/>
    </row>
    <row r="17" spans="2:6">
      <c r="B17" s="2" t="s">
        <v>12</v>
      </c>
      <c r="F17" s="1"/>
    </row>
    <row r="18" spans="2:6">
      <c r="B18" s="3" t="s">
        <v>13</v>
      </c>
    </row>
    <row r="19" spans="2:6">
      <c r="B19" s="3">
        <v>2023</v>
      </c>
      <c r="F19" s="3"/>
    </row>
    <row r="20" spans="2:6">
      <c r="B20" s="3" t="s">
        <v>14</v>
      </c>
    </row>
    <row r="21" spans="2:6">
      <c r="B21" s="9" t="s">
        <v>15</v>
      </c>
    </row>
    <row r="22" spans="2:6">
      <c r="B22" s="9" t="s">
        <v>16</v>
      </c>
    </row>
    <row r="23" spans="2:6">
      <c r="B23" s="9"/>
    </row>
    <row r="24" spans="2:6">
      <c r="B24" s="3"/>
    </row>
    <row r="25" spans="2:6">
      <c r="B25" s="3"/>
    </row>
    <row r="26" spans="2:6">
      <c r="B26" s="2" t="s">
        <v>17</v>
      </c>
      <c r="F26" s="1"/>
    </row>
    <row r="27" spans="2:6">
      <c r="B27" s="3" t="s">
        <v>18</v>
      </c>
    </row>
    <row r="28" spans="2:6">
      <c r="B28" s="3">
        <v>2021</v>
      </c>
      <c r="F28" s="3"/>
    </row>
    <row r="29" spans="2:6">
      <c r="B29" s="3" t="s">
        <v>19</v>
      </c>
    </row>
    <row r="30" spans="2:6">
      <c r="B30" s="9" t="s">
        <v>20</v>
      </c>
    </row>
    <row r="31" spans="2:6">
      <c r="B31" s="3" t="s">
        <v>21</v>
      </c>
    </row>
    <row r="32" spans="2:6">
      <c r="B32" s="3"/>
    </row>
    <row r="33" spans="2:6">
      <c r="B33" s="2" t="s">
        <v>22</v>
      </c>
      <c r="F33" s="1"/>
    </row>
    <row r="34" spans="2:6">
      <c r="B34" s="3" t="s">
        <v>23</v>
      </c>
    </row>
    <row r="35" spans="2:6">
      <c r="B35" s="3">
        <v>2011</v>
      </c>
      <c r="F35" s="3"/>
    </row>
    <row r="36" spans="2:6">
      <c r="B36" s="3" t="s">
        <v>24</v>
      </c>
    </row>
    <row r="37" spans="2:6">
      <c r="B37" s="9" t="s">
        <v>25</v>
      </c>
    </row>
    <row r="38" spans="2:6">
      <c r="B38" s="3"/>
    </row>
    <row r="39" spans="2:6">
      <c r="B39" s="2" t="s">
        <v>26</v>
      </c>
    </row>
    <row r="40" spans="2:6">
      <c r="B40" s="3" t="s">
        <v>27</v>
      </c>
      <c r="F40" s="1"/>
    </row>
    <row r="41" spans="2:6">
      <c r="B41" s="3">
        <v>2023</v>
      </c>
    </row>
    <row r="42" spans="2:6">
      <c r="B42" s="3" t="s">
        <v>28</v>
      </c>
      <c r="F42" s="3"/>
    </row>
    <row r="43" spans="2:6">
      <c r="B43" s="9" t="s">
        <v>29</v>
      </c>
    </row>
    <row r="44" spans="2:6">
      <c r="B44" s="3" t="s">
        <v>30</v>
      </c>
    </row>
    <row r="45" spans="2:6">
      <c r="B45" s="9" t="s">
        <v>5</v>
      </c>
    </row>
    <row r="46" spans="2:6">
      <c r="B46" s="3"/>
    </row>
    <row r="47" spans="2:6">
      <c r="B47" s="3"/>
    </row>
    <row r="48" spans="2:6">
      <c r="B48" s="2" t="s">
        <v>31</v>
      </c>
    </row>
    <row r="49" spans="2:6">
      <c r="B49" s="3" t="s">
        <v>32</v>
      </c>
      <c r="F49" s="1"/>
    </row>
    <row r="50" spans="2:6">
      <c r="B50" s="3">
        <v>2018</v>
      </c>
    </row>
    <row r="51" spans="2:6">
      <c r="B51" s="3" t="s">
        <v>33</v>
      </c>
      <c r="F51" s="3"/>
    </row>
    <row r="52" spans="2:6">
      <c r="B52" s="9" t="s">
        <v>34</v>
      </c>
    </row>
    <row r="53" spans="2:6">
      <c r="B53" s="3" t="s">
        <v>35</v>
      </c>
    </row>
    <row r="55" spans="2:6">
      <c r="B55" s="8" t="s">
        <v>36</v>
      </c>
    </row>
    <row r="56" spans="2:6">
      <c r="B56" s="3" t="s">
        <v>37</v>
      </c>
    </row>
    <row r="57" spans="2:6">
      <c r="B57" s="3" t="s">
        <v>38</v>
      </c>
    </row>
    <row r="58" spans="2:6">
      <c r="B58" s="3" t="s">
        <v>39</v>
      </c>
    </row>
    <row r="59" spans="2:6">
      <c r="B59" s="9" t="s">
        <v>40</v>
      </c>
    </row>
    <row r="61" spans="2:6">
      <c r="B61" s="8" t="s">
        <v>41</v>
      </c>
    </row>
    <row r="62" spans="2:6">
      <c r="B62" s="3" t="s">
        <v>42</v>
      </c>
    </row>
    <row r="63" spans="2:6">
      <c r="B63" s="3">
        <v>2018</v>
      </c>
      <c r="C63" s="151"/>
    </row>
    <row r="64" spans="2:6">
      <c r="B64" s="3" t="s">
        <v>43</v>
      </c>
    </row>
    <row r="65" spans="1:2">
      <c r="B65" s="9" t="s">
        <v>44</v>
      </c>
    </row>
    <row r="66" spans="1:2">
      <c r="B66" t="s">
        <v>45</v>
      </c>
    </row>
    <row r="67" spans="1:2">
      <c r="A67" s="1" t="s">
        <v>46</v>
      </c>
    </row>
    <row r="68" spans="1:2">
      <c r="A68" s="1"/>
    </row>
    <row r="69" spans="1:2">
      <c r="A69" s="153" t="s">
        <v>47</v>
      </c>
      <c r="B69" s="151" t="s">
        <v>48</v>
      </c>
    </row>
    <row r="70" spans="1:2">
      <c r="A70" s="1"/>
    </row>
    <row r="71" spans="1:2">
      <c r="A71" t="s">
        <v>49</v>
      </c>
    </row>
    <row r="72" spans="1:2">
      <c r="A72" t="s">
        <v>50</v>
      </c>
    </row>
    <row r="74" spans="1:2">
      <c r="A74" t="s">
        <v>51</v>
      </c>
    </row>
    <row r="75" spans="1:2">
      <c r="A75" t="s">
        <v>377</v>
      </c>
    </row>
    <row r="77" spans="1:2">
      <c r="A77" t="s">
        <v>52</v>
      </c>
    </row>
    <row r="79" spans="1:2">
      <c r="A79" t="s">
        <v>53</v>
      </c>
    </row>
    <row r="81" spans="1:1">
      <c r="A81" s="150" t="s">
        <v>54</v>
      </c>
    </row>
  </sheetData>
  <phoneticPr fontId="57" type="noConversion"/>
  <hyperlinks>
    <hyperlink ref="B7" r:id="rId1" xr:uid="{C0AA0448-BDCB-4ECB-825B-97B1FCF0C97E}"/>
    <hyperlink ref="B37" r:id="rId2" xr:uid="{8DBED6A1-610D-4503-BCE6-D5087E3F51BB}"/>
    <hyperlink ref="B52" r:id="rId3" xr:uid="{C1C35FEF-7DEC-47C3-98D0-B8A735BD0497}"/>
    <hyperlink ref="B59" r:id="rId4" xr:uid="{E6BA0C83-9C17-4609-ADF5-9FA44DC389CA}"/>
    <hyperlink ref="B30" r:id="rId5" xr:uid="{2BDAC2C9-55C1-5C43-A502-447EF0D1287A}"/>
    <hyperlink ref="B43" r:id="rId6" xr:uid="{51559B7E-386D-FF49-8BD1-2C8E566A1072}"/>
    <hyperlink ref="B45" r:id="rId7" xr:uid="{515DD8EC-AE89-5445-BEEE-E882EAFE73E8}"/>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5E96-17D1-4573-9BB9-257F82ADD374}">
  <dimension ref="A1:E27"/>
  <sheetViews>
    <sheetView workbookViewId="0">
      <selection activeCell="G27" sqref="G27"/>
    </sheetView>
  </sheetViews>
  <sheetFormatPr baseColWidth="10" defaultColWidth="8.796875" defaultRowHeight="14"/>
  <sheetData>
    <row r="1" spans="1:5">
      <c r="A1" t="s">
        <v>55</v>
      </c>
      <c r="E1" s="143" t="s">
        <v>16</v>
      </c>
    </row>
    <row r="2" spans="1:5">
      <c r="A2" t="s">
        <v>56</v>
      </c>
      <c r="C2">
        <v>8</v>
      </c>
    </row>
    <row r="3" spans="1:5">
      <c r="A3" t="s">
        <v>57</v>
      </c>
      <c r="C3">
        <v>2</v>
      </c>
    </row>
    <row r="4" spans="1:5">
      <c r="A4" t="s">
        <v>58</v>
      </c>
      <c r="C4">
        <v>5</v>
      </c>
    </row>
    <row r="5" spans="1:5">
      <c r="C5">
        <f>SUM(C2:C4)</f>
        <v>15</v>
      </c>
    </row>
    <row r="7" spans="1:5">
      <c r="A7" t="s">
        <v>59</v>
      </c>
    </row>
    <row r="8" spans="1:5">
      <c r="A8" t="s">
        <v>60</v>
      </c>
      <c r="C8">
        <v>5</v>
      </c>
    </row>
    <row r="9" spans="1:5">
      <c r="A9" t="s">
        <v>61</v>
      </c>
      <c r="C9">
        <v>11</v>
      </c>
    </row>
    <row r="10" spans="1:5">
      <c r="A10" t="s">
        <v>62</v>
      </c>
      <c r="C10">
        <v>10</v>
      </c>
    </row>
    <row r="11" spans="1:5">
      <c r="A11" t="s">
        <v>63</v>
      </c>
      <c r="C11">
        <v>1</v>
      </c>
    </row>
    <row r="12" spans="1:5">
      <c r="C12">
        <f>SUM(C8:C11)</f>
        <v>27</v>
      </c>
    </row>
    <row r="14" spans="1:5">
      <c r="A14" t="s">
        <v>64</v>
      </c>
    </row>
    <row r="15" spans="1:5">
      <c r="A15" t="s">
        <v>65</v>
      </c>
      <c r="C15">
        <v>4</v>
      </c>
    </row>
    <row r="16" spans="1:5">
      <c r="A16" t="s">
        <v>61</v>
      </c>
      <c r="C16">
        <v>2</v>
      </c>
    </row>
    <row r="17" spans="1:3">
      <c r="A17" t="s">
        <v>63</v>
      </c>
      <c r="C17">
        <v>12</v>
      </c>
    </row>
    <row r="18" spans="1:3">
      <c r="A18" t="s">
        <v>66</v>
      </c>
      <c r="C18">
        <v>43</v>
      </c>
    </row>
    <row r="19" spans="1:3">
      <c r="A19" t="s">
        <v>67</v>
      </c>
      <c r="C19">
        <v>28</v>
      </c>
    </row>
    <row r="20" spans="1:3">
      <c r="A20" t="s">
        <v>68</v>
      </c>
      <c r="C20">
        <v>18</v>
      </c>
    </row>
    <row r="21" spans="1:3">
      <c r="A21" t="s">
        <v>69</v>
      </c>
      <c r="C21">
        <v>6</v>
      </c>
    </row>
    <row r="22" spans="1:3">
      <c r="A22" t="s">
        <v>70</v>
      </c>
      <c r="C22">
        <v>14</v>
      </c>
    </row>
    <row r="23" spans="1:3">
      <c r="A23" t="s">
        <v>71</v>
      </c>
      <c r="C23">
        <v>17</v>
      </c>
    </row>
    <row r="24" spans="1:3">
      <c r="A24" t="s">
        <v>72</v>
      </c>
      <c r="C24">
        <v>39</v>
      </c>
    </row>
    <row r="25" spans="1:3">
      <c r="C25">
        <f>SUM(C15:C24)</f>
        <v>183</v>
      </c>
    </row>
    <row r="27" spans="1:3">
      <c r="A27" s="1" t="s">
        <v>73</v>
      </c>
      <c r="C27" s="1">
        <f>SUM(C25,C12)</f>
        <v>210</v>
      </c>
    </row>
  </sheetData>
  <phoneticPr fontId="57" type="noConversion"/>
  <hyperlinks>
    <hyperlink ref="E1" r:id="rId1" xr:uid="{C9085A1D-F9A9-CE46-8097-670741B883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E8BE-9BD9-42EB-911D-8EC294582099}">
  <sheetPr codeName="Module___1"/>
  <dimension ref="A1:P60"/>
  <sheetViews>
    <sheetView topLeftCell="A12" zoomScale="120" zoomScaleNormal="120" workbookViewId="0">
      <selection activeCell="M30" sqref="M30"/>
    </sheetView>
  </sheetViews>
  <sheetFormatPr baseColWidth="10" defaultColWidth="9.19921875" defaultRowHeight="13"/>
  <cols>
    <col min="1" max="1" width="6.59765625" style="40" customWidth="1"/>
    <col min="2" max="2" width="5.59765625" style="40" customWidth="1"/>
    <col min="3" max="3" width="4.59765625" style="40" customWidth="1"/>
    <col min="4" max="4" width="7.59765625" style="40" customWidth="1"/>
    <col min="5" max="5" width="11.59765625" style="40" customWidth="1"/>
    <col min="6" max="6" width="10.59765625" style="40" customWidth="1"/>
    <col min="7" max="7" width="11.3984375" style="40" customWidth="1"/>
    <col min="8" max="8" width="4" style="40" customWidth="1"/>
    <col min="9" max="9" width="7.59765625" style="40" customWidth="1"/>
    <col min="10" max="10" width="10.59765625" style="40" customWidth="1"/>
    <col min="11" max="11" width="15" style="40" customWidth="1"/>
    <col min="12" max="12" width="11.59765625" style="40" customWidth="1"/>
    <col min="13" max="13" width="10.59765625" style="40" customWidth="1"/>
    <col min="14" max="15" width="11.59765625" style="40" customWidth="1"/>
    <col min="16" max="16" width="10.59765625" style="40" customWidth="1"/>
    <col min="17" max="256" width="9.19921875" style="40"/>
    <col min="257" max="257" width="6.59765625" style="40" customWidth="1"/>
    <col min="258" max="258" width="5.59765625" style="40" customWidth="1"/>
    <col min="259" max="259" width="4.59765625" style="40" customWidth="1"/>
    <col min="260" max="260" width="7.59765625" style="40" customWidth="1"/>
    <col min="261" max="261" width="11.59765625" style="40" customWidth="1"/>
    <col min="262" max="262" width="10.59765625" style="40" customWidth="1"/>
    <col min="263" max="263" width="11.3984375" style="40" customWidth="1"/>
    <col min="264" max="264" width="4" style="40" customWidth="1"/>
    <col min="265" max="265" width="7.59765625" style="40" customWidth="1"/>
    <col min="266" max="266" width="10.59765625" style="40" customWidth="1"/>
    <col min="267" max="267" width="15" style="40" customWidth="1"/>
    <col min="268" max="268" width="11.59765625" style="40" customWidth="1"/>
    <col min="269" max="269" width="10.59765625" style="40" customWidth="1"/>
    <col min="270" max="271" width="11.59765625" style="40" customWidth="1"/>
    <col min="272" max="272" width="10.59765625" style="40" customWidth="1"/>
    <col min="273" max="512" width="9.19921875" style="40"/>
    <col min="513" max="513" width="6.59765625" style="40" customWidth="1"/>
    <col min="514" max="514" width="5.59765625" style="40" customWidth="1"/>
    <col min="515" max="515" width="4.59765625" style="40" customWidth="1"/>
    <col min="516" max="516" width="7.59765625" style="40" customWidth="1"/>
    <col min="517" max="517" width="11.59765625" style="40" customWidth="1"/>
    <col min="518" max="518" width="10.59765625" style="40" customWidth="1"/>
    <col min="519" max="519" width="11.3984375" style="40" customWidth="1"/>
    <col min="520" max="520" width="4" style="40" customWidth="1"/>
    <col min="521" max="521" width="7.59765625" style="40" customWidth="1"/>
    <col min="522" max="522" width="10.59765625" style="40" customWidth="1"/>
    <col min="523" max="523" width="15" style="40" customWidth="1"/>
    <col min="524" max="524" width="11.59765625" style="40" customWidth="1"/>
    <col min="525" max="525" width="10.59765625" style="40" customWidth="1"/>
    <col min="526" max="527" width="11.59765625" style="40" customWidth="1"/>
    <col min="528" max="528" width="10.59765625" style="40" customWidth="1"/>
    <col min="529" max="768" width="9.19921875" style="40"/>
    <col min="769" max="769" width="6.59765625" style="40" customWidth="1"/>
    <col min="770" max="770" width="5.59765625" style="40" customWidth="1"/>
    <col min="771" max="771" width="4.59765625" style="40" customWidth="1"/>
    <col min="772" max="772" width="7.59765625" style="40" customWidth="1"/>
    <col min="773" max="773" width="11.59765625" style="40" customWidth="1"/>
    <col min="774" max="774" width="10.59765625" style="40" customWidth="1"/>
    <col min="775" max="775" width="11.3984375" style="40" customWidth="1"/>
    <col min="776" max="776" width="4" style="40" customWidth="1"/>
    <col min="777" max="777" width="7.59765625" style="40" customWidth="1"/>
    <col min="778" max="778" width="10.59765625" style="40" customWidth="1"/>
    <col min="779" max="779" width="15" style="40" customWidth="1"/>
    <col min="780" max="780" width="11.59765625" style="40" customWidth="1"/>
    <col min="781" max="781" width="10.59765625" style="40" customWidth="1"/>
    <col min="782" max="783" width="11.59765625" style="40" customWidth="1"/>
    <col min="784" max="784" width="10.59765625" style="40" customWidth="1"/>
    <col min="785" max="1024" width="9.19921875" style="40"/>
    <col min="1025" max="1025" width="6.59765625" style="40" customWidth="1"/>
    <col min="1026" max="1026" width="5.59765625" style="40" customWidth="1"/>
    <col min="1027" max="1027" width="4.59765625" style="40" customWidth="1"/>
    <col min="1028" max="1028" width="7.59765625" style="40" customWidth="1"/>
    <col min="1029" max="1029" width="11.59765625" style="40" customWidth="1"/>
    <col min="1030" max="1030" width="10.59765625" style="40" customWidth="1"/>
    <col min="1031" max="1031" width="11.3984375" style="40" customWidth="1"/>
    <col min="1032" max="1032" width="4" style="40" customWidth="1"/>
    <col min="1033" max="1033" width="7.59765625" style="40" customWidth="1"/>
    <col min="1034" max="1034" width="10.59765625" style="40" customWidth="1"/>
    <col min="1035" max="1035" width="15" style="40" customWidth="1"/>
    <col min="1036" max="1036" width="11.59765625" style="40" customWidth="1"/>
    <col min="1037" max="1037" width="10.59765625" style="40" customWidth="1"/>
    <col min="1038" max="1039" width="11.59765625" style="40" customWidth="1"/>
    <col min="1040" max="1040" width="10.59765625" style="40" customWidth="1"/>
    <col min="1041" max="1280" width="9.19921875" style="40"/>
    <col min="1281" max="1281" width="6.59765625" style="40" customWidth="1"/>
    <col min="1282" max="1282" width="5.59765625" style="40" customWidth="1"/>
    <col min="1283" max="1283" width="4.59765625" style="40" customWidth="1"/>
    <col min="1284" max="1284" width="7.59765625" style="40" customWidth="1"/>
    <col min="1285" max="1285" width="11.59765625" style="40" customWidth="1"/>
    <col min="1286" max="1286" width="10.59765625" style="40" customWidth="1"/>
    <col min="1287" max="1287" width="11.3984375" style="40" customWidth="1"/>
    <col min="1288" max="1288" width="4" style="40" customWidth="1"/>
    <col min="1289" max="1289" width="7.59765625" style="40" customWidth="1"/>
    <col min="1290" max="1290" width="10.59765625" style="40" customWidth="1"/>
    <col min="1291" max="1291" width="15" style="40" customWidth="1"/>
    <col min="1292" max="1292" width="11.59765625" style="40" customWidth="1"/>
    <col min="1293" max="1293" width="10.59765625" style="40" customWidth="1"/>
    <col min="1294" max="1295" width="11.59765625" style="40" customWidth="1"/>
    <col min="1296" max="1296" width="10.59765625" style="40" customWidth="1"/>
    <col min="1297" max="1536" width="9.19921875" style="40"/>
    <col min="1537" max="1537" width="6.59765625" style="40" customWidth="1"/>
    <col min="1538" max="1538" width="5.59765625" style="40" customWidth="1"/>
    <col min="1539" max="1539" width="4.59765625" style="40" customWidth="1"/>
    <col min="1540" max="1540" width="7.59765625" style="40" customWidth="1"/>
    <col min="1541" max="1541" width="11.59765625" style="40" customWidth="1"/>
    <col min="1542" max="1542" width="10.59765625" style="40" customWidth="1"/>
    <col min="1543" max="1543" width="11.3984375" style="40" customWidth="1"/>
    <col min="1544" max="1544" width="4" style="40" customWidth="1"/>
    <col min="1545" max="1545" width="7.59765625" style="40" customWidth="1"/>
    <col min="1546" max="1546" width="10.59765625" style="40" customWidth="1"/>
    <col min="1547" max="1547" width="15" style="40" customWidth="1"/>
    <col min="1548" max="1548" width="11.59765625" style="40" customWidth="1"/>
    <col min="1549" max="1549" width="10.59765625" style="40" customWidth="1"/>
    <col min="1550" max="1551" width="11.59765625" style="40" customWidth="1"/>
    <col min="1552" max="1552" width="10.59765625" style="40" customWidth="1"/>
    <col min="1553" max="1792" width="9.19921875" style="40"/>
    <col min="1793" max="1793" width="6.59765625" style="40" customWidth="1"/>
    <col min="1794" max="1794" width="5.59765625" style="40" customWidth="1"/>
    <col min="1795" max="1795" width="4.59765625" style="40" customWidth="1"/>
    <col min="1796" max="1796" width="7.59765625" style="40" customWidth="1"/>
    <col min="1797" max="1797" width="11.59765625" style="40" customWidth="1"/>
    <col min="1798" max="1798" width="10.59765625" style="40" customWidth="1"/>
    <col min="1799" max="1799" width="11.3984375" style="40" customWidth="1"/>
    <col min="1800" max="1800" width="4" style="40" customWidth="1"/>
    <col min="1801" max="1801" width="7.59765625" style="40" customWidth="1"/>
    <col min="1802" max="1802" width="10.59765625" style="40" customWidth="1"/>
    <col min="1803" max="1803" width="15" style="40" customWidth="1"/>
    <col min="1804" max="1804" width="11.59765625" style="40" customWidth="1"/>
    <col min="1805" max="1805" width="10.59765625" style="40" customWidth="1"/>
    <col min="1806" max="1807" width="11.59765625" style="40" customWidth="1"/>
    <col min="1808" max="1808" width="10.59765625" style="40" customWidth="1"/>
    <col min="1809" max="2048" width="9.19921875" style="40"/>
    <col min="2049" max="2049" width="6.59765625" style="40" customWidth="1"/>
    <col min="2050" max="2050" width="5.59765625" style="40" customWidth="1"/>
    <col min="2051" max="2051" width="4.59765625" style="40" customWidth="1"/>
    <col min="2052" max="2052" width="7.59765625" style="40" customWidth="1"/>
    <col min="2053" max="2053" width="11.59765625" style="40" customWidth="1"/>
    <col min="2054" max="2054" width="10.59765625" style="40" customWidth="1"/>
    <col min="2055" max="2055" width="11.3984375" style="40" customWidth="1"/>
    <col min="2056" max="2056" width="4" style="40" customWidth="1"/>
    <col min="2057" max="2057" width="7.59765625" style="40" customWidth="1"/>
    <col min="2058" max="2058" width="10.59765625" style="40" customWidth="1"/>
    <col min="2059" max="2059" width="15" style="40" customWidth="1"/>
    <col min="2060" max="2060" width="11.59765625" style="40" customWidth="1"/>
    <col min="2061" max="2061" width="10.59765625" style="40" customWidth="1"/>
    <col min="2062" max="2063" width="11.59765625" style="40" customWidth="1"/>
    <col min="2064" max="2064" width="10.59765625" style="40" customWidth="1"/>
    <col min="2065" max="2304" width="9.19921875" style="40"/>
    <col min="2305" max="2305" width="6.59765625" style="40" customWidth="1"/>
    <col min="2306" max="2306" width="5.59765625" style="40" customWidth="1"/>
    <col min="2307" max="2307" width="4.59765625" style="40" customWidth="1"/>
    <col min="2308" max="2308" width="7.59765625" style="40" customWidth="1"/>
    <col min="2309" max="2309" width="11.59765625" style="40" customWidth="1"/>
    <col min="2310" max="2310" width="10.59765625" style="40" customWidth="1"/>
    <col min="2311" max="2311" width="11.3984375" style="40" customWidth="1"/>
    <col min="2312" max="2312" width="4" style="40" customWidth="1"/>
    <col min="2313" max="2313" width="7.59765625" style="40" customWidth="1"/>
    <col min="2314" max="2314" width="10.59765625" style="40" customWidth="1"/>
    <col min="2315" max="2315" width="15" style="40" customWidth="1"/>
    <col min="2316" max="2316" width="11.59765625" style="40" customWidth="1"/>
    <col min="2317" max="2317" width="10.59765625" style="40" customWidth="1"/>
    <col min="2318" max="2319" width="11.59765625" style="40" customWidth="1"/>
    <col min="2320" max="2320" width="10.59765625" style="40" customWidth="1"/>
    <col min="2321" max="2560" width="9.19921875" style="40"/>
    <col min="2561" max="2561" width="6.59765625" style="40" customWidth="1"/>
    <col min="2562" max="2562" width="5.59765625" style="40" customWidth="1"/>
    <col min="2563" max="2563" width="4.59765625" style="40" customWidth="1"/>
    <col min="2564" max="2564" width="7.59765625" style="40" customWidth="1"/>
    <col min="2565" max="2565" width="11.59765625" style="40" customWidth="1"/>
    <col min="2566" max="2566" width="10.59765625" style="40" customWidth="1"/>
    <col min="2567" max="2567" width="11.3984375" style="40" customWidth="1"/>
    <col min="2568" max="2568" width="4" style="40" customWidth="1"/>
    <col min="2569" max="2569" width="7.59765625" style="40" customWidth="1"/>
    <col min="2570" max="2570" width="10.59765625" style="40" customWidth="1"/>
    <col min="2571" max="2571" width="15" style="40" customWidth="1"/>
    <col min="2572" max="2572" width="11.59765625" style="40" customWidth="1"/>
    <col min="2573" max="2573" width="10.59765625" style="40" customWidth="1"/>
    <col min="2574" max="2575" width="11.59765625" style="40" customWidth="1"/>
    <col min="2576" max="2576" width="10.59765625" style="40" customWidth="1"/>
    <col min="2577" max="2816" width="9.19921875" style="40"/>
    <col min="2817" max="2817" width="6.59765625" style="40" customWidth="1"/>
    <col min="2818" max="2818" width="5.59765625" style="40" customWidth="1"/>
    <col min="2819" max="2819" width="4.59765625" style="40" customWidth="1"/>
    <col min="2820" max="2820" width="7.59765625" style="40" customWidth="1"/>
    <col min="2821" max="2821" width="11.59765625" style="40" customWidth="1"/>
    <col min="2822" max="2822" width="10.59765625" style="40" customWidth="1"/>
    <col min="2823" max="2823" width="11.3984375" style="40" customWidth="1"/>
    <col min="2824" max="2824" width="4" style="40" customWidth="1"/>
    <col min="2825" max="2825" width="7.59765625" style="40" customWidth="1"/>
    <col min="2826" max="2826" width="10.59765625" style="40" customWidth="1"/>
    <col min="2827" max="2827" width="15" style="40" customWidth="1"/>
    <col min="2828" max="2828" width="11.59765625" style="40" customWidth="1"/>
    <col min="2829" max="2829" width="10.59765625" style="40" customWidth="1"/>
    <col min="2830" max="2831" width="11.59765625" style="40" customWidth="1"/>
    <col min="2832" max="2832" width="10.59765625" style="40" customWidth="1"/>
    <col min="2833" max="3072" width="9.19921875" style="40"/>
    <col min="3073" max="3073" width="6.59765625" style="40" customWidth="1"/>
    <col min="3074" max="3074" width="5.59765625" style="40" customWidth="1"/>
    <col min="3075" max="3075" width="4.59765625" style="40" customWidth="1"/>
    <col min="3076" max="3076" width="7.59765625" style="40" customWidth="1"/>
    <col min="3077" max="3077" width="11.59765625" style="40" customWidth="1"/>
    <col min="3078" max="3078" width="10.59765625" style="40" customWidth="1"/>
    <col min="3079" max="3079" width="11.3984375" style="40" customWidth="1"/>
    <col min="3080" max="3080" width="4" style="40" customWidth="1"/>
    <col min="3081" max="3081" width="7.59765625" style="40" customWidth="1"/>
    <col min="3082" max="3082" width="10.59765625" style="40" customWidth="1"/>
    <col min="3083" max="3083" width="15" style="40" customWidth="1"/>
    <col min="3084" max="3084" width="11.59765625" style="40" customWidth="1"/>
    <col min="3085" max="3085" width="10.59765625" style="40" customWidth="1"/>
    <col min="3086" max="3087" width="11.59765625" style="40" customWidth="1"/>
    <col min="3088" max="3088" width="10.59765625" style="40" customWidth="1"/>
    <col min="3089" max="3328" width="9.19921875" style="40"/>
    <col min="3329" max="3329" width="6.59765625" style="40" customWidth="1"/>
    <col min="3330" max="3330" width="5.59765625" style="40" customWidth="1"/>
    <col min="3331" max="3331" width="4.59765625" style="40" customWidth="1"/>
    <col min="3332" max="3332" width="7.59765625" style="40" customWidth="1"/>
    <col min="3333" max="3333" width="11.59765625" style="40" customWidth="1"/>
    <col min="3334" max="3334" width="10.59765625" style="40" customWidth="1"/>
    <col min="3335" max="3335" width="11.3984375" style="40" customWidth="1"/>
    <col min="3336" max="3336" width="4" style="40" customWidth="1"/>
    <col min="3337" max="3337" width="7.59765625" style="40" customWidth="1"/>
    <col min="3338" max="3338" width="10.59765625" style="40" customWidth="1"/>
    <col min="3339" max="3339" width="15" style="40" customWidth="1"/>
    <col min="3340" max="3340" width="11.59765625" style="40" customWidth="1"/>
    <col min="3341" max="3341" width="10.59765625" style="40" customWidth="1"/>
    <col min="3342" max="3343" width="11.59765625" style="40" customWidth="1"/>
    <col min="3344" max="3344" width="10.59765625" style="40" customWidth="1"/>
    <col min="3345" max="3584" width="9.19921875" style="40"/>
    <col min="3585" max="3585" width="6.59765625" style="40" customWidth="1"/>
    <col min="3586" max="3586" width="5.59765625" style="40" customWidth="1"/>
    <col min="3587" max="3587" width="4.59765625" style="40" customWidth="1"/>
    <col min="3588" max="3588" width="7.59765625" style="40" customWidth="1"/>
    <col min="3589" max="3589" width="11.59765625" style="40" customWidth="1"/>
    <col min="3590" max="3590" width="10.59765625" style="40" customWidth="1"/>
    <col min="3591" max="3591" width="11.3984375" style="40" customWidth="1"/>
    <col min="3592" max="3592" width="4" style="40" customWidth="1"/>
    <col min="3593" max="3593" width="7.59765625" style="40" customWidth="1"/>
    <col min="3594" max="3594" width="10.59765625" style="40" customWidth="1"/>
    <col min="3595" max="3595" width="15" style="40" customWidth="1"/>
    <col min="3596" max="3596" width="11.59765625" style="40" customWidth="1"/>
    <col min="3597" max="3597" width="10.59765625" style="40" customWidth="1"/>
    <col min="3598" max="3599" width="11.59765625" style="40" customWidth="1"/>
    <col min="3600" max="3600" width="10.59765625" style="40" customWidth="1"/>
    <col min="3601" max="3840" width="9.19921875" style="40"/>
    <col min="3841" max="3841" width="6.59765625" style="40" customWidth="1"/>
    <col min="3842" max="3842" width="5.59765625" style="40" customWidth="1"/>
    <col min="3843" max="3843" width="4.59765625" style="40" customWidth="1"/>
    <col min="3844" max="3844" width="7.59765625" style="40" customWidth="1"/>
    <col min="3845" max="3845" width="11.59765625" style="40" customWidth="1"/>
    <col min="3846" max="3846" width="10.59765625" style="40" customWidth="1"/>
    <col min="3847" max="3847" width="11.3984375" style="40" customWidth="1"/>
    <col min="3848" max="3848" width="4" style="40" customWidth="1"/>
    <col min="3849" max="3849" width="7.59765625" style="40" customWidth="1"/>
    <col min="3850" max="3850" width="10.59765625" style="40" customWidth="1"/>
    <col min="3851" max="3851" width="15" style="40" customWidth="1"/>
    <col min="3852" max="3852" width="11.59765625" style="40" customWidth="1"/>
    <col min="3853" max="3853" width="10.59765625" style="40" customWidth="1"/>
    <col min="3854" max="3855" width="11.59765625" style="40" customWidth="1"/>
    <col min="3856" max="3856" width="10.59765625" style="40" customWidth="1"/>
    <col min="3857" max="4096" width="9.19921875" style="40"/>
    <col min="4097" max="4097" width="6.59765625" style="40" customWidth="1"/>
    <col min="4098" max="4098" width="5.59765625" style="40" customWidth="1"/>
    <col min="4099" max="4099" width="4.59765625" style="40" customWidth="1"/>
    <col min="4100" max="4100" width="7.59765625" style="40" customWidth="1"/>
    <col min="4101" max="4101" width="11.59765625" style="40" customWidth="1"/>
    <col min="4102" max="4102" width="10.59765625" style="40" customWidth="1"/>
    <col min="4103" max="4103" width="11.3984375" style="40" customWidth="1"/>
    <col min="4104" max="4104" width="4" style="40" customWidth="1"/>
    <col min="4105" max="4105" width="7.59765625" style="40" customWidth="1"/>
    <col min="4106" max="4106" width="10.59765625" style="40" customWidth="1"/>
    <col min="4107" max="4107" width="15" style="40" customWidth="1"/>
    <col min="4108" max="4108" width="11.59765625" style="40" customWidth="1"/>
    <col min="4109" max="4109" width="10.59765625" style="40" customWidth="1"/>
    <col min="4110" max="4111" width="11.59765625" style="40" customWidth="1"/>
    <col min="4112" max="4112" width="10.59765625" style="40" customWidth="1"/>
    <col min="4113" max="4352" width="9.19921875" style="40"/>
    <col min="4353" max="4353" width="6.59765625" style="40" customWidth="1"/>
    <col min="4354" max="4354" width="5.59765625" style="40" customWidth="1"/>
    <col min="4355" max="4355" width="4.59765625" style="40" customWidth="1"/>
    <col min="4356" max="4356" width="7.59765625" style="40" customWidth="1"/>
    <col min="4357" max="4357" width="11.59765625" style="40" customWidth="1"/>
    <col min="4358" max="4358" width="10.59765625" style="40" customWidth="1"/>
    <col min="4359" max="4359" width="11.3984375" style="40" customWidth="1"/>
    <col min="4360" max="4360" width="4" style="40" customWidth="1"/>
    <col min="4361" max="4361" width="7.59765625" style="40" customWidth="1"/>
    <col min="4362" max="4362" width="10.59765625" style="40" customWidth="1"/>
    <col min="4363" max="4363" width="15" style="40" customWidth="1"/>
    <col min="4364" max="4364" width="11.59765625" style="40" customWidth="1"/>
    <col min="4365" max="4365" width="10.59765625" style="40" customWidth="1"/>
    <col min="4366" max="4367" width="11.59765625" style="40" customWidth="1"/>
    <col min="4368" max="4368" width="10.59765625" style="40" customWidth="1"/>
    <col min="4369" max="4608" width="9.19921875" style="40"/>
    <col min="4609" max="4609" width="6.59765625" style="40" customWidth="1"/>
    <col min="4610" max="4610" width="5.59765625" style="40" customWidth="1"/>
    <col min="4611" max="4611" width="4.59765625" style="40" customWidth="1"/>
    <col min="4612" max="4612" width="7.59765625" style="40" customWidth="1"/>
    <col min="4613" max="4613" width="11.59765625" style="40" customWidth="1"/>
    <col min="4614" max="4614" width="10.59765625" style="40" customWidth="1"/>
    <col min="4615" max="4615" width="11.3984375" style="40" customWidth="1"/>
    <col min="4616" max="4616" width="4" style="40" customWidth="1"/>
    <col min="4617" max="4617" width="7.59765625" style="40" customWidth="1"/>
    <col min="4618" max="4618" width="10.59765625" style="40" customWidth="1"/>
    <col min="4619" max="4619" width="15" style="40" customWidth="1"/>
    <col min="4620" max="4620" width="11.59765625" style="40" customWidth="1"/>
    <col min="4621" max="4621" width="10.59765625" style="40" customWidth="1"/>
    <col min="4622" max="4623" width="11.59765625" style="40" customWidth="1"/>
    <col min="4624" max="4624" width="10.59765625" style="40" customWidth="1"/>
    <col min="4625" max="4864" width="9.19921875" style="40"/>
    <col min="4865" max="4865" width="6.59765625" style="40" customWidth="1"/>
    <col min="4866" max="4866" width="5.59765625" style="40" customWidth="1"/>
    <col min="4867" max="4867" width="4.59765625" style="40" customWidth="1"/>
    <col min="4868" max="4868" width="7.59765625" style="40" customWidth="1"/>
    <col min="4869" max="4869" width="11.59765625" style="40" customWidth="1"/>
    <col min="4870" max="4870" width="10.59765625" style="40" customWidth="1"/>
    <col min="4871" max="4871" width="11.3984375" style="40" customWidth="1"/>
    <col min="4872" max="4872" width="4" style="40" customWidth="1"/>
    <col min="4873" max="4873" width="7.59765625" style="40" customWidth="1"/>
    <col min="4874" max="4874" width="10.59765625" style="40" customWidth="1"/>
    <col min="4875" max="4875" width="15" style="40" customWidth="1"/>
    <col min="4876" max="4876" width="11.59765625" style="40" customWidth="1"/>
    <col min="4877" max="4877" width="10.59765625" style="40" customWidth="1"/>
    <col min="4878" max="4879" width="11.59765625" style="40" customWidth="1"/>
    <col min="4880" max="4880" width="10.59765625" style="40" customWidth="1"/>
    <col min="4881" max="5120" width="9.19921875" style="40"/>
    <col min="5121" max="5121" width="6.59765625" style="40" customWidth="1"/>
    <col min="5122" max="5122" width="5.59765625" style="40" customWidth="1"/>
    <col min="5123" max="5123" width="4.59765625" style="40" customWidth="1"/>
    <col min="5124" max="5124" width="7.59765625" style="40" customWidth="1"/>
    <col min="5125" max="5125" width="11.59765625" style="40" customWidth="1"/>
    <col min="5126" max="5126" width="10.59765625" style="40" customWidth="1"/>
    <col min="5127" max="5127" width="11.3984375" style="40" customWidth="1"/>
    <col min="5128" max="5128" width="4" style="40" customWidth="1"/>
    <col min="5129" max="5129" width="7.59765625" style="40" customWidth="1"/>
    <col min="5130" max="5130" width="10.59765625" style="40" customWidth="1"/>
    <col min="5131" max="5131" width="15" style="40" customWidth="1"/>
    <col min="5132" max="5132" width="11.59765625" style="40" customWidth="1"/>
    <col min="5133" max="5133" width="10.59765625" style="40" customWidth="1"/>
    <col min="5134" max="5135" width="11.59765625" style="40" customWidth="1"/>
    <col min="5136" max="5136" width="10.59765625" style="40" customWidth="1"/>
    <col min="5137" max="5376" width="9.19921875" style="40"/>
    <col min="5377" max="5377" width="6.59765625" style="40" customWidth="1"/>
    <col min="5378" max="5378" width="5.59765625" style="40" customWidth="1"/>
    <col min="5379" max="5379" width="4.59765625" style="40" customWidth="1"/>
    <col min="5380" max="5380" width="7.59765625" style="40" customWidth="1"/>
    <col min="5381" max="5381" width="11.59765625" style="40" customWidth="1"/>
    <col min="5382" max="5382" width="10.59765625" style="40" customWidth="1"/>
    <col min="5383" max="5383" width="11.3984375" style="40" customWidth="1"/>
    <col min="5384" max="5384" width="4" style="40" customWidth="1"/>
    <col min="5385" max="5385" width="7.59765625" style="40" customWidth="1"/>
    <col min="5386" max="5386" width="10.59765625" style="40" customWidth="1"/>
    <col min="5387" max="5387" width="15" style="40" customWidth="1"/>
    <col min="5388" max="5388" width="11.59765625" style="40" customWidth="1"/>
    <col min="5389" max="5389" width="10.59765625" style="40" customWidth="1"/>
    <col min="5390" max="5391" width="11.59765625" style="40" customWidth="1"/>
    <col min="5392" max="5392" width="10.59765625" style="40" customWidth="1"/>
    <col min="5393" max="5632" width="9.19921875" style="40"/>
    <col min="5633" max="5633" width="6.59765625" style="40" customWidth="1"/>
    <col min="5634" max="5634" width="5.59765625" style="40" customWidth="1"/>
    <col min="5635" max="5635" width="4.59765625" style="40" customWidth="1"/>
    <col min="5636" max="5636" width="7.59765625" style="40" customWidth="1"/>
    <col min="5637" max="5637" width="11.59765625" style="40" customWidth="1"/>
    <col min="5638" max="5638" width="10.59765625" style="40" customWidth="1"/>
    <col min="5639" max="5639" width="11.3984375" style="40" customWidth="1"/>
    <col min="5640" max="5640" width="4" style="40" customWidth="1"/>
    <col min="5641" max="5641" width="7.59765625" style="40" customWidth="1"/>
    <col min="5642" max="5642" width="10.59765625" style="40" customWidth="1"/>
    <col min="5643" max="5643" width="15" style="40" customWidth="1"/>
    <col min="5644" max="5644" width="11.59765625" style="40" customWidth="1"/>
    <col min="5645" max="5645" width="10.59765625" style="40" customWidth="1"/>
    <col min="5646" max="5647" width="11.59765625" style="40" customWidth="1"/>
    <col min="5648" max="5648" width="10.59765625" style="40" customWidth="1"/>
    <col min="5649" max="5888" width="9.19921875" style="40"/>
    <col min="5889" max="5889" width="6.59765625" style="40" customWidth="1"/>
    <col min="5890" max="5890" width="5.59765625" style="40" customWidth="1"/>
    <col min="5891" max="5891" width="4.59765625" style="40" customWidth="1"/>
    <col min="5892" max="5892" width="7.59765625" style="40" customWidth="1"/>
    <col min="5893" max="5893" width="11.59765625" style="40" customWidth="1"/>
    <col min="5894" max="5894" width="10.59765625" style="40" customWidth="1"/>
    <col min="5895" max="5895" width="11.3984375" style="40" customWidth="1"/>
    <col min="5896" max="5896" width="4" style="40" customWidth="1"/>
    <col min="5897" max="5897" width="7.59765625" style="40" customWidth="1"/>
    <col min="5898" max="5898" width="10.59765625" style="40" customWidth="1"/>
    <col min="5899" max="5899" width="15" style="40" customWidth="1"/>
    <col min="5900" max="5900" width="11.59765625" style="40" customWidth="1"/>
    <col min="5901" max="5901" width="10.59765625" style="40" customWidth="1"/>
    <col min="5902" max="5903" width="11.59765625" style="40" customWidth="1"/>
    <col min="5904" max="5904" width="10.59765625" style="40" customWidth="1"/>
    <col min="5905" max="6144" width="9.19921875" style="40"/>
    <col min="6145" max="6145" width="6.59765625" style="40" customWidth="1"/>
    <col min="6146" max="6146" width="5.59765625" style="40" customWidth="1"/>
    <col min="6147" max="6147" width="4.59765625" style="40" customWidth="1"/>
    <col min="6148" max="6148" width="7.59765625" style="40" customWidth="1"/>
    <col min="6149" max="6149" width="11.59765625" style="40" customWidth="1"/>
    <col min="6150" max="6150" width="10.59765625" style="40" customWidth="1"/>
    <col min="6151" max="6151" width="11.3984375" style="40" customWidth="1"/>
    <col min="6152" max="6152" width="4" style="40" customWidth="1"/>
    <col min="6153" max="6153" width="7.59765625" style="40" customWidth="1"/>
    <col min="6154" max="6154" width="10.59765625" style="40" customWidth="1"/>
    <col min="6155" max="6155" width="15" style="40" customWidth="1"/>
    <col min="6156" max="6156" width="11.59765625" style="40" customWidth="1"/>
    <col min="6157" max="6157" width="10.59765625" style="40" customWidth="1"/>
    <col min="6158" max="6159" width="11.59765625" style="40" customWidth="1"/>
    <col min="6160" max="6160" width="10.59765625" style="40" customWidth="1"/>
    <col min="6161" max="6400" width="9.19921875" style="40"/>
    <col min="6401" max="6401" width="6.59765625" style="40" customWidth="1"/>
    <col min="6402" max="6402" width="5.59765625" style="40" customWidth="1"/>
    <col min="6403" max="6403" width="4.59765625" style="40" customWidth="1"/>
    <col min="6404" max="6404" width="7.59765625" style="40" customWidth="1"/>
    <col min="6405" max="6405" width="11.59765625" style="40" customWidth="1"/>
    <col min="6406" max="6406" width="10.59765625" style="40" customWidth="1"/>
    <col min="6407" max="6407" width="11.3984375" style="40" customWidth="1"/>
    <col min="6408" max="6408" width="4" style="40" customWidth="1"/>
    <col min="6409" max="6409" width="7.59765625" style="40" customWidth="1"/>
    <col min="6410" max="6410" width="10.59765625" style="40" customWidth="1"/>
    <col min="6411" max="6411" width="15" style="40" customWidth="1"/>
    <col min="6412" max="6412" width="11.59765625" style="40" customWidth="1"/>
    <col min="6413" max="6413" width="10.59765625" style="40" customWidth="1"/>
    <col min="6414" max="6415" width="11.59765625" style="40" customWidth="1"/>
    <col min="6416" max="6416" width="10.59765625" style="40" customWidth="1"/>
    <col min="6417" max="6656" width="9.19921875" style="40"/>
    <col min="6657" max="6657" width="6.59765625" style="40" customWidth="1"/>
    <col min="6658" max="6658" width="5.59765625" style="40" customWidth="1"/>
    <col min="6659" max="6659" width="4.59765625" style="40" customWidth="1"/>
    <col min="6660" max="6660" width="7.59765625" style="40" customWidth="1"/>
    <col min="6661" max="6661" width="11.59765625" style="40" customWidth="1"/>
    <col min="6662" max="6662" width="10.59765625" style="40" customWidth="1"/>
    <col min="6663" max="6663" width="11.3984375" style="40" customWidth="1"/>
    <col min="6664" max="6664" width="4" style="40" customWidth="1"/>
    <col min="6665" max="6665" width="7.59765625" style="40" customWidth="1"/>
    <col min="6666" max="6666" width="10.59765625" style="40" customWidth="1"/>
    <col min="6667" max="6667" width="15" style="40" customWidth="1"/>
    <col min="6668" max="6668" width="11.59765625" style="40" customWidth="1"/>
    <col min="6669" max="6669" width="10.59765625" style="40" customWidth="1"/>
    <col min="6670" max="6671" width="11.59765625" style="40" customWidth="1"/>
    <col min="6672" max="6672" width="10.59765625" style="40" customWidth="1"/>
    <col min="6673" max="6912" width="9.19921875" style="40"/>
    <col min="6913" max="6913" width="6.59765625" style="40" customWidth="1"/>
    <col min="6914" max="6914" width="5.59765625" style="40" customWidth="1"/>
    <col min="6915" max="6915" width="4.59765625" style="40" customWidth="1"/>
    <col min="6916" max="6916" width="7.59765625" style="40" customWidth="1"/>
    <col min="6917" max="6917" width="11.59765625" style="40" customWidth="1"/>
    <col min="6918" max="6918" width="10.59765625" style="40" customWidth="1"/>
    <col min="6919" max="6919" width="11.3984375" style="40" customWidth="1"/>
    <col min="6920" max="6920" width="4" style="40" customWidth="1"/>
    <col min="6921" max="6921" width="7.59765625" style="40" customWidth="1"/>
    <col min="6922" max="6922" width="10.59765625" style="40" customWidth="1"/>
    <col min="6923" max="6923" width="15" style="40" customWidth="1"/>
    <col min="6924" max="6924" width="11.59765625" style="40" customWidth="1"/>
    <col min="6925" max="6925" width="10.59765625" style="40" customWidth="1"/>
    <col min="6926" max="6927" width="11.59765625" style="40" customWidth="1"/>
    <col min="6928" max="6928" width="10.59765625" style="40" customWidth="1"/>
    <col min="6929" max="7168" width="9.19921875" style="40"/>
    <col min="7169" max="7169" width="6.59765625" style="40" customWidth="1"/>
    <col min="7170" max="7170" width="5.59765625" style="40" customWidth="1"/>
    <col min="7171" max="7171" width="4.59765625" style="40" customWidth="1"/>
    <col min="7172" max="7172" width="7.59765625" style="40" customWidth="1"/>
    <col min="7173" max="7173" width="11.59765625" style="40" customWidth="1"/>
    <col min="7174" max="7174" width="10.59765625" style="40" customWidth="1"/>
    <col min="7175" max="7175" width="11.3984375" style="40" customWidth="1"/>
    <col min="7176" max="7176" width="4" style="40" customWidth="1"/>
    <col min="7177" max="7177" width="7.59765625" style="40" customWidth="1"/>
    <col min="7178" max="7178" width="10.59765625" style="40" customWidth="1"/>
    <col min="7179" max="7179" width="15" style="40" customWidth="1"/>
    <col min="7180" max="7180" width="11.59765625" style="40" customWidth="1"/>
    <col min="7181" max="7181" width="10.59765625" style="40" customWidth="1"/>
    <col min="7182" max="7183" width="11.59765625" style="40" customWidth="1"/>
    <col min="7184" max="7184" width="10.59765625" style="40" customWidth="1"/>
    <col min="7185" max="7424" width="9.19921875" style="40"/>
    <col min="7425" max="7425" width="6.59765625" style="40" customWidth="1"/>
    <col min="7426" max="7426" width="5.59765625" style="40" customWidth="1"/>
    <col min="7427" max="7427" width="4.59765625" style="40" customWidth="1"/>
    <col min="7428" max="7428" width="7.59765625" style="40" customWidth="1"/>
    <col min="7429" max="7429" width="11.59765625" style="40" customWidth="1"/>
    <col min="7430" max="7430" width="10.59765625" style="40" customWidth="1"/>
    <col min="7431" max="7431" width="11.3984375" style="40" customWidth="1"/>
    <col min="7432" max="7432" width="4" style="40" customWidth="1"/>
    <col min="7433" max="7433" width="7.59765625" style="40" customWidth="1"/>
    <col min="7434" max="7434" width="10.59765625" style="40" customWidth="1"/>
    <col min="7435" max="7435" width="15" style="40" customWidth="1"/>
    <col min="7436" max="7436" width="11.59765625" style="40" customWidth="1"/>
    <col min="7437" max="7437" width="10.59765625" style="40" customWidth="1"/>
    <col min="7438" max="7439" width="11.59765625" style="40" customWidth="1"/>
    <col min="7440" max="7440" width="10.59765625" style="40" customWidth="1"/>
    <col min="7441" max="7680" width="9.19921875" style="40"/>
    <col min="7681" max="7681" width="6.59765625" style="40" customWidth="1"/>
    <col min="7682" max="7682" width="5.59765625" style="40" customWidth="1"/>
    <col min="7683" max="7683" width="4.59765625" style="40" customWidth="1"/>
    <col min="7684" max="7684" width="7.59765625" style="40" customWidth="1"/>
    <col min="7685" max="7685" width="11.59765625" style="40" customWidth="1"/>
    <col min="7686" max="7686" width="10.59765625" style="40" customWidth="1"/>
    <col min="7687" max="7687" width="11.3984375" style="40" customWidth="1"/>
    <col min="7688" max="7688" width="4" style="40" customWidth="1"/>
    <col min="7689" max="7689" width="7.59765625" style="40" customWidth="1"/>
    <col min="7690" max="7690" width="10.59765625" style="40" customWidth="1"/>
    <col min="7691" max="7691" width="15" style="40" customWidth="1"/>
    <col min="7692" max="7692" width="11.59765625" style="40" customWidth="1"/>
    <col min="7693" max="7693" width="10.59765625" style="40" customWidth="1"/>
    <col min="7694" max="7695" width="11.59765625" style="40" customWidth="1"/>
    <col min="7696" max="7696" width="10.59765625" style="40" customWidth="1"/>
    <col min="7697" max="7936" width="9.19921875" style="40"/>
    <col min="7937" max="7937" width="6.59765625" style="40" customWidth="1"/>
    <col min="7938" max="7938" width="5.59765625" style="40" customWidth="1"/>
    <col min="7939" max="7939" width="4.59765625" style="40" customWidth="1"/>
    <col min="7940" max="7940" width="7.59765625" style="40" customWidth="1"/>
    <col min="7941" max="7941" width="11.59765625" style="40" customWidth="1"/>
    <col min="7942" max="7942" width="10.59765625" style="40" customWidth="1"/>
    <col min="7943" max="7943" width="11.3984375" style="40" customWidth="1"/>
    <col min="7944" max="7944" width="4" style="40" customWidth="1"/>
    <col min="7945" max="7945" width="7.59765625" style="40" customWidth="1"/>
    <col min="7946" max="7946" width="10.59765625" style="40" customWidth="1"/>
    <col min="7947" max="7947" width="15" style="40" customWidth="1"/>
    <col min="7948" max="7948" width="11.59765625" style="40" customWidth="1"/>
    <col min="7949" max="7949" width="10.59765625" style="40" customWidth="1"/>
    <col min="7950" max="7951" width="11.59765625" style="40" customWidth="1"/>
    <col min="7952" max="7952" width="10.59765625" style="40" customWidth="1"/>
    <col min="7953" max="8192" width="9.19921875" style="40"/>
    <col min="8193" max="8193" width="6.59765625" style="40" customWidth="1"/>
    <col min="8194" max="8194" width="5.59765625" style="40" customWidth="1"/>
    <col min="8195" max="8195" width="4.59765625" style="40" customWidth="1"/>
    <col min="8196" max="8196" width="7.59765625" style="40" customWidth="1"/>
    <col min="8197" max="8197" width="11.59765625" style="40" customWidth="1"/>
    <col min="8198" max="8198" width="10.59765625" style="40" customWidth="1"/>
    <col min="8199" max="8199" width="11.3984375" style="40" customWidth="1"/>
    <col min="8200" max="8200" width="4" style="40" customWidth="1"/>
    <col min="8201" max="8201" width="7.59765625" style="40" customWidth="1"/>
    <col min="8202" max="8202" width="10.59765625" style="40" customWidth="1"/>
    <col min="8203" max="8203" width="15" style="40" customWidth="1"/>
    <col min="8204" max="8204" width="11.59765625" style="40" customWidth="1"/>
    <col min="8205" max="8205" width="10.59765625" style="40" customWidth="1"/>
    <col min="8206" max="8207" width="11.59765625" style="40" customWidth="1"/>
    <col min="8208" max="8208" width="10.59765625" style="40" customWidth="1"/>
    <col min="8209" max="8448" width="9.19921875" style="40"/>
    <col min="8449" max="8449" width="6.59765625" style="40" customWidth="1"/>
    <col min="8450" max="8450" width="5.59765625" style="40" customWidth="1"/>
    <col min="8451" max="8451" width="4.59765625" style="40" customWidth="1"/>
    <col min="8452" max="8452" width="7.59765625" style="40" customWidth="1"/>
    <col min="8453" max="8453" width="11.59765625" style="40" customWidth="1"/>
    <col min="8454" max="8454" width="10.59765625" style="40" customWidth="1"/>
    <col min="8455" max="8455" width="11.3984375" style="40" customWidth="1"/>
    <col min="8456" max="8456" width="4" style="40" customWidth="1"/>
    <col min="8457" max="8457" width="7.59765625" style="40" customWidth="1"/>
    <col min="8458" max="8458" width="10.59765625" style="40" customWidth="1"/>
    <col min="8459" max="8459" width="15" style="40" customWidth="1"/>
    <col min="8460" max="8460" width="11.59765625" style="40" customWidth="1"/>
    <col min="8461" max="8461" width="10.59765625" style="40" customWidth="1"/>
    <col min="8462" max="8463" width="11.59765625" style="40" customWidth="1"/>
    <col min="8464" max="8464" width="10.59765625" style="40" customWidth="1"/>
    <col min="8465" max="8704" width="9.19921875" style="40"/>
    <col min="8705" max="8705" width="6.59765625" style="40" customWidth="1"/>
    <col min="8706" max="8706" width="5.59765625" style="40" customWidth="1"/>
    <col min="8707" max="8707" width="4.59765625" style="40" customWidth="1"/>
    <col min="8708" max="8708" width="7.59765625" style="40" customWidth="1"/>
    <col min="8709" max="8709" width="11.59765625" style="40" customWidth="1"/>
    <col min="8710" max="8710" width="10.59765625" style="40" customWidth="1"/>
    <col min="8711" max="8711" width="11.3984375" style="40" customWidth="1"/>
    <col min="8712" max="8712" width="4" style="40" customWidth="1"/>
    <col min="8713" max="8713" width="7.59765625" style="40" customWidth="1"/>
    <col min="8714" max="8714" width="10.59765625" style="40" customWidth="1"/>
    <col min="8715" max="8715" width="15" style="40" customWidth="1"/>
    <col min="8716" max="8716" width="11.59765625" style="40" customWidth="1"/>
    <col min="8717" max="8717" width="10.59765625" style="40" customWidth="1"/>
    <col min="8718" max="8719" width="11.59765625" style="40" customWidth="1"/>
    <col min="8720" max="8720" width="10.59765625" style="40" customWidth="1"/>
    <col min="8721" max="8960" width="9.19921875" style="40"/>
    <col min="8961" max="8961" width="6.59765625" style="40" customWidth="1"/>
    <col min="8962" max="8962" width="5.59765625" style="40" customWidth="1"/>
    <col min="8963" max="8963" width="4.59765625" style="40" customWidth="1"/>
    <col min="8964" max="8964" width="7.59765625" style="40" customWidth="1"/>
    <col min="8965" max="8965" width="11.59765625" style="40" customWidth="1"/>
    <col min="8966" max="8966" width="10.59765625" style="40" customWidth="1"/>
    <col min="8967" max="8967" width="11.3984375" style="40" customWidth="1"/>
    <col min="8968" max="8968" width="4" style="40" customWidth="1"/>
    <col min="8969" max="8969" width="7.59765625" style="40" customWidth="1"/>
    <col min="8970" max="8970" width="10.59765625" style="40" customWidth="1"/>
    <col min="8971" max="8971" width="15" style="40" customWidth="1"/>
    <col min="8972" max="8972" width="11.59765625" style="40" customWidth="1"/>
    <col min="8973" max="8973" width="10.59765625" style="40" customWidth="1"/>
    <col min="8974" max="8975" width="11.59765625" style="40" customWidth="1"/>
    <col min="8976" max="8976" width="10.59765625" style="40" customWidth="1"/>
    <col min="8977" max="9216" width="9.19921875" style="40"/>
    <col min="9217" max="9217" width="6.59765625" style="40" customWidth="1"/>
    <col min="9218" max="9218" width="5.59765625" style="40" customWidth="1"/>
    <col min="9219" max="9219" width="4.59765625" style="40" customWidth="1"/>
    <col min="9220" max="9220" width="7.59765625" style="40" customWidth="1"/>
    <col min="9221" max="9221" width="11.59765625" style="40" customWidth="1"/>
    <col min="9222" max="9222" width="10.59765625" style="40" customWidth="1"/>
    <col min="9223" max="9223" width="11.3984375" style="40" customWidth="1"/>
    <col min="9224" max="9224" width="4" style="40" customWidth="1"/>
    <col min="9225" max="9225" width="7.59765625" style="40" customWidth="1"/>
    <col min="9226" max="9226" width="10.59765625" style="40" customWidth="1"/>
    <col min="9227" max="9227" width="15" style="40" customWidth="1"/>
    <col min="9228" max="9228" width="11.59765625" style="40" customWidth="1"/>
    <col min="9229" max="9229" width="10.59765625" style="40" customWidth="1"/>
    <col min="9230" max="9231" width="11.59765625" style="40" customWidth="1"/>
    <col min="9232" max="9232" width="10.59765625" style="40" customWidth="1"/>
    <col min="9233" max="9472" width="9.19921875" style="40"/>
    <col min="9473" max="9473" width="6.59765625" style="40" customWidth="1"/>
    <col min="9474" max="9474" width="5.59765625" style="40" customWidth="1"/>
    <col min="9475" max="9475" width="4.59765625" style="40" customWidth="1"/>
    <col min="9476" max="9476" width="7.59765625" style="40" customWidth="1"/>
    <col min="9477" max="9477" width="11.59765625" style="40" customWidth="1"/>
    <col min="9478" max="9478" width="10.59765625" style="40" customWidth="1"/>
    <col min="9479" max="9479" width="11.3984375" style="40" customWidth="1"/>
    <col min="9480" max="9480" width="4" style="40" customWidth="1"/>
    <col min="9481" max="9481" width="7.59765625" style="40" customWidth="1"/>
    <col min="9482" max="9482" width="10.59765625" style="40" customWidth="1"/>
    <col min="9483" max="9483" width="15" style="40" customWidth="1"/>
    <col min="9484" max="9484" width="11.59765625" style="40" customWidth="1"/>
    <col min="9485" max="9485" width="10.59765625" style="40" customWidth="1"/>
    <col min="9486" max="9487" width="11.59765625" style="40" customWidth="1"/>
    <col min="9488" max="9488" width="10.59765625" style="40" customWidth="1"/>
    <col min="9489" max="9728" width="9.19921875" style="40"/>
    <col min="9729" max="9729" width="6.59765625" style="40" customWidth="1"/>
    <col min="9730" max="9730" width="5.59765625" style="40" customWidth="1"/>
    <col min="9731" max="9731" width="4.59765625" style="40" customWidth="1"/>
    <col min="9732" max="9732" width="7.59765625" style="40" customWidth="1"/>
    <col min="9733" max="9733" width="11.59765625" style="40" customWidth="1"/>
    <col min="9734" max="9734" width="10.59765625" style="40" customWidth="1"/>
    <col min="9735" max="9735" width="11.3984375" style="40" customWidth="1"/>
    <col min="9736" max="9736" width="4" style="40" customWidth="1"/>
    <col min="9737" max="9737" width="7.59765625" style="40" customWidth="1"/>
    <col min="9738" max="9738" width="10.59765625" style="40" customWidth="1"/>
    <col min="9739" max="9739" width="15" style="40" customWidth="1"/>
    <col min="9740" max="9740" width="11.59765625" style="40" customWidth="1"/>
    <col min="9741" max="9741" width="10.59765625" style="40" customWidth="1"/>
    <col min="9742" max="9743" width="11.59765625" style="40" customWidth="1"/>
    <col min="9744" max="9744" width="10.59765625" style="40" customWidth="1"/>
    <col min="9745" max="9984" width="9.19921875" style="40"/>
    <col min="9985" max="9985" width="6.59765625" style="40" customWidth="1"/>
    <col min="9986" max="9986" width="5.59765625" style="40" customWidth="1"/>
    <col min="9987" max="9987" width="4.59765625" style="40" customWidth="1"/>
    <col min="9988" max="9988" width="7.59765625" style="40" customWidth="1"/>
    <col min="9989" max="9989" width="11.59765625" style="40" customWidth="1"/>
    <col min="9990" max="9990" width="10.59765625" style="40" customWidth="1"/>
    <col min="9991" max="9991" width="11.3984375" style="40" customWidth="1"/>
    <col min="9992" max="9992" width="4" style="40" customWidth="1"/>
    <col min="9993" max="9993" width="7.59765625" style="40" customWidth="1"/>
    <col min="9994" max="9994" width="10.59765625" style="40" customWidth="1"/>
    <col min="9995" max="9995" width="15" style="40" customWidth="1"/>
    <col min="9996" max="9996" width="11.59765625" style="40" customWidth="1"/>
    <col min="9997" max="9997" width="10.59765625" style="40" customWidth="1"/>
    <col min="9998" max="9999" width="11.59765625" style="40" customWidth="1"/>
    <col min="10000" max="10000" width="10.59765625" style="40" customWidth="1"/>
    <col min="10001" max="10240" width="9.19921875" style="40"/>
    <col min="10241" max="10241" width="6.59765625" style="40" customWidth="1"/>
    <col min="10242" max="10242" width="5.59765625" style="40" customWidth="1"/>
    <col min="10243" max="10243" width="4.59765625" style="40" customWidth="1"/>
    <col min="10244" max="10244" width="7.59765625" style="40" customWidth="1"/>
    <col min="10245" max="10245" width="11.59765625" style="40" customWidth="1"/>
    <col min="10246" max="10246" width="10.59765625" style="40" customWidth="1"/>
    <col min="10247" max="10247" width="11.3984375" style="40" customWidth="1"/>
    <col min="10248" max="10248" width="4" style="40" customWidth="1"/>
    <col min="10249" max="10249" width="7.59765625" style="40" customWidth="1"/>
    <col min="10250" max="10250" width="10.59765625" style="40" customWidth="1"/>
    <col min="10251" max="10251" width="15" style="40" customWidth="1"/>
    <col min="10252" max="10252" width="11.59765625" style="40" customWidth="1"/>
    <col min="10253" max="10253" width="10.59765625" style="40" customWidth="1"/>
    <col min="10254" max="10255" width="11.59765625" style="40" customWidth="1"/>
    <col min="10256" max="10256" width="10.59765625" style="40" customWidth="1"/>
    <col min="10257" max="10496" width="9.19921875" style="40"/>
    <col min="10497" max="10497" width="6.59765625" style="40" customWidth="1"/>
    <col min="10498" max="10498" width="5.59765625" style="40" customWidth="1"/>
    <col min="10499" max="10499" width="4.59765625" style="40" customWidth="1"/>
    <col min="10500" max="10500" width="7.59765625" style="40" customWidth="1"/>
    <col min="10501" max="10501" width="11.59765625" style="40" customWidth="1"/>
    <col min="10502" max="10502" width="10.59765625" style="40" customWidth="1"/>
    <col min="10503" max="10503" width="11.3984375" style="40" customWidth="1"/>
    <col min="10504" max="10504" width="4" style="40" customWidth="1"/>
    <col min="10505" max="10505" width="7.59765625" style="40" customWidth="1"/>
    <col min="10506" max="10506" width="10.59765625" style="40" customWidth="1"/>
    <col min="10507" max="10507" width="15" style="40" customWidth="1"/>
    <col min="10508" max="10508" width="11.59765625" style="40" customWidth="1"/>
    <col min="10509" max="10509" width="10.59765625" style="40" customWidth="1"/>
    <col min="10510" max="10511" width="11.59765625" style="40" customWidth="1"/>
    <col min="10512" max="10512" width="10.59765625" style="40" customWidth="1"/>
    <col min="10513" max="10752" width="9.19921875" style="40"/>
    <col min="10753" max="10753" width="6.59765625" style="40" customWidth="1"/>
    <col min="10754" max="10754" width="5.59765625" style="40" customWidth="1"/>
    <col min="10755" max="10755" width="4.59765625" style="40" customWidth="1"/>
    <col min="10756" max="10756" width="7.59765625" style="40" customWidth="1"/>
    <col min="10757" max="10757" width="11.59765625" style="40" customWidth="1"/>
    <col min="10758" max="10758" width="10.59765625" style="40" customWidth="1"/>
    <col min="10759" max="10759" width="11.3984375" style="40" customWidth="1"/>
    <col min="10760" max="10760" width="4" style="40" customWidth="1"/>
    <col min="10761" max="10761" width="7.59765625" style="40" customWidth="1"/>
    <col min="10762" max="10762" width="10.59765625" style="40" customWidth="1"/>
    <col min="10763" max="10763" width="15" style="40" customWidth="1"/>
    <col min="10764" max="10764" width="11.59765625" style="40" customWidth="1"/>
    <col min="10765" max="10765" width="10.59765625" style="40" customWidth="1"/>
    <col min="10766" max="10767" width="11.59765625" style="40" customWidth="1"/>
    <col min="10768" max="10768" width="10.59765625" style="40" customWidth="1"/>
    <col min="10769" max="11008" width="9.19921875" style="40"/>
    <col min="11009" max="11009" width="6.59765625" style="40" customWidth="1"/>
    <col min="11010" max="11010" width="5.59765625" style="40" customWidth="1"/>
    <col min="11011" max="11011" width="4.59765625" style="40" customWidth="1"/>
    <col min="11012" max="11012" width="7.59765625" style="40" customWidth="1"/>
    <col min="11013" max="11013" width="11.59765625" style="40" customWidth="1"/>
    <col min="11014" max="11014" width="10.59765625" style="40" customWidth="1"/>
    <col min="11015" max="11015" width="11.3984375" style="40" customWidth="1"/>
    <col min="11016" max="11016" width="4" style="40" customWidth="1"/>
    <col min="11017" max="11017" width="7.59765625" style="40" customWidth="1"/>
    <col min="11018" max="11018" width="10.59765625" style="40" customWidth="1"/>
    <col min="11019" max="11019" width="15" style="40" customWidth="1"/>
    <col min="11020" max="11020" width="11.59765625" style="40" customWidth="1"/>
    <col min="11021" max="11021" width="10.59765625" style="40" customWidth="1"/>
    <col min="11022" max="11023" width="11.59765625" style="40" customWidth="1"/>
    <col min="11024" max="11024" width="10.59765625" style="40" customWidth="1"/>
    <col min="11025" max="11264" width="9.19921875" style="40"/>
    <col min="11265" max="11265" width="6.59765625" style="40" customWidth="1"/>
    <col min="11266" max="11266" width="5.59765625" style="40" customWidth="1"/>
    <col min="11267" max="11267" width="4.59765625" style="40" customWidth="1"/>
    <col min="11268" max="11268" width="7.59765625" style="40" customWidth="1"/>
    <col min="11269" max="11269" width="11.59765625" style="40" customWidth="1"/>
    <col min="11270" max="11270" width="10.59765625" style="40" customWidth="1"/>
    <col min="11271" max="11271" width="11.3984375" style="40" customWidth="1"/>
    <col min="11272" max="11272" width="4" style="40" customWidth="1"/>
    <col min="11273" max="11273" width="7.59765625" style="40" customWidth="1"/>
    <col min="11274" max="11274" width="10.59765625" style="40" customWidth="1"/>
    <col min="11275" max="11275" width="15" style="40" customWidth="1"/>
    <col min="11276" max="11276" width="11.59765625" style="40" customWidth="1"/>
    <col min="11277" max="11277" width="10.59765625" style="40" customWidth="1"/>
    <col min="11278" max="11279" width="11.59765625" style="40" customWidth="1"/>
    <col min="11280" max="11280" width="10.59765625" style="40" customWidth="1"/>
    <col min="11281" max="11520" width="9.19921875" style="40"/>
    <col min="11521" max="11521" width="6.59765625" style="40" customWidth="1"/>
    <col min="11522" max="11522" width="5.59765625" style="40" customWidth="1"/>
    <col min="11523" max="11523" width="4.59765625" style="40" customWidth="1"/>
    <col min="11524" max="11524" width="7.59765625" style="40" customWidth="1"/>
    <col min="11525" max="11525" width="11.59765625" style="40" customWidth="1"/>
    <col min="11526" max="11526" width="10.59765625" style="40" customWidth="1"/>
    <col min="11527" max="11527" width="11.3984375" style="40" customWidth="1"/>
    <col min="11528" max="11528" width="4" style="40" customWidth="1"/>
    <col min="11529" max="11529" width="7.59765625" style="40" customWidth="1"/>
    <col min="11530" max="11530" width="10.59765625" style="40" customWidth="1"/>
    <col min="11531" max="11531" width="15" style="40" customWidth="1"/>
    <col min="11532" max="11532" width="11.59765625" style="40" customWidth="1"/>
    <col min="11533" max="11533" width="10.59765625" style="40" customWidth="1"/>
    <col min="11534" max="11535" width="11.59765625" style="40" customWidth="1"/>
    <col min="11536" max="11536" width="10.59765625" style="40" customWidth="1"/>
    <col min="11537" max="11776" width="9.19921875" style="40"/>
    <col min="11777" max="11777" width="6.59765625" style="40" customWidth="1"/>
    <col min="11778" max="11778" width="5.59765625" style="40" customWidth="1"/>
    <col min="11779" max="11779" width="4.59765625" style="40" customWidth="1"/>
    <col min="11780" max="11780" width="7.59765625" style="40" customWidth="1"/>
    <col min="11781" max="11781" width="11.59765625" style="40" customWidth="1"/>
    <col min="11782" max="11782" width="10.59765625" style="40" customWidth="1"/>
    <col min="11783" max="11783" width="11.3984375" style="40" customWidth="1"/>
    <col min="11784" max="11784" width="4" style="40" customWidth="1"/>
    <col min="11785" max="11785" width="7.59765625" style="40" customWidth="1"/>
    <col min="11786" max="11786" width="10.59765625" style="40" customWidth="1"/>
    <col min="11787" max="11787" width="15" style="40" customWidth="1"/>
    <col min="11788" max="11788" width="11.59765625" style="40" customWidth="1"/>
    <col min="11789" max="11789" width="10.59765625" style="40" customWidth="1"/>
    <col min="11790" max="11791" width="11.59765625" style="40" customWidth="1"/>
    <col min="11792" max="11792" width="10.59765625" style="40" customWidth="1"/>
    <col min="11793" max="12032" width="9.19921875" style="40"/>
    <col min="12033" max="12033" width="6.59765625" style="40" customWidth="1"/>
    <col min="12034" max="12034" width="5.59765625" style="40" customWidth="1"/>
    <col min="12035" max="12035" width="4.59765625" style="40" customWidth="1"/>
    <col min="12036" max="12036" width="7.59765625" style="40" customWidth="1"/>
    <col min="12037" max="12037" width="11.59765625" style="40" customWidth="1"/>
    <col min="12038" max="12038" width="10.59765625" style="40" customWidth="1"/>
    <col min="12039" max="12039" width="11.3984375" style="40" customWidth="1"/>
    <col min="12040" max="12040" width="4" style="40" customWidth="1"/>
    <col min="12041" max="12041" width="7.59765625" style="40" customWidth="1"/>
    <col min="12042" max="12042" width="10.59765625" style="40" customWidth="1"/>
    <col min="12043" max="12043" width="15" style="40" customWidth="1"/>
    <col min="12044" max="12044" width="11.59765625" style="40" customWidth="1"/>
    <col min="12045" max="12045" width="10.59765625" style="40" customWidth="1"/>
    <col min="12046" max="12047" width="11.59765625" style="40" customWidth="1"/>
    <col min="12048" max="12048" width="10.59765625" style="40" customWidth="1"/>
    <col min="12049" max="12288" width="9.19921875" style="40"/>
    <col min="12289" max="12289" width="6.59765625" style="40" customWidth="1"/>
    <col min="12290" max="12290" width="5.59765625" style="40" customWidth="1"/>
    <col min="12291" max="12291" width="4.59765625" style="40" customWidth="1"/>
    <col min="12292" max="12292" width="7.59765625" style="40" customWidth="1"/>
    <col min="12293" max="12293" width="11.59765625" style="40" customWidth="1"/>
    <col min="12294" max="12294" width="10.59765625" style="40" customWidth="1"/>
    <col min="12295" max="12295" width="11.3984375" style="40" customWidth="1"/>
    <col min="12296" max="12296" width="4" style="40" customWidth="1"/>
    <col min="12297" max="12297" width="7.59765625" style="40" customWidth="1"/>
    <col min="12298" max="12298" width="10.59765625" style="40" customWidth="1"/>
    <col min="12299" max="12299" width="15" style="40" customWidth="1"/>
    <col min="12300" max="12300" width="11.59765625" style="40" customWidth="1"/>
    <col min="12301" max="12301" width="10.59765625" style="40" customWidth="1"/>
    <col min="12302" max="12303" width="11.59765625" style="40" customWidth="1"/>
    <col min="12304" max="12304" width="10.59765625" style="40" customWidth="1"/>
    <col min="12305" max="12544" width="9.19921875" style="40"/>
    <col min="12545" max="12545" width="6.59765625" style="40" customWidth="1"/>
    <col min="12546" max="12546" width="5.59765625" style="40" customWidth="1"/>
    <col min="12547" max="12547" width="4.59765625" style="40" customWidth="1"/>
    <col min="12548" max="12548" width="7.59765625" style="40" customWidth="1"/>
    <col min="12549" max="12549" width="11.59765625" style="40" customWidth="1"/>
    <col min="12550" max="12550" width="10.59765625" style="40" customWidth="1"/>
    <col min="12551" max="12551" width="11.3984375" style="40" customWidth="1"/>
    <col min="12552" max="12552" width="4" style="40" customWidth="1"/>
    <col min="12553" max="12553" width="7.59765625" style="40" customWidth="1"/>
    <col min="12554" max="12554" width="10.59765625" style="40" customWidth="1"/>
    <col min="12555" max="12555" width="15" style="40" customWidth="1"/>
    <col min="12556" max="12556" width="11.59765625" style="40" customWidth="1"/>
    <col min="12557" max="12557" width="10.59765625" style="40" customWidth="1"/>
    <col min="12558" max="12559" width="11.59765625" style="40" customWidth="1"/>
    <col min="12560" max="12560" width="10.59765625" style="40" customWidth="1"/>
    <col min="12561" max="12800" width="9.19921875" style="40"/>
    <col min="12801" max="12801" width="6.59765625" style="40" customWidth="1"/>
    <col min="12802" max="12802" width="5.59765625" style="40" customWidth="1"/>
    <col min="12803" max="12803" width="4.59765625" style="40" customWidth="1"/>
    <col min="12804" max="12804" width="7.59765625" style="40" customWidth="1"/>
    <col min="12805" max="12805" width="11.59765625" style="40" customWidth="1"/>
    <col min="12806" max="12806" width="10.59765625" style="40" customWidth="1"/>
    <col min="12807" max="12807" width="11.3984375" style="40" customWidth="1"/>
    <col min="12808" max="12808" width="4" style="40" customWidth="1"/>
    <col min="12809" max="12809" width="7.59765625" style="40" customWidth="1"/>
    <col min="12810" max="12810" width="10.59765625" style="40" customWidth="1"/>
    <col min="12811" max="12811" width="15" style="40" customWidth="1"/>
    <col min="12812" max="12812" width="11.59765625" style="40" customWidth="1"/>
    <col min="12813" max="12813" width="10.59765625" style="40" customWidth="1"/>
    <col min="12814" max="12815" width="11.59765625" style="40" customWidth="1"/>
    <col min="12816" max="12816" width="10.59765625" style="40" customWidth="1"/>
    <col min="12817" max="13056" width="9.19921875" style="40"/>
    <col min="13057" max="13057" width="6.59765625" style="40" customWidth="1"/>
    <col min="13058" max="13058" width="5.59765625" style="40" customWidth="1"/>
    <col min="13059" max="13059" width="4.59765625" style="40" customWidth="1"/>
    <col min="13060" max="13060" width="7.59765625" style="40" customWidth="1"/>
    <col min="13061" max="13061" width="11.59765625" style="40" customWidth="1"/>
    <col min="13062" max="13062" width="10.59765625" style="40" customWidth="1"/>
    <col min="13063" max="13063" width="11.3984375" style="40" customWidth="1"/>
    <col min="13064" max="13064" width="4" style="40" customWidth="1"/>
    <col min="13065" max="13065" width="7.59765625" style="40" customWidth="1"/>
    <col min="13066" max="13066" width="10.59765625" style="40" customWidth="1"/>
    <col min="13067" max="13067" width="15" style="40" customWidth="1"/>
    <col min="13068" max="13068" width="11.59765625" style="40" customWidth="1"/>
    <col min="13069" max="13069" width="10.59765625" style="40" customWidth="1"/>
    <col min="13070" max="13071" width="11.59765625" style="40" customWidth="1"/>
    <col min="13072" max="13072" width="10.59765625" style="40" customWidth="1"/>
    <col min="13073" max="13312" width="9.19921875" style="40"/>
    <col min="13313" max="13313" width="6.59765625" style="40" customWidth="1"/>
    <col min="13314" max="13314" width="5.59765625" style="40" customWidth="1"/>
    <col min="13315" max="13315" width="4.59765625" style="40" customWidth="1"/>
    <col min="13316" max="13316" width="7.59765625" style="40" customWidth="1"/>
    <col min="13317" max="13317" width="11.59765625" style="40" customWidth="1"/>
    <col min="13318" max="13318" width="10.59765625" style="40" customWidth="1"/>
    <col min="13319" max="13319" width="11.3984375" style="40" customWidth="1"/>
    <col min="13320" max="13320" width="4" style="40" customWidth="1"/>
    <col min="13321" max="13321" width="7.59765625" style="40" customWidth="1"/>
    <col min="13322" max="13322" width="10.59765625" style="40" customWidth="1"/>
    <col min="13323" max="13323" width="15" style="40" customWidth="1"/>
    <col min="13324" max="13324" width="11.59765625" style="40" customWidth="1"/>
    <col min="13325" max="13325" width="10.59765625" style="40" customWidth="1"/>
    <col min="13326" max="13327" width="11.59765625" style="40" customWidth="1"/>
    <col min="13328" max="13328" width="10.59765625" style="40" customWidth="1"/>
    <col min="13329" max="13568" width="9.19921875" style="40"/>
    <col min="13569" max="13569" width="6.59765625" style="40" customWidth="1"/>
    <col min="13570" max="13570" width="5.59765625" style="40" customWidth="1"/>
    <col min="13571" max="13571" width="4.59765625" style="40" customWidth="1"/>
    <col min="13572" max="13572" width="7.59765625" style="40" customWidth="1"/>
    <col min="13573" max="13573" width="11.59765625" style="40" customWidth="1"/>
    <col min="13574" max="13574" width="10.59765625" style="40" customWidth="1"/>
    <col min="13575" max="13575" width="11.3984375" style="40" customWidth="1"/>
    <col min="13576" max="13576" width="4" style="40" customWidth="1"/>
    <col min="13577" max="13577" width="7.59765625" style="40" customWidth="1"/>
    <col min="13578" max="13578" width="10.59765625" style="40" customWidth="1"/>
    <col min="13579" max="13579" width="15" style="40" customWidth="1"/>
    <col min="13580" max="13580" width="11.59765625" style="40" customWidth="1"/>
    <col min="13581" max="13581" width="10.59765625" style="40" customWidth="1"/>
    <col min="13582" max="13583" width="11.59765625" style="40" customWidth="1"/>
    <col min="13584" max="13584" width="10.59765625" style="40" customWidth="1"/>
    <col min="13585" max="13824" width="9.19921875" style="40"/>
    <col min="13825" max="13825" width="6.59765625" style="40" customWidth="1"/>
    <col min="13826" max="13826" width="5.59765625" style="40" customWidth="1"/>
    <col min="13827" max="13827" width="4.59765625" style="40" customWidth="1"/>
    <col min="13828" max="13828" width="7.59765625" style="40" customWidth="1"/>
    <col min="13829" max="13829" width="11.59765625" style="40" customWidth="1"/>
    <col min="13830" max="13830" width="10.59765625" style="40" customWidth="1"/>
    <col min="13831" max="13831" width="11.3984375" style="40" customWidth="1"/>
    <col min="13832" max="13832" width="4" style="40" customWidth="1"/>
    <col min="13833" max="13833" width="7.59765625" style="40" customWidth="1"/>
    <col min="13834" max="13834" width="10.59765625" style="40" customWidth="1"/>
    <col min="13835" max="13835" width="15" style="40" customWidth="1"/>
    <col min="13836" max="13836" width="11.59765625" style="40" customWidth="1"/>
    <col min="13837" max="13837" width="10.59765625" style="40" customWidth="1"/>
    <col min="13838" max="13839" width="11.59765625" style="40" customWidth="1"/>
    <col min="13840" max="13840" width="10.59765625" style="40" customWidth="1"/>
    <col min="13841" max="14080" width="9.19921875" style="40"/>
    <col min="14081" max="14081" width="6.59765625" style="40" customWidth="1"/>
    <col min="14082" max="14082" width="5.59765625" style="40" customWidth="1"/>
    <col min="14083" max="14083" width="4.59765625" style="40" customWidth="1"/>
    <col min="14084" max="14084" width="7.59765625" style="40" customWidth="1"/>
    <col min="14085" max="14085" width="11.59765625" style="40" customWidth="1"/>
    <col min="14086" max="14086" width="10.59765625" style="40" customWidth="1"/>
    <col min="14087" max="14087" width="11.3984375" style="40" customWidth="1"/>
    <col min="14088" max="14088" width="4" style="40" customWidth="1"/>
    <col min="14089" max="14089" width="7.59765625" style="40" customWidth="1"/>
    <col min="14090" max="14090" width="10.59765625" style="40" customWidth="1"/>
    <col min="14091" max="14091" width="15" style="40" customWidth="1"/>
    <col min="14092" max="14092" width="11.59765625" style="40" customWidth="1"/>
    <col min="14093" max="14093" width="10.59765625" style="40" customWidth="1"/>
    <col min="14094" max="14095" width="11.59765625" style="40" customWidth="1"/>
    <col min="14096" max="14096" width="10.59765625" style="40" customWidth="1"/>
    <col min="14097" max="14336" width="9.19921875" style="40"/>
    <col min="14337" max="14337" width="6.59765625" style="40" customWidth="1"/>
    <col min="14338" max="14338" width="5.59765625" style="40" customWidth="1"/>
    <col min="14339" max="14339" width="4.59765625" style="40" customWidth="1"/>
    <col min="14340" max="14340" width="7.59765625" style="40" customWidth="1"/>
    <col min="14341" max="14341" width="11.59765625" style="40" customWidth="1"/>
    <col min="14342" max="14342" width="10.59765625" style="40" customWidth="1"/>
    <col min="14343" max="14343" width="11.3984375" style="40" customWidth="1"/>
    <col min="14344" max="14344" width="4" style="40" customWidth="1"/>
    <col min="14345" max="14345" width="7.59765625" style="40" customWidth="1"/>
    <col min="14346" max="14346" width="10.59765625" style="40" customWidth="1"/>
    <col min="14347" max="14347" width="15" style="40" customWidth="1"/>
    <col min="14348" max="14348" width="11.59765625" style="40" customWidth="1"/>
    <col min="14349" max="14349" width="10.59765625" style="40" customWidth="1"/>
    <col min="14350" max="14351" width="11.59765625" style="40" customWidth="1"/>
    <col min="14352" max="14352" width="10.59765625" style="40" customWidth="1"/>
    <col min="14353" max="14592" width="9.19921875" style="40"/>
    <col min="14593" max="14593" width="6.59765625" style="40" customWidth="1"/>
    <col min="14594" max="14594" width="5.59765625" style="40" customWidth="1"/>
    <col min="14595" max="14595" width="4.59765625" style="40" customWidth="1"/>
    <col min="14596" max="14596" width="7.59765625" style="40" customWidth="1"/>
    <col min="14597" max="14597" width="11.59765625" style="40" customWidth="1"/>
    <col min="14598" max="14598" width="10.59765625" style="40" customWidth="1"/>
    <col min="14599" max="14599" width="11.3984375" style="40" customWidth="1"/>
    <col min="14600" max="14600" width="4" style="40" customWidth="1"/>
    <col min="14601" max="14601" width="7.59765625" style="40" customWidth="1"/>
    <col min="14602" max="14602" width="10.59765625" style="40" customWidth="1"/>
    <col min="14603" max="14603" width="15" style="40" customWidth="1"/>
    <col min="14604" max="14604" width="11.59765625" style="40" customWidth="1"/>
    <col min="14605" max="14605" width="10.59765625" style="40" customWidth="1"/>
    <col min="14606" max="14607" width="11.59765625" style="40" customWidth="1"/>
    <col min="14608" max="14608" width="10.59765625" style="40" customWidth="1"/>
    <col min="14609" max="14848" width="9.19921875" style="40"/>
    <col min="14849" max="14849" width="6.59765625" style="40" customWidth="1"/>
    <col min="14850" max="14850" width="5.59765625" style="40" customWidth="1"/>
    <col min="14851" max="14851" width="4.59765625" style="40" customWidth="1"/>
    <col min="14852" max="14852" width="7.59765625" style="40" customWidth="1"/>
    <col min="14853" max="14853" width="11.59765625" style="40" customWidth="1"/>
    <col min="14854" max="14854" width="10.59765625" style="40" customWidth="1"/>
    <col min="14855" max="14855" width="11.3984375" style="40" customWidth="1"/>
    <col min="14856" max="14856" width="4" style="40" customWidth="1"/>
    <col min="14857" max="14857" width="7.59765625" style="40" customWidth="1"/>
    <col min="14858" max="14858" width="10.59765625" style="40" customWidth="1"/>
    <col min="14859" max="14859" width="15" style="40" customWidth="1"/>
    <col min="14860" max="14860" width="11.59765625" style="40" customWidth="1"/>
    <col min="14861" max="14861" width="10.59765625" style="40" customWidth="1"/>
    <col min="14862" max="14863" width="11.59765625" style="40" customWidth="1"/>
    <col min="14864" max="14864" width="10.59765625" style="40" customWidth="1"/>
    <col min="14865" max="15104" width="9.19921875" style="40"/>
    <col min="15105" max="15105" width="6.59765625" style="40" customWidth="1"/>
    <col min="15106" max="15106" width="5.59765625" style="40" customWidth="1"/>
    <col min="15107" max="15107" width="4.59765625" style="40" customWidth="1"/>
    <col min="15108" max="15108" width="7.59765625" style="40" customWidth="1"/>
    <col min="15109" max="15109" width="11.59765625" style="40" customWidth="1"/>
    <col min="15110" max="15110" width="10.59765625" style="40" customWidth="1"/>
    <col min="15111" max="15111" width="11.3984375" style="40" customWidth="1"/>
    <col min="15112" max="15112" width="4" style="40" customWidth="1"/>
    <col min="15113" max="15113" width="7.59765625" style="40" customWidth="1"/>
    <col min="15114" max="15114" width="10.59765625" style="40" customWidth="1"/>
    <col min="15115" max="15115" width="15" style="40" customWidth="1"/>
    <col min="15116" max="15116" width="11.59765625" style="40" customWidth="1"/>
    <col min="15117" max="15117" width="10.59765625" style="40" customWidth="1"/>
    <col min="15118" max="15119" width="11.59765625" style="40" customWidth="1"/>
    <col min="15120" max="15120" width="10.59765625" style="40" customWidth="1"/>
    <col min="15121" max="15360" width="9.19921875" style="40"/>
    <col min="15361" max="15361" width="6.59765625" style="40" customWidth="1"/>
    <col min="15362" max="15362" width="5.59765625" style="40" customWidth="1"/>
    <col min="15363" max="15363" width="4.59765625" style="40" customWidth="1"/>
    <col min="15364" max="15364" width="7.59765625" style="40" customWidth="1"/>
    <col min="15365" max="15365" width="11.59765625" style="40" customWidth="1"/>
    <col min="15366" max="15366" width="10.59765625" style="40" customWidth="1"/>
    <col min="15367" max="15367" width="11.3984375" style="40" customWidth="1"/>
    <col min="15368" max="15368" width="4" style="40" customWidth="1"/>
    <col min="15369" max="15369" width="7.59765625" style="40" customWidth="1"/>
    <col min="15370" max="15370" width="10.59765625" style="40" customWidth="1"/>
    <col min="15371" max="15371" width="15" style="40" customWidth="1"/>
    <col min="15372" max="15372" width="11.59765625" style="40" customWidth="1"/>
    <col min="15373" max="15373" width="10.59765625" style="40" customWidth="1"/>
    <col min="15374" max="15375" width="11.59765625" style="40" customWidth="1"/>
    <col min="15376" max="15376" width="10.59765625" style="40" customWidth="1"/>
    <col min="15377" max="15616" width="9.19921875" style="40"/>
    <col min="15617" max="15617" width="6.59765625" style="40" customWidth="1"/>
    <col min="15618" max="15618" width="5.59765625" style="40" customWidth="1"/>
    <col min="15619" max="15619" width="4.59765625" style="40" customWidth="1"/>
    <col min="15620" max="15620" width="7.59765625" style="40" customWidth="1"/>
    <col min="15621" max="15621" width="11.59765625" style="40" customWidth="1"/>
    <col min="15622" max="15622" width="10.59765625" style="40" customWidth="1"/>
    <col min="15623" max="15623" width="11.3984375" style="40" customWidth="1"/>
    <col min="15624" max="15624" width="4" style="40" customWidth="1"/>
    <col min="15625" max="15625" width="7.59765625" style="40" customWidth="1"/>
    <col min="15626" max="15626" width="10.59765625" style="40" customWidth="1"/>
    <col min="15627" max="15627" width="15" style="40" customWidth="1"/>
    <col min="15628" max="15628" width="11.59765625" style="40" customWidth="1"/>
    <col min="15629" max="15629" width="10.59765625" style="40" customWidth="1"/>
    <col min="15630" max="15631" width="11.59765625" style="40" customWidth="1"/>
    <col min="15632" max="15632" width="10.59765625" style="40" customWidth="1"/>
    <col min="15633" max="15872" width="9.19921875" style="40"/>
    <col min="15873" max="15873" width="6.59765625" style="40" customWidth="1"/>
    <col min="15874" max="15874" width="5.59765625" style="40" customWidth="1"/>
    <col min="15875" max="15875" width="4.59765625" style="40" customWidth="1"/>
    <col min="15876" max="15876" width="7.59765625" style="40" customWidth="1"/>
    <col min="15877" max="15877" width="11.59765625" style="40" customWidth="1"/>
    <col min="15878" max="15878" width="10.59765625" style="40" customWidth="1"/>
    <col min="15879" max="15879" width="11.3984375" style="40" customWidth="1"/>
    <col min="15880" max="15880" width="4" style="40" customWidth="1"/>
    <col min="15881" max="15881" width="7.59765625" style="40" customWidth="1"/>
    <col min="15882" max="15882" width="10.59765625" style="40" customWidth="1"/>
    <col min="15883" max="15883" width="15" style="40" customWidth="1"/>
    <col min="15884" max="15884" width="11.59765625" style="40" customWidth="1"/>
    <col min="15885" max="15885" width="10.59765625" style="40" customWidth="1"/>
    <col min="15886" max="15887" width="11.59765625" style="40" customWidth="1"/>
    <col min="15888" max="15888" width="10.59765625" style="40" customWidth="1"/>
    <col min="15889" max="16128" width="9.19921875" style="40"/>
    <col min="16129" max="16129" width="6.59765625" style="40" customWidth="1"/>
    <col min="16130" max="16130" width="5.59765625" style="40" customWidth="1"/>
    <col min="16131" max="16131" width="4.59765625" style="40" customWidth="1"/>
    <col min="16132" max="16132" width="7.59765625" style="40" customWidth="1"/>
    <col min="16133" max="16133" width="11.59765625" style="40" customWidth="1"/>
    <col min="16134" max="16134" width="10.59765625" style="40" customWidth="1"/>
    <col min="16135" max="16135" width="11.3984375" style="40" customWidth="1"/>
    <col min="16136" max="16136" width="4" style="40" customWidth="1"/>
    <col min="16137" max="16137" width="7.59765625" style="40" customWidth="1"/>
    <col min="16138" max="16138" width="10.59765625" style="40" customWidth="1"/>
    <col min="16139" max="16139" width="15" style="40" customWidth="1"/>
    <col min="16140" max="16140" width="11.59765625" style="40" customWidth="1"/>
    <col min="16141" max="16141" width="10.59765625" style="40" customWidth="1"/>
    <col min="16142" max="16143" width="11.59765625" style="40" customWidth="1"/>
    <col min="16144" max="16144" width="10.59765625" style="40" customWidth="1"/>
    <col min="16145" max="16384" width="9.19921875" style="40"/>
  </cols>
  <sheetData>
    <row r="1" spans="1:16" ht="20">
      <c r="A1" s="277"/>
      <c r="B1" s="278"/>
      <c r="C1" s="278"/>
      <c r="D1" s="278"/>
      <c r="E1" s="278"/>
      <c r="F1" s="278"/>
      <c r="G1" s="278"/>
      <c r="H1" s="278"/>
      <c r="I1" s="278"/>
      <c r="J1" s="278"/>
      <c r="K1" s="278"/>
      <c r="L1" s="278"/>
      <c r="M1" s="278"/>
      <c r="N1" s="278"/>
      <c r="O1" s="278"/>
      <c r="P1" s="278"/>
    </row>
    <row r="2" spans="1:16" ht="18" customHeight="1">
      <c r="A2" s="279"/>
      <c r="B2" s="279"/>
      <c r="C2" s="279"/>
      <c r="D2" s="279"/>
      <c r="E2" s="279"/>
      <c r="F2" s="279"/>
      <c r="G2" s="279"/>
      <c r="H2" s="279"/>
      <c r="I2" s="279"/>
      <c r="J2" s="279"/>
      <c r="K2" s="279"/>
      <c r="L2" s="279"/>
      <c r="M2" s="279"/>
      <c r="N2" s="279"/>
      <c r="O2" s="279"/>
      <c r="P2" s="279"/>
    </row>
    <row r="4" spans="1:16" ht="18" customHeight="1">
      <c r="A4" s="33" t="s">
        <v>74</v>
      </c>
      <c r="C4" s="32" t="s">
        <v>75</v>
      </c>
      <c r="D4" s="32"/>
      <c r="G4" s="32"/>
      <c r="K4" s="32"/>
    </row>
    <row r="5" spans="1:16" ht="18" customHeight="1">
      <c r="A5" s="31" t="s">
        <v>76</v>
      </c>
      <c r="C5" s="31" t="s">
        <v>77</v>
      </c>
      <c r="D5" s="31"/>
      <c r="G5" s="31"/>
      <c r="K5" s="31"/>
      <c r="M5" s="175"/>
      <c r="P5" s="176">
        <v>202307</v>
      </c>
    </row>
    <row r="6" spans="1:16">
      <c r="E6" s="41"/>
      <c r="F6" s="41"/>
      <c r="H6" s="41"/>
      <c r="I6" s="41"/>
      <c r="J6" s="41"/>
      <c r="L6" s="41"/>
      <c r="M6" s="41"/>
    </row>
    <row r="7" spans="1:16" s="44" customFormat="1" ht="11">
      <c r="A7" s="42"/>
      <c r="B7" s="43"/>
      <c r="C7" s="280" t="s">
        <v>78</v>
      </c>
      <c r="D7" s="266"/>
      <c r="E7" s="266"/>
      <c r="F7" s="266"/>
      <c r="G7" s="266"/>
      <c r="H7" s="266"/>
      <c r="I7" s="266"/>
      <c r="J7" s="266"/>
      <c r="K7" s="266"/>
      <c r="L7" s="266"/>
      <c r="M7" s="266"/>
      <c r="N7" s="266"/>
      <c r="O7" s="266"/>
      <c r="P7" s="281"/>
    </row>
    <row r="8" spans="1:16" s="44" customFormat="1" ht="11">
      <c r="A8" s="45"/>
      <c r="B8" s="46"/>
      <c r="C8" s="282" t="s">
        <v>79</v>
      </c>
      <c r="D8" s="283"/>
      <c r="E8" s="283"/>
      <c r="F8" s="283"/>
      <c r="G8" s="283"/>
      <c r="H8" s="283"/>
      <c r="I8" s="283"/>
      <c r="J8" s="283"/>
      <c r="K8" s="283"/>
      <c r="L8" s="283"/>
      <c r="M8" s="283"/>
      <c r="N8" s="283"/>
      <c r="O8" s="283"/>
      <c r="P8" s="284"/>
    </row>
    <row r="9" spans="1:16" s="44" customFormat="1" ht="11">
      <c r="A9" s="47"/>
      <c r="B9" s="46"/>
      <c r="C9" s="285" t="s">
        <v>80</v>
      </c>
      <c r="D9" s="286"/>
      <c r="E9" s="286"/>
      <c r="F9" s="286"/>
      <c r="G9" s="287" t="s">
        <v>81</v>
      </c>
      <c r="H9" s="288" t="s">
        <v>82</v>
      </c>
      <c r="I9" s="286"/>
      <c r="J9" s="289"/>
      <c r="K9" s="287" t="s">
        <v>83</v>
      </c>
      <c r="L9" s="288" t="s">
        <v>84</v>
      </c>
      <c r="M9" s="289"/>
      <c r="N9" s="280" t="s">
        <v>85</v>
      </c>
      <c r="O9" s="266"/>
      <c r="P9" s="281"/>
    </row>
    <row r="10" spans="1:16" s="44" customFormat="1" ht="11">
      <c r="A10" s="48"/>
      <c r="B10" s="46"/>
      <c r="C10" s="282" t="s">
        <v>86</v>
      </c>
      <c r="D10" s="283"/>
      <c r="E10" s="283"/>
      <c r="F10" s="297"/>
      <c r="G10" s="296" t="s">
        <v>87</v>
      </c>
      <c r="H10" s="283"/>
      <c r="I10" s="283"/>
      <c r="J10" s="297"/>
      <c r="K10" s="296" t="s">
        <v>88</v>
      </c>
      <c r="L10" s="283"/>
      <c r="M10" s="297"/>
      <c r="N10" s="282" t="s">
        <v>89</v>
      </c>
      <c r="O10" s="283"/>
      <c r="P10" s="284"/>
    </row>
    <row r="11" spans="1:16" s="44" customFormat="1" ht="12">
      <c r="A11" s="48" t="s">
        <v>90</v>
      </c>
      <c r="B11" s="49"/>
      <c r="C11" s="285" t="s">
        <v>91</v>
      </c>
      <c r="D11" s="288"/>
      <c r="E11" s="50" t="s">
        <v>92</v>
      </c>
      <c r="F11" s="50" t="s">
        <v>93</v>
      </c>
      <c r="G11" s="177" t="s">
        <v>91</v>
      </c>
      <c r="H11" s="290" t="s">
        <v>94</v>
      </c>
      <c r="I11" s="291"/>
      <c r="J11" s="51" t="s">
        <v>95</v>
      </c>
      <c r="K11" s="177" t="s">
        <v>96</v>
      </c>
      <c r="L11" s="51" t="s">
        <v>94</v>
      </c>
      <c r="M11" s="51" t="s">
        <v>95</v>
      </c>
      <c r="N11" s="54" t="s">
        <v>91</v>
      </c>
      <c r="O11" s="50" t="s">
        <v>94</v>
      </c>
      <c r="P11" s="52" t="s">
        <v>93</v>
      </c>
    </row>
    <row r="12" spans="1:16" s="44" customFormat="1" ht="11">
      <c r="A12" s="53" t="s">
        <v>97</v>
      </c>
      <c r="B12" s="49"/>
      <c r="C12" s="292" t="s">
        <v>98</v>
      </c>
      <c r="D12" s="289"/>
      <c r="E12" s="55" t="s">
        <v>99</v>
      </c>
      <c r="F12" s="56" t="s">
        <v>100</v>
      </c>
      <c r="G12" s="166" t="s">
        <v>101</v>
      </c>
      <c r="H12" s="293" t="s">
        <v>102</v>
      </c>
      <c r="I12" s="289"/>
      <c r="J12" s="56" t="s">
        <v>103</v>
      </c>
      <c r="K12" s="165" t="s">
        <v>101</v>
      </c>
      <c r="L12" s="178" t="s">
        <v>102</v>
      </c>
      <c r="M12" s="56" t="s">
        <v>103</v>
      </c>
      <c r="N12" s="138" t="s">
        <v>101</v>
      </c>
      <c r="O12" s="55" t="s">
        <v>102</v>
      </c>
      <c r="P12" s="59" t="s">
        <v>100</v>
      </c>
    </row>
    <row r="13" spans="1:16" s="44" customFormat="1" ht="12">
      <c r="A13" s="60"/>
      <c r="B13" s="61"/>
      <c r="C13" s="282"/>
      <c r="D13" s="297"/>
      <c r="E13" s="63"/>
      <c r="F13" s="64"/>
      <c r="G13" s="164"/>
      <c r="H13" s="294"/>
      <c r="I13" s="295"/>
      <c r="J13" s="64"/>
      <c r="K13" s="164"/>
      <c r="L13" s="106" t="s">
        <v>104</v>
      </c>
      <c r="M13" s="64"/>
      <c r="N13" s="62"/>
      <c r="O13" s="63" t="s">
        <v>104</v>
      </c>
      <c r="P13" s="67"/>
    </row>
    <row r="14" spans="1:16" s="77" customFormat="1" ht="11">
      <c r="A14" s="179"/>
      <c r="B14" s="92"/>
      <c r="C14" s="180"/>
      <c r="D14" s="107"/>
      <c r="E14" s="141"/>
      <c r="F14" s="112"/>
      <c r="G14" s="122"/>
      <c r="H14" s="141"/>
      <c r="I14" s="122"/>
      <c r="J14" s="112"/>
      <c r="K14" s="107"/>
      <c r="L14" s="122"/>
      <c r="M14" s="112"/>
      <c r="N14" s="70"/>
      <c r="O14" s="141"/>
      <c r="P14" s="123"/>
    </row>
    <row r="15" spans="1:16" s="44" customFormat="1" ht="11">
      <c r="A15" s="29">
        <v>2018</v>
      </c>
      <c r="B15" s="22"/>
      <c r="C15" s="298">
        <v>5129</v>
      </c>
      <c r="D15" s="276"/>
      <c r="E15" s="27">
        <v>79165</v>
      </c>
      <c r="F15" s="27">
        <v>54856</v>
      </c>
      <c r="G15" s="28">
        <v>11</v>
      </c>
      <c r="H15" s="275">
        <v>84</v>
      </c>
      <c r="I15" s="276"/>
      <c r="J15" s="27">
        <v>64</v>
      </c>
      <c r="K15" s="27">
        <v>146</v>
      </c>
      <c r="L15" s="30">
        <v>671</v>
      </c>
      <c r="M15" s="28">
        <v>625</v>
      </c>
      <c r="N15" s="181">
        <v>5286</v>
      </c>
      <c r="O15" s="27">
        <v>79920</v>
      </c>
      <c r="P15" s="26">
        <v>55545</v>
      </c>
    </row>
    <row r="16" spans="1:16" s="44" customFormat="1" ht="11">
      <c r="A16" s="29">
        <v>2019</v>
      </c>
      <c r="B16" s="22"/>
      <c r="C16" s="298">
        <v>6302</v>
      </c>
      <c r="D16" s="276"/>
      <c r="E16" s="27">
        <v>83510</v>
      </c>
      <c r="F16" s="27">
        <v>58109</v>
      </c>
      <c r="G16" s="28">
        <v>27</v>
      </c>
      <c r="H16" s="275">
        <v>111</v>
      </c>
      <c r="I16" s="276"/>
      <c r="J16" s="27">
        <v>83</v>
      </c>
      <c r="K16" s="28">
        <v>139</v>
      </c>
      <c r="L16" s="27">
        <v>805</v>
      </c>
      <c r="M16" s="28">
        <v>745</v>
      </c>
      <c r="N16" s="181">
        <v>6468</v>
      </c>
      <c r="O16" s="27">
        <v>84426</v>
      </c>
      <c r="P16" s="26">
        <v>58937</v>
      </c>
    </row>
    <row r="17" spans="1:16" s="44" customFormat="1" ht="11">
      <c r="A17" s="29">
        <v>2020</v>
      </c>
      <c r="B17" s="22"/>
      <c r="C17" s="298">
        <v>9212</v>
      </c>
      <c r="D17" s="276"/>
      <c r="E17" s="27">
        <v>92505</v>
      </c>
      <c r="F17" s="27">
        <v>64608</v>
      </c>
      <c r="G17" s="28">
        <v>5</v>
      </c>
      <c r="H17" s="275">
        <v>117</v>
      </c>
      <c r="I17" s="276"/>
      <c r="J17" s="27">
        <v>75</v>
      </c>
      <c r="K17" s="28">
        <v>151</v>
      </c>
      <c r="L17" s="27">
        <v>956</v>
      </c>
      <c r="M17" s="28">
        <v>864</v>
      </c>
      <c r="N17" s="181">
        <v>9368</v>
      </c>
      <c r="O17" s="27">
        <v>93578</v>
      </c>
      <c r="P17" s="26">
        <v>65547</v>
      </c>
    </row>
    <row r="18" spans="1:16" s="44" customFormat="1" ht="11">
      <c r="A18" s="29">
        <v>2021</v>
      </c>
      <c r="B18" s="22"/>
      <c r="C18" s="298">
        <v>8988</v>
      </c>
      <c r="D18" s="276"/>
      <c r="E18" s="27">
        <v>99386</v>
      </c>
      <c r="F18" s="27">
        <v>70843</v>
      </c>
      <c r="G18" s="28">
        <v>9</v>
      </c>
      <c r="H18" s="275">
        <v>126</v>
      </c>
      <c r="I18" s="276"/>
      <c r="J18" s="27">
        <v>94</v>
      </c>
      <c r="K18" s="28">
        <v>95</v>
      </c>
      <c r="L18" s="27">
        <v>1045</v>
      </c>
      <c r="M18" s="28">
        <v>960</v>
      </c>
      <c r="N18" s="181">
        <v>9092</v>
      </c>
      <c r="O18" s="27">
        <v>100557</v>
      </c>
      <c r="P18" s="26">
        <v>71897</v>
      </c>
    </row>
    <row r="19" spans="1:16" s="44" customFormat="1" ht="11">
      <c r="A19" s="29">
        <v>2022</v>
      </c>
      <c r="B19" s="22"/>
      <c r="C19" s="182">
        <v>7567</v>
      </c>
      <c r="D19" s="183"/>
      <c r="E19" s="27">
        <v>104967</v>
      </c>
      <c r="F19" s="27">
        <v>74175</v>
      </c>
      <c r="G19" s="28">
        <v>0</v>
      </c>
      <c r="H19" s="184">
        <v>125</v>
      </c>
      <c r="I19" s="183"/>
      <c r="J19" s="27">
        <v>84</v>
      </c>
      <c r="K19" s="28">
        <v>73</v>
      </c>
      <c r="L19" s="27">
        <v>1113</v>
      </c>
      <c r="M19" s="28">
        <v>970</v>
      </c>
      <c r="N19" s="181">
        <v>7640</v>
      </c>
      <c r="O19" s="27">
        <v>106205</v>
      </c>
      <c r="P19" s="26">
        <v>75229</v>
      </c>
    </row>
    <row r="20" spans="1:16" s="44" customFormat="1" ht="11">
      <c r="A20" s="23"/>
      <c r="B20" s="22"/>
      <c r="C20" s="274"/>
      <c r="D20" s="273"/>
      <c r="E20" s="21"/>
      <c r="F20" s="21"/>
      <c r="G20" s="34"/>
      <c r="H20" s="272"/>
      <c r="I20" s="273"/>
      <c r="J20" s="21"/>
      <c r="K20" s="34"/>
      <c r="L20" s="21"/>
      <c r="M20" s="21"/>
      <c r="N20" s="185"/>
      <c r="O20" s="21"/>
      <c r="P20" s="19"/>
    </row>
    <row r="21" spans="1:16" s="44" customFormat="1" ht="11">
      <c r="A21" s="23"/>
      <c r="B21" s="22"/>
      <c r="C21" s="274"/>
      <c r="D21" s="273"/>
      <c r="E21" s="21"/>
      <c r="F21" s="21"/>
      <c r="G21" s="34"/>
      <c r="H21" s="272"/>
      <c r="I21" s="273"/>
      <c r="J21" s="21"/>
      <c r="K21" s="34"/>
      <c r="L21" s="21"/>
      <c r="M21" s="21"/>
      <c r="N21" s="185"/>
      <c r="O21" s="21"/>
      <c r="P21" s="19"/>
    </row>
    <row r="22" spans="1:16" s="44" customFormat="1" ht="11">
      <c r="A22" s="23"/>
      <c r="B22" s="22"/>
      <c r="C22" s="274"/>
      <c r="D22" s="273"/>
      <c r="E22" s="21"/>
      <c r="F22" s="21"/>
      <c r="G22" s="34"/>
      <c r="H22" s="272"/>
      <c r="I22" s="273"/>
      <c r="J22" s="21"/>
      <c r="K22" s="34"/>
      <c r="L22" s="21"/>
      <c r="M22" s="21"/>
      <c r="N22" s="185"/>
      <c r="O22" s="21"/>
      <c r="P22" s="19"/>
    </row>
    <row r="23" spans="1:16" s="44" customFormat="1" ht="11">
      <c r="A23" s="23"/>
      <c r="B23" s="22"/>
      <c r="C23" s="274"/>
      <c r="D23" s="273"/>
      <c r="E23" s="21"/>
      <c r="F23" s="21"/>
      <c r="G23" s="25"/>
      <c r="H23" s="272"/>
      <c r="I23" s="273"/>
      <c r="J23" s="21"/>
      <c r="K23" s="25"/>
      <c r="L23" s="24"/>
      <c r="M23" s="21"/>
      <c r="N23" s="185"/>
      <c r="O23" s="21"/>
      <c r="P23" s="19"/>
    </row>
    <row r="24" spans="1:16" s="44" customFormat="1" ht="11" collapsed="1">
      <c r="A24" s="23">
        <v>2022</v>
      </c>
      <c r="B24" s="22">
        <v>2</v>
      </c>
      <c r="C24" s="274">
        <v>430</v>
      </c>
      <c r="D24" s="273"/>
      <c r="E24" s="21">
        <v>100473</v>
      </c>
      <c r="F24" s="21">
        <v>70998</v>
      </c>
      <c r="G24" s="34">
        <v>0</v>
      </c>
      <c r="H24" s="272">
        <v>126</v>
      </c>
      <c r="I24" s="273"/>
      <c r="J24" s="21">
        <v>87</v>
      </c>
      <c r="K24" s="21">
        <v>2</v>
      </c>
      <c r="L24" s="20">
        <v>1058</v>
      </c>
      <c r="M24" s="21">
        <v>955</v>
      </c>
      <c r="N24" s="185">
        <v>432</v>
      </c>
      <c r="O24" s="20">
        <v>101657</v>
      </c>
      <c r="P24" s="19">
        <v>72040</v>
      </c>
    </row>
    <row r="25" spans="1:16" s="44" customFormat="1" ht="11">
      <c r="A25" s="23"/>
      <c r="B25" s="22">
        <v>3</v>
      </c>
      <c r="C25" s="274">
        <v>722</v>
      </c>
      <c r="D25" s="273"/>
      <c r="E25" s="21">
        <v>101187</v>
      </c>
      <c r="F25" s="21">
        <v>70696</v>
      </c>
      <c r="G25" s="34">
        <v>0</v>
      </c>
      <c r="H25" s="272">
        <v>126</v>
      </c>
      <c r="I25" s="273"/>
      <c r="J25" s="21">
        <v>85</v>
      </c>
      <c r="K25" s="21">
        <v>4</v>
      </c>
      <c r="L25" s="20">
        <v>1062</v>
      </c>
      <c r="M25" s="21">
        <v>943</v>
      </c>
      <c r="N25" s="185">
        <v>726</v>
      </c>
      <c r="O25" s="20">
        <v>102375</v>
      </c>
      <c r="P25" s="19">
        <v>71724</v>
      </c>
    </row>
    <row r="26" spans="1:16" s="44" customFormat="1" ht="11">
      <c r="A26" s="23"/>
      <c r="B26" s="22">
        <v>4</v>
      </c>
      <c r="C26" s="274">
        <v>682</v>
      </c>
      <c r="D26" s="273"/>
      <c r="E26" s="21">
        <v>101865</v>
      </c>
      <c r="F26" s="21">
        <v>71375</v>
      </c>
      <c r="G26" s="34">
        <v>0</v>
      </c>
      <c r="H26" s="272">
        <v>126</v>
      </c>
      <c r="I26" s="273"/>
      <c r="J26" s="21">
        <v>85</v>
      </c>
      <c r="K26" s="21">
        <v>6</v>
      </c>
      <c r="L26" s="20">
        <v>1068</v>
      </c>
      <c r="M26" s="21">
        <v>955</v>
      </c>
      <c r="N26" s="185">
        <v>688</v>
      </c>
      <c r="O26" s="20">
        <v>103059</v>
      </c>
      <c r="P26" s="19">
        <v>72415</v>
      </c>
    </row>
    <row r="27" spans="1:16" s="44" customFormat="1" ht="11">
      <c r="A27" s="23"/>
      <c r="B27" s="22">
        <v>5</v>
      </c>
      <c r="C27" s="274">
        <v>629</v>
      </c>
      <c r="D27" s="273"/>
      <c r="E27" s="21">
        <v>101715</v>
      </c>
      <c r="F27" s="21">
        <v>71850</v>
      </c>
      <c r="G27" s="34">
        <v>0</v>
      </c>
      <c r="H27" s="272">
        <v>125</v>
      </c>
      <c r="I27" s="273"/>
      <c r="J27" s="21">
        <v>86</v>
      </c>
      <c r="K27" s="21">
        <v>4</v>
      </c>
      <c r="L27" s="20">
        <v>1070</v>
      </c>
      <c r="M27" s="21">
        <v>961</v>
      </c>
      <c r="N27" s="185">
        <v>633</v>
      </c>
      <c r="O27" s="20">
        <v>102910</v>
      </c>
      <c r="P27" s="19">
        <v>72897</v>
      </c>
    </row>
    <row r="28" spans="1:16" s="44" customFormat="1" ht="11">
      <c r="A28" s="23"/>
      <c r="B28" s="22">
        <v>6</v>
      </c>
      <c r="C28" s="274">
        <v>674</v>
      </c>
      <c r="D28" s="273"/>
      <c r="E28" s="21">
        <v>102372</v>
      </c>
      <c r="F28" s="21">
        <v>72583</v>
      </c>
      <c r="G28" s="34">
        <v>0</v>
      </c>
      <c r="H28" s="272">
        <v>125</v>
      </c>
      <c r="I28" s="273"/>
      <c r="J28" s="21">
        <v>86</v>
      </c>
      <c r="K28" s="21">
        <v>3</v>
      </c>
      <c r="L28" s="20">
        <v>1073</v>
      </c>
      <c r="M28" s="21">
        <v>968</v>
      </c>
      <c r="N28" s="185">
        <v>677</v>
      </c>
      <c r="O28" s="20">
        <v>103570</v>
      </c>
      <c r="P28" s="19">
        <v>73637</v>
      </c>
    </row>
    <row r="29" spans="1:16" s="44" customFormat="1" ht="11">
      <c r="A29" s="23"/>
      <c r="B29" s="22">
        <v>7</v>
      </c>
      <c r="C29" s="274">
        <v>703</v>
      </c>
      <c r="D29" s="273"/>
      <c r="E29" s="21">
        <v>103033</v>
      </c>
      <c r="F29" s="21">
        <v>72895</v>
      </c>
      <c r="G29" s="34">
        <v>0</v>
      </c>
      <c r="H29" s="272">
        <v>125</v>
      </c>
      <c r="I29" s="273"/>
      <c r="J29" s="21">
        <v>83</v>
      </c>
      <c r="K29" s="21">
        <v>6</v>
      </c>
      <c r="L29" s="20">
        <v>1079</v>
      </c>
      <c r="M29" s="21">
        <v>964</v>
      </c>
      <c r="N29" s="185">
        <v>709</v>
      </c>
      <c r="O29" s="20">
        <v>104237</v>
      </c>
      <c r="P29" s="19">
        <v>73942</v>
      </c>
    </row>
    <row r="30" spans="1:16" s="44" customFormat="1" ht="11">
      <c r="A30" s="23"/>
      <c r="B30" s="22">
        <v>8</v>
      </c>
      <c r="C30" s="274">
        <v>571</v>
      </c>
      <c r="D30" s="273"/>
      <c r="E30" s="21">
        <v>102584</v>
      </c>
      <c r="F30" s="21">
        <v>73145</v>
      </c>
      <c r="G30" s="34">
        <v>0</v>
      </c>
      <c r="H30" s="272">
        <v>125</v>
      </c>
      <c r="I30" s="273"/>
      <c r="J30" s="21">
        <v>84</v>
      </c>
      <c r="K30" s="21">
        <v>4</v>
      </c>
      <c r="L30" s="20">
        <v>1080</v>
      </c>
      <c r="M30" s="21">
        <v>961</v>
      </c>
      <c r="N30" s="185">
        <v>575</v>
      </c>
      <c r="O30" s="20">
        <v>103789</v>
      </c>
      <c r="P30" s="19">
        <v>74190</v>
      </c>
    </row>
    <row r="31" spans="1:16" s="44" customFormat="1" ht="11">
      <c r="A31" s="23"/>
      <c r="B31" s="22">
        <v>9</v>
      </c>
      <c r="C31" s="274">
        <v>631</v>
      </c>
      <c r="D31" s="273"/>
      <c r="E31" s="21">
        <v>103192</v>
      </c>
      <c r="F31" s="21">
        <v>73445</v>
      </c>
      <c r="G31" s="34">
        <v>0</v>
      </c>
      <c r="H31" s="272">
        <v>125</v>
      </c>
      <c r="I31" s="273"/>
      <c r="J31" s="21">
        <v>84</v>
      </c>
      <c r="K31" s="21">
        <v>6</v>
      </c>
      <c r="L31" s="20">
        <v>1086</v>
      </c>
      <c r="M31" s="21">
        <v>964</v>
      </c>
      <c r="N31" s="185">
        <v>637</v>
      </c>
      <c r="O31" s="20">
        <v>104403</v>
      </c>
      <c r="P31" s="19">
        <v>74493</v>
      </c>
    </row>
    <row r="32" spans="1:16" s="44" customFormat="1" ht="11">
      <c r="A32" s="23"/>
      <c r="B32" s="22">
        <v>10</v>
      </c>
      <c r="C32" s="274">
        <v>605</v>
      </c>
      <c r="D32" s="273"/>
      <c r="E32" s="21">
        <v>103747</v>
      </c>
      <c r="F32" s="21">
        <v>73680</v>
      </c>
      <c r="G32" s="34">
        <v>0</v>
      </c>
      <c r="H32" s="272">
        <v>125</v>
      </c>
      <c r="I32" s="273"/>
      <c r="J32" s="21">
        <v>81</v>
      </c>
      <c r="K32" s="21">
        <v>10</v>
      </c>
      <c r="L32" s="20">
        <v>1096</v>
      </c>
      <c r="M32" s="21">
        <v>973</v>
      </c>
      <c r="N32" s="185">
        <v>615</v>
      </c>
      <c r="O32" s="20">
        <v>104968</v>
      </c>
      <c r="P32" s="19">
        <v>74734</v>
      </c>
    </row>
    <row r="33" spans="1:16" s="44" customFormat="1" ht="11">
      <c r="A33" s="23"/>
      <c r="B33" s="22">
        <v>11</v>
      </c>
      <c r="C33" s="274">
        <v>699</v>
      </c>
      <c r="D33" s="273"/>
      <c r="E33" s="21">
        <v>104429</v>
      </c>
      <c r="F33" s="21">
        <v>73989</v>
      </c>
      <c r="G33" s="34">
        <v>0</v>
      </c>
      <c r="H33" s="272">
        <v>125</v>
      </c>
      <c r="I33" s="273"/>
      <c r="J33" s="21">
        <v>81</v>
      </c>
      <c r="K33" s="21">
        <v>8</v>
      </c>
      <c r="L33" s="20">
        <v>1104</v>
      </c>
      <c r="M33" s="21">
        <v>974</v>
      </c>
      <c r="N33" s="185">
        <v>707</v>
      </c>
      <c r="O33" s="20">
        <v>105658</v>
      </c>
      <c r="P33" s="19">
        <v>75044</v>
      </c>
    </row>
    <row r="34" spans="1:16" s="44" customFormat="1" ht="11">
      <c r="A34" s="23"/>
      <c r="B34" s="22">
        <v>12</v>
      </c>
      <c r="C34" s="274">
        <v>556</v>
      </c>
      <c r="D34" s="273"/>
      <c r="E34" s="21">
        <v>104967</v>
      </c>
      <c r="F34" s="21">
        <v>74175</v>
      </c>
      <c r="G34" s="34">
        <v>0</v>
      </c>
      <c r="H34" s="272">
        <v>125</v>
      </c>
      <c r="I34" s="273"/>
      <c r="J34" s="21">
        <v>84</v>
      </c>
      <c r="K34" s="21">
        <v>9</v>
      </c>
      <c r="L34" s="20">
        <v>1113</v>
      </c>
      <c r="M34" s="21">
        <v>970</v>
      </c>
      <c r="N34" s="185">
        <v>565</v>
      </c>
      <c r="O34" s="20">
        <v>106205</v>
      </c>
      <c r="P34" s="19">
        <v>75229</v>
      </c>
    </row>
    <row r="35" spans="1:16" s="44" customFormat="1" ht="11">
      <c r="A35" s="23"/>
      <c r="B35" s="22"/>
      <c r="C35" s="274"/>
      <c r="D35" s="273"/>
      <c r="E35" s="20"/>
      <c r="F35" s="21"/>
      <c r="G35" s="34"/>
      <c r="H35" s="272"/>
      <c r="I35" s="273"/>
      <c r="J35" s="21"/>
      <c r="K35" s="20"/>
      <c r="L35" s="24"/>
      <c r="M35" s="21"/>
      <c r="N35" s="185"/>
      <c r="O35" s="20"/>
      <c r="P35" s="19"/>
    </row>
    <row r="36" spans="1:16" s="44" customFormat="1" ht="11">
      <c r="A36" s="23">
        <v>2023</v>
      </c>
      <c r="B36" s="22">
        <v>1</v>
      </c>
      <c r="C36" s="274">
        <v>348</v>
      </c>
      <c r="D36" s="273"/>
      <c r="E36" s="21">
        <v>105290</v>
      </c>
      <c r="F36" s="21">
        <v>74071</v>
      </c>
      <c r="G36" s="34">
        <v>0</v>
      </c>
      <c r="H36" s="272">
        <v>125</v>
      </c>
      <c r="I36" s="273"/>
      <c r="J36" s="21">
        <v>83</v>
      </c>
      <c r="K36" s="21">
        <v>4</v>
      </c>
      <c r="L36" s="20">
        <v>1117</v>
      </c>
      <c r="M36" s="21">
        <v>974</v>
      </c>
      <c r="N36" s="185">
        <v>352</v>
      </c>
      <c r="O36" s="20">
        <v>106532</v>
      </c>
      <c r="P36" s="19">
        <v>75128</v>
      </c>
    </row>
    <row r="37" spans="1:16" s="44" customFormat="1" ht="11">
      <c r="A37" s="23"/>
      <c r="B37" s="22">
        <v>2</v>
      </c>
      <c r="C37" s="274">
        <v>432</v>
      </c>
      <c r="D37" s="273"/>
      <c r="E37" s="21">
        <v>105694</v>
      </c>
      <c r="F37" s="21">
        <v>74730</v>
      </c>
      <c r="G37" s="34">
        <v>0</v>
      </c>
      <c r="H37" s="272">
        <v>125</v>
      </c>
      <c r="I37" s="273"/>
      <c r="J37" s="21">
        <v>85</v>
      </c>
      <c r="K37" s="21">
        <v>3</v>
      </c>
      <c r="L37" s="20">
        <v>1120</v>
      </c>
      <c r="M37" s="21">
        <v>974</v>
      </c>
      <c r="N37" s="185">
        <v>435</v>
      </c>
      <c r="O37" s="20">
        <v>106939</v>
      </c>
      <c r="P37" s="19">
        <v>75789</v>
      </c>
    </row>
    <row r="38" spans="1:16" s="44" customFormat="1" ht="11">
      <c r="A38" s="23"/>
      <c r="B38" s="22">
        <v>3</v>
      </c>
      <c r="C38" s="274">
        <v>502</v>
      </c>
      <c r="D38" s="273"/>
      <c r="E38" s="21">
        <v>106114</v>
      </c>
      <c r="F38" s="21">
        <v>74835</v>
      </c>
      <c r="G38" s="34">
        <v>1</v>
      </c>
      <c r="H38" s="272">
        <v>126</v>
      </c>
      <c r="I38" s="273"/>
      <c r="J38" s="21">
        <v>85</v>
      </c>
      <c r="K38" s="21">
        <v>2</v>
      </c>
      <c r="L38" s="20">
        <v>1122</v>
      </c>
      <c r="M38" s="21">
        <v>970</v>
      </c>
      <c r="N38" s="185">
        <v>505</v>
      </c>
      <c r="O38" s="20">
        <v>107362</v>
      </c>
      <c r="P38" s="19">
        <v>75890</v>
      </c>
    </row>
    <row r="39" spans="1:16" s="44" customFormat="1" ht="11">
      <c r="A39" s="23"/>
      <c r="B39" s="22">
        <v>4</v>
      </c>
      <c r="C39" s="274">
        <v>363</v>
      </c>
      <c r="D39" s="273"/>
      <c r="E39" s="21">
        <v>106450</v>
      </c>
      <c r="F39" s="21">
        <v>74174</v>
      </c>
      <c r="G39" s="34">
        <v>0</v>
      </c>
      <c r="H39" s="272">
        <v>126</v>
      </c>
      <c r="I39" s="273"/>
      <c r="J39" s="21">
        <v>80</v>
      </c>
      <c r="K39" s="21">
        <v>5</v>
      </c>
      <c r="L39" s="20">
        <v>1127</v>
      </c>
      <c r="M39" s="21">
        <v>962</v>
      </c>
      <c r="N39" s="185">
        <v>368</v>
      </c>
      <c r="O39" s="20">
        <v>107703</v>
      </c>
      <c r="P39" s="19">
        <v>75216</v>
      </c>
    </row>
    <row r="40" spans="1:16" s="44" customFormat="1" ht="11">
      <c r="A40" s="23"/>
      <c r="B40" s="22">
        <v>5</v>
      </c>
      <c r="C40" s="274">
        <v>452</v>
      </c>
      <c r="D40" s="273"/>
      <c r="E40" s="21">
        <v>106787</v>
      </c>
      <c r="F40" s="21">
        <v>74113</v>
      </c>
      <c r="G40" s="34">
        <v>1</v>
      </c>
      <c r="H40" s="272">
        <v>127</v>
      </c>
      <c r="I40" s="273"/>
      <c r="J40" s="21">
        <v>85</v>
      </c>
      <c r="K40" s="21">
        <v>4</v>
      </c>
      <c r="L40" s="20">
        <v>1130</v>
      </c>
      <c r="M40" s="21">
        <v>967</v>
      </c>
      <c r="N40" s="185">
        <v>457</v>
      </c>
      <c r="O40" s="20">
        <v>108044</v>
      </c>
      <c r="P40" s="19">
        <v>75165</v>
      </c>
    </row>
    <row r="41" spans="1:16" s="44" customFormat="1" ht="11">
      <c r="A41" s="23"/>
      <c r="B41" s="22">
        <v>6</v>
      </c>
      <c r="C41" s="274">
        <v>492</v>
      </c>
      <c r="D41" s="273"/>
      <c r="E41" s="21">
        <v>107237</v>
      </c>
      <c r="F41" s="21">
        <v>73925</v>
      </c>
      <c r="G41" s="34">
        <v>0</v>
      </c>
      <c r="H41" s="272">
        <v>127</v>
      </c>
      <c r="I41" s="273"/>
      <c r="J41" s="21">
        <v>85</v>
      </c>
      <c r="K41" s="21">
        <v>4</v>
      </c>
      <c r="L41" s="20">
        <v>1134</v>
      </c>
      <c r="M41" s="21">
        <v>959</v>
      </c>
      <c r="N41" s="185">
        <v>496</v>
      </c>
      <c r="O41" s="20">
        <v>108498</v>
      </c>
      <c r="P41" s="19">
        <v>74969</v>
      </c>
    </row>
    <row r="42" spans="1:16" s="44" customFormat="1" ht="11">
      <c r="A42" s="23"/>
      <c r="B42" s="22">
        <v>7</v>
      </c>
      <c r="C42" s="274">
        <v>403</v>
      </c>
      <c r="D42" s="273"/>
      <c r="E42" s="21">
        <v>107613</v>
      </c>
      <c r="F42" s="21">
        <v>73655</v>
      </c>
      <c r="G42" s="34">
        <v>0</v>
      </c>
      <c r="H42" s="272">
        <v>127</v>
      </c>
      <c r="I42" s="273"/>
      <c r="J42" s="21">
        <v>85</v>
      </c>
      <c r="K42" s="21">
        <v>5</v>
      </c>
      <c r="L42" s="20">
        <v>1139</v>
      </c>
      <c r="M42" s="21">
        <v>949</v>
      </c>
      <c r="N42" s="185">
        <v>408</v>
      </c>
      <c r="O42" s="20">
        <v>108879</v>
      </c>
      <c r="P42" s="19">
        <v>74689</v>
      </c>
    </row>
    <row r="43" spans="1:16" s="44" customFormat="1" ht="11" collapsed="1">
      <c r="A43" s="18"/>
      <c r="B43" s="17"/>
      <c r="C43" s="271"/>
      <c r="D43" s="265"/>
      <c r="E43" s="12"/>
      <c r="F43" s="15"/>
      <c r="G43" s="79"/>
      <c r="H43" s="264"/>
      <c r="I43" s="265"/>
      <c r="J43" s="15"/>
      <c r="K43" s="13"/>
      <c r="L43" s="16"/>
      <c r="M43" s="15"/>
      <c r="N43" s="14"/>
      <c r="O43" s="12"/>
      <c r="P43" s="11"/>
    </row>
    <row r="44" spans="1:16" s="44" customFormat="1" ht="11">
      <c r="C44" s="266"/>
      <c r="D44" s="266"/>
      <c r="E44" s="186"/>
      <c r="H44" s="266"/>
      <c r="I44" s="266"/>
    </row>
    <row r="45" spans="1:16" s="44" customFormat="1" ht="12">
      <c r="A45" s="187" t="s">
        <v>105</v>
      </c>
      <c r="B45" s="269" t="s">
        <v>106</v>
      </c>
      <c r="C45" s="269"/>
      <c r="D45" s="269" t="s">
        <v>107</v>
      </c>
      <c r="E45" s="269"/>
      <c r="F45" s="269"/>
      <c r="G45" s="269"/>
      <c r="H45" s="270"/>
      <c r="J45" s="189" t="s">
        <v>108</v>
      </c>
      <c r="K45" s="132" t="s">
        <v>109</v>
      </c>
      <c r="L45" s="267" t="s">
        <v>110</v>
      </c>
      <c r="M45" s="268"/>
      <c r="N45" s="268"/>
      <c r="O45" s="268"/>
      <c r="P45" s="268"/>
    </row>
    <row r="46" spans="1:16" s="44" customFormat="1" ht="12">
      <c r="A46" s="135"/>
      <c r="B46" s="190"/>
      <c r="D46" s="269"/>
      <c r="E46" s="269"/>
      <c r="F46" s="269"/>
      <c r="G46" s="269"/>
      <c r="H46" s="270"/>
      <c r="J46" s="132"/>
      <c r="K46" s="191"/>
      <c r="L46" s="268"/>
      <c r="M46" s="268"/>
      <c r="N46" s="268"/>
      <c r="O46" s="268"/>
      <c r="P46" s="268"/>
    </row>
    <row r="47" spans="1:16" s="44" customFormat="1" ht="11">
      <c r="A47" s="135"/>
      <c r="D47" s="269"/>
      <c r="E47" s="269"/>
      <c r="F47" s="269"/>
      <c r="G47" s="269"/>
      <c r="H47" s="270"/>
      <c r="K47" s="191"/>
      <c r="L47" s="268"/>
      <c r="M47" s="268"/>
      <c r="N47" s="268"/>
      <c r="O47" s="268"/>
      <c r="P47" s="268"/>
    </row>
    <row r="48" spans="1:16">
      <c r="A48" s="44"/>
      <c r="B48" s="44"/>
      <c r="C48" s="192"/>
      <c r="D48" s="44"/>
      <c r="E48" s="44"/>
      <c r="F48" s="44"/>
      <c r="G48" s="44"/>
      <c r="H48" s="44"/>
      <c r="I48" s="44"/>
      <c r="J48" s="44"/>
      <c r="K48" s="132"/>
      <c r="L48" s="132"/>
      <c r="M48" s="132"/>
      <c r="N48" s="132"/>
      <c r="O48" s="132"/>
    </row>
    <row r="49" spans="1:16" ht="14">
      <c r="A49" s="128" t="s">
        <v>111</v>
      </c>
      <c r="B49" s="269" t="s">
        <v>112</v>
      </c>
      <c r="C49" s="269"/>
      <c r="D49" s="269" t="s">
        <v>113</v>
      </c>
      <c r="E49" s="269"/>
      <c r="F49" s="269"/>
      <c r="G49" s="269"/>
      <c r="H49" s="270"/>
      <c r="J49" s="128" t="s">
        <v>111</v>
      </c>
      <c r="K49" s="132" t="s">
        <v>114</v>
      </c>
      <c r="L49" s="267" t="s">
        <v>115</v>
      </c>
      <c r="M49" s="268"/>
      <c r="N49" s="268"/>
      <c r="O49" s="268"/>
      <c r="P49" s="268"/>
    </row>
    <row r="50" spans="1:16">
      <c r="A50" s="44"/>
      <c r="B50" s="44"/>
      <c r="C50" s="44"/>
      <c r="D50" s="269"/>
      <c r="E50" s="269"/>
      <c r="F50" s="269"/>
      <c r="G50" s="269"/>
      <c r="H50" s="270"/>
      <c r="I50" s="44"/>
      <c r="J50" s="132"/>
      <c r="K50" s="191"/>
      <c r="L50" s="191"/>
      <c r="M50" s="191"/>
      <c r="N50" s="191"/>
      <c r="O50" s="191"/>
      <c r="P50" s="191"/>
    </row>
    <row r="51" spans="1:16" ht="14">
      <c r="A51" s="128" t="s">
        <v>116</v>
      </c>
      <c r="B51" s="269" t="s">
        <v>117</v>
      </c>
      <c r="C51" s="270"/>
      <c r="D51" s="270"/>
      <c r="E51" s="270"/>
      <c r="F51" s="270"/>
      <c r="G51" s="270"/>
      <c r="H51" s="270"/>
      <c r="J51" s="128" t="s">
        <v>116</v>
      </c>
      <c r="K51" s="267" t="s">
        <v>118</v>
      </c>
      <c r="L51" s="268"/>
      <c r="M51" s="268"/>
      <c r="N51" s="268"/>
      <c r="O51" s="268"/>
      <c r="P51" s="268"/>
    </row>
    <row r="52" spans="1:16">
      <c r="A52" s="44"/>
      <c r="B52" s="44"/>
      <c r="C52" s="44"/>
      <c r="D52" s="188"/>
      <c r="E52" s="188"/>
      <c r="F52" s="188"/>
      <c r="G52" s="188"/>
      <c r="H52" s="44"/>
      <c r="I52" s="44"/>
      <c r="J52" s="132"/>
      <c r="K52" s="191"/>
      <c r="L52" s="191"/>
      <c r="M52" s="191"/>
      <c r="N52" s="191"/>
      <c r="O52" s="191"/>
      <c r="P52" s="191"/>
    </row>
    <row r="53" spans="1:16">
      <c r="A53" s="44"/>
      <c r="B53" s="44"/>
      <c r="C53" s="44"/>
      <c r="D53" s="193"/>
      <c r="E53" s="193"/>
      <c r="F53" s="193"/>
      <c r="G53" s="193"/>
      <c r="H53" s="44"/>
      <c r="I53" s="44"/>
      <c r="J53" s="193"/>
      <c r="K53" s="132"/>
      <c r="L53" s="132"/>
      <c r="M53" s="132"/>
      <c r="N53" s="132"/>
      <c r="O53" s="132"/>
    </row>
    <row r="54" spans="1:16">
      <c r="A54" s="44"/>
      <c r="B54" s="44"/>
      <c r="C54" s="44"/>
      <c r="D54" s="193"/>
      <c r="E54" s="193"/>
      <c r="F54" s="193"/>
      <c r="G54" s="193"/>
      <c r="H54" s="132"/>
      <c r="I54" s="84"/>
      <c r="J54" s="44"/>
      <c r="K54" s="193"/>
      <c r="L54" s="194"/>
      <c r="M54" s="194"/>
      <c r="N54" s="194"/>
      <c r="O54" s="194"/>
      <c r="P54" s="194"/>
    </row>
    <row r="55" spans="1:16">
      <c r="A55" s="127"/>
      <c r="B55" s="193"/>
      <c r="C55" s="193"/>
      <c r="D55" s="193"/>
      <c r="E55" s="193"/>
      <c r="F55" s="193"/>
      <c r="G55" s="193"/>
      <c r="H55" s="44"/>
      <c r="I55" s="44"/>
      <c r="J55" s="127"/>
      <c r="K55" s="44"/>
      <c r="L55" s="44"/>
      <c r="M55" s="44"/>
      <c r="N55" s="44"/>
      <c r="O55" s="44"/>
      <c r="P55" s="44"/>
    </row>
    <row r="56" spans="1:16">
      <c r="A56" s="44"/>
      <c r="B56" s="193"/>
      <c r="C56" s="193"/>
      <c r="D56" s="193"/>
      <c r="E56" s="193"/>
      <c r="F56" s="193"/>
      <c r="G56" s="193"/>
      <c r="H56" s="44"/>
      <c r="I56" s="84"/>
      <c r="J56" s="84"/>
      <c r="K56" s="44"/>
      <c r="L56" s="44"/>
      <c r="M56" s="44"/>
      <c r="N56" s="44"/>
      <c r="O56" s="44"/>
      <c r="P56" s="44"/>
    </row>
    <row r="57" spans="1:16">
      <c r="A57" s="44"/>
      <c r="B57" s="193"/>
      <c r="C57" s="193"/>
      <c r="D57" s="193"/>
      <c r="E57" s="193"/>
      <c r="F57" s="193"/>
      <c r="G57" s="193"/>
      <c r="H57" s="44"/>
      <c r="I57" s="84"/>
      <c r="J57" s="44"/>
      <c r="K57" s="44"/>
      <c r="L57" s="44"/>
      <c r="M57" s="44"/>
      <c r="N57" s="44"/>
      <c r="O57" s="44"/>
      <c r="P57" s="44"/>
    </row>
    <row r="58" spans="1:16">
      <c r="A58" s="44"/>
      <c r="B58" s="44"/>
      <c r="C58" s="44"/>
      <c r="D58" s="44"/>
      <c r="E58" s="44"/>
      <c r="F58" s="44"/>
      <c r="G58" s="44"/>
      <c r="H58" s="44"/>
      <c r="I58" s="44"/>
      <c r="J58" s="44"/>
      <c r="K58" s="44"/>
      <c r="L58" s="44"/>
      <c r="M58" s="44"/>
      <c r="N58" s="44"/>
      <c r="O58" s="44"/>
      <c r="P58" s="44"/>
    </row>
    <row r="59" spans="1:16">
      <c r="A59" s="44"/>
      <c r="B59" s="44"/>
      <c r="C59" s="44"/>
      <c r="D59" s="44"/>
      <c r="E59" s="44"/>
      <c r="F59" s="44"/>
      <c r="G59" s="44"/>
      <c r="H59" s="44"/>
      <c r="I59" s="44"/>
      <c r="J59" s="44"/>
      <c r="K59" s="44"/>
      <c r="L59" s="44"/>
      <c r="M59" s="44"/>
      <c r="N59" s="44"/>
      <c r="O59" s="44"/>
      <c r="P59" s="44"/>
    </row>
    <row r="60" spans="1:16">
      <c r="A60" s="44"/>
      <c r="B60" s="44"/>
      <c r="C60" s="44"/>
      <c r="D60" s="44"/>
      <c r="E60" s="44"/>
      <c r="F60" s="44"/>
      <c r="G60" s="44"/>
      <c r="H60" s="44"/>
      <c r="I60" s="44"/>
      <c r="J60" s="44"/>
      <c r="K60" s="44"/>
      <c r="L60" s="44"/>
      <c r="M60" s="44"/>
      <c r="N60" s="44"/>
      <c r="O60" s="44"/>
      <c r="P60" s="44"/>
    </row>
  </sheetData>
  <mergeCells count="84">
    <mergeCell ref="C38:D38"/>
    <mergeCell ref="C26:D26"/>
    <mergeCell ref="C28:D28"/>
    <mergeCell ref="C27:D27"/>
    <mergeCell ref="C41:D41"/>
    <mergeCell ref="C40:D40"/>
    <mergeCell ref="C39:D39"/>
    <mergeCell ref="C31:D31"/>
    <mergeCell ref="C34:D34"/>
    <mergeCell ref="C13:D13"/>
    <mergeCell ref="C15:D15"/>
    <mergeCell ref="C23:D23"/>
    <mergeCell ref="C18:D18"/>
    <mergeCell ref="C16:D16"/>
    <mergeCell ref="C20:D20"/>
    <mergeCell ref="K10:M10"/>
    <mergeCell ref="N10:P10"/>
    <mergeCell ref="C25:D25"/>
    <mergeCell ref="C11:D11"/>
    <mergeCell ref="H16:I16"/>
    <mergeCell ref="H17:I17"/>
    <mergeCell ref="H18:I18"/>
    <mergeCell ref="H20:I20"/>
    <mergeCell ref="H21:I21"/>
    <mergeCell ref="H22:I22"/>
    <mergeCell ref="H23:I23"/>
    <mergeCell ref="C24:D24"/>
    <mergeCell ref="C17:D17"/>
    <mergeCell ref="C22:D22"/>
    <mergeCell ref="C10:F10"/>
    <mergeCell ref="C21:D21"/>
    <mergeCell ref="C42:D42"/>
    <mergeCell ref="C36:D36"/>
    <mergeCell ref="C37:D37"/>
    <mergeCell ref="A1:P1"/>
    <mergeCell ref="A2:P2"/>
    <mergeCell ref="C7:P7"/>
    <mergeCell ref="C8:P8"/>
    <mergeCell ref="C9:F9"/>
    <mergeCell ref="G9:J9"/>
    <mergeCell ref="K9:M9"/>
    <mergeCell ref="N9:P9"/>
    <mergeCell ref="H11:I11"/>
    <mergeCell ref="C12:D12"/>
    <mergeCell ref="H12:I12"/>
    <mergeCell ref="H13:I13"/>
    <mergeCell ref="G10:J10"/>
    <mergeCell ref="H15:I15"/>
    <mergeCell ref="H24:I24"/>
    <mergeCell ref="H25:I25"/>
    <mergeCell ref="H26:I26"/>
    <mergeCell ref="H27:I27"/>
    <mergeCell ref="H28:I28"/>
    <mergeCell ref="C29:D29"/>
    <mergeCell ref="H29:I29"/>
    <mergeCell ref="C30:D30"/>
    <mergeCell ref="H30:I30"/>
    <mergeCell ref="H31:I31"/>
    <mergeCell ref="C32:D32"/>
    <mergeCell ref="H32:I32"/>
    <mergeCell ref="C33:D33"/>
    <mergeCell ref="H33:I33"/>
    <mergeCell ref="H34:I34"/>
    <mergeCell ref="H35:I35"/>
    <mergeCell ref="H36:I36"/>
    <mergeCell ref="H37:I37"/>
    <mergeCell ref="C35:D35"/>
    <mergeCell ref="H38:I38"/>
    <mergeCell ref="H39:I39"/>
    <mergeCell ref="H40:I40"/>
    <mergeCell ref="H41:I41"/>
    <mergeCell ref="H42:I42"/>
    <mergeCell ref="H43:I43"/>
    <mergeCell ref="H44:I44"/>
    <mergeCell ref="K51:P51"/>
    <mergeCell ref="D45:H47"/>
    <mergeCell ref="L45:P47"/>
    <mergeCell ref="C44:D44"/>
    <mergeCell ref="C43:D43"/>
    <mergeCell ref="B49:C49"/>
    <mergeCell ref="D49:H50"/>
    <mergeCell ref="L49:P49"/>
    <mergeCell ref="B51:H51"/>
    <mergeCell ref="B45:C45"/>
  </mergeCells>
  <phoneticPr fontId="57" type="noConversion"/>
  <printOptions horizontalCentered="1" verticalCentered="1"/>
  <pageMargins left="0.59055118110236227" right="0.59055118110236227" top="0.39370078740157483" bottom="0.39370078740157483" header="0.51181102362204722" footer="0.51181102362204722"/>
  <pageSetup paperSize="9" scale="8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F5356-EB93-45B0-A0A2-DF4F04F23481}">
  <sheetPr codeName="Module___2"/>
  <dimension ref="A3:Q91"/>
  <sheetViews>
    <sheetView topLeftCell="A20" zoomScale="120" zoomScaleNormal="120" workbookViewId="0">
      <selection activeCell="Q18" sqref="Q18"/>
    </sheetView>
  </sheetViews>
  <sheetFormatPr baseColWidth="10" defaultColWidth="9.19921875" defaultRowHeight="13"/>
  <cols>
    <col min="1" max="16384" width="9.19921875" style="10"/>
  </cols>
  <sheetData>
    <row r="3" spans="1:17" ht="16">
      <c r="A3" s="33" t="s">
        <v>74</v>
      </c>
      <c r="B3" s="40"/>
      <c r="C3" s="39" t="s">
        <v>119</v>
      </c>
      <c r="D3" s="40"/>
      <c r="E3" s="40"/>
      <c r="F3" s="40"/>
      <c r="G3" s="40"/>
      <c r="H3" s="39"/>
      <c r="I3" s="39"/>
      <c r="J3" s="39"/>
      <c r="K3" s="39"/>
      <c r="L3" s="40"/>
      <c r="M3" s="40"/>
      <c r="N3" s="40"/>
      <c r="O3" s="40"/>
      <c r="P3" s="40"/>
      <c r="Q3" s="176">
        <v>202307</v>
      </c>
    </row>
    <row r="4" spans="1:17" ht="16">
      <c r="A4" s="31" t="s">
        <v>76</v>
      </c>
      <c r="B4" s="40"/>
      <c r="C4" s="39" t="s">
        <v>120</v>
      </c>
      <c r="D4" s="40"/>
      <c r="E4" s="40"/>
      <c r="F4" s="40"/>
      <c r="G4" s="40"/>
      <c r="H4" s="39"/>
      <c r="I4" s="39"/>
      <c r="J4" s="39"/>
      <c r="K4" s="39"/>
      <c r="L4" s="40"/>
      <c r="M4" s="40"/>
      <c r="N4" s="40"/>
      <c r="O4" s="40"/>
      <c r="P4" s="40"/>
      <c r="Q4" s="195"/>
    </row>
    <row r="5" spans="1:17">
      <c r="A5" s="42"/>
      <c r="B5" s="43"/>
      <c r="C5" s="303"/>
      <c r="D5" s="266"/>
      <c r="E5" s="266"/>
      <c r="F5" s="266"/>
      <c r="G5" s="266"/>
      <c r="H5" s="266"/>
      <c r="I5" s="266"/>
      <c r="J5" s="266"/>
      <c r="K5" s="266"/>
      <c r="L5" s="266"/>
      <c r="M5" s="266"/>
      <c r="N5" s="266"/>
      <c r="O5" s="266"/>
      <c r="P5" s="266"/>
      <c r="Q5" s="281"/>
    </row>
    <row r="6" spans="1:17">
      <c r="A6" s="45"/>
      <c r="B6" s="46"/>
      <c r="C6" s="285" t="s">
        <v>121</v>
      </c>
      <c r="D6" s="288"/>
      <c r="E6" s="288"/>
      <c r="F6" s="288"/>
      <c r="G6" s="288"/>
      <c r="H6" s="288"/>
      <c r="I6" s="288"/>
      <c r="J6" s="288"/>
      <c r="K6" s="288"/>
      <c r="L6" s="288"/>
      <c r="M6" s="288"/>
      <c r="N6" s="288"/>
      <c r="O6" s="288"/>
      <c r="P6" s="288"/>
      <c r="Q6" s="304"/>
    </row>
    <row r="7" spans="1:17">
      <c r="A7" s="47"/>
      <c r="B7" s="46"/>
      <c r="C7" s="292" t="s">
        <v>122</v>
      </c>
      <c r="D7" s="286"/>
      <c r="E7" s="286"/>
      <c r="F7" s="286"/>
      <c r="G7" s="286"/>
      <c r="H7" s="286"/>
      <c r="I7" s="286"/>
      <c r="J7" s="286"/>
      <c r="K7" s="286"/>
      <c r="L7" s="286"/>
      <c r="M7" s="286"/>
      <c r="N7" s="286"/>
      <c r="O7" s="286"/>
      <c r="P7" s="286"/>
      <c r="Q7" s="305"/>
    </row>
    <row r="8" spans="1:17">
      <c r="A8" s="48"/>
      <c r="B8" s="49"/>
      <c r="C8" s="306" t="s">
        <v>123</v>
      </c>
      <c r="D8" s="306"/>
      <c r="E8" s="307"/>
      <c r="F8" s="308" t="s">
        <v>124</v>
      </c>
      <c r="G8" s="306"/>
      <c r="H8" s="307"/>
      <c r="I8" s="308" t="s">
        <v>125</v>
      </c>
      <c r="J8" s="306"/>
      <c r="K8" s="307"/>
      <c r="L8" s="301" t="s">
        <v>126</v>
      </c>
      <c r="M8" s="300"/>
      <c r="N8" s="300"/>
      <c r="O8" s="309" t="s">
        <v>127</v>
      </c>
      <c r="P8" s="306"/>
      <c r="Q8" s="310"/>
    </row>
    <row r="9" spans="1:17">
      <c r="A9" s="53"/>
      <c r="B9" s="49"/>
      <c r="C9" s="312" t="s">
        <v>128</v>
      </c>
      <c r="D9" s="312"/>
      <c r="E9" s="313"/>
      <c r="F9" s="311" t="s">
        <v>129</v>
      </c>
      <c r="G9" s="312"/>
      <c r="H9" s="313"/>
      <c r="I9" s="311" t="s">
        <v>130</v>
      </c>
      <c r="J9" s="312"/>
      <c r="K9" s="313"/>
      <c r="L9" s="311" t="s">
        <v>131</v>
      </c>
      <c r="M9" s="312"/>
      <c r="N9" s="312"/>
      <c r="O9" s="314" t="s">
        <v>89</v>
      </c>
      <c r="P9" s="312"/>
      <c r="Q9" s="315"/>
    </row>
    <row r="10" spans="1:17">
      <c r="A10" s="48" t="s">
        <v>90</v>
      </c>
      <c r="B10" s="49"/>
      <c r="C10" s="196" t="s">
        <v>91</v>
      </c>
      <c r="D10" s="197" t="s">
        <v>92</v>
      </c>
      <c r="E10" s="197" t="s">
        <v>93</v>
      </c>
      <c r="F10" s="197" t="s">
        <v>91</v>
      </c>
      <c r="G10" s="197" t="s">
        <v>92</v>
      </c>
      <c r="H10" s="197" t="s">
        <v>93</v>
      </c>
      <c r="I10" s="197" t="s">
        <v>91</v>
      </c>
      <c r="J10" s="197" t="s">
        <v>92</v>
      </c>
      <c r="K10" s="197" t="s">
        <v>93</v>
      </c>
      <c r="L10" s="197" t="s">
        <v>91</v>
      </c>
      <c r="M10" s="197" t="s">
        <v>92</v>
      </c>
      <c r="N10" s="197" t="s">
        <v>93</v>
      </c>
      <c r="O10" s="196" t="s">
        <v>91</v>
      </c>
      <c r="P10" s="197" t="s">
        <v>94</v>
      </c>
      <c r="Q10" s="198" t="s">
        <v>95</v>
      </c>
    </row>
    <row r="11" spans="1:17" ht="24">
      <c r="A11" s="199" t="s">
        <v>97</v>
      </c>
      <c r="B11" s="200"/>
      <c r="C11" s="201" t="s">
        <v>98</v>
      </c>
      <c r="D11" s="202" t="s">
        <v>99</v>
      </c>
      <c r="E11" s="202" t="s">
        <v>100</v>
      </c>
      <c r="F11" s="202" t="s">
        <v>98</v>
      </c>
      <c r="G11" s="202" t="s">
        <v>99</v>
      </c>
      <c r="H11" s="202" t="s">
        <v>100</v>
      </c>
      <c r="I11" s="202" t="s">
        <v>98</v>
      </c>
      <c r="J11" s="202" t="s">
        <v>99</v>
      </c>
      <c r="K11" s="202" t="s">
        <v>100</v>
      </c>
      <c r="L11" s="202" t="s">
        <v>98</v>
      </c>
      <c r="M11" s="202" t="s">
        <v>102</v>
      </c>
      <c r="N11" s="202" t="s">
        <v>100</v>
      </c>
      <c r="O11" s="201" t="s">
        <v>101</v>
      </c>
      <c r="P11" s="202" t="s">
        <v>102</v>
      </c>
      <c r="Q11" s="203" t="s">
        <v>103</v>
      </c>
    </row>
    <row r="12" spans="1:17">
      <c r="A12" s="53"/>
      <c r="B12" s="49"/>
      <c r="C12" s="204"/>
      <c r="D12" s="205"/>
      <c r="E12" s="205"/>
      <c r="F12" s="205"/>
      <c r="G12" s="205"/>
      <c r="H12" s="205"/>
      <c r="I12" s="205"/>
      <c r="J12" s="205"/>
      <c r="K12" s="205"/>
      <c r="L12" s="205"/>
      <c r="M12" s="205"/>
      <c r="N12" s="205"/>
      <c r="O12" s="206"/>
      <c r="P12" s="205"/>
      <c r="Q12" s="207"/>
    </row>
    <row r="13" spans="1:17">
      <c r="A13" s="53"/>
      <c r="B13" s="49"/>
      <c r="C13" s="204"/>
      <c r="D13" s="205"/>
      <c r="E13" s="205"/>
      <c r="F13" s="205"/>
      <c r="G13" s="205"/>
      <c r="H13" s="205"/>
      <c r="I13" s="205"/>
      <c r="J13" s="205"/>
      <c r="K13" s="205"/>
      <c r="L13" s="205"/>
      <c r="M13" s="205"/>
      <c r="N13" s="205"/>
      <c r="O13" s="206"/>
      <c r="P13" s="205"/>
      <c r="Q13" s="207"/>
    </row>
    <row r="14" spans="1:17">
      <c r="A14" s="29">
        <v>2018</v>
      </c>
      <c r="B14" s="46"/>
      <c r="C14" s="91">
        <v>41551</v>
      </c>
      <c r="D14" s="91">
        <v>594526</v>
      </c>
      <c r="E14" s="91">
        <v>543084</v>
      </c>
      <c r="F14" s="208">
        <v>471</v>
      </c>
      <c r="G14" s="91">
        <v>11080</v>
      </c>
      <c r="H14" s="91">
        <v>10670</v>
      </c>
      <c r="I14" s="91">
        <v>265</v>
      </c>
      <c r="J14" s="91">
        <v>11999</v>
      </c>
      <c r="K14" s="91">
        <v>11399</v>
      </c>
      <c r="L14" s="91">
        <v>0</v>
      </c>
      <c r="M14" s="91">
        <v>78</v>
      </c>
      <c r="N14" s="109">
        <v>60</v>
      </c>
      <c r="O14" s="93">
        <v>42287</v>
      </c>
      <c r="P14" s="91">
        <v>617683</v>
      </c>
      <c r="Q14" s="95">
        <v>565213</v>
      </c>
    </row>
    <row r="15" spans="1:17">
      <c r="A15" s="29">
        <v>2019</v>
      </c>
      <c r="B15" s="46"/>
      <c r="C15" s="91">
        <v>35858</v>
      </c>
      <c r="D15" s="91">
        <v>602708</v>
      </c>
      <c r="E15" s="91">
        <v>549435</v>
      </c>
      <c r="F15" s="208">
        <v>2423</v>
      </c>
      <c r="G15" s="91">
        <v>13447</v>
      </c>
      <c r="H15" s="91">
        <v>13120</v>
      </c>
      <c r="I15" s="91">
        <v>28</v>
      </c>
      <c r="J15" s="91">
        <v>11981</v>
      </c>
      <c r="K15" s="91">
        <v>11312</v>
      </c>
      <c r="L15" s="91">
        <v>0</v>
      </c>
      <c r="M15" s="91">
        <v>94</v>
      </c>
      <c r="N15" s="109">
        <v>65</v>
      </c>
      <c r="O15" s="93">
        <v>38309</v>
      </c>
      <c r="P15" s="91">
        <v>628230</v>
      </c>
      <c r="Q15" s="95">
        <v>573932</v>
      </c>
    </row>
    <row r="16" spans="1:17">
      <c r="A16" s="29">
        <v>2020</v>
      </c>
      <c r="B16" s="46"/>
      <c r="C16" s="91">
        <v>32441</v>
      </c>
      <c r="D16" s="91">
        <v>621288</v>
      </c>
      <c r="E16" s="91">
        <v>544375</v>
      </c>
      <c r="F16" s="208">
        <v>4595</v>
      </c>
      <c r="G16" s="91">
        <v>17998</v>
      </c>
      <c r="H16" s="91">
        <v>17352</v>
      </c>
      <c r="I16" s="91">
        <v>0</v>
      </c>
      <c r="J16" s="91">
        <v>11968</v>
      </c>
      <c r="K16" s="91">
        <v>11197</v>
      </c>
      <c r="L16" s="91">
        <v>0</v>
      </c>
      <c r="M16" s="91">
        <v>104</v>
      </c>
      <c r="N16" s="109">
        <v>79</v>
      </c>
      <c r="O16" s="93">
        <v>37036</v>
      </c>
      <c r="P16" s="91">
        <v>651358</v>
      </c>
      <c r="Q16" s="95">
        <v>573003</v>
      </c>
    </row>
    <row r="17" spans="1:17">
      <c r="A17" s="29">
        <v>2021</v>
      </c>
      <c r="B17" s="46"/>
      <c r="C17" s="91">
        <v>29724</v>
      </c>
      <c r="D17" s="91">
        <v>617599</v>
      </c>
      <c r="E17" s="91">
        <v>542951</v>
      </c>
      <c r="F17" s="208">
        <v>9583</v>
      </c>
      <c r="G17" s="91">
        <v>27358</v>
      </c>
      <c r="H17" s="91">
        <v>26833</v>
      </c>
      <c r="I17" s="91">
        <v>2</v>
      </c>
      <c r="J17" s="91">
        <v>11906</v>
      </c>
      <c r="K17" s="91">
        <v>11150</v>
      </c>
      <c r="L17" s="91">
        <v>0</v>
      </c>
      <c r="M17" s="91">
        <v>110</v>
      </c>
      <c r="N17" s="109">
        <v>78</v>
      </c>
      <c r="O17" s="93">
        <v>39309</v>
      </c>
      <c r="P17" s="91">
        <v>656973</v>
      </c>
      <c r="Q17" s="95">
        <v>581012</v>
      </c>
    </row>
    <row r="18" spans="1:17">
      <c r="A18" s="29">
        <v>2022</v>
      </c>
      <c r="B18" s="46"/>
      <c r="C18" s="91">
        <v>17683</v>
      </c>
      <c r="D18" s="91">
        <v>591012</v>
      </c>
      <c r="E18" s="91">
        <v>514700</v>
      </c>
      <c r="F18" s="208">
        <v>19795</v>
      </c>
      <c r="G18" s="91">
        <v>46565</v>
      </c>
      <c r="H18" s="91">
        <v>45726</v>
      </c>
      <c r="I18" s="91">
        <v>0</v>
      </c>
      <c r="J18" s="91">
        <v>11849</v>
      </c>
      <c r="K18" s="91">
        <v>10919</v>
      </c>
      <c r="L18" s="91">
        <v>0</v>
      </c>
      <c r="M18" s="91">
        <v>114</v>
      </c>
      <c r="N18" s="109">
        <v>67</v>
      </c>
      <c r="O18" s="93">
        <v>37478</v>
      </c>
      <c r="P18" s="91">
        <v>649540</v>
      </c>
      <c r="Q18" s="95">
        <v>571412</v>
      </c>
    </row>
    <row r="19" spans="1:17">
      <c r="A19" s="23"/>
      <c r="B19" s="22"/>
      <c r="C19" s="86"/>
      <c r="D19" s="86"/>
      <c r="E19" s="86"/>
      <c r="F19" s="86"/>
      <c r="G19" s="86"/>
      <c r="H19" s="86"/>
      <c r="I19" s="86"/>
      <c r="J19" s="86"/>
      <c r="K19" s="86"/>
      <c r="L19" s="86"/>
      <c r="M19" s="86"/>
      <c r="N19" s="110"/>
      <c r="O19" s="85"/>
      <c r="P19" s="86"/>
      <c r="Q19" s="87"/>
    </row>
    <row r="20" spans="1:17">
      <c r="A20" s="23"/>
      <c r="B20" s="22"/>
      <c r="C20" s="86"/>
      <c r="D20" s="86"/>
      <c r="E20" s="86"/>
      <c r="F20" s="86"/>
      <c r="G20" s="86"/>
      <c r="H20" s="86"/>
      <c r="I20" s="86"/>
      <c r="J20" s="86"/>
      <c r="K20" s="86"/>
      <c r="L20" s="86"/>
      <c r="M20" s="86"/>
      <c r="N20" s="110"/>
      <c r="O20" s="85"/>
      <c r="P20" s="86"/>
      <c r="Q20" s="87"/>
    </row>
    <row r="21" spans="1:17">
      <c r="A21" s="23"/>
      <c r="B21" s="22"/>
      <c r="C21" s="86"/>
      <c r="D21" s="86"/>
      <c r="E21" s="86"/>
      <c r="F21" s="86"/>
      <c r="G21" s="86"/>
      <c r="H21" s="86"/>
      <c r="I21" s="86"/>
      <c r="J21" s="86"/>
      <c r="K21" s="86"/>
      <c r="L21" s="86"/>
      <c r="M21" s="86"/>
      <c r="N21" s="110"/>
      <c r="O21" s="85"/>
      <c r="P21" s="86"/>
      <c r="Q21" s="87"/>
    </row>
    <row r="22" spans="1:17">
      <c r="A22" s="23"/>
      <c r="B22" s="22"/>
      <c r="C22" s="86"/>
      <c r="D22" s="86"/>
      <c r="E22" s="86"/>
      <c r="F22" s="86"/>
      <c r="G22" s="86"/>
      <c r="H22" s="86"/>
      <c r="I22" s="86"/>
      <c r="J22" s="86"/>
      <c r="K22" s="86"/>
      <c r="L22" s="86"/>
      <c r="M22" s="86"/>
      <c r="N22" s="110"/>
      <c r="O22" s="85"/>
      <c r="P22" s="86"/>
      <c r="Q22" s="87"/>
    </row>
    <row r="23" spans="1:17">
      <c r="A23" s="23">
        <v>2022</v>
      </c>
      <c r="B23" s="22">
        <v>2</v>
      </c>
      <c r="C23" s="86">
        <v>1047</v>
      </c>
      <c r="D23" s="86">
        <v>616790</v>
      </c>
      <c r="E23" s="86">
        <v>536260</v>
      </c>
      <c r="F23" s="86">
        <v>894</v>
      </c>
      <c r="G23" s="86">
        <v>28742</v>
      </c>
      <c r="H23" s="86">
        <v>27877</v>
      </c>
      <c r="I23" s="86">
        <v>0</v>
      </c>
      <c r="J23" s="86">
        <v>11904</v>
      </c>
      <c r="K23" s="86">
        <v>11038</v>
      </c>
      <c r="L23" s="86">
        <v>0</v>
      </c>
      <c r="M23" s="86">
        <v>111</v>
      </c>
      <c r="N23" s="110">
        <v>78</v>
      </c>
      <c r="O23" s="85">
        <v>1941</v>
      </c>
      <c r="P23" s="86">
        <v>657547</v>
      </c>
      <c r="Q23" s="87">
        <v>575253</v>
      </c>
    </row>
    <row r="24" spans="1:17">
      <c r="A24" s="23"/>
      <c r="B24" s="22">
        <v>3</v>
      </c>
      <c r="C24" s="86">
        <v>1164</v>
      </c>
      <c r="D24" s="86">
        <v>616526</v>
      </c>
      <c r="E24" s="86">
        <v>530363</v>
      </c>
      <c r="F24" s="86">
        <v>1829</v>
      </c>
      <c r="G24" s="86">
        <v>30517</v>
      </c>
      <c r="H24" s="86">
        <v>29347</v>
      </c>
      <c r="I24" s="86">
        <v>0</v>
      </c>
      <c r="J24" s="86">
        <v>11904</v>
      </c>
      <c r="K24" s="86">
        <v>10951</v>
      </c>
      <c r="L24" s="86">
        <v>0</v>
      </c>
      <c r="M24" s="86">
        <v>112</v>
      </c>
      <c r="N24" s="110">
        <v>75</v>
      </c>
      <c r="O24" s="85">
        <v>2993</v>
      </c>
      <c r="P24" s="86">
        <v>659059</v>
      </c>
      <c r="Q24" s="87">
        <v>570736</v>
      </c>
    </row>
    <row r="25" spans="1:17">
      <c r="A25" s="23"/>
      <c r="B25" s="22">
        <v>4</v>
      </c>
      <c r="C25" s="86">
        <v>1522</v>
      </c>
      <c r="D25" s="86">
        <v>616730</v>
      </c>
      <c r="E25" s="86">
        <v>531243</v>
      </c>
      <c r="F25" s="86">
        <v>407</v>
      </c>
      <c r="G25" s="86">
        <v>30854</v>
      </c>
      <c r="H25" s="86">
        <v>30089</v>
      </c>
      <c r="I25" s="86">
        <v>0</v>
      </c>
      <c r="J25" s="86">
        <v>11905</v>
      </c>
      <c r="K25" s="86">
        <v>10986</v>
      </c>
      <c r="L25" s="86">
        <v>0</v>
      </c>
      <c r="M25" s="86">
        <v>112</v>
      </c>
      <c r="N25" s="110">
        <v>69</v>
      </c>
      <c r="O25" s="85">
        <v>1929</v>
      </c>
      <c r="P25" s="86">
        <v>659601</v>
      </c>
      <c r="Q25" s="87">
        <v>572387</v>
      </c>
    </row>
    <row r="26" spans="1:17">
      <c r="A26" s="23"/>
      <c r="B26" s="22">
        <v>5</v>
      </c>
      <c r="C26" s="86">
        <v>1793</v>
      </c>
      <c r="D26" s="86">
        <v>608698</v>
      </c>
      <c r="E26" s="86">
        <v>530386</v>
      </c>
      <c r="F26" s="86">
        <v>357</v>
      </c>
      <c r="G26" s="86">
        <v>31184</v>
      </c>
      <c r="H26" s="86">
        <v>30519</v>
      </c>
      <c r="I26" s="86">
        <v>0</v>
      </c>
      <c r="J26" s="86">
        <v>11891</v>
      </c>
      <c r="K26" s="86">
        <v>10999</v>
      </c>
      <c r="L26" s="86">
        <v>0</v>
      </c>
      <c r="M26" s="86">
        <v>111</v>
      </c>
      <c r="N26" s="110">
        <v>67</v>
      </c>
      <c r="O26" s="85">
        <v>2150</v>
      </c>
      <c r="P26" s="86">
        <v>651884</v>
      </c>
      <c r="Q26" s="87">
        <v>571971</v>
      </c>
    </row>
    <row r="27" spans="1:17">
      <c r="A27" s="23"/>
      <c r="B27" s="22">
        <v>6</v>
      </c>
      <c r="C27" s="86">
        <v>1682</v>
      </c>
      <c r="D27" s="86">
        <v>608328</v>
      </c>
      <c r="E27" s="86">
        <v>529513</v>
      </c>
      <c r="F27" s="86">
        <v>1328</v>
      </c>
      <c r="G27" s="86">
        <v>32493</v>
      </c>
      <c r="H27" s="86">
        <v>31854</v>
      </c>
      <c r="I27" s="86">
        <v>0</v>
      </c>
      <c r="J27" s="86">
        <v>11885</v>
      </c>
      <c r="K27" s="86">
        <v>10980</v>
      </c>
      <c r="L27" s="86">
        <v>0</v>
      </c>
      <c r="M27" s="86">
        <v>111</v>
      </c>
      <c r="N27" s="110">
        <v>71</v>
      </c>
      <c r="O27" s="85">
        <v>3010</v>
      </c>
      <c r="P27" s="86">
        <v>652817</v>
      </c>
      <c r="Q27" s="87">
        <v>572418</v>
      </c>
    </row>
    <row r="28" spans="1:17">
      <c r="A28" s="23"/>
      <c r="B28" s="22">
        <v>7</v>
      </c>
      <c r="C28" s="86">
        <v>1562</v>
      </c>
      <c r="D28" s="86">
        <v>606967</v>
      </c>
      <c r="E28" s="86">
        <v>527377</v>
      </c>
      <c r="F28" s="86">
        <v>992</v>
      </c>
      <c r="G28" s="86">
        <v>33467</v>
      </c>
      <c r="H28" s="86">
        <v>32848</v>
      </c>
      <c r="I28" s="86">
        <v>0</v>
      </c>
      <c r="J28" s="86">
        <v>11881</v>
      </c>
      <c r="K28" s="86">
        <v>10964</v>
      </c>
      <c r="L28" s="86">
        <v>0</v>
      </c>
      <c r="M28" s="86">
        <v>111</v>
      </c>
      <c r="N28" s="110">
        <v>68</v>
      </c>
      <c r="O28" s="85">
        <v>2554</v>
      </c>
      <c r="P28" s="86">
        <v>652426</v>
      </c>
      <c r="Q28" s="87">
        <v>571257</v>
      </c>
    </row>
    <row r="29" spans="1:17">
      <c r="A29" s="23"/>
      <c r="B29" s="22">
        <v>8</v>
      </c>
      <c r="C29" s="86">
        <v>1633</v>
      </c>
      <c r="D29" s="86">
        <v>597979</v>
      </c>
      <c r="E29" s="86">
        <v>525223</v>
      </c>
      <c r="F29" s="86">
        <v>2268</v>
      </c>
      <c r="G29" s="86">
        <v>35645</v>
      </c>
      <c r="H29" s="86">
        <v>34987</v>
      </c>
      <c r="I29" s="86">
        <v>0</v>
      </c>
      <c r="J29" s="86">
        <v>11856</v>
      </c>
      <c r="K29" s="86">
        <v>10954</v>
      </c>
      <c r="L29" s="86">
        <v>0</v>
      </c>
      <c r="M29" s="86">
        <v>111</v>
      </c>
      <c r="N29" s="110">
        <v>69</v>
      </c>
      <c r="O29" s="85">
        <v>3901</v>
      </c>
      <c r="P29" s="86">
        <v>645591</v>
      </c>
      <c r="Q29" s="87">
        <v>571233</v>
      </c>
    </row>
    <row r="30" spans="1:17">
      <c r="A30" s="23"/>
      <c r="B30" s="22">
        <v>9</v>
      </c>
      <c r="C30" s="86">
        <v>1668</v>
      </c>
      <c r="D30" s="86">
        <v>596222</v>
      </c>
      <c r="E30" s="86">
        <v>522496</v>
      </c>
      <c r="F30" s="86">
        <v>2779</v>
      </c>
      <c r="G30" s="86">
        <v>38353</v>
      </c>
      <c r="H30" s="86">
        <v>37583</v>
      </c>
      <c r="I30" s="86">
        <v>0</v>
      </c>
      <c r="J30" s="86">
        <v>11855</v>
      </c>
      <c r="K30" s="86">
        <v>10905</v>
      </c>
      <c r="L30" s="86">
        <v>0</v>
      </c>
      <c r="M30" s="86">
        <v>112</v>
      </c>
      <c r="N30" s="110">
        <v>66</v>
      </c>
      <c r="O30" s="85">
        <v>4447</v>
      </c>
      <c r="P30" s="86">
        <v>646542</v>
      </c>
      <c r="Q30" s="87">
        <v>571050</v>
      </c>
    </row>
    <row r="31" spans="1:17">
      <c r="A31" s="23"/>
      <c r="B31" s="22">
        <v>10</v>
      </c>
      <c r="C31" s="86">
        <v>1448</v>
      </c>
      <c r="D31" s="86">
        <v>594055</v>
      </c>
      <c r="E31" s="86">
        <v>519595</v>
      </c>
      <c r="F31" s="86">
        <v>2955</v>
      </c>
      <c r="G31" s="86">
        <v>41259</v>
      </c>
      <c r="H31" s="86">
        <v>40422</v>
      </c>
      <c r="I31" s="86">
        <v>0</v>
      </c>
      <c r="J31" s="86">
        <v>11853</v>
      </c>
      <c r="K31" s="86">
        <v>10913</v>
      </c>
      <c r="L31" s="86">
        <v>0</v>
      </c>
      <c r="M31" s="86">
        <v>112</v>
      </c>
      <c r="N31" s="110">
        <v>65</v>
      </c>
      <c r="O31" s="85">
        <v>4403</v>
      </c>
      <c r="P31" s="86">
        <v>647279</v>
      </c>
      <c r="Q31" s="87">
        <v>570995</v>
      </c>
    </row>
    <row r="32" spans="1:17">
      <c r="A32" s="23"/>
      <c r="B32" s="22">
        <v>11</v>
      </c>
      <c r="C32" s="86">
        <v>1399</v>
      </c>
      <c r="D32" s="86">
        <v>591859</v>
      </c>
      <c r="E32" s="86">
        <v>516510</v>
      </c>
      <c r="F32" s="86">
        <v>2823</v>
      </c>
      <c r="G32" s="86">
        <v>43970</v>
      </c>
      <c r="H32" s="86">
        <v>43118</v>
      </c>
      <c r="I32" s="86">
        <v>0</v>
      </c>
      <c r="J32" s="86">
        <v>11851</v>
      </c>
      <c r="K32" s="86">
        <v>10915</v>
      </c>
      <c r="L32" s="86">
        <v>0</v>
      </c>
      <c r="M32" s="86">
        <v>114</v>
      </c>
      <c r="N32" s="110">
        <v>70</v>
      </c>
      <c r="O32" s="85">
        <v>4222</v>
      </c>
      <c r="P32" s="86">
        <v>647794</v>
      </c>
      <c r="Q32" s="87">
        <v>570613</v>
      </c>
    </row>
    <row r="33" spans="1:17">
      <c r="A33" s="23"/>
      <c r="B33" s="22">
        <v>12</v>
      </c>
      <c r="C33" s="86">
        <v>1208</v>
      </c>
      <c r="D33" s="86">
        <v>591012</v>
      </c>
      <c r="E33" s="86">
        <v>514700</v>
      </c>
      <c r="F33" s="86">
        <v>2652</v>
      </c>
      <c r="G33" s="86">
        <v>46565</v>
      </c>
      <c r="H33" s="86">
        <v>45726</v>
      </c>
      <c r="I33" s="86">
        <v>0</v>
      </c>
      <c r="J33" s="86">
        <v>11849</v>
      </c>
      <c r="K33" s="86">
        <v>10919</v>
      </c>
      <c r="L33" s="86">
        <v>0</v>
      </c>
      <c r="M33" s="86">
        <v>114</v>
      </c>
      <c r="N33" s="110">
        <v>67</v>
      </c>
      <c r="O33" s="85">
        <v>3860</v>
      </c>
      <c r="P33" s="86">
        <v>649540</v>
      </c>
      <c r="Q33" s="87">
        <v>571412</v>
      </c>
    </row>
    <row r="34" spans="1:17">
      <c r="A34" s="23"/>
      <c r="B34" s="22"/>
      <c r="C34" s="86"/>
      <c r="D34" s="86"/>
      <c r="E34" s="86"/>
      <c r="F34" s="86"/>
      <c r="G34" s="86"/>
      <c r="H34" s="86"/>
      <c r="I34" s="86"/>
      <c r="J34" s="86"/>
      <c r="K34" s="86"/>
      <c r="L34" s="86"/>
      <c r="M34" s="86"/>
      <c r="N34" s="110"/>
      <c r="O34" s="85"/>
      <c r="P34" s="86"/>
      <c r="Q34" s="87"/>
    </row>
    <row r="35" spans="1:17">
      <c r="A35" s="23">
        <v>2023</v>
      </c>
      <c r="B35" s="22">
        <v>1</v>
      </c>
      <c r="C35" s="86">
        <v>1009</v>
      </c>
      <c r="D35" s="86">
        <v>589341</v>
      </c>
      <c r="E35" s="86">
        <v>513631</v>
      </c>
      <c r="F35" s="86">
        <v>1521</v>
      </c>
      <c r="G35" s="86">
        <v>48068</v>
      </c>
      <c r="H35" s="86">
        <v>47154</v>
      </c>
      <c r="I35" s="86">
        <v>0</v>
      </c>
      <c r="J35" s="86">
        <v>11847</v>
      </c>
      <c r="K35" s="86">
        <v>10944</v>
      </c>
      <c r="L35" s="86">
        <v>0</v>
      </c>
      <c r="M35" s="86">
        <v>114</v>
      </c>
      <c r="N35" s="110">
        <v>68</v>
      </c>
      <c r="O35" s="85">
        <v>2530</v>
      </c>
      <c r="P35" s="86">
        <v>649370</v>
      </c>
      <c r="Q35" s="87">
        <v>571797</v>
      </c>
    </row>
    <row r="36" spans="1:17">
      <c r="A36" s="23"/>
      <c r="B36" s="22">
        <v>2</v>
      </c>
      <c r="C36" s="86">
        <v>1278</v>
      </c>
      <c r="D36" s="86">
        <v>587503</v>
      </c>
      <c r="E36" s="86">
        <v>516744</v>
      </c>
      <c r="F36" s="86">
        <v>2613</v>
      </c>
      <c r="G36" s="86">
        <v>50665</v>
      </c>
      <c r="H36" s="86">
        <v>49912</v>
      </c>
      <c r="I36" s="86">
        <v>0</v>
      </c>
      <c r="J36" s="86">
        <v>11842</v>
      </c>
      <c r="K36" s="86">
        <v>10978</v>
      </c>
      <c r="L36" s="86">
        <v>0</v>
      </c>
      <c r="M36" s="86">
        <v>116</v>
      </c>
      <c r="N36" s="110">
        <v>69</v>
      </c>
      <c r="O36" s="85">
        <v>3891</v>
      </c>
      <c r="P36" s="86">
        <v>650126</v>
      </c>
      <c r="Q36" s="87">
        <v>577703</v>
      </c>
    </row>
    <row r="37" spans="1:17">
      <c r="A37" s="23"/>
      <c r="B37" s="22">
        <v>3</v>
      </c>
      <c r="C37" s="86">
        <v>1427</v>
      </c>
      <c r="D37" s="86">
        <v>585963</v>
      </c>
      <c r="E37" s="86">
        <v>517362</v>
      </c>
      <c r="F37" s="86">
        <v>2251</v>
      </c>
      <c r="G37" s="86">
        <v>52902</v>
      </c>
      <c r="H37" s="86">
        <v>51998</v>
      </c>
      <c r="I37" s="86">
        <v>0</v>
      </c>
      <c r="J37" s="86">
        <v>11833</v>
      </c>
      <c r="K37" s="86">
        <v>10978</v>
      </c>
      <c r="L37" s="86">
        <v>0</v>
      </c>
      <c r="M37" s="86">
        <v>118</v>
      </c>
      <c r="N37" s="110">
        <v>69</v>
      </c>
      <c r="O37" s="85">
        <v>3678</v>
      </c>
      <c r="P37" s="86">
        <v>650816</v>
      </c>
      <c r="Q37" s="87">
        <v>580407</v>
      </c>
    </row>
    <row r="38" spans="1:17">
      <c r="A38" s="23"/>
      <c r="B38" s="22">
        <v>4</v>
      </c>
      <c r="C38" s="86">
        <v>1163</v>
      </c>
      <c r="D38" s="86">
        <v>584509</v>
      </c>
      <c r="E38" s="86">
        <v>514596</v>
      </c>
      <c r="F38" s="86">
        <v>1700</v>
      </c>
      <c r="G38" s="86">
        <v>54598</v>
      </c>
      <c r="H38" s="86">
        <v>53686</v>
      </c>
      <c r="I38" s="86">
        <v>0</v>
      </c>
      <c r="J38" s="86">
        <v>11831</v>
      </c>
      <c r="K38" s="86">
        <v>10932</v>
      </c>
      <c r="L38" s="86">
        <v>0</v>
      </c>
      <c r="M38" s="86">
        <v>118</v>
      </c>
      <c r="N38" s="110">
        <v>67</v>
      </c>
      <c r="O38" s="85">
        <v>2863</v>
      </c>
      <c r="P38" s="86">
        <v>651056</v>
      </c>
      <c r="Q38" s="87">
        <v>579281</v>
      </c>
    </row>
    <row r="39" spans="1:17">
      <c r="A39" s="23"/>
      <c r="B39" s="22">
        <v>5</v>
      </c>
      <c r="C39" s="86">
        <v>1325</v>
      </c>
      <c r="D39" s="86">
        <v>581935</v>
      </c>
      <c r="E39" s="86">
        <v>512276</v>
      </c>
      <c r="F39" s="86">
        <v>2675</v>
      </c>
      <c r="G39" s="86">
        <v>57261</v>
      </c>
      <c r="H39" s="86">
        <v>56328</v>
      </c>
      <c r="I39" s="86">
        <v>0</v>
      </c>
      <c r="J39" s="86">
        <v>11818</v>
      </c>
      <c r="K39" s="86">
        <v>10913</v>
      </c>
      <c r="L39" s="86">
        <v>0</v>
      </c>
      <c r="M39" s="86">
        <v>118</v>
      </c>
      <c r="N39" s="110">
        <v>68</v>
      </c>
      <c r="O39" s="85">
        <v>4000</v>
      </c>
      <c r="P39" s="86">
        <v>651132</v>
      </c>
      <c r="Q39" s="87">
        <v>579585</v>
      </c>
    </row>
    <row r="40" spans="1:17">
      <c r="A40" s="23"/>
      <c r="B40" s="22">
        <v>6</v>
      </c>
      <c r="C40" s="86">
        <v>1410</v>
      </c>
      <c r="D40" s="86">
        <v>580159</v>
      </c>
      <c r="E40" s="86">
        <v>510605</v>
      </c>
      <c r="F40" s="86">
        <v>2544</v>
      </c>
      <c r="G40" s="86">
        <v>59796</v>
      </c>
      <c r="H40" s="86">
        <v>58798</v>
      </c>
      <c r="I40" s="86">
        <v>0</v>
      </c>
      <c r="J40" s="86">
        <v>11810</v>
      </c>
      <c r="K40" s="86">
        <v>10906</v>
      </c>
      <c r="L40" s="86">
        <v>0</v>
      </c>
      <c r="M40" s="86">
        <v>118</v>
      </c>
      <c r="N40" s="110">
        <v>67</v>
      </c>
      <c r="O40" s="85">
        <v>3954</v>
      </c>
      <c r="P40" s="86">
        <v>651883</v>
      </c>
      <c r="Q40" s="87">
        <v>580376</v>
      </c>
    </row>
    <row r="41" spans="1:17">
      <c r="A41" s="23"/>
      <c r="B41" s="22">
        <v>7</v>
      </c>
      <c r="C41" s="86">
        <v>1288</v>
      </c>
      <c r="D41" s="86">
        <v>578215</v>
      </c>
      <c r="E41" s="86">
        <v>507581</v>
      </c>
      <c r="F41" s="86">
        <v>2276</v>
      </c>
      <c r="G41" s="86">
        <v>62056</v>
      </c>
      <c r="H41" s="86">
        <v>60986</v>
      </c>
      <c r="I41" s="86">
        <v>0</v>
      </c>
      <c r="J41" s="86">
        <v>11808</v>
      </c>
      <c r="K41" s="86">
        <v>10905</v>
      </c>
      <c r="L41" s="86">
        <v>0</v>
      </c>
      <c r="M41" s="86">
        <v>119</v>
      </c>
      <c r="N41" s="110">
        <v>65</v>
      </c>
      <c r="O41" s="85">
        <v>3564</v>
      </c>
      <c r="P41" s="86">
        <v>652198</v>
      </c>
      <c r="Q41" s="87">
        <v>579537</v>
      </c>
    </row>
    <row r="42" spans="1:17">
      <c r="A42" s="18"/>
      <c r="B42" s="17"/>
      <c r="C42" s="89"/>
      <c r="D42" s="89"/>
      <c r="E42" s="89"/>
      <c r="F42" s="89"/>
      <c r="G42" s="89"/>
      <c r="H42" s="89"/>
      <c r="I42" s="89"/>
      <c r="J42" s="89"/>
      <c r="K42" s="89"/>
      <c r="L42" s="89"/>
      <c r="M42" s="89"/>
      <c r="N42" s="209"/>
      <c r="O42" s="118"/>
      <c r="P42" s="89"/>
      <c r="Q42" s="120"/>
    </row>
    <row r="43" spans="1:17">
      <c r="A43" s="44"/>
      <c r="B43" s="44"/>
      <c r="C43" s="44"/>
      <c r="D43" s="44"/>
      <c r="E43" s="44"/>
      <c r="F43" s="44"/>
      <c r="G43" s="44"/>
      <c r="H43" s="44"/>
      <c r="I43" s="44"/>
      <c r="J43" s="44"/>
      <c r="K43" s="44"/>
      <c r="L43" s="44"/>
      <c r="M43" s="44"/>
      <c r="N43" s="44"/>
      <c r="O43" s="44"/>
      <c r="P43" s="44"/>
      <c r="Q43" s="44"/>
    </row>
    <row r="44" spans="1:17">
      <c r="A44" s="44" t="s">
        <v>132</v>
      </c>
      <c r="B44" s="210" t="s">
        <v>133</v>
      </c>
      <c r="C44" s="316" t="s">
        <v>134</v>
      </c>
      <c r="D44" s="316"/>
      <c r="E44" s="316"/>
      <c r="F44" s="316"/>
      <c r="G44" s="316"/>
      <c r="H44" s="316"/>
      <c r="I44" s="44"/>
      <c r="J44" s="211" t="s">
        <v>135</v>
      </c>
      <c r="K44" s="131" t="s">
        <v>136</v>
      </c>
      <c r="L44" s="317" t="s">
        <v>137</v>
      </c>
      <c r="M44" s="317"/>
      <c r="N44" s="317"/>
      <c r="O44" s="317"/>
      <c r="P44" s="317"/>
      <c r="Q44" s="317"/>
    </row>
    <row r="45" spans="1:17">
      <c r="A45" s="44"/>
      <c r="B45" s="44"/>
      <c r="C45" s="316"/>
      <c r="D45" s="316"/>
      <c r="E45" s="316"/>
      <c r="F45" s="316"/>
      <c r="G45" s="316"/>
      <c r="H45" s="316"/>
      <c r="I45" s="44"/>
      <c r="J45" s="44"/>
      <c r="K45" s="44"/>
      <c r="L45" s="317"/>
      <c r="M45" s="317"/>
      <c r="N45" s="317"/>
      <c r="O45" s="317"/>
      <c r="P45" s="317"/>
      <c r="Q45" s="317"/>
    </row>
    <row r="46" spans="1:17">
      <c r="A46" s="44"/>
      <c r="B46" s="44"/>
      <c r="C46" s="316"/>
      <c r="D46" s="316"/>
      <c r="E46" s="316"/>
      <c r="F46" s="316"/>
      <c r="G46" s="316"/>
      <c r="H46" s="316"/>
      <c r="I46" s="44"/>
      <c r="J46" s="44"/>
      <c r="K46" s="44"/>
      <c r="L46" s="317"/>
      <c r="M46" s="317"/>
      <c r="N46" s="317"/>
      <c r="O46" s="317"/>
      <c r="P46" s="317"/>
      <c r="Q46" s="317"/>
    </row>
    <row r="51" spans="1:14" ht="16">
      <c r="A51" s="33" t="s">
        <v>74</v>
      </c>
      <c r="B51" s="40"/>
      <c r="C51" s="39" t="s">
        <v>119</v>
      </c>
      <c r="D51" s="40"/>
      <c r="E51" s="40"/>
      <c r="F51" s="40"/>
      <c r="G51" s="40"/>
      <c r="H51" s="40"/>
      <c r="I51" s="40"/>
      <c r="J51" s="40"/>
      <c r="K51" s="40"/>
      <c r="L51" s="40"/>
      <c r="M51" s="40"/>
      <c r="N51" s="40"/>
    </row>
    <row r="52" spans="1:14" ht="16">
      <c r="A52" s="31" t="s">
        <v>76</v>
      </c>
      <c r="B52" s="40"/>
      <c r="C52" s="39" t="s">
        <v>120</v>
      </c>
      <c r="D52" s="40"/>
      <c r="E52" s="40"/>
      <c r="F52" s="40"/>
      <c r="G52" s="40"/>
      <c r="H52" s="40"/>
      <c r="I52" s="40"/>
      <c r="J52" s="40"/>
      <c r="K52" s="40"/>
      <c r="L52" s="40"/>
      <c r="M52" s="40"/>
      <c r="N52" s="176">
        <v>202307</v>
      </c>
    </row>
    <row r="53" spans="1:14">
      <c r="A53" s="40"/>
      <c r="B53" s="40"/>
      <c r="C53" s="40"/>
      <c r="D53" s="41"/>
      <c r="E53" s="41"/>
      <c r="F53" s="40"/>
      <c r="G53" s="40"/>
      <c r="H53" s="40"/>
      <c r="I53" s="40"/>
      <c r="J53" s="40"/>
      <c r="K53" s="40"/>
      <c r="L53" s="40"/>
      <c r="M53" s="40"/>
      <c r="N53" s="40"/>
    </row>
    <row r="54" spans="1:14">
      <c r="A54" s="42"/>
      <c r="B54" s="43"/>
      <c r="C54" s="280" t="s">
        <v>138</v>
      </c>
      <c r="D54" s="300"/>
      <c r="E54" s="300"/>
      <c r="F54" s="300"/>
      <c r="G54" s="300"/>
      <c r="H54" s="300"/>
      <c r="I54" s="300"/>
      <c r="J54" s="300"/>
      <c r="K54" s="300"/>
      <c r="L54" s="300"/>
      <c r="M54" s="300"/>
      <c r="N54" s="302"/>
    </row>
    <row r="55" spans="1:14">
      <c r="A55" s="45"/>
      <c r="B55" s="46"/>
      <c r="C55" s="282" t="s">
        <v>139</v>
      </c>
      <c r="D55" s="283"/>
      <c r="E55" s="283"/>
      <c r="F55" s="283"/>
      <c r="G55" s="283"/>
      <c r="H55" s="283"/>
      <c r="I55" s="283"/>
      <c r="J55" s="283"/>
      <c r="K55" s="283"/>
      <c r="L55" s="283"/>
      <c r="M55" s="283"/>
      <c r="N55" s="284"/>
    </row>
    <row r="56" spans="1:14">
      <c r="A56" s="47"/>
      <c r="B56" s="46"/>
      <c r="C56" s="280" t="s">
        <v>140</v>
      </c>
      <c r="D56" s="266"/>
      <c r="E56" s="299"/>
      <c r="F56" s="300" t="s">
        <v>141</v>
      </c>
      <c r="G56" s="266"/>
      <c r="H56" s="299"/>
      <c r="I56" s="301" t="s">
        <v>142</v>
      </c>
      <c r="J56" s="266"/>
      <c r="K56" s="266"/>
      <c r="L56" s="280" t="s">
        <v>85</v>
      </c>
      <c r="M56" s="266"/>
      <c r="N56" s="281"/>
    </row>
    <row r="57" spans="1:14">
      <c r="A57" s="48"/>
      <c r="B57" s="46"/>
      <c r="C57" s="282" t="s">
        <v>143</v>
      </c>
      <c r="D57" s="283"/>
      <c r="E57" s="297"/>
      <c r="F57" s="283" t="s">
        <v>144</v>
      </c>
      <c r="G57" s="283"/>
      <c r="H57" s="297"/>
      <c r="I57" s="296" t="s">
        <v>145</v>
      </c>
      <c r="J57" s="283"/>
      <c r="K57" s="283"/>
      <c r="L57" s="282" t="s">
        <v>89</v>
      </c>
      <c r="M57" s="283"/>
      <c r="N57" s="284"/>
    </row>
    <row r="58" spans="1:14">
      <c r="A58" s="48" t="s">
        <v>90</v>
      </c>
      <c r="B58" s="49"/>
      <c r="C58" s="54" t="s">
        <v>96</v>
      </c>
      <c r="D58" s="50" t="s">
        <v>94</v>
      </c>
      <c r="E58" s="51" t="s">
        <v>95</v>
      </c>
      <c r="F58" s="171" t="s">
        <v>91</v>
      </c>
      <c r="G58" s="50" t="s">
        <v>92</v>
      </c>
      <c r="H58" s="51" t="s">
        <v>93</v>
      </c>
      <c r="I58" s="177" t="s">
        <v>91</v>
      </c>
      <c r="J58" s="50" t="s">
        <v>92</v>
      </c>
      <c r="K58" s="50" t="s">
        <v>93</v>
      </c>
      <c r="L58" s="173" t="s">
        <v>91</v>
      </c>
      <c r="M58" s="51" t="s">
        <v>92</v>
      </c>
      <c r="N58" s="52" t="s">
        <v>93</v>
      </c>
    </row>
    <row r="59" spans="1:14">
      <c r="A59" s="53" t="s">
        <v>97</v>
      </c>
      <c r="B59" s="49"/>
      <c r="C59" s="138" t="s">
        <v>101</v>
      </c>
      <c r="D59" s="55" t="s">
        <v>102</v>
      </c>
      <c r="E59" s="56" t="s">
        <v>103</v>
      </c>
      <c r="F59" s="166" t="s">
        <v>101</v>
      </c>
      <c r="G59" s="55" t="s">
        <v>99</v>
      </c>
      <c r="H59" s="56" t="s">
        <v>100</v>
      </c>
      <c r="I59" s="178" t="s">
        <v>101</v>
      </c>
      <c r="J59" s="55" t="s">
        <v>99</v>
      </c>
      <c r="K59" s="55" t="s">
        <v>100</v>
      </c>
      <c r="L59" s="138" t="s">
        <v>101</v>
      </c>
      <c r="M59" s="55" t="s">
        <v>99</v>
      </c>
      <c r="N59" s="59" t="s">
        <v>100</v>
      </c>
    </row>
    <row r="60" spans="1:14">
      <c r="A60" s="60"/>
      <c r="B60" s="61"/>
      <c r="C60" s="62"/>
      <c r="D60" s="63" t="s">
        <v>104</v>
      </c>
      <c r="E60" s="64"/>
      <c r="F60" s="164"/>
      <c r="G60" s="63"/>
      <c r="H60" s="64"/>
      <c r="I60" s="65"/>
      <c r="J60" s="63"/>
      <c r="K60" s="66"/>
      <c r="L60" s="62"/>
      <c r="M60" s="63"/>
      <c r="N60" s="67"/>
    </row>
    <row r="61" spans="1:14">
      <c r="A61" s="68"/>
      <c r="B61" s="69"/>
      <c r="C61" s="70"/>
      <c r="D61" s="73"/>
      <c r="E61" s="74"/>
      <c r="F61" s="72"/>
      <c r="G61" s="73"/>
      <c r="H61" s="74"/>
      <c r="I61" s="73"/>
      <c r="J61" s="73"/>
      <c r="K61" s="73"/>
      <c r="L61" s="75"/>
      <c r="M61" s="73"/>
      <c r="N61" s="76"/>
    </row>
    <row r="62" spans="1:14">
      <c r="A62" s="29">
        <v>2018</v>
      </c>
      <c r="B62" s="46"/>
      <c r="C62" s="30">
        <v>1527</v>
      </c>
      <c r="D62" s="30">
        <v>15250</v>
      </c>
      <c r="E62" s="30">
        <v>15234</v>
      </c>
      <c r="F62" s="30">
        <v>236</v>
      </c>
      <c r="G62" s="30">
        <v>2838</v>
      </c>
      <c r="H62" s="30">
        <v>2834</v>
      </c>
      <c r="I62" s="27">
        <v>7</v>
      </c>
      <c r="J62" s="30">
        <v>75</v>
      </c>
      <c r="K62" s="28">
        <v>75</v>
      </c>
      <c r="L62" s="38">
        <v>1770</v>
      </c>
      <c r="M62" s="27">
        <v>18163</v>
      </c>
      <c r="N62" s="26">
        <v>18143</v>
      </c>
    </row>
    <row r="63" spans="1:14">
      <c r="A63" s="29">
        <v>2019</v>
      </c>
      <c r="B63" s="46"/>
      <c r="C63" s="30">
        <v>1028</v>
      </c>
      <c r="D63" s="30">
        <v>15250</v>
      </c>
      <c r="E63" s="30">
        <v>15231</v>
      </c>
      <c r="F63" s="30">
        <v>82</v>
      </c>
      <c r="G63" s="30">
        <v>2838</v>
      </c>
      <c r="H63" s="30">
        <v>2826</v>
      </c>
      <c r="I63" s="27">
        <v>8</v>
      </c>
      <c r="J63" s="30">
        <v>75</v>
      </c>
      <c r="K63" s="28">
        <v>75</v>
      </c>
      <c r="L63" s="38">
        <v>1118</v>
      </c>
      <c r="M63" s="27">
        <v>18163</v>
      </c>
      <c r="N63" s="26">
        <v>18132</v>
      </c>
    </row>
    <row r="64" spans="1:14">
      <c r="A64" s="29">
        <v>2020</v>
      </c>
      <c r="B64" s="46"/>
      <c r="C64" s="30">
        <v>734</v>
      </c>
      <c r="D64" s="30">
        <v>15250</v>
      </c>
      <c r="E64" s="30">
        <v>15191</v>
      </c>
      <c r="F64" s="30">
        <v>70</v>
      </c>
      <c r="G64" s="30">
        <v>2838</v>
      </c>
      <c r="H64" s="30">
        <v>2818</v>
      </c>
      <c r="I64" s="27">
        <v>1</v>
      </c>
      <c r="J64" s="30">
        <v>75</v>
      </c>
      <c r="K64" s="28">
        <v>75</v>
      </c>
      <c r="L64" s="38">
        <v>805</v>
      </c>
      <c r="M64" s="27">
        <v>18163</v>
      </c>
      <c r="N64" s="26">
        <v>18084</v>
      </c>
    </row>
    <row r="65" spans="1:14">
      <c r="A65" s="29">
        <v>2021</v>
      </c>
      <c r="B65" s="46"/>
      <c r="C65" s="30">
        <v>1013</v>
      </c>
      <c r="D65" s="30">
        <v>15250</v>
      </c>
      <c r="E65" s="30">
        <v>15192</v>
      </c>
      <c r="F65" s="30">
        <v>103</v>
      </c>
      <c r="G65" s="30">
        <v>2838</v>
      </c>
      <c r="H65" s="30">
        <v>2794</v>
      </c>
      <c r="I65" s="27">
        <v>4</v>
      </c>
      <c r="J65" s="30">
        <v>75</v>
      </c>
      <c r="K65" s="28">
        <v>75</v>
      </c>
      <c r="L65" s="38">
        <v>1120</v>
      </c>
      <c r="M65" s="27">
        <v>18163</v>
      </c>
      <c r="N65" s="26">
        <v>18061</v>
      </c>
    </row>
    <row r="66" spans="1:14">
      <c r="A66" s="29">
        <v>2022</v>
      </c>
      <c r="B66" s="46"/>
      <c r="C66" s="30">
        <v>977</v>
      </c>
      <c r="D66" s="30">
        <v>15250</v>
      </c>
      <c r="E66" s="30">
        <v>15081</v>
      </c>
      <c r="F66" s="30">
        <v>128</v>
      </c>
      <c r="G66" s="30">
        <v>2838</v>
      </c>
      <c r="H66" s="30">
        <v>2737</v>
      </c>
      <c r="I66" s="27">
        <v>0</v>
      </c>
      <c r="J66" s="30">
        <v>75</v>
      </c>
      <c r="K66" s="28">
        <v>74</v>
      </c>
      <c r="L66" s="38">
        <v>1105</v>
      </c>
      <c r="M66" s="27">
        <v>18163</v>
      </c>
      <c r="N66" s="26">
        <v>17892</v>
      </c>
    </row>
    <row r="67" spans="1:14">
      <c r="A67" s="23"/>
      <c r="B67" s="22"/>
      <c r="C67" s="37"/>
      <c r="D67" s="21"/>
      <c r="E67" s="21"/>
      <c r="F67" s="20"/>
      <c r="G67" s="21"/>
      <c r="H67" s="21"/>
      <c r="I67" s="21"/>
      <c r="J67" s="21"/>
      <c r="K67" s="34"/>
      <c r="L67" s="37"/>
      <c r="M67" s="21"/>
      <c r="N67" s="19"/>
    </row>
    <row r="68" spans="1:14">
      <c r="A68" s="23"/>
      <c r="B68" s="22"/>
      <c r="C68" s="37"/>
      <c r="D68" s="21"/>
      <c r="E68" s="21"/>
      <c r="F68" s="20"/>
      <c r="G68" s="21"/>
      <c r="H68" s="21"/>
      <c r="I68" s="21"/>
      <c r="J68" s="21"/>
      <c r="K68" s="34"/>
      <c r="L68" s="37"/>
      <c r="M68" s="21"/>
      <c r="N68" s="19"/>
    </row>
    <row r="69" spans="1:14">
      <c r="A69" s="23"/>
      <c r="B69" s="22"/>
      <c r="C69" s="37"/>
      <c r="D69" s="21"/>
      <c r="E69" s="21"/>
      <c r="F69" s="20"/>
      <c r="G69" s="21"/>
      <c r="H69" s="21"/>
      <c r="I69" s="21"/>
      <c r="J69" s="21"/>
      <c r="K69" s="34"/>
      <c r="L69" s="37"/>
      <c r="M69" s="21"/>
      <c r="N69" s="19"/>
    </row>
    <row r="70" spans="1:14">
      <c r="A70" s="23"/>
      <c r="B70" s="22"/>
      <c r="C70" s="37"/>
      <c r="D70" s="21"/>
      <c r="E70" s="21"/>
      <c r="F70" s="20"/>
      <c r="G70" s="21"/>
      <c r="H70" s="21"/>
      <c r="I70" s="21"/>
      <c r="J70" s="21"/>
      <c r="K70" s="34"/>
      <c r="L70" s="37"/>
      <c r="M70" s="21"/>
      <c r="N70" s="19"/>
    </row>
    <row r="71" spans="1:14">
      <c r="A71" s="23">
        <v>2022</v>
      </c>
      <c r="B71" s="22">
        <v>2</v>
      </c>
      <c r="C71" s="37">
        <v>45</v>
      </c>
      <c r="D71" s="20">
        <v>15250</v>
      </c>
      <c r="E71" s="21">
        <v>15181</v>
      </c>
      <c r="F71" s="20">
        <v>4</v>
      </c>
      <c r="G71" s="21">
        <v>2838</v>
      </c>
      <c r="H71" s="21">
        <v>2789</v>
      </c>
      <c r="I71" s="34">
        <v>0</v>
      </c>
      <c r="J71" s="34">
        <v>75</v>
      </c>
      <c r="K71" s="34">
        <v>75</v>
      </c>
      <c r="L71" s="37">
        <v>49</v>
      </c>
      <c r="M71" s="21">
        <v>18163</v>
      </c>
      <c r="N71" s="19">
        <v>18045</v>
      </c>
    </row>
    <row r="72" spans="1:14">
      <c r="A72" s="23"/>
      <c r="B72" s="22">
        <v>3</v>
      </c>
      <c r="C72" s="37">
        <v>44</v>
      </c>
      <c r="D72" s="20">
        <v>15250</v>
      </c>
      <c r="E72" s="21">
        <v>15147</v>
      </c>
      <c r="F72" s="20">
        <v>9</v>
      </c>
      <c r="G72" s="21">
        <v>2838</v>
      </c>
      <c r="H72" s="21">
        <v>2780</v>
      </c>
      <c r="I72" s="34">
        <v>0</v>
      </c>
      <c r="J72" s="34">
        <v>75</v>
      </c>
      <c r="K72" s="34">
        <v>75</v>
      </c>
      <c r="L72" s="37">
        <v>53</v>
      </c>
      <c r="M72" s="21">
        <v>18163</v>
      </c>
      <c r="N72" s="19">
        <v>18002</v>
      </c>
    </row>
    <row r="73" spans="1:14">
      <c r="A73" s="23"/>
      <c r="B73" s="22">
        <v>4</v>
      </c>
      <c r="C73" s="37">
        <v>96</v>
      </c>
      <c r="D73" s="20">
        <v>15250</v>
      </c>
      <c r="E73" s="21">
        <v>15118</v>
      </c>
      <c r="F73" s="20">
        <v>13</v>
      </c>
      <c r="G73" s="21">
        <v>2838</v>
      </c>
      <c r="H73" s="21">
        <v>2770</v>
      </c>
      <c r="I73" s="34">
        <v>0</v>
      </c>
      <c r="J73" s="34">
        <v>75</v>
      </c>
      <c r="K73" s="34">
        <v>75</v>
      </c>
      <c r="L73" s="37">
        <v>109</v>
      </c>
      <c r="M73" s="21">
        <v>18163</v>
      </c>
      <c r="N73" s="19">
        <v>17963</v>
      </c>
    </row>
    <row r="74" spans="1:14">
      <c r="A74" s="23"/>
      <c r="B74" s="22">
        <v>5</v>
      </c>
      <c r="C74" s="37">
        <v>103</v>
      </c>
      <c r="D74" s="20">
        <v>15250</v>
      </c>
      <c r="E74" s="21">
        <v>15124</v>
      </c>
      <c r="F74" s="20">
        <v>22</v>
      </c>
      <c r="G74" s="21">
        <v>2838</v>
      </c>
      <c r="H74" s="21">
        <v>2769</v>
      </c>
      <c r="I74" s="34">
        <v>0</v>
      </c>
      <c r="J74" s="34">
        <v>75</v>
      </c>
      <c r="K74" s="34">
        <v>75</v>
      </c>
      <c r="L74" s="37">
        <v>125</v>
      </c>
      <c r="M74" s="21">
        <v>18163</v>
      </c>
      <c r="N74" s="19">
        <v>17968</v>
      </c>
    </row>
    <row r="75" spans="1:14">
      <c r="A75" s="23"/>
      <c r="B75" s="22">
        <v>6</v>
      </c>
      <c r="C75" s="37">
        <v>155</v>
      </c>
      <c r="D75" s="20">
        <v>15250</v>
      </c>
      <c r="E75" s="21">
        <v>15137</v>
      </c>
      <c r="F75" s="20">
        <v>15</v>
      </c>
      <c r="G75" s="21">
        <v>2838</v>
      </c>
      <c r="H75" s="21">
        <v>2757</v>
      </c>
      <c r="I75" s="34">
        <v>0</v>
      </c>
      <c r="J75" s="34">
        <v>75</v>
      </c>
      <c r="K75" s="34">
        <v>75</v>
      </c>
      <c r="L75" s="37">
        <v>170</v>
      </c>
      <c r="M75" s="21">
        <v>18163</v>
      </c>
      <c r="N75" s="19">
        <v>17969</v>
      </c>
    </row>
    <row r="76" spans="1:14">
      <c r="A76" s="23"/>
      <c r="B76" s="22">
        <v>7</v>
      </c>
      <c r="C76" s="37">
        <v>87</v>
      </c>
      <c r="D76" s="20">
        <v>15250</v>
      </c>
      <c r="E76" s="21">
        <v>15112</v>
      </c>
      <c r="F76" s="20">
        <v>8</v>
      </c>
      <c r="G76" s="21">
        <v>2838</v>
      </c>
      <c r="H76" s="21">
        <v>2756</v>
      </c>
      <c r="I76" s="34">
        <v>0</v>
      </c>
      <c r="J76" s="34">
        <v>75</v>
      </c>
      <c r="K76" s="34">
        <v>75</v>
      </c>
      <c r="L76" s="37">
        <v>95</v>
      </c>
      <c r="M76" s="21">
        <v>18163</v>
      </c>
      <c r="N76" s="19">
        <v>17943</v>
      </c>
    </row>
    <row r="77" spans="1:14">
      <c r="A77" s="23"/>
      <c r="B77" s="22">
        <v>8</v>
      </c>
      <c r="C77" s="37">
        <v>107</v>
      </c>
      <c r="D77" s="20">
        <v>15250</v>
      </c>
      <c r="E77" s="21">
        <v>15127</v>
      </c>
      <c r="F77" s="20">
        <v>11</v>
      </c>
      <c r="G77" s="21">
        <v>2838</v>
      </c>
      <c r="H77" s="21">
        <v>2748</v>
      </c>
      <c r="I77" s="34">
        <v>0</v>
      </c>
      <c r="J77" s="34">
        <v>75</v>
      </c>
      <c r="K77" s="34">
        <v>75</v>
      </c>
      <c r="L77" s="37">
        <v>118</v>
      </c>
      <c r="M77" s="21">
        <v>18163</v>
      </c>
      <c r="N77" s="19">
        <v>17950</v>
      </c>
    </row>
    <row r="78" spans="1:14">
      <c r="A78" s="23"/>
      <c r="B78" s="22">
        <v>9</v>
      </c>
      <c r="C78" s="37">
        <v>70</v>
      </c>
      <c r="D78" s="20">
        <v>15250</v>
      </c>
      <c r="E78" s="21">
        <v>15124</v>
      </c>
      <c r="F78" s="20">
        <v>10</v>
      </c>
      <c r="G78" s="21">
        <v>2838</v>
      </c>
      <c r="H78" s="21">
        <v>2742</v>
      </c>
      <c r="I78" s="34">
        <v>0</v>
      </c>
      <c r="J78" s="34">
        <v>75</v>
      </c>
      <c r="K78" s="34">
        <v>75</v>
      </c>
      <c r="L78" s="37">
        <v>80</v>
      </c>
      <c r="M78" s="21">
        <v>18163</v>
      </c>
      <c r="N78" s="19">
        <v>17941</v>
      </c>
    </row>
    <row r="79" spans="1:14">
      <c r="A79" s="23"/>
      <c r="B79" s="22">
        <v>10</v>
      </c>
      <c r="C79" s="37">
        <v>74</v>
      </c>
      <c r="D79" s="20">
        <v>15250</v>
      </c>
      <c r="E79" s="21">
        <v>15105</v>
      </c>
      <c r="F79" s="20">
        <v>11</v>
      </c>
      <c r="G79" s="21">
        <v>2838</v>
      </c>
      <c r="H79" s="21">
        <v>2738</v>
      </c>
      <c r="I79" s="34">
        <v>0</v>
      </c>
      <c r="J79" s="34">
        <v>75</v>
      </c>
      <c r="K79" s="34">
        <v>75</v>
      </c>
      <c r="L79" s="37">
        <v>85</v>
      </c>
      <c r="M79" s="21">
        <v>18163</v>
      </c>
      <c r="N79" s="19">
        <v>17918</v>
      </c>
    </row>
    <row r="80" spans="1:14">
      <c r="A80" s="23"/>
      <c r="B80" s="22">
        <v>11</v>
      </c>
      <c r="C80" s="37">
        <v>74</v>
      </c>
      <c r="D80" s="20">
        <v>15250</v>
      </c>
      <c r="E80" s="21">
        <v>15086</v>
      </c>
      <c r="F80" s="20">
        <v>11</v>
      </c>
      <c r="G80" s="21">
        <v>2838</v>
      </c>
      <c r="H80" s="21">
        <v>2740</v>
      </c>
      <c r="I80" s="34">
        <v>0</v>
      </c>
      <c r="J80" s="34">
        <v>75</v>
      </c>
      <c r="K80" s="34">
        <v>75</v>
      </c>
      <c r="L80" s="37">
        <v>85</v>
      </c>
      <c r="M80" s="21">
        <v>18163</v>
      </c>
      <c r="N80" s="19">
        <v>17901</v>
      </c>
    </row>
    <row r="81" spans="1:14">
      <c r="A81" s="23"/>
      <c r="B81" s="22">
        <v>12</v>
      </c>
      <c r="C81" s="37">
        <v>56</v>
      </c>
      <c r="D81" s="20">
        <v>15250</v>
      </c>
      <c r="E81" s="21">
        <v>15081</v>
      </c>
      <c r="F81" s="20">
        <v>7</v>
      </c>
      <c r="G81" s="21">
        <v>2838</v>
      </c>
      <c r="H81" s="21">
        <v>2737</v>
      </c>
      <c r="I81" s="34">
        <v>0</v>
      </c>
      <c r="J81" s="34">
        <v>75</v>
      </c>
      <c r="K81" s="34">
        <v>74</v>
      </c>
      <c r="L81" s="37">
        <v>63</v>
      </c>
      <c r="M81" s="21">
        <v>18163</v>
      </c>
      <c r="N81" s="19">
        <v>17892</v>
      </c>
    </row>
    <row r="82" spans="1:14">
      <c r="A82" s="23"/>
      <c r="B82" s="22"/>
      <c r="C82" s="37"/>
      <c r="D82" s="20"/>
      <c r="E82" s="21"/>
      <c r="F82" s="20"/>
      <c r="G82" s="21"/>
      <c r="H82" s="21"/>
      <c r="I82" s="34"/>
      <c r="J82" s="34"/>
      <c r="K82" s="34"/>
      <c r="L82" s="37"/>
      <c r="M82" s="21"/>
      <c r="N82" s="19"/>
    </row>
    <row r="83" spans="1:14">
      <c r="A83" s="23">
        <v>2023</v>
      </c>
      <c r="B83" s="22">
        <v>1</v>
      </c>
      <c r="C83" s="37">
        <v>27</v>
      </c>
      <c r="D83" s="20">
        <v>15250</v>
      </c>
      <c r="E83" s="21">
        <v>15062</v>
      </c>
      <c r="F83" s="20">
        <v>5</v>
      </c>
      <c r="G83" s="21">
        <v>2838</v>
      </c>
      <c r="H83" s="21">
        <v>2732</v>
      </c>
      <c r="I83" s="34">
        <v>0</v>
      </c>
      <c r="J83" s="34">
        <v>75</v>
      </c>
      <c r="K83" s="34">
        <v>75</v>
      </c>
      <c r="L83" s="37">
        <v>32</v>
      </c>
      <c r="M83" s="21">
        <v>18163</v>
      </c>
      <c r="N83" s="19">
        <v>17869</v>
      </c>
    </row>
    <row r="84" spans="1:14">
      <c r="A84" s="23"/>
      <c r="B84" s="22">
        <v>2</v>
      </c>
      <c r="C84" s="37">
        <v>33</v>
      </c>
      <c r="D84" s="20">
        <v>15250</v>
      </c>
      <c r="E84" s="21">
        <v>15066</v>
      </c>
      <c r="F84" s="20">
        <v>4</v>
      </c>
      <c r="G84" s="21">
        <v>2838</v>
      </c>
      <c r="H84" s="21">
        <v>2733</v>
      </c>
      <c r="I84" s="34">
        <v>0</v>
      </c>
      <c r="J84" s="34">
        <v>75</v>
      </c>
      <c r="K84" s="34">
        <v>75</v>
      </c>
      <c r="L84" s="37">
        <v>37</v>
      </c>
      <c r="M84" s="21">
        <v>18163</v>
      </c>
      <c r="N84" s="19">
        <v>17874</v>
      </c>
    </row>
    <row r="85" spans="1:14">
      <c r="A85" s="23"/>
      <c r="B85" s="22">
        <v>3</v>
      </c>
      <c r="C85" s="37">
        <v>49</v>
      </c>
      <c r="D85" s="20">
        <v>15250</v>
      </c>
      <c r="E85" s="21">
        <v>15058</v>
      </c>
      <c r="F85" s="20">
        <v>9</v>
      </c>
      <c r="G85" s="21">
        <v>2838</v>
      </c>
      <c r="H85" s="21">
        <v>2727</v>
      </c>
      <c r="I85" s="34">
        <v>0</v>
      </c>
      <c r="J85" s="34">
        <v>75</v>
      </c>
      <c r="K85" s="34">
        <v>74</v>
      </c>
      <c r="L85" s="37">
        <v>58</v>
      </c>
      <c r="M85" s="21">
        <v>18163</v>
      </c>
      <c r="N85" s="19">
        <v>17859</v>
      </c>
    </row>
    <row r="86" spans="1:14">
      <c r="A86" s="23"/>
      <c r="B86" s="22">
        <v>4</v>
      </c>
      <c r="C86" s="37">
        <v>44</v>
      </c>
      <c r="D86" s="20">
        <v>15250</v>
      </c>
      <c r="E86" s="21">
        <v>15043</v>
      </c>
      <c r="F86" s="20">
        <v>6</v>
      </c>
      <c r="G86" s="21">
        <v>2838</v>
      </c>
      <c r="H86" s="21">
        <v>2726</v>
      </c>
      <c r="I86" s="34">
        <v>0</v>
      </c>
      <c r="J86" s="34">
        <v>75</v>
      </c>
      <c r="K86" s="34">
        <v>74</v>
      </c>
      <c r="L86" s="37">
        <v>50</v>
      </c>
      <c r="M86" s="21">
        <v>18163</v>
      </c>
      <c r="N86" s="19">
        <v>17843</v>
      </c>
    </row>
    <row r="87" spans="1:14">
      <c r="A87" s="23"/>
      <c r="B87" s="22">
        <v>5</v>
      </c>
      <c r="C87" s="37">
        <v>96</v>
      </c>
      <c r="D87" s="20">
        <v>15250</v>
      </c>
      <c r="E87" s="21">
        <v>15039</v>
      </c>
      <c r="F87" s="20">
        <v>17</v>
      </c>
      <c r="G87" s="21">
        <v>2838</v>
      </c>
      <c r="H87" s="21">
        <v>2721</v>
      </c>
      <c r="I87" s="34">
        <v>0</v>
      </c>
      <c r="J87" s="34">
        <v>75</v>
      </c>
      <c r="K87" s="34">
        <v>74</v>
      </c>
      <c r="L87" s="37">
        <v>113</v>
      </c>
      <c r="M87" s="21">
        <v>18163</v>
      </c>
      <c r="N87" s="19">
        <v>17834</v>
      </c>
    </row>
    <row r="88" spans="1:14">
      <c r="A88" s="23"/>
      <c r="B88" s="22">
        <v>6</v>
      </c>
      <c r="C88" s="37">
        <v>76</v>
      </c>
      <c r="D88" s="20">
        <v>15250</v>
      </c>
      <c r="E88" s="21">
        <v>15037</v>
      </c>
      <c r="F88" s="20">
        <v>13</v>
      </c>
      <c r="G88" s="21">
        <v>2838</v>
      </c>
      <c r="H88" s="21">
        <v>2726</v>
      </c>
      <c r="I88" s="34">
        <v>0</v>
      </c>
      <c r="J88" s="34">
        <v>75</v>
      </c>
      <c r="K88" s="34">
        <v>74</v>
      </c>
      <c r="L88" s="37">
        <v>89</v>
      </c>
      <c r="M88" s="21">
        <v>18163</v>
      </c>
      <c r="N88" s="19">
        <v>17837</v>
      </c>
    </row>
    <row r="89" spans="1:14">
      <c r="A89" s="23"/>
      <c r="B89" s="22">
        <v>7</v>
      </c>
      <c r="C89" s="37">
        <v>77</v>
      </c>
      <c r="D89" s="20">
        <v>15250</v>
      </c>
      <c r="E89" s="21">
        <v>15016</v>
      </c>
      <c r="F89" s="20">
        <v>22</v>
      </c>
      <c r="G89" s="21">
        <v>2838</v>
      </c>
      <c r="H89" s="21">
        <v>2721</v>
      </c>
      <c r="I89" s="34">
        <v>0</v>
      </c>
      <c r="J89" s="34">
        <v>75</v>
      </c>
      <c r="K89" s="34">
        <v>74</v>
      </c>
      <c r="L89" s="37">
        <v>99</v>
      </c>
      <c r="M89" s="21">
        <v>18163</v>
      </c>
      <c r="N89" s="19">
        <v>17811</v>
      </c>
    </row>
    <row r="90" spans="1:14">
      <c r="A90" s="18"/>
      <c r="B90" s="17"/>
      <c r="C90" s="78"/>
      <c r="D90" s="12"/>
      <c r="E90" s="15"/>
      <c r="F90" s="12"/>
      <c r="G90" s="15"/>
      <c r="H90" s="15"/>
      <c r="I90" s="15"/>
      <c r="J90" s="15"/>
      <c r="K90" s="79"/>
      <c r="L90" s="80"/>
      <c r="M90" s="15"/>
      <c r="N90" s="11"/>
    </row>
    <row r="91" spans="1:14">
      <c r="A91" s="81"/>
      <c r="B91" s="35"/>
      <c r="C91" s="82"/>
      <c r="D91" s="83"/>
      <c r="E91" s="83"/>
      <c r="F91" s="44"/>
      <c r="G91" s="83"/>
      <c r="H91" s="44"/>
      <c r="I91" s="44"/>
      <c r="J91" s="44"/>
      <c r="K91" s="44"/>
      <c r="L91" s="44"/>
      <c r="M91" s="44"/>
      <c r="N91" s="44"/>
    </row>
  </sheetData>
  <mergeCells count="25">
    <mergeCell ref="C54:N54"/>
    <mergeCell ref="C5:Q5"/>
    <mergeCell ref="C6:Q6"/>
    <mergeCell ref="C7:Q7"/>
    <mergeCell ref="C8:E8"/>
    <mergeCell ref="F8:H8"/>
    <mergeCell ref="I8:K8"/>
    <mergeCell ref="L8:N8"/>
    <mergeCell ref="O8:Q8"/>
    <mergeCell ref="I9:K9"/>
    <mergeCell ref="L9:N9"/>
    <mergeCell ref="O9:Q9"/>
    <mergeCell ref="C44:H46"/>
    <mergeCell ref="L44:Q46"/>
    <mergeCell ref="C9:E9"/>
    <mergeCell ref="F9:H9"/>
    <mergeCell ref="C57:E57"/>
    <mergeCell ref="F57:H57"/>
    <mergeCell ref="I57:K57"/>
    <mergeCell ref="L57:N57"/>
    <mergeCell ref="C55:N55"/>
    <mergeCell ref="C56:E56"/>
    <mergeCell ref="F56:H56"/>
    <mergeCell ref="I56:K56"/>
    <mergeCell ref="L56:N56"/>
  </mergeCells>
  <phoneticPr fontId="57" type="noConversion"/>
  <printOptions horizontalCentered="1"/>
  <pageMargins left="0.59055118110236227" right="0.59055118110236227" top="0.98425196850393704" bottom="0.98425196850393704" header="0.51181102362204722" footer="0.51181102362204722"/>
  <pageSetup paperSize="9" scale="8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168B-DD6C-470A-A6B4-8A1CBA299385}">
  <dimension ref="A2:T327"/>
  <sheetViews>
    <sheetView topLeftCell="D167" zoomScale="119" workbookViewId="0">
      <selection activeCell="K205" sqref="K205"/>
    </sheetView>
  </sheetViews>
  <sheetFormatPr baseColWidth="10" defaultColWidth="16" defaultRowHeight="14"/>
  <sheetData>
    <row r="2" spans="1:10">
      <c r="A2" s="40"/>
      <c r="B2" s="40"/>
      <c r="C2" s="40"/>
      <c r="D2" s="40"/>
      <c r="E2" s="40"/>
      <c r="F2" s="40"/>
      <c r="G2" s="40"/>
      <c r="H2" s="40"/>
      <c r="I2" s="40"/>
      <c r="J2" s="40"/>
    </row>
    <row r="3" spans="1:10">
      <c r="A3" s="40"/>
      <c r="B3" s="40"/>
      <c r="C3" s="40"/>
      <c r="D3" s="40"/>
      <c r="E3" s="40"/>
      <c r="F3" s="40"/>
      <c r="G3" s="40"/>
      <c r="H3" s="40"/>
      <c r="I3" s="40"/>
      <c r="J3" s="40"/>
    </row>
    <row r="4" spans="1:10">
      <c r="A4" s="40"/>
      <c r="B4" s="40"/>
      <c r="C4" s="40"/>
      <c r="D4" s="40"/>
      <c r="E4" s="40"/>
      <c r="F4" s="40"/>
      <c r="G4" s="40"/>
      <c r="H4" s="40"/>
      <c r="I4" s="40"/>
      <c r="J4" s="40"/>
    </row>
    <row r="5" spans="1:10" ht="16">
      <c r="A5" s="33" t="s">
        <v>74</v>
      </c>
      <c r="B5" s="40"/>
      <c r="C5" s="39" t="s">
        <v>119</v>
      </c>
      <c r="D5" s="40"/>
      <c r="E5" s="40"/>
      <c r="F5" s="40"/>
      <c r="G5" s="40"/>
      <c r="H5" s="40"/>
      <c r="I5" s="40"/>
      <c r="J5" s="40"/>
    </row>
    <row r="6" spans="1:10" ht="16">
      <c r="A6" s="31" t="s">
        <v>76</v>
      </c>
      <c r="B6" s="40"/>
      <c r="C6" s="39" t="s">
        <v>120</v>
      </c>
      <c r="D6" s="40"/>
      <c r="E6" s="40"/>
      <c r="F6" s="40"/>
      <c r="G6" s="40"/>
      <c r="H6" s="176">
        <v>202307</v>
      </c>
      <c r="I6" s="40"/>
      <c r="J6" s="40"/>
    </row>
    <row r="7" spans="1:10">
      <c r="A7" s="40"/>
      <c r="B7" s="40"/>
      <c r="C7" s="40"/>
      <c r="D7" s="40"/>
      <c r="E7" s="40"/>
      <c r="F7" s="40"/>
      <c r="G7" s="40"/>
      <c r="H7" s="40"/>
      <c r="I7" s="40"/>
      <c r="J7" s="40"/>
    </row>
    <row r="8" spans="1:10">
      <c r="A8" s="42"/>
      <c r="B8" s="43"/>
      <c r="C8" s="332" t="s">
        <v>146</v>
      </c>
      <c r="D8" s="330"/>
      <c r="E8" s="330"/>
      <c r="F8" s="330"/>
      <c r="G8" s="330"/>
      <c r="H8" s="340"/>
      <c r="I8" s="44"/>
      <c r="J8" s="44"/>
    </row>
    <row r="9" spans="1:10">
      <c r="A9" s="45"/>
      <c r="B9" s="46"/>
      <c r="C9" s="332" t="s">
        <v>147</v>
      </c>
      <c r="D9" s="330"/>
      <c r="E9" s="330"/>
      <c r="F9" s="330"/>
      <c r="G9" s="330"/>
      <c r="H9" s="340"/>
      <c r="I9" s="44"/>
      <c r="J9" s="44"/>
    </row>
    <row r="10" spans="1:10">
      <c r="A10" s="47"/>
      <c r="B10" s="46"/>
      <c r="C10" s="354" t="s">
        <v>148</v>
      </c>
      <c r="D10" s="334"/>
      <c r="E10" s="334"/>
      <c r="F10" s="334"/>
      <c r="G10" s="334"/>
      <c r="H10" s="335"/>
      <c r="I10" s="44"/>
      <c r="J10" s="44"/>
    </row>
    <row r="11" spans="1:10">
      <c r="A11" s="48"/>
      <c r="B11" s="46"/>
      <c r="C11" s="332" t="s">
        <v>149</v>
      </c>
      <c r="D11" s="330"/>
      <c r="E11" s="340"/>
      <c r="F11" s="344" t="s">
        <v>150</v>
      </c>
      <c r="G11" s="330"/>
      <c r="H11" s="331"/>
      <c r="I11" s="44"/>
      <c r="J11" s="44"/>
    </row>
    <row r="12" spans="1:10">
      <c r="A12" s="48" t="s">
        <v>151</v>
      </c>
      <c r="B12" s="49"/>
      <c r="C12" s="173" t="s">
        <v>91</v>
      </c>
      <c r="D12" s="50" t="s">
        <v>94</v>
      </c>
      <c r="E12" s="51" t="s">
        <v>95</v>
      </c>
      <c r="F12" s="58" t="s">
        <v>91</v>
      </c>
      <c r="G12" s="50" t="s">
        <v>94</v>
      </c>
      <c r="H12" s="52" t="s">
        <v>93</v>
      </c>
      <c r="I12" s="44"/>
      <c r="J12" s="44"/>
    </row>
    <row r="13" spans="1:10">
      <c r="A13" s="53" t="s">
        <v>97</v>
      </c>
      <c r="B13" s="49"/>
      <c r="C13" s="138" t="s">
        <v>101</v>
      </c>
      <c r="D13" s="55" t="s">
        <v>102</v>
      </c>
      <c r="E13" s="56" t="s">
        <v>103</v>
      </c>
      <c r="F13" s="166" t="s">
        <v>101</v>
      </c>
      <c r="G13" s="55" t="s">
        <v>99</v>
      </c>
      <c r="H13" s="59" t="s">
        <v>100</v>
      </c>
      <c r="I13" s="44"/>
      <c r="J13" s="44"/>
    </row>
    <row r="14" spans="1:10">
      <c r="A14" s="60"/>
      <c r="B14" s="61"/>
      <c r="C14" s="62"/>
      <c r="D14" s="63"/>
      <c r="E14" s="64"/>
      <c r="F14" s="164"/>
      <c r="G14" s="63"/>
      <c r="H14" s="67"/>
      <c r="I14" s="44"/>
      <c r="J14" s="44"/>
    </row>
    <row r="15" spans="1:10">
      <c r="A15" s="68"/>
      <c r="B15" s="69"/>
      <c r="C15" s="70"/>
      <c r="D15" s="74"/>
      <c r="E15" s="74"/>
      <c r="F15" s="71"/>
      <c r="G15" s="74"/>
      <c r="H15" s="76"/>
      <c r="I15" s="77"/>
      <c r="J15" s="77"/>
    </row>
    <row r="16" spans="1:10">
      <c r="A16" s="29">
        <v>2018</v>
      </c>
      <c r="B16" s="22"/>
      <c r="C16" s="38">
        <v>3</v>
      </c>
      <c r="D16" s="27">
        <v>148</v>
      </c>
      <c r="E16" s="28">
        <v>147</v>
      </c>
      <c r="F16" s="27">
        <v>467</v>
      </c>
      <c r="G16" s="27">
        <v>3973</v>
      </c>
      <c r="H16" s="26">
        <v>3947</v>
      </c>
      <c r="I16" s="44"/>
      <c r="J16" s="44"/>
    </row>
    <row r="17" spans="1:10">
      <c r="A17" s="29">
        <v>2019</v>
      </c>
      <c r="B17" s="22"/>
      <c r="C17" s="38">
        <v>1</v>
      </c>
      <c r="D17" s="27">
        <v>144</v>
      </c>
      <c r="E17" s="28">
        <v>141</v>
      </c>
      <c r="F17" s="27">
        <v>217</v>
      </c>
      <c r="G17" s="27">
        <v>4078</v>
      </c>
      <c r="H17" s="26">
        <v>3924</v>
      </c>
      <c r="I17" s="44"/>
      <c r="J17" s="44"/>
    </row>
    <row r="18" spans="1:10">
      <c r="A18" s="29">
        <v>2020</v>
      </c>
      <c r="B18" s="22"/>
      <c r="C18" s="38">
        <v>0</v>
      </c>
      <c r="D18" s="27">
        <v>143</v>
      </c>
      <c r="E18" s="28">
        <v>140</v>
      </c>
      <c r="F18" s="27">
        <v>221</v>
      </c>
      <c r="G18" s="27">
        <v>3885</v>
      </c>
      <c r="H18" s="26">
        <v>3857</v>
      </c>
      <c r="I18" s="44"/>
      <c r="J18" s="44"/>
    </row>
    <row r="19" spans="1:10">
      <c r="A19" s="29">
        <v>2021</v>
      </c>
      <c r="B19" s="22"/>
      <c r="C19" s="38">
        <v>0</v>
      </c>
      <c r="D19" s="27">
        <v>143</v>
      </c>
      <c r="E19" s="28">
        <v>136</v>
      </c>
      <c r="F19" s="27">
        <v>142</v>
      </c>
      <c r="G19" s="27">
        <v>3892</v>
      </c>
      <c r="H19" s="26">
        <v>3865</v>
      </c>
      <c r="I19" s="44"/>
      <c r="J19" s="44"/>
    </row>
    <row r="20" spans="1:10">
      <c r="A20" s="29">
        <v>2022</v>
      </c>
      <c r="B20" s="22"/>
      <c r="C20" s="30">
        <v>16</v>
      </c>
      <c r="D20" s="30">
        <v>158</v>
      </c>
      <c r="E20" s="30">
        <v>149</v>
      </c>
      <c r="F20" s="27">
        <v>189</v>
      </c>
      <c r="G20" s="27">
        <v>3887</v>
      </c>
      <c r="H20" s="26">
        <v>3752</v>
      </c>
      <c r="I20" s="44"/>
      <c r="J20" s="44"/>
    </row>
    <row r="21" spans="1:10">
      <c r="A21" s="23"/>
      <c r="B21" s="22"/>
      <c r="C21" s="85"/>
      <c r="D21" s="86"/>
      <c r="E21" s="86"/>
      <c r="F21" s="86"/>
      <c r="G21" s="86"/>
      <c r="H21" s="87"/>
      <c r="I21" s="44"/>
      <c r="J21" s="44"/>
    </row>
    <row r="22" spans="1:10">
      <c r="A22" s="23"/>
      <c r="B22" s="22"/>
      <c r="C22" s="85"/>
      <c r="D22" s="86"/>
      <c r="E22" s="86"/>
      <c r="F22" s="86"/>
      <c r="G22" s="86"/>
      <c r="H22" s="87"/>
      <c r="I22" s="44"/>
      <c r="J22" s="44"/>
    </row>
    <row r="23" spans="1:10">
      <c r="A23" s="23"/>
      <c r="B23" s="22"/>
      <c r="C23" s="85"/>
      <c r="D23" s="86"/>
      <c r="E23" s="86"/>
      <c r="F23" s="86"/>
      <c r="G23" s="86"/>
      <c r="H23" s="87"/>
      <c r="I23" s="44"/>
      <c r="J23" s="44"/>
    </row>
    <row r="24" spans="1:10">
      <c r="A24" s="23"/>
      <c r="B24" s="22"/>
      <c r="C24" s="36"/>
      <c r="D24" s="86"/>
      <c r="E24" s="86"/>
      <c r="F24" s="86"/>
      <c r="G24" s="86"/>
      <c r="H24" s="87"/>
      <c r="I24" s="44"/>
      <c r="J24" s="44"/>
    </row>
    <row r="25" spans="1:10">
      <c r="A25" s="23">
        <v>2022</v>
      </c>
      <c r="B25" s="22">
        <v>2</v>
      </c>
      <c r="C25" s="85">
        <v>0</v>
      </c>
      <c r="D25" s="86">
        <v>144</v>
      </c>
      <c r="E25" s="86">
        <v>136</v>
      </c>
      <c r="F25" s="86">
        <v>11</v>
      </c>
      <c r="G25" s="86">
        <v>3903</v>
      </c>
      <c r="H25" s="87">
        <v>3880</v>
      </c>
      <c r="I25" s="40"/>
      <c r="J25" s="40"/>
    </row>
    <row r="26" spans="1:10">
      <c r="A26" s="23"/>
      <c r="B26" s="22">
        <v>3</v>
      </c>
      <c r="C26" s="85">
        <v>0</v>
      </c>
      <c r="D26" s="86">
        <v>144</v>
      </c>
      <c r="E26" s="86">
        <v>136</v>
      </c>
      <c r="F26" s="86">
        <v>0</v>
      </c>
      <c r="G26" s="86">
        <v>3892</v>
      </c>
      <c r="H26" s="87">
        <v>3864</v>
      </c>
      <c r="I26" s="40"/>
      <c r="J26" s="40"/>
    </row>
    <row r="27" spans="1:10">
      <c r="A27" s="23"/>
      <c r="B27" s="22">
        <v>4</v>
      </c>
      <c r="C27" s="85">
        <v>1</v>
      </c>
      <c r="D27" s="86">
        <v>145</v>
      </c>
      <c r="E27" s="86">
        <v>137</v>
      </c>
      <c r="F27" s="86">
        <v>13</v>
      </c>
      <c r="G27" s="86">
        <v>3889</v>
      </c>
      <c r="H27" s="87">
        <v>3867</v>
      </c>
      <c r="I27" s="40"/>
      <c r="J27" s="40"/>
    </row>
    <row r="28" spans="1:10">
      <c r="A28" s="23"/>
      <c r="B28" s="22">
        <v>5</v>
      </c>
      <c r="C28" s="85">
        <v>14</v>
      </c>
      <c r="D28" s="86">
        <v>158</v>
      </c>
      <c r="E28" s="86">
        <v>150</v>
      </c>
      <c r="F28" s="86">
        <v>54</v>
      </c>
      <c r="G28" s="86">
        <v>3916</v>
      </c>
      <c r="H28" s="87">
        <v>3863</v>
      </c>
      <c r="I28" s="40"/>
      <c r="J28" s="40"/>
    </row>
    <row r="29" spans="1:10">
      <c r="A29" s="23"/>
      <c r="B29" s="22">
        <v>6</v>
      </c>
      <c r="C29" s="85">
        <v>0</v>
      </c>
      <c r="D29" s="86">
        <v>158</v>
      </c>
      <c r="E29" s="86">
        <v>147</v>
      </c>
      <c r="F29" s="86">
        <v>35</v>
      </c>
      <c r="G29" s="86">
        <v>3903</v>
      </c>
      <c r="H29" s="87">
        <v>3863</v>
      </c>
      <c r="I29" s="40"/>
      <c r="J29" s="40"/>
    </row>
    <row r="30" spans="1:10">
      <c r="A30" s="23"/>
      <c r="B30" s="22">
        <v>7</v>
      </c>
      <c r="C30" s="85">
        <v>0</v>
      </c>
      <c r="D30" s="86">
        <v>158</v>
      </c>
      <c r="E30" s="86">
        <v>149</v>
      </c>
      <c r="F30" s="86">
        <v>17</v>
      </c>
      <c r="G30" s="86">
        <v>3899</v>
      </c>
      <c r="H30" s="87">
        <v>3850</v>
      </c>
      <c r="I30" s="40"/>
      <c r="J30" s="40"/>
    </row>
    <row r="31" spans="1:10">
      <c r="A31" s="23"/>
      <c r="B31" s="22">
        <v>8</v>
      </c>
      <c r="C31" s="85">
        <v>0</v>
      </c>
      <c r="D31" s="86">
        <v>158</v>
      </c>
      <c r="E31" s="86">
        <v>151</v>
      </c>
      <c r="F31" s="86">
        <v>5</v>
      </c>
      <c r="G31" s="86">
        <v>3879</v>
      </c>
      <c r="H31" s="87">
        <v>3810</v>
      </c>
      <c r="I31" s="40"/>
      <c r="J31" s="40"/>
    </row>
    <row r="32" spans="1:10">
      <c r="A32" s="23"/>
      <c r="B32" s="22">
        <v>9</v>
      </c>
      <c r="C32" s="85">
        <v>0</v>
      </c>
      <c r="D32" s="86">
        <v>158</v>
      </c>
      <c r="E32" s="86">
        <v>151</v>
      </c>
      <c r="F32" s="86">
        <v>8</v>
      </c>
      <c r="G32" s="86">
        <v>3874</v>
      </c>
      <c r="H32" s="87">
        <v>3749</v>
      </c>
      <c r="I32" s="40"/>
      <c r="J32" s="40"/>
    </row>
    <row r="33" spans="1:14">
      <c r="A33" s="23"/>
      <c r="B33" s="22">
        <v>10</v>
      </c>
      <c r="C33" s="85">
        <v>0</v>
      </c>
      <c r="D33" s="86">
        <v>158</v>
      </c>
      <c r="E33" s="86">
        <v>150</v>
      </c>
      <c r="F33" s="86">
        <v>16</v>
      </c>
      <c r="G33" s="86">
        <v>3873</v>
      </c>
      <c r="H33" s="87">
        <v>3766</v>
      </c>
      <c r="I33" s="40"/>
      <c r="J33" s="40"/>
    </row>
    <row r="34" spans="1:14">
      <c r="A34" s="23"/>
      <c r="B34" s="22">
        <v>11</v>
      </c>
      <c r="C34" s="85">
        <v>0</v>
      </c>
      <c r="D34" s="86">
        <v>158</v>
      </c>
      <c r="E34" s="86">
        <v>149</v>
      </c>
      <c r="F34" s="86">
        <v>2</v>
      </c>
      <c r="G34" s="86">
        <v>3866</v>
      </c>
      <c r="H34" s="87">
        <v>3739</v>
      </c>
      <c r="I34" s="40"/>
      <c r="J34" s="40"/>
    </row>
    <row r="35" spans="1:14">
      <c r="A35" s="23"/>
      <c r="B35" s="22">
        <v>12</v>
      </c>
      <c r="C35" s="85">
        <v>0</v>
      </c>
      <c r="D35" s="86">
        <v>158</v>
      </c>
      <c r="E35" s="86">
        <v>149</v>
      </c>
      <c r="F35" s="86">
        <v>23</v>
      </c>
      <c r="G35" s="86">
        <v>3887</v>
      </c>
      <c r="H35" s="87">
        <v>3752</v>
      </c>
      <c r="I35" s="40"/>
      <c r="J35" s="40"/>
    </row>
    <row r="36" spans="1:14">
      <c r="A36" s="23"/>
      <c r="B36" s="22"/>
      <c r="C36" s="85"/>
      <c r="D36" s="86"/>
      <c r="E36" s="86"/>
      <c r="F36" s="86"/>
      <c r="G36" s="86"/>
      <c r="H36" s="87"/>
      <c r="I36" s="40"/>
      <c r="J36" s="40"/>
    </row>
    <row r="37" spans="1:14">
      <c r="A37" s="23">
        <v>2023</v>
      </c>
      <c r="B37" s="22">
        <v>1</v>
      </c>
      <c r="C37" s="85">
        <v>0</v>
      </c>
      <c r="D37" s="86">
        <v>158</v>
      </c>
      <c r="E37" s="86">
        <v>147</v>
      </c>
      <c r="F37" s="86">
        <v>6</v>
      </c>
      <c r="G37" s="86">
        <v>3889</v>
      </c>
      <c r="H37" s="87">
        <v>3730</v>
      </c>
      <c r="I37" s="40"/>
      <c r="J37" s="40"/>
    </row>
    <row r="38" spans="1:14">
      <c r="A38" s="23"/>
      <c r="B38" s="22">
        <v>2</v>
      </c>
      <c r="C38" s="85">
        <v>0</v>
      </c>
      <c r="D38" s="86">
        <v>158</v>
      </c>
      <c r="E38" s="86">
        <v>147</v>
      </c>
      <c r="F38" s="86">
        <v>13</v>
      </c>
      <c r="G38" s="86">
        <v>3887</v>
      </c>
      <c r="H38" s="87">
        <v>3807</v>
      </c>
      <c r="I38" s="40"/>
      <c r="J38" s="40"/>
    </row>
    <row r="39" spans="1:14">
      <c r="A39" s="23"/>
      <c r="B39" s="22">
        <v>3</v>
      </c>
      <c r="C39" s="85">
        <v>0</v>
      </c>
      <c r="D39" s="86">
        <v>158</v>
      </c>
      <c r="E39" s="86">
        <v>150</v>
      </c>
      <c r="F39" s="86">
        <v>28</v>
      </c>
      <c r="G39" s="86">
        <v>3909</v>
      </c>
      <c r="H39" s="87">
        <v>3839</v>
      </c>
      <c r="I39" s="40"/>
      <c r="J39" s="40"/>
    </row>
    <row r="40" spans="1:14">
      <c r="A40" s="23"/>
      <c r="B40" s="22">
        <v>4</v>
      </c>
      <c r="C40" s="85">
        <v>0</v>
      </c>
      <c r="D40" s="86">
        <v>157</v>
      </c>
      <c r="E40" s="86">
        <v>150</v>
      </c>
      <c r="F40" s="86">
        <v>15</v>
      </c>
      <c r="G40" s="86">
        <v>3915</v>
      </c>
      <c r="H40" s="87">
        <v>3832</v>
      </c>
      <c r="I40" s="40"/>
      <c r="J40" s="40"/>
    </row>
    <row r="41" spans="1:14">
      <c r="A41" s="23"/>
      <c r="B41" s="22">
        <v>5</v>
      </c>
      <c r="C41" s="85">
        <v>0</v>
      </c>
      <c r="D41" s="86">
        <v>157</v>
      </c>
      <c r="E41" s="86">
        <v>147</v>
      </c>
      <c r="F41" s="86">
        <v>0</v>
      </c>
      <c r="G41" s="86">
        <v>3908</v>
      </c>
      <c r="H41" s="87">
        <v>3774</v>
      </c>
      <c r="I41" s="40"/>
      <c r="J41" s="40"/>
    </row>
    <row r="42" spans="1:14">
      <c r="A42" s="23"/>
      <c r="B42" s="22">
        <v>6</v>
      </c>
      <c r="C42" s="85">
        <v>0</v>
      </c>
      <c r="D42" s="86">
        <v>157</v>
      </c>
      <c r="E42" s="86">
        <v>144</v>
      </c>
      <c r="F42" s="86">
        <v>3</v>
      </c>
      <c r="G42" s="86">
        <v>3898</v>
      </c>
      <c r="H42" s="87">
        <v>3689</v>
      </c>
      <c r="I42" s="40"/>
      <c r="J42" s="40"/>
    </row>
    <row r="43" spans="1:14">
      <c r="A43" s="23"/>
      <c r="B43" s="22">
        <v>7</v>
      </c>
      <c r="C43" s="85">
        <v>0</v>
      </c>
      <c r="D43" s="86">
        <v>157</v>
      </c>
      <c r="E43" s="86">
        <v>147</v>
      </c>
      <c r="F43" s="86">
        <v>14</v>
      </c>
      <c r="G43" s="86">
        <v>3909</v>
      </c>
      <c r="H43" s="87">
        <v>3694</v>
      </c>
      <c r="I43" s="40"/>
      <c r="J43" s="40"/>
    </row>
    <row r="44" spans="1:14">
      <c r="A44" s="18"/>
      <c r="B44" s="17"/>
      <c r="C44" s="212"/>
      <c r="D44" s="213"/>
      <c r="E44" s="89"/>
      <c r="F44" s="213"/>
      <c r="G44" s="213"/>
      <c r="H44" s="214"/>
      <c r="I44" s="40"/>
      <c r="J44" s="40"/>
    </row>
    <row r="45" spans="1:14">
      <c r="A45" s="40"/>
      <c r="B45" s="40"/>
      <c r="C45" s="40"/>
      <c r="D45" s="40"/>
      <c r="E45" s="215"/>
      <c r="F45" s="40"/>
      <c r="G45" s="40"/>
      <c r="H45" s="40"/>
      <c r="I45" s="40"/>
      <c r="J45" s="40"/>
    </row>
    <row r="46" spans="1:14" ht="15">
      <c r="A46" s="41"/>
      <c r="B46" s="216"/>
      <c r="C46" s="40"/>
      <c r="D46" s="217"/>
      <c r="E46" s="218"/>
      <c r="F46" s="40"/>
      <c r="G46" s="217"/>
      <c r="H46" s="40"/>
      <c r="I46" s="40"/>
      <c r="J46" s="40"/>
    </row>
    <row r="47" spans="1:14">
      <c r="A47" s="41"/>
      <c r="B47" s="40"/>
      <c r="C47" s="40"/>
      <c r="D47" s="40"/>
      <c r="E47" s="218"/>
      <c r="F47" s="40"/>
      <c r="G47" s="40"/>
      <c r="H47" s="40"/>
      <c r="I47" s="40"/>
      <c r="J47" s="40"/>
    </row>
    <row r="48" spans="1:14">
      <c r="A48" s="40"/>
      <c r="B48" s="40"/>
      <c r="C48" s="40"/>
      <c r="D48" s="40"/>
      <c r="E48" s="40"/>
      <c r="F48" s="40"/>
      <c r="G48" s="40"/>
      <c r="H48" s="40"/>
      <c r="I48" s="40"/>
      <c r="J48" s="40"/>
      <c r="K48" s="40"/>
      <c r="L48" s="40"/>
      <c r="M48" s="40"/>
      <c r="N48" s="40"/>
    </row>
    <row r="49" spans="1:14" ht="16">
      <c r="A49" s="33" t="s">
        <v>74</v>
      </c>
      <c r="B49" s="40"/>
      <c r="C49" s="39" t="s">
        <v>119</v>
      </c>
      <c r="D49" s="40"/>
      <c r="E49" s="40"/>
      <c r="F49" s="40"/>
      <c r="G49" s="40"/>
      <c r="H49" s="40"/>
      <c r="I49" s="40"/>
      <c r="J49" s="40"/>
      <c r="K49" s="40"/>
      <c r="L49" s="40"/>
      <c r="M49" s="40"/>
      <c r="N49" s="40"/>
    </row>
    <row r="50" spans="1:14" ht="16">
      <c r="A50" s="31" t="s">
        <v>76</v>
      </c>
      <c r="B50" s="40"/>
      <c r="C50" s="39" t="s">
        <v>120</v>
      </c>
      <c r="D50" s="40"/>
      <c r="E50" s="175"/>
      <c r="F50" s="40"/>
      <c r="G50" s="40"/>
      <c r="H50" s="40"/>
      <c r="I50" s="40"/>
      <c r="J50" s="40"/>
      <c r="K50" s="40"/>
      <c r="L50" s="40"/>
      <c r="M50" s="40"/>
      <c r="N50" s="176">
        <v>202307</v>
      </c>
    </row>
    <row r="51" spans="1:14">
      <c r="A51" s="40"/>
      <c r="B51" s="40"/>
      <c r="C51" s="40"/>
      <c r="D51" s="40"/>
      <c r="E51" s="40"/>
      <c r="F51" s="40"/>
      <c r="G51" s="40"/>
      <c r="H51" s="40"/>
      <c r="I51" s="40"/>
      <c r="J51" s="40"/>
      <c r="K51" s="40"/>
      <c r="L51" s="40"/>
      <c r="M51" s="40"/>
      <c r="N51" s="40"/>
    </row>
    <row r="52" spans="1:14">
      <c r="A52" s="42"/>
      <c r="B52" s="43"/>
      <c r="C52" s="280" t="s">
        <v>146</v>
      </c>
      <c r="D52" s="266"/>
      <c r="E52" s="266"/>
      <c r="F52" s="266"/>
      <c r="G52" s="266"/>
      <c r="H52" s="266"/>
      <c r="I52" s="266"/>
      <c r="J52" s="266"/>
      <c r="K52" s="299"/>
      <c r="L52" s="266"/>
      <c r="M52" s="266"/>
      <c r="N52" s="299"/>
    </row>
    <row r="53" spans="1:14">
      <c r="A53" s="45"/>
      <c r="B53" s="46"/>
      <c r="C53" s="332" t="s">
        <v>147</v>
      </c>
      <c r="D53" s="330"/>
      <c r="E53" s="330"/>
      <c r="F53" s="330"/>
      <c r="G53" s="330"/>
      <c r="H53" s="330"/>
      <c r="I53" s="330"/>
      <c r="J53" s="330"/>
      <c r="K53" s="340"/>
      <c r="L53" s="330"/>
      <c r="M53" s="330"/>
      <c r="N53" s="340"/>
    </row>
    <row r="54" spans="1:14" ht="24" customHeight="1">
      <c r="A54" s="90"/>
      <c r="B54" s="46"/>
      <c r="C54" s="358" t="s">
        <v>152</v>
      </c>
      <c r="D54" s="334"/>
      <c r="E54" s="334"/>
      <c r="F54" s="334"/>
      <c r="G54" s="334"/>
      <c r="H54" s="335"/>
      <c r="I54" s="354" t="s">
        <v>153</v>
      </c>
      <c r="J54" s="334"/>
      <c r="K54" s="348"/>
      <c r="L54" s="334"/>
      <c r="M54" s="334"/>
      <c r="N54" s="335"/>
    </row>
    <row r="55" spans="1:14">
      <c r="A55" s="48"/>
      <c r="B55" s="46"/>
      <c r="C55" s="332" t="s">
        <v>149</v>
      </c>
      <c r="D55" s="330"/>
      <c r="E55" s="340"/>
      <c r="F55" s="344" t="s">
        <v>150</v>
      </c>
      <c r="G55" s="330"/>
      <c r="H55" s="331"/>
      <c r="I55" s="332" t="s">
        <v>149</v>
      </c>
      <c r="J55" s="330"/>
      <c r="K55" s="340"/>
      <c r="L55" s="344" t="s">
        <v>150</v>
      </c>
      <c r="M55" s="330"/>
      <c r="N55" s="331"/>
    </row>
    <row r="56" spans="1:14">
      <c r="A56" s="48" t="s">
        <v>90</v>
      </c>
      <c r="B56" s="49"/>
      <c r="C56" s="54" t="s">
        <v>91</v>
      </c>
      <c r="D56" s="219" t="s">
        <v>94</v>
      </c>
      <c r="E56" s="50" t="s">
        <v>95</v>
      </c>
      <c r="F56" s="58" t="s">
        <v>91</v>
      </c>
      <c r="G56" s="219" t="s">
        <v>94</v>
      </c>
      <c r="H56" s="51" t="s">
        <v>95</v>
      </c>
      <c r="I56" s="54" t="s">
        <v>91</v>
      </c>
      <c r="J56" s="219" t="s">
        <v>94</v>
      </c>
      <c r="K56" s="50" t="s">
        <v>95</v>
      </c>
      <c r="L56" s="58" t="s">
        <v>91</v>
      </c>
      <c r="M56" s="50" t="s">
        <v>92</v>
      </c>
      <c r="N56" s="52" t="s">
        <v>93</v>
      </c>
    </row>
    <row r="57" spans="1:14">
      <c r="A57" s="53" t="s">
        <v>97</v>
      </c>
      <c r="B57" s="49"/>
      <c r="C57" s="138" t="s">
        <v>101</v>
      </c>
      <c r="D57" s="55" t="s">
        <v>102</v>
      </c>
      <c r="E57" s="55" t="s">
        <v>103</v>
      </c>
      <c r="F57" s="178" t="s">
        <v>101</v>
      </c>
      <c r="G57" s="55" t="s">
        <v>102</v>
      </c>
      <c r="H57" s="56" t="s">
        <v>103</v>
      </c>
      <c r="I57" s="138" t="s">
        <v>101</v>
      </c>
      <c r="J57" s="55" t="s">
        <v>102</v>
      </c>
      <c r="K57" s="55" t="s">
        <v>103</v>
      </c>
      <c r="L57" s="178" t="s">
        <v>101</v>
      </c>
      <c r="M57" s="55" t="s">
        <v>99</v>
      </c>
      <c r="N57" s="59" t="s">
        <v>100</v>
      </c>
    </row>
    <row r="58" spans="1:14">
      <c r="A58" s="60"/>
      <c r="B58" s="61"/>
      <c r="C58" s="62"/>
      <c r="D58" s="63"/>
      <c r="E58" s="64"/>
      <c r="F58" s="164"/>
      <c r="G58" s="63"/>
      <c r="H58" s="67"/>
      <c r="I58" s="62"/>
      <c r="J58" s="63"/>
      <c r="K58" s="64"/>
      <c r="L58" s="164"/>
      <c r="M58" s="63"/>
      <c r="N58" s="67"/>
    </row>
    <row r="59" spans="1:14">
      <c r="A59" s="68"/>
      <c r="B59" s="69"/>
      <c r="C59" s="70"/>
      <c r="D59" s="74"/>
      <c r="E59" s="74"/>
      <c r="F59" s="71"/>
      <c r="G59" s="74"/>
      <c r="H59" s="76"/>
      <c r="I59" s="70"/>
      <c r="J59" s="74"/>
      <c r="K59" s="91"/>
      <c r="L59" s="71"/>
      <c r="M59" s="74"/>
      <c r="N59" s="76"/>
    </row>
    <row r="60" spans="1:14">
      <c r="A60" s="29">
        <v>2018</v>
      </c>
      <c r="B60" s="22"/>
      <c r="C60" s="93">
        <v>0</v>
      </c>
      <c r="D60" s="91">
        <v>38</v>
      </c>
      <c r="E60" s="91">
        <v>38</v>
      </c>
      <c r="F60" s="94">
        <v>26</v>
      </c>
      <c r="G60" s="91">
        <v>736</v>
      </c>
      <c r="H60" s="95">
        <v>707</v>
      </c>
      <c r="I60" s="93">
        <v>0</v>
      </c>
      <c r="J60" s="91">
        <v>0</v>
      </c>
      <c r="K60" s="91">
        <v>0</v>
      </c>
      <c r="L60" s="94">
        <v>28</v>
      </c>
      <c r="M60" s="91">
        <v>233</v>
      </c>
      <c r="N60" s="95">
        <v>233</v>
      </c>
    </row>
    <row r="61" spans="1:14">
      <c r="A61" s="29">
        <v>2019</v>
      </c>
      <c r="B61" s="22"/>
      <c r="C61" s="93">
        <v>0</v>
      </c>
      <c r="D61" s="91">
        <v>38</v>
      </c>
      <c r="E61" s="91">
        <v>37</v>
      </c>
      <c r="F61" s="94">
        <v>20</v>
      </c>
      <c r="G61" s="91">
        <v>734</v>
      </c>
      <c r="H61" s="95">
        <v>714</v>
      </c>
      <c r="I61" s="93">
        <v>0</v>
      </c>
      <c r="J61" s="91">
        <v>0</v>
      </c>
      <c r="K61" s="91">
        <v>0</v>
      </c>
      <c r="L61" s="94">
        <v>8</v>
      </c>
      <c r="M61" s="91">
        <v>241</v>
      </c>
      <c r="N61" s="95">
        <v>241</v>
      </c>
    </row>
    <row r="62" spans="1:14">
      <c r="A62" s="29">
        <v>2020</v>
      </c>
      <c r="B62" s="22"/>
      <c r="C62" s="93">
        <v>0</v>
      </c>
      <c r="D62" s="91">
        <v>34</v>
      </c>
      <c r="E62" s="91">
        <v>29</v>
      </c>
      <c r="F62" s="94">
        <v>44</v>
      </c>
      <c r="G62" s="91">
        <v>754</v>
      </c>
      <c r="H62" s="95">
        <v>715</v>
      </c>
      <c r="I62" s="93">
        <v>0</v>
      </c>
      <c r="J62" s="91">
        <v>0</v>
      </c>
      <c r="K62" s="91">
        <v>0</v>
      </c>
      <c r="L62" s="94">
        <v>20</v>
      </c>
      <c r="M62" s="91">
        <v>248</v>
      </c>
      <c r="N62" s="95">
        <v>223</v>
      </c>
    </row>
    <row r="63" spans="1:14">
      <c r="A63" s="29">
        <v>2021</v>
      </c>
      <c r="B63" s="22"/>
      <c r="C63" s="93">
        <v>0</v>
      </c>
      <c r="D63" s="91">
        <v>34</v>
      </c>
      <c r="E63" s="91">
        <v>25</v>
      </c>
      <c r="F63" s="94">
        <v>16</v>
      </c>
      <c r="G63" s="91">
        <v>758</v>
      </c>
      <c r="H63" s="95">
        <v>746</v>
      </c>
      <c r="I63" s="93">
        <v>0</v>
      </c>
      <c r="J63" s="91">
        <v>0</v>
      </c>
      <c r="K63" s="91">
        <v>0</v>
      </c>
      <c r="L63" s="94">
        <v>0</v>
      </c>
      <c r="M63" s="91">
        <v>244</v>
      </c>
      <c r="N63" s="95">
        <v>188</v>
      </c>
    </row>
    <row r="64" spans="1:14">
      <c r="A64" s="29">
        <v>2022</v>
      </c>
      <c r="B64" s="22"/>
      <c r="C64" s="30">
        <v>0</v>
      </c>
      <c r="D64" s="30">
        <v>33</v>
      </c>
      <c r="E64" s="30">
        <v>17</v>
      </c>
      <c r="F64" s="94">
        <v>16</v>
      </c>
      <c r="G64" s="91">
        <v>774</v>
      </c>
      <c r="H64" s="95">
        <v>693</v>
      </c>
      <c r="I64" s="93">
        <v>0</v>
      </c>
      <c r="J64" s="91">
        <v>0</v>
      </c>
      <c r="K64" s="91">
        <v>0</v>
      </c>
      <c r="L64" s="94">
        <v>0</v>
      </c>
      <c r="M64" s="91">
        <v>244</v>
      </c>
      <c r="N64" s="95">
        <v>180</v>
      </c>
    </row>
    <row r="65" spans="1:14">
      <c r="A65" s="23"/>
      <c r="B65" s="22"/>
      <c r="C65" s="85"/>
      <c r="D65" s="86"/>
      <c r="E65" s="86"/>
      <c r="F65" s="96"/>
      <c r="G65" s="86"/>
      <c r="H65" s="87"/>
      <c r="I65" s="85"/>
      <c r="J65" s="86"/>
      <c r="K65" s="86"/>
      <c r="L65" s="96"/>
      <c r="M65" s="21"/>
      <c r="N65" s="19"/>
    </row>
    <row r="66" spans="1:14">
      <c r="A66" s="23"/>
      <c r="B66" s="22"/>
      <c r="C66" s="85"/>
      <c r="D66" s="86"/>
      <c r="E66" s="86"/>
      <c r="F66" s="96"/>
      <c r="G66" s="86"/>
      <c r="H66" s="87"/>
      <c r="I66" s="85"/>
      <c r="J66" s="86"/>
      <c r="K66" s="86"/>
      <c r="L66" s="96"/>
      <c r="M66" s="21"/>
      <c r="N66" s="19"/>
    </row>
    <row r="67" spans="1:14">
      <c r="A67" s="23"/>
      <c r="B67" s="22"/>
      <c r="C67" s="85"/>
      <c r="D67" s="86"/>
      <c r="E67" s="86"/>
      <c r="F67" s="96"/>
      <c r="G67" s="86"/>
      <c r="H67" s="87"/>
      <c r="I67" s="85"/>
      <c r="J67" s="86"/>
      <c r="K67" s="86"/>
      <c r="L67" s="96"/>
      <c r="M67" s="21"/>
      <c r="N67" s="19"/>
    </row>
    <row r="68" spans="1:14">
      <c r="A68" s="23"/>
      <c r="B68" s="22"/>
      <c r="C68" s="85"/>
      <c r="D68" s="86"/>
      <c r="E68" s="86"/>
      <c r="F68" s="96"/>
      <c r="G68" s="86"/>
      <c r="H68" s="87"/>
      <c r="I68" s="85"/>
      <c r="J68" s="86"/>
      <c r="K68" s="86"/>
      <c r="L68" s="96"/>
      <c r="M68" s="21"/>
      <c r="N68" s="19"/>
    </row>
    <row r="69" spans="1:14">
      <c r="A69" s="23">
        <v>2022</v>
      </c>
      <c r="B69" s="22">
        <v>2</v>
      </c>
      <c r="C69" s="85">
        <v>0</v>
      </c>
      <c r="D69" s="86">
        <v>34</v>
      </c>
      <c r="E69" s="86">
        <v>23</v>
      </c>
      <c r="F69" s="96">
        <v>1</v>
      </c>
      <c r="G69" s="86">
        <v>760</v>
      </c>
      <c r="H69" s="87">
        <v>703</v>
      </c>
      <c r="I69" s="85">
        <v>0</v>
      </c>
      <c r="J69" s="86">
        <v>0</v>
      </c>
      <c r="K69" s="86">
        <v>0</v>
      </c>
      <c r="L69" s="96">
        <v>0</v>
      </c>
      <c r="M69" s="21">
        <v>244</v>
      </c>
      <c r="N69" s="19">
        <v>186</v>
      </c>
    </row>
    <row r="70" spans="1:14">
      <c r="A70" s="23"/>
      <c r="B70" s="22">
        <v>3</v>
      </c>
      <c r="C70" s="85">
        <v>0</v>
      </c>
      <c r="D70" s="86">
        <v>34</v>
      </c>
      <c r="E70" s="86">
        <v>24</v>
      </c>
      <c r="F70" s="96">
        <v>0</v>
      </c>
      <c r="G70" s="86">
        <v>760</v>
      </c>
      <c r="H70" s="87">
        <v>657</v>
      </c>
      <c r="I70" s="85">
        <v>0</v>
      </c>
      <c r="J70" s="86">
        <v>0</v>
      </c>
      <c r="K70" s="86">
        <v>0</v>
      </c>
      <c r="L70" s="96">
        <v>0</v>
      </c>
      <c r="M70" s="21">
        <v>244</v>
      </c>
      <c r="N70" s="19">
        <v>178</v>
      </c>
    </row>
    <row r="71" spans="1:14">
      <c r="A71" s="23"/>
      <c r="B71" s="22">
        <v>4</v>
      </c>
      <c r="C71" s="85">
        <v>0</v>
      </c>
      <c r="D71" s="86">
        <v>34</v>
      </c>
      <c r="E71" s="86">
        <v>13</v>
      </c>
      <c r="F71" s="96">
        <v>0</v>
      </c>
      <c r="G71" s="86">
        <v>760</v>
      </c>
      <c r="H71" s="87">
        <v>671</v>
      </c>
      <c r="I71" s="85">
        <v>0</v>
      </c>
      <c r="J71" s="86">
        <v>0</v>
      </c>
      <c r="K71" s="86">
        <v>0</v>
      </c>
      <c r="L71" s="96">
        <v>0</v>
      </c>
      <c r="M71" s="21">
        <v>244</v>
      </c>
      <c r="N71" s="19">
        <v>170</v>
      </c>
    </row>
    <row r="72" spans="1:14">
      <c r="A72" s="23"/>
      <c r="B72" s="22">
        <v>5</v>
      </c>
      <c r="C72" s="85">
        <v>0</v>
      </c>
      <c r="D72" s="86">
        <v>33</v>
      </c>
      <c r="E72" s="86">
        <v>14</v>
      </c>
      <c r="F72" s="96">
        <v>0</v>
      </c>
      <c r="G72" s="86">
        <v>760</v>
      </c>
      <c r="H72" s="87">
        <v>691</v>
      </c>
      <c r="I72" s="85">
        <v>0</v>
      </c>
      <c r="J72" s="86">
        <v>0</v>
      </c>
      <c r="K72" s="86">
        <v>0</v>
      </c>
      <c r="L72" s="96">
        <v>0</v>
      </c>
      <c r="M72" s="21">
        <v>244</v>
      </c>
      <c r="N72" s="19">
        <v>163</v>
      </c>
    </row>
    <row r="73" spans="1:14">
      <c r="A73" s="23"/>
      <c r="B73" s="22">
        <v>6</v>
      </c>
      <c r="C73" s="85">
        <v>0</v>
      </c>
      <c r="D73" s="86">
        <v>33</v>
      </c>
      <c r="E73" s="86">
        <v>13</v>
      </c>
      <c r="F73" s="96">
        <v>0</v>
      </c>
      <c r="G73" s="86">
        <v>760</v>
      </c>
      <c r="H73" s="87">
        <v>700</v>
      </c>
      <c r="I73" s="85">
        <v>0</v>
      </c>
      <c r="J73" s="86">
        <v>0</v>
      </c>
      <c r="K73" s="86">
        <v>0</v>
      </c>
      <c r="L73" s="96">
        <v>0</v>
      </c>
      <c r="M73" s="21">
        <v>244</v>
      </c>
      <c r="N73" s="19">
        <v>162</v>
      </c>
    </row>
    <row r="74" spans="1:14">
      <c r="A74" s="23"/>
      <c r="B74" s="22">
        <v>7</v>
      </c>
      <c r="C74" s="85">
        <v>0</v>
      </c>
      <c r="D74" s="86">
        <v>33</v>
      </c>
      <c r="E74" s="86">
        <v>14</v>
      </c>
      <c r="F74" s="96">
        <v>8</v>
      </c>
      <c r="G74" s="86">
        <v>768</v>
      </c>
      <c r="H74" s="87">
        <v>707</v>
      </c>
      <c r="I74" s="85">
        <v>0</v>
      </c>
      <c r="J74" s="86">
        <v>0</v>
      </c>
      <c r="K74" s="86">
        <v>0</v>
      </c>
      <c r="L74" s="96">
        <v>0</v>
      </c>
      <c r="M74" s="21">
        <v>244</v>
      </c>
      <c r="N74" s="19">
        <v>166</v>
      </c>
    </row>
    <row r="75" spans="1:14">
      <c r="A75" s="23"/>
      <c r="B75" s="22">
        <v>8</v>
      </c>
      <c r="C75" s="85">
        <v>0</v>
      </c>
      <c r="D75" s="86">
        <v>33</v>
      </c>
      <c r="E75" s="86">
        <v>15</v>
      </c>
      <c r="F75" s="96">
        <v>0</v>
      </c>
      <c r="G75" s="86">
        <v>768</v>
      </c>
      <c r="H75" s="87">
        <v>704</v>
      </c>
      <c r="I75" s="85">
        <v>0</v>
      </c>
      <c r="J75" s="86">
        <v>0</v>
      </c>
      <c r="K75" s="86">
        <v>0</v>
      </c>
      <c r="L75" s="96">
        <v>0</v>
      </c>
      <c r="M75" s="21">
        <v>244</v>
      </c>
      <c r="N75" s="19">
        <v>163</v>
      </c>
    </row>
    <row r="76" spans="1:14">
      <c r="A76" s="23"/>
      <c r="B76" s="22">
        <v>9</v>
      </c>
      <c r="C76" s="85">
        <v>0</v>
      </c>
      <c r="D76" s="86">
        <v>33</v>
      </c>
      <c r="E76" s="86">
        <v>15</v>
      </c>
      <c r="F76" s="96">
        <v>5</v>
      </c>
      <c r="G76" s="86">
        <v>772</v>
      </c>
      <c r="H76" s="87">
        <v>702</v>
      </c>
      <c r="I76" s="85">
        <v>0</v>
      </c>
      <c r="J76" s="86">
        <v>0</v>
      </c>
      <c r="K76" s="86">
        <v>0</v>
      </c>
      <c r="L76" s="96">
        <v>0</v>
      </c>
      <c r="M76" s="21">
        <v>244</v>
      </c>
      <c r="N76" s="19">
        <v>182</v>
      </c>
    </row>
    <row r="77" spans="1:14">
      <c r="A77" s="23"/>
      <c r="B77" s="22">
        <v>10</v>
      </c>
      <c r="C77" s="85">
        <v>0</v>
      </c>
      <c r="D77" s="86">
        <v>33</v>
      </c>
      <c r="E77" s="86">
        <v>14</v>
      </c>
      <c r="F77" s="96">
        <v>0</v>
      </c>
      <c r="G77" s="86">
        <v>773</v>
      </c>
      <c r="H77" s="87">
        <v>701</v>
      </c>
      <c r="I77" s="85">
        <v>0</v>
      </c>
      <c r="J77" s="86">
        <v>0</v>
      </c>
      <c r="K77" s="86">
        <v>0</v>
      </c>
      <c r="L77" s="96">
        <v>0</v>
      </c>
      <c r="M77" s="21">
        <v>244</v>
      </c>
      <c r="N77" s="19">
        <v>182</v>
      </c>
    </row>
    <row r="78" spans="1:14">
      <c r="A78" s="23"/>
      <c r="B78" s="22">
        <v>11</v>
      </c>
      <c r="C78" s="85">
        <v>0</v>
      </c>
      <c r="D78" s="86">
        <v>33</v>
      </c>
      <c r="E78" s="86">
        <v>17</v>
      </c>
      <c r="F78" s="96">
        <v>1</v>
      </c>
      <c r="G78" s="86">
        <v>774</v>
      </c>
      <c r="H78" s="87">
        <v>700</v>
      </c>
      <c r="I78" s="85">
        <v>0</v>
      </c>
      <c r="J78" s="86">
        <v>0</v>
      </c>
      <c r="K78" s="86">
        <v>0</v>
      </c>
      <c r="L78" s="96">
        <v>0</v>
      </c>
      <c r="M78" s="21">
        <v>244</v>
      </c>
      <c r="N78" s="19">
        <v>183</v>
      </c>
    </row>
    <row r="79" spans="1:14">
      <c r="A79" s="23"/>
      <c r="B79" s="22">
        <v>12</v>
      </c>
      <c r="C79" s="85">
        <v>0</v>
      </c>
      <c r="D79" s="86">
        <v>33</v>
      </c>
      <c r="E79" s="86">
        <v>17</v>
      </c>
      <c r="F79" s="96">
        <v>0</v>
      </c>
      <c r="G79" s="86">
        <v>774</v>
      </c>
      <c r="H79" s="87">
        <v>693</v>
      </c>
      <c r="I79" s="85">
        <v>0</v>
      </c>
      <c r="J79" s="86">
        <v>0</v>
      </c>
      <c r="K79" s="86">
        <v>0</v>
      </c>
      <c r="L79" s="96">
        <v>0</v>
      </c>
      <c r="M79" s="21">
        <v>244</v>
      </c>
      <c r="N79" s="19">
        <v>180</v>
      </c>
    </row>
    <row r="80" spans="1:14">
      <c r="A80" s="23"/>
      <c r="B80" s="35"/>
      <c r="C80" s="97"/>
      <c r="D80" s="86"/>
      <c r="E80" s="86"/>
      <c r="F80" s="96"/>
      <c r="G80" s="86"/>
      <c r="H80" s="88"/>
      <c r="I80" s="85"/>
      <c r="J80" s="86"/>
      <c r="K80" s="86"/>
      <c r="L80" s="96"/>
      <c r="M80" s="21"/>
      <c r="N80" s="220"/>
    </row>
    <row r="81" spans="1:20">
      <c r="A81" s="23">
        <v>2023</v>
      </c>
      <c r="B81" s="22">
        <v>1</v>
      </c>
      <c r="C81" s="85">
        <v>0</v>
      </c>
      <c r="D81" s="86">
        <v>33</v>
      </c>
      <c r="E81" s="86">
        <v>17</v>
      </c>
      <c r="F81" s="96">
        <v>0</v>
      </c>
      <c r="G81" s="86">
        <v>774</v>
      </c>
      <c r="H81" s="87">
        <v>716</v>
      </c>
      <c r="I81" s="85">
        <v>0</v>
      </c>
      <c r="J81" s="86">
        <v>0</v>
      </c>
      <c r="K81" s="86">
        <v>0</v>
      </c>
      <c r="L81" s="96">
        <v>0</v>
      </c>
      <c r="M81" s="21">
        <v>244</v>
      </c>
      <c r="N81" s="19">
        <v>187</v>
      </c>
    </row>
    <row r="82" spans="1:20">
      <c r="A82" s="23"/>
      <c r="B82" s="22">
        <v>2</v>
      </c>
      <c r="C82" s="85">
        <v>0</v>
      </c>
      <c r="D82" s="86">
        <v>33</v>
      </c>
      <c r="E82" s="86">
        <v>17</v>
      </c>
      <c r="F82" s="96">
        <v>0</v>
      </c>
      <c r="G82" s="86">
        <v>774</v>
      </c>
      <c r="H82" s="87">
        <v>724</v>
      </c>
      <c r="I82" s="85">
        <v>0</v>
      </c>
      <c r="J82" s="86">
        <v>0</v>
      </c>
      <c r="K82" s="86">
        <v>0</v>
      </c>
      <c r="L82" s="96">
        <v>0</v>
      </c>
      <c r="M82" s="21">
        <v>244</v>
      </c>
      <c r="N82" s="19">
        <v>188</v>
      </c>
    </row>
    <row r="83" spans="1:20">
      <c r="A83" s="23"/>
      <c r="B83" s="22">
        <v>3</v>
      </c>
      <c r="C83" s="85">
        <v>0</v>
      </c>
      <c r="D83" s="86">
        <v>33</v>
      </c>
      <c r="E83" s="86">
        <v>17</v>
      </c>
      <c r="F83" s="96">
        <v>0</v>
      </c>
      <c r="G83" s="86">
        <v>774</v>
      </c>
      <c r="H83" s="87">
        <v>729</v>
      </c>
      <c r="I83" s="85">
        <v>0</v>
      </c>
      <c r="J83" s="86">
        <v>0</v>
      </c>
      <c r="K83" s="86">
        <v>0</v>
      </c>
      <c r="L83" s="96">
        <v>0</v>
      </c>
      <c r="M83" s="21">
        <v>244</v>
      </c>
      <c r="N83" s="19">
        <v>193</v>
      </c>
    </row>
    <row r="84" spans="1:20">
      <c r="A84" s="23"/>
      <c r="B84" s="22">
        <v>4</v>
      </c>
      <c r="C84" s="85">
        <v>0</v>
      </c>
      <c r="D84" s="86">
        <v>33</v>
      </c>
      <c r="E84" s="86">
        <v>18</v>
      </c>
      <c r="F84" s="96">
        <v>0</v>
      </c>
      <c r="G84" s="86">
        <v>782</v>
      </c>
      <c r="H84" s="87">
        <v>736</v>
      </c>
      <c r="I84" s="85">
        <v>0</v>
      </c>
      <c r="J84" s="86">
        <v>0</v>
      </c>
      <c r="K84" s="86">
        <v>0</v>
      </c>
      <c r="L84" s="96">
        <v>0</v>
      </c>
      <c r="M84" s="21">
        <v>244</v>
      </c>
      <c r="N84" s="19">
        <v>194</v>
      </c>
    </row>
    <row r="85" spans="1:20">
      <c r="A85" s="23"/>
      <c r="B85" s="22">
        <v>5</v>
      </c>
      <c r="C85" s="85">
        <v>0</v>
      </c>
      <c r="D85" s="86">
        <v>34</v>
      </c>
      <c r="E85" s="86">
        <v>15</v>
      </c>
      <c r="F85" s="96">
        <v>0</v>
      </c>
      <c r="G85" s="86">
        <v>1190</v>
      </c>
      <c r="H85" s="87">
        <v>1107</v>
      </c>
      <c r="I85" s="85">
        <v>0</v>
      </c>
      <c r="J85" s="86">
        <v>0</v>
      </c>
      <c r="K85" s="86">
        <v>0</v>
      </c>
      <c r="L85" s="96">
        <v>0</v>
      </c>
      <c r="M85" s="21">
        <v>243</v>
      </c>
      <c r="N85" s="19">
        <v>196</v>
      </c>
    </row>
    <row r="86" spans="1:20">
      <c r="A86" s="23"/>
      <c r="B86" s="22">
        <v>6</v>
      </c>
      <c r="C86" s="85">
        <v>0</v>
      </c>
      <c r="D86" s="86">
        <v>48</v>
      </c>
      <c r="E86" s="86">
        <v>22</v>
      </c>
      <c r="F86" s="96">
        <v>0</v>
      </c>
      <c r="G86" s="86">
        <v>1443</v>
      </c>
      <c r="H86" s="87">
        <v>1316</v>
      </c>
      <c r="I86" s="85">
        <v>0</v>
      </c>
      <c r="J86" s="86">
        <v>0</v>
      </c>
      <c r="K86" s="86">
        <v>0</v>
      </c>
      <c r="L86" s="96">
        <v>0</v>
      </c>
      <c r="M86" s="21">
        <v>243</v>
      </c>
      <c r="N86" s="19">
        <v>200</v>
      </c>
    </row>
    <row r="87" spans="1:20">
      <c r="A87" s="23"/>
      <c r="B87" s="22">
        <v>7</v>
      </c>
      <c r="C87" s="85">
        <v>0</v>
      </c>
      <c r="D87" s="86">
        <v>48</v>
      </c>
      <c r="E87" s="86">
        <v>21</v>
      </c>
      <c r="F87" s="96">
        <v>0</v>
      </c>
      <c r="G87" s="86">
        <v>1443</v>
      </c>
      <c r="H87" s="87">
        <v>1292</v>
      </c>
      <c r="I87" s="85">
        <v>0</v>
      </c>
      <c r="J87" s="86">
        <v>0</v>
      </c>
      <c r="K87" s="86">
        <v>0</v>
      </c>
      <c r="L87" s="96">
        <v>0</v>
      </c>
      <c r="M87" s="21">
        <v>243</v>
      </c>
      <c r="N87" s="19">
        <v>199</v>
      </c>
    </row>
    <row r="88" spans="1:20">
      <c r="A88" s="98"/>
      <c r="B88" s="99"/>
      <c r="C88" s="100"/>
      <c r="D88" s="101"/>
      <c r="E88" s="101"/>
      <c r="F88" s="101"/>
      <c r="G88" s="101"/>
      <c r="H88" s="99"/>
      <c r="I88" s="102"/>
      <c r="J88" s="101"/>
      <c r="K88" s="101"/>
      <c r="L88" s="101"/>
      <c r="M88" s="101"/>
      <c r="N88" s="103"/>
    </row>
    <row r="89" spans="1:20">
      <c r="A89" s="40"/>
      <c r="B89" s="40"/>
      <c r="C89" s="40"/>
      <c r="D89" s="40"/>
      <c r="E89" s="40"/>
      <c r="F89" s="40"/>
      <c r="G89" s="40"/>
      <c r="H89" s="40"/>
      <c r="I89" s="40"/>
      <c r="J89" s="40"/>
      <c r="K89" s="40"/>
      <c r="L89" s="40"/>
      <c r="M89" s="40"/>
      <c r="N89" s="40"/>
    </row>
    <row r="90" spans="1:20">
      <c r="A90" s="44" t="s">
        <v>132</v>
      </c>
      <c r="B90" s="210" t="s">
        <v>154</v>
      </c>
      <c r="C90" s="353" t="s">
        <v>155</v>
      </c>
      <c r="D90" s="353"/>
      <c r="E90" s="353"/>
      <c r="F90" s="353"/>
      <c r="G90" s="353"/>
      <c r="H90" s="221"/>
      <c r="I90" s="211" t="s">
        <v>156</v>
      </c>
      <c r="J90" s="267" t="s">
        <v>157</v>
      </c>
      <c r="K90" s="267"/>
      <c r="L90" s="267"/>
      <c r="M90" s="267"/>
      <c r="N90" s="267"/>
    </row>
    <row r="91" spans="1:20">
      <c r="A91" s="44"/>
      <c r="B91" s="44"/>
      <c r="C91" s="353"/>
      <c r="D91" s="353"/>
      <c r="E91" s="353"/>
      <c r="F91" s="353"/>
      <c r="G91" s="353"/>
      <c r="H91" s="221"/>
      <c r="I91" s="44"/>
      <c r="J91" s="267"/>
      <c r="K91" s="267"/>
      <c r="L91" s="267"/>
      <c r="M91" s="267"/>
      <c r="N91" s="267"/>
    </row>
    <row r="94" spans="1:20">
      <c r="A94" s="40"/>
      <c r="B94" s="40"/>
      <c r="C94" s="40"/>
      <c r="D94" s="40"/>
      <c r="E94" s="40"/>
      <c r="F94" s="40"/>
      <c r="G94" s="40"/>
      <c r="H94" s="40"/>
      <c r="I94" s="40"/>
      <c r="J94" s="40"/>
      <c r="K94" s="40"/>
      <c r="L94" s="40"/>
      <c r="M94" s="40"/>
      <c r="N94" s="40"/>
      <c r="O94" s="40"/>
      <c r="P94" s="40"/>
      <c r="Q94" s="40"/>
      <c r="R94" s="40"/>
      <c r="S94" s="40"/>
      <c r="T94" s="40"/>
    </row>
    <row r="95" spans="1:20">
      <c r="A95" s="40"/>
      <c r="B95" s="40"/>
      <c r="C95" s="40"/>
      <c r="D95" s="40"/>
      <c r="E95" s="40"/>
      <c r="F95" s="40"/>
      <c r="G95" s="40"/>
      <c r="H95" s="40"/>
      <c r="I95" s="40"/>
      <c r="J95" s="40"/>
      <c r="K95" s="40"/>
      <c r="L95" s="40"/>
      <c r="M95" s="40"/>
      <c r="N95" s="40"/>
      <c r="O95" s="40"/>
      <c r="P95" s="40"/>
      <c r="Q95" s="40"/>
      <c r="R95" s="40"/>
      <c r="S95" s="40"/>
      <c r="T95" s="40"/>
    </row>
    <row r="96" spans="1:20">
      <c r="A96" s="40"/>
      <c r="B96" s="40"/>
      <c r="C96" s="40"/>
      <c r="D96" s="40"/>
      <c r="E96" s="40"/>
      <c r="F96" s="40"/>
      <c r="G96" s="40"/>
      <c r="H96" s="40"/>
      <c r="I96" s="40"/>
      <c r="J96" s="40"/>
      <c r="K96" s="222"/>
      <c r="L96" s="40"/>
      <c r="M96" s="40"/>
      <c r="N96" s="40"/>
      <c r="O96" s="40"/>
      <c r="P96" s="40"/>
      <c r="Q96" s="40"/>
      <c r="R96" s="40"/>
      <c r="S96" s="40"/>
      <c r="T96" s="40"/>
    </row>
    <row r="97" spans="1:20" ht="16">
      <c r="A97" s="223" t="s">
        <v>74</v>
      </c>
      <c r="B97" s="223"/>
      <c r="C97" s="224" t="s">
        <v>119</v>
      </c>
      <c r="D97" s="40"/>
      <c r="E97" s="40"/>
      <c r="F97" s="40"/>
      <c r="G97" s="40"/>
      <c r="H97" s="40"/>
      <c r="I97" s="224"/>
      <c r="J97" s="40"/>
      <c r="K97" s="224"/>
      <c r="L97" s="40"/>
      <c r="M97" s="40"/>
      <c r="N97" s="40"/>
      <c r="O97" s="40"/>
      <c r="P97" s="40"/>
      <c r="Q97" s="40"/>
      <c r="R97" s="40"/>
      <c r="S97" s="40"/>
      <c r="T97" s="40"/>
    </row>
    <row r="98" spans="1:20" ht="16">
      <c r="A98" s="225" t="s">
        <v>158</v>
      </c>
      <c r="B98" s="225"/>
      <c r="C98" s="224" t="s">
        <v>120</v>
      </c>
      <c r="D98" s="40"/>
      <c r="E98" s="40"/>
      <c r="F98" s="40"/>
      <c r="G98" s="40"/>
      <c r="H98" s="226"/>
      <c r="I98" s="224"/>
      <c r="J98" s="40"/>
      <c r="K98" s="175"/>
      <c r="L98" s="40"/>
      <c r="M98" s="40"/>
      <c r="N98" s="176">
        <v>289</v>
      </c>
      <c r="O98" s="40"/>
      <c r="P98" s="40"/>
      <c r="Q98" s="40"/>
      <c r="R98" s="40"/>
      <c r="S98" s="40"/>
      <c r="T98" s="40"/>
    </row>
    <row r="99" spans="1:20">
      <c r="A99" s="40"/>
      <c r="B99" s="40"/>
      <c r="C99" s="40"/>
      <c r="D99" s="40"/>
      <c r="E99" s="40"/>
      <c r="F99" s="40"/>
      <c r="G99" s="40"/>
      <c r="H99" s="40"/>
      <c r="I99" s="40"/>
      <c r="J99" s="40"/>
      <c r="K99" s="40"/>
      <c r="L99" s="40"/>
      <c r="M99" s="40"/>
      <c r="N99" s="40"/>
      <c r="O99" s="40"/>
      <c r="P99" s="40"/>
      <c r="Q99" s="40"/>
      <c r="R99" s="40"/>
      <c r="S99" s="40"/>
      <c r="T99" s="40"/>
    </row>
    <row r="100" spans="1:20">
      <c r="A100" s="227"/>
      <c r="B100" s="43"/>
      <c r="C100" s="332" t="s">
        <v>146</v>
      </c>
      <c r="D100" s="344"/>
      <c r="E100" s="344"/>
      <c r="F100" s="344"/>
      <c r="G100" s="344"/>
      <c r="H100" s="344"/>
      <c r="I100" s="344"/>
      <c r="J100" s="344"/>
      <c r="K100" s="344"/>
      <c r="L100" s="344"/>
      <c r="M100" s="344"/>
      <c r="N100" s="349"/>
      <c r="O100" s="44"/>
      <c r="P100" s="44"/>
      <c r="Q100" s="44"/>
      <c r="R100" s="44"/>
      <c r="S100" s="44"/>
      <c r="T100" s="44"/>
    </row>
    <row r="101" spans="1:20">
      <c r="A101" s="47"/>
      <c r="B101" s="46"/>
      <c r="C101" s="332" t="s">
        <v>147</v>
      </c>
      <c r="D101" s="344"/>
      <c r="E101" s="344"/>
      <c r="F101" s="344"/>
      <c r="G101" s="344"/>
      <c r="H101" s="344"/>
      <c r="I101" s="344"/>
      <c r="J101" s="344"/>
      <c r="K101" s="344"/>
      <c r="L101" s="344"/>
      <c r="M101" s="344"/>
      <c r="N101" s="349"/>
      <c r="O101" s="44"/>
      <c r="P101" s="44"/>
      <c r="Q101" s="44"/>
      <c r="R101" s="44"/>
      <c r="S101" s="44"/>
      <c r="T101" s="44"/>
    </row>
    <row r="102" spans="1:20">
      <c r="A102" s="90"/>
      <c r="B102" s="46"/>
      <c r="C102" s="354" t="s">
        <v>159</v>
      </c>
      <c r="D102" s="355"/>
      <c r="E102" s="355"/>
      <c r="F102" s="355"/>
      <c r="G102" s="355"/>
      <c r="H102" s="356"/>
      <c r="I102" s="357" t="s">
        <v>160</v>
      </c>
      <c r="J102" s="355"/>
      <c r="K102" s="355"/>
      <c r="L102" s="355"/>
      <c r="M102" s="355"/>
      <c r="N102" s="356"/>
      <c r="O102" s="44"/>
      <c r="P102" s="44"/>
      <c r="Q102" s="44"/>
      <c r="R102" s="44"/>
      <c r="S102" s="44"/>
      <c r="T102" s="44"/>
    </row>
    <row r="103" spans="1:20">
      <c r="A103" s="48"/>
      <c r="B103" s="46"/>
      <c r="C103" s="332" t="s">
        <v>149</v>
      </c>
      <c r="D103" s="344"/>
      <c r="E103" s="349"/>
      <c r="F103" s="350" t="s">
        <v>150</v>
      </c>
      <c r="G103" s="344"/>
      <c r="H103" s="351"/>
      <c r="I103" s="352" t="s">
        <v>149</v>
      </c>
      <c r="J103" s="344"/>
      <c r="K103" s="349"/>
      <c r="L103" s="350" t="s">
        <v>150</v>
      </c>
      <c r="M103" s="344"/>
      <c r="N103" s="351"/>
      <c r="O103" s="44"/>
      <c r="P103" s="44"/>
      <c r="Q103" s="44"/>
      <c r="R103" s="44"/>
      <c r="S103" s="44"/>
      <c r="T103" s="44"/>
    </row>
    <row r="104" spans="1:20">
      <c r="A104" s="228" t="s">
        <v>90</v>
      </c>
      <c r="B104" s="46"/>
      <c r="C104" s="57" t="s">
        <v>91</v>
      </c>
      <c r="D104" s="104" t="s">
        <v>92</v>
      </c>
      <c r="E104" s="51" t="s">
        <v>93</v>
      </c>
      <c r="F104" s="171" t="s">
        <v>91</v>
      </c>
      <c r="G104" s="50" t="s">
        <v>92</v>
      </c>
      <c r="H104" s="52" t="s">
        <v>93</v>
      </c>
      <c r="I104" s="171" t="s">
        <v>91</v>
      </c>
      <c r="J104" s="50" t="s">
        <v>92</v>
      </c>
      <c r="K104" s="51" t="s">
        <v>93</v>
      </c>
      <c r="L104" s="171" t="s">
        <v>91</v>
      </c>
      <c r="M104" s="50" t="s">
        <v>92</v>
      </c>
      <c r="N104" s="52" t="s">
        <v>93</v>
      </c>
      <c r="O104" s="44"/>
      <c r="P104" s="44"/>
      <c r="Q104" s="44"/>
      <c r="R104" s="44"/>
      <c r="S104" s="44"/>
      <c r="T104" s="44"/>
    </row>
    <row r="105" spans="1:20">
      <c r="A105" s="53" t="s">
        <v>97</v>
      </c>
      <c r="B105" s="229"/>
      <c r="C105" s="166" t="s">
        <v>101</v>
      </c>
      <c r="D105" s="105" t="s">
        <v>99</v>
      </c>
      <c r="E105" s="56" t="s">
        <v>100</v>
      </c>
      <c r="F105" s="166" t="s">
        <v>101</v>
      </c>
      <c r="G105" s="105" t="s">
        <v>99</v>
      </c>
      <c r="H105" s="59" t="s">
        <v>100</v>
      </c>
      <c r="I105" s="166" t="s">
        <v>101</v>
      </c>
      <c r="J105" s="105" t="s">
        <v>99</v>
      </c>
      <c r="K105" s="56" t="s">
        <v>100</v>
      </c>
      <c r="L105" s="166" t="s">
        <v>101</v>
      </c>
      <c r="M105" s="105" t="s">
        <v>99</v>
      </c>
      <c r="N105" s="59" t="s">
        <v>100</v>
      </c>
      <c r="O105" s="44"/>
      <c r="P105" s="44"/>
      <c r="Q105" s="44"/>
      <c r="R105" s="44"/>
      <c r="S105" s="44"/>
      <c r="T105" s="44"/>
    </row>
    <row r="106" spans="1:20">
      <c r="A106" s="60"/>
      <c r="B106" s="61"/>
      <c r="C106" s="164"/>
      <c r="D106" s="230"/>
      <c r="E106" s="64"/>
      <c r="F106" s="164"/>
      <c r="G106" s="230"/>
      <c r="H106" s="67"/>
      <c r="I106" s="164"/>
      <c r="J106" s="230"/>
      <c r="K106" s="64"/>
      <c r="L106" s="164"/>
      <c r="M106" s="230"/>
      <c r="N106" s="67"/>
      <c r="O106" s="44"/>
      <c r="P106" s="44"/>
      <c r="Q106" s="44"/>
      <c r="R106" s="44"/>
      <c r="S106" s="44"/>
      <c r="T106" s="44"/>
    </row>
    <row r="107" spans="1:20">
      <c r="A107" s="179"/>
      <c r="B107" s="92"/>
      <c r="C107" s="107"/>
      <c r="D107" s="107"/>
      <c r="E107" s="107"/>
      <c r="F107" s="107"/>
      <c r="G107" s="231"/>
      <c r="H107" s="232"/>
      <c r="I107" s="107"/>
      <c r="J107" s="107"/>
      <c r="K107" s="107"/>
      <c r="L107" s="231"/>
      <c r="M107" s="231"/>
      <c r="N107" s="233"/>
      <c r="O107" s="77"/>
      <c r="P107" s="77"/>
      <c r="Q107" s="77"/>
      <c r="R107" s="77"/>
      <c r="S107" s="77"/>
      <c r="T107" s="77"/>
    </row>
    <row r="108" spans="1:20">
      <c r="A108" s="234">
        <v>2018</v>
      </c>
      <c r="B108" s="235"/>
      <c r="C108" s="231" t="s">
        <v>161</v>
      </c>
      <c r="D108" s="231">
        <v>17</v>
      </c>
      <c r="E108" s="231">
        <v>17</v>
      </c>
      <c r="F108" s="231">
        <v>69</v>
      </c>
      <c r="G108" s="231">
        <v>691</v>
      </c>
      <c r="H108" s="236">
        <v>646</v>
      </c>
      <c r="I108" s="237" t="s">
        <v>161</v>
      </c>
      <c r="J108" s="231">
        <v>4</v>
      </c>
      <c r="K108" s="231">
        <v>4</v>
      </c>
      <c r="L108" s="231">
        <v>15</v>
      </c>
      <c r="M108" s="231">
        <v>258</v>
      </c>
      <c r="N108" s="233">
        <v>257</v>
      </c>
      <c r="O108" s="44"/>
      <c r="P108" s="44"/>
      <c r="Q108" s="44"/>
      <c r="R108" s="44"/>
      <c r="S108" s="44"/>
      <c r="T108" s="44"/>
    </row>
    <row r="109" spans="1:20">
      <c r="A109" s="234">
        <v>2019</v>
      </c>
      <c r="B109" s="235"/>
      <c r="C109" s="231" t="s">
        <v>161</v>
      </c>
      <c r="D109" s="231">
        <v>17</v>
      </c>
      <c r="E109" s="231">
        <v>17</v>
      </c>
      <c r="F109" s="231">
        <v>47</v>
      </c>
      <c r="G109" s="231">
        <v>686</v>
      </c>
      <c r="H109" s="236">
        <v>668</v>
      </c>
      <c r="I109" s="237" t="s">
        <v>161</v>
      </c>
      <c r="J109" s="231">
        <v>4</v>
      </c>
      <c r="K109" s="231">
        <v>4</v>
      </c>
      <c r="L109" s="231">
        <v>17</v>
      </c>
      <c r="M109" s="231">
        <v>275</v>
      </c>
      <c r="N109" s="233">
        <v>275</v>
      </c>
      <c r="O109" s="44"/>
      <c r="P109" s="44"/>
      <c r="Q109" s="44"/>
      <c r="R109" s="44"/>
      <c r="S109" s="44"/>
      <c r="T109" s="44"/>
    </row>
    <row r="110" spans="1:20">
      <c r="A110" s="234">
        <v>2020</v>
      </c>
      <c r="B110" s="235"/>
      <c r="C110" s="231" t="s">
        <v>161</v>
      </c>
      <c r="D110" s="231">
        <v>17</v>
      </c>
      <c r="E110" s="231">
        <v>17</v>
      </c>
      <c r="F110" s="231">
        <v>4</v>
      </c>
      <c r="G110" s="231">
        <v>673</v>
      </c>
      <c r="H110" s="236">
        <v>673</v>
      </c>
      <c r="I110" s="237" t="s">
        <v>161</v>
      </c>
      <c r="J110" s="231">
        <v>4</v>
      </c>
      <c r="K110" s="231">
        <v>4</v>
      </c>
      <c r="L110" s="231" t="s">
        <v>161</v>
      </c>
      <c r="M110" s="231">
        <v>237</v>
      </c>
      <c r="N110" s="233">
        <v>234</v>
      </c>
      <c r="O110" s="44"/>
      <c r="P110" s="44"/>
      <c r="Q110" s="44"/>
      <c r="R110" s="44"/>
      <c r="S110" s="44"/>
      <c r="T110" s="44"/>
    </row>
    <row r="111" spans="1:20">
      <c r="A111" s="234">
        <v>2021</v>
      </c>
      <c r="B111" s="235"/>
      <c r="C111" s="231" t="s">
        <v>161</v>
      </c>
      <c r="D111" s="231">
        <v>17</v>
      </c>
      <c r="E111" s="231">
        <v>16</v>
      </c>
      <c r="F111" s="231" t="s">
        <v>161</v>
      </c>
      <c r="G111" s="231">
        <v>673</v>
      </c>
      <c r="H111" s="236">
        <v>672</v>
      </c>
      <c r="I111" s="237" t="s">
        <v>161</v>
      </c>
      <c r="J111" s="231">
        <v>4</v>
      </c>
      <c r="K111" s="231">
        <v>4</v>
      </c>
      <c r="L111" s="231">
        <v>119</v>
      </c>
      <c r="M111" s="231">
        <v>253</v>
      </c>
      <c r="N111" s="233">
        <v>253</v>
      </c>
      <c r="O111" s="44"/>
      <c r="P111" s="44"/>
      <c r="Q111" s="44"/>
      <c r="R111" s="44"/>
      <c r="S111" s="44"/>
      <c r="T111" s="44"/>
    </row>
    <row r="112" spans="1:20">
      <c r="A112" s="234">
        <v>2022</v>
      </c>
      <c r="B112" s="235"/>
      <c r="C112" s="231" t="s">
        <v>161</v>
      </c>
      <c r="D112" s="231">
        <v>17</v>
      </c>
      <c r="E112" s="231">
        <v>6</v>
      </c>
      <c r="F112" s="231" t="s">
        <v>161</v>
      </c>
      <c r="G112" s="231">
        <v>669</v>
      </c>
      <c r="H112" s="236">
        <v>634</v>
      </c>
      <c r="I112" s="237" t="s">
        <v>161</v>
      </c>
      <c r="J112" s="231">
        <v>4</v>
      </c>
      <c r="K112" s="231">
        <v>4</v>
      </c>
      <c r="L112" s="231">
        <v>13</v>
      </c>
      <c r="M112" s="231">
        <v>261</v>
      </c>
      <c r="N112" s="233">
        <v>260</v>
      </c>
      <c r="O112" s="44"/>
      <c r="P112" s="44"/>
      <c r="Q112" s="44"/>
      <c r="R112" s="44"/>
      <c r="S112" s="44"/>
      <c r="T112" s="44"/>
    </row>
    <row r="113" spans="1:20">
      <c r="A113" s="238"/>
      <c r="B113" s="235"/>
      <c r="C113" s="239"/>
      <c r="D113" s="239"/>
      <c r="E113" s="239"/>
      <c r="F113" s="239"/>
      <c r="G113" s="239"/>
      <c r="H113" s="240"/>
      <c r="I113" s="239"/>
      <c r="J113" s="239"/>
      <c r="K113" s="239"/>
      <c r="L113" s="239"/>
      <c r="M113" s="239"/>
      <c r="N113" s="240"/>
      <c r="O113" s="241"/>
      <c r="P113" s="44"/>
      <c r="Q113" s="44"/>
      <c r="R113" s="44"/>
      <c r="S113" s="44"/>
      <c r="T113" s="44"/>
    </row>
    <row r="114" spans="1:20">
      <c r="A114" s="238"/>
      <c r="B114" s="235"/>
      <c r="C114" s="239"/>
      <c r="D114" s="239"/>
      <c r="E114" s="239"/>
      <c r="F114" s="239"/>
      <c r="G114" s="239"/>
      <c r="H114" s="240"/>
      <c r="I114" s="239"/>
      <c r="J114" s="239"/>
      <c r="K114" s="239"/>
      <c r="L114" s="239"/>
      <c r="M114" s="239"/>
      <c r="N114" s="240"/>
      <c r="O114" s="241"/>
      <c r="P114" s="44"/>
      <c r="Q114" s="44"/>
      <c r="R114" s="44"/>
      <c r="S114" s="44"/>
      <c r="T114" s="44"/>
    </row>
    <row r="115" spans="1:20">
      <c r="A115" s="238"/>
      <c r="B115" s="235"/>
      <c r="C115" s="239"/>
      <c r="D115" s="239"/>
      <c r="E115" s="239"/>
      <c r="F115" s="239"/>
      <c r="G115" s="239"/>
      <c r="H115" s="240"/>
      <c r="I115" s="239"/>
      <c r="J115" s="239"/>
      <c r="K115" s="239"/>
      <c r="L115" s="239"/>
      <c r="M115" s="239"/>
      <c r="N115" s="240"/>
      <c r="O115" s="241"/>
      <c r="P115" s="44"/>
      <c r="Q115" s="44"/>
      <c r="R115" s="44"/>
      <c r="S115" s="44"/>
      <c r="T115" s="44"/>
    </row>
    <row r="116" spans="1:20">
      <c r="A116" s="238"/>
      <c r="B116" s="235"/>
      <c r="C116" s="239"/>
      <c r="D116" s="239"/>
      <c r="E116" s="239"/>
      <c r="F116" s="239"/>
      <c r="G116" s="239"/>
      <c r="H116" s="240"/>
      <c r="I116" s="239"/>
      <c r="J116" s="239"/>
      <c r="K116" s="239"/>
      <c r="L116" s="239"/>
      <c r="M116" s="239"/>
      <c r="N116" s="240"/>
      <c r="O116" s="241"/>
      <c r="P116" s="44"/>
      <c r="Q116" s="44"/>
      <c r="R116" s="44"/>
      <c r="S116" s="44"/>
      <c r="T116" s="44"/>
    </row>
    <row r="117" spans="1:20">
      <c r="A117" s="238" t="s">
        <v>162</v>
      </c>
      <c r="B117" s="235">
        <v>2</v>
      </c>
      <c r="C117" s="239" t="s">
        <v>161</v>
      </c>
      <c r="D117" s="239">
        <v>17</v>
      </c>
      <c r="E117" s="239">
        <v>16</v>
      </c>
      <c r="F117" s="239" t="s">
        <v>161</v>
      </c>
      <c r="G117" s="239">
        <v>673</v>
      </c>
      <c r="H117" s="240">
        <v>668</v>
      </c>
      <c r="I117" s="239" t="s">
        <v>161</v>
      </c>
      <c r="J117" s="239">
        <v>4</v>
      </c>
      <c r="K117" s="239">
        <v>4</v>
      </c>
      <c r="L117" s="239" t="s">
        <v>161</v>
      </c>
      <c r="M117" s="239">
        <v>253</v>
      </c>
      <c r="N117" s="240">
        <v>253</v>
      </c>
      <c r="O117" s="242"/>
      <c r="P117" s="40"/>
      <c r="Q117" s="40"/>
      <c r="R117" s="40"/>
      <c r="S117" s="40"/>
      <c r="T117" s="40"/>
    </row>
    <row r="118" spans="1:20">
      <c r="A118" s="238"/>
      <c r="B118" s="235">
        <v>3</v>
      </c>
      <c r="C118" s="239" t="s">
        <v>161</v>
      </c>
      <c r="D118" s="239">
        <v>17</v>
      </c>
      <c r="E118" s="239">
        <v>16</v>
      </c>
      <c r="F118" s="239" t="s">
        <v>161</v>
      </c>
      <c r="G118" s="239">
        <v>673</v>
      </c>
      <c r="H118" s="240">
        <v>620</v>
      </c>
      <c r="I118" s="239" t="s">
        <v>161</v>
      </c>
      <c r="J118" s="239">
        <v>4</v>
      </c>
      <c r="K118" s="239">
        <v>4</v>
      </c>
      <c r="L118" s="239" t="s">
        <v>161</v>
      </c>
      <c r="M118" s="239">
        <v>253</v>
      </c>
      <c r="N118" s="240">
        <v>253</v>
      </c>
      <c r="O118" s="242"/>
      <c r="P118" s="40"/>
      <c r="Q118" s="40"/>
      <c r="R118" s="40"/>
      <c r="S118" s="40"/>
      <c r="T118" s="40"/>
    </row>
    <row r="119" spans="1:20">
      <c r="A119" s="238"/>
      <c r="B119" s="235">
        <v>4</v>
      </c>
      <c r="C119" s="239" t="s">
        <v>161</v>
      </c>
      <c r="D119" s="239">
        <v>17</v>
      </c>
      <c r="E119" s="239">
        <v>16</v>
      </c>
      <c r="F119" s="239" t="s">
        <v>161</v>
      </c>
      <c r="G119" s="239">
        <v>673</v>
      </c>
      <c r="H119" s="240">
        <v>637</v>
      </c>
      <c r="I119" s="239" t="s">
        <v>161</v>
      </c>
      <c r="J119" s="239">
        <v>4</v>
      </c>
      <c r="K119" s="239">
        <v>4</v>
      </c>
      <c r="L119" s="239" t="s">
        <v>161</v>
      </c>
      <c r="M119" s="239">
        <v>253</v>
      </c>
      <c r="N119" s="240">
        <v>253</v>
      </c>
      <c r="O119" s="242"/>
      <c r="P119" s="40"/>
      <c r="Q119" s="40"/>
      <c r="R119" s="40"/>
      <c r="S119" s="40"/>
      <c r="T119" s="40"/>
    </row>
    <row r="120" spans="1:20">
      <c r="A120" s="238"/>
      <c r="B120" s="235">
        <v>5</v>
      </c>
      <c r="C120" s="239" t="s">
        <v>161</v>
      </c>
      <c r="D120" s="239">
        <v>17</v>
      </c>
      <c r="E120" s="239">
        <v>15</v>
      </c>
      <c r="F120" s="239" t="s">
        <v>161</v>
      </c>
      <c r="G120" s="239">
        <v>673</v>
      </c>
      <c r="H120" s="240">
        <v>632</v>
      </c>
      <c r="I120" s="239" t="s">
        <v>161</v>
      </c>
      <c r="J120" s="239">
        <v>4</v>
      </c>
      <c r="K120" s="239">
        <v>4</v>
      </c>
      <c r="L120" s="239" t="s">
        <v>161</v>
      </c>
      <c r="M120" s="239">
        <v>253</v>
      </c>
      <c r="N120" s="240">
        <v>253</v>
      </c>
      <c r="O120" s="242"/>
      <c r="P120" s="40"/>
      <c r="Q120" s="40"/>
      <c r="R120" s="40"/>
      <c r="S120" s="40"/>
      <c r="T120" s="40"/>
    </row>
    <row r="121" spans="1:20">
      <c r="A121" s="238"/>
      <c r="B121" s="235">
        <v>6</v>
      </c>
      <c r="C121" s="239" t="s">
        <v>161</v>
      </c>
      <c r="D121" s="239">
        <v>17</v>
      </c>
      <c r="E121" s="239">
        <v>10</v>
      </c>
      <c r="F121" s="239" t="s">
        <v>161</v>
      </c>
      <c r="G121" s="239">
        <v>673</v>
      </c>
      <c r="H121" s="240">
        <v>644</v>
      </c>
      <c r="I121" s="239" t="s">
        <v>161</v>
      </c>
      <c r="J121" s="239">
        <v>4</v>
      </c>
      <c r="K121" s="239">
        <v>4</v>
      </c>
      <c r="L121" s="239">
        <v>2</v>
      </c>
      <c r="M121" s="239">
        <v>255</v>
      </c>
      <c r="N121" s="240">
        <v>252</v>
      </c>
      <c r="O121" s="242"/>
      <c r="P121" s="40"/>
      <c r="Q121" s="40"/>
      <c r="R121" s="40"/>
      <c r="S121" s="40"/>
      <c r="T121" s="40"/>
    </row>
    <row r="122" spans="1:20">
      <c r="A122" s="238"/>
      <c r="B122" s="235">
        <v>7</v>
      </c>
      <c r="C122" s="239" t="s">
        <v>161</v>
      </c>
      <c r="D122" s="239">
        <v>17</v>
      </c>
      <c r="E122" s="239">
        <v>7</v>
      </c>
      <c r="F122" s="239" t="s">
        <v>161</v>
      </c>
      <c r="G122" s="239">
        <v>673</v>
      </c>
      <c r="H122" s="240">
        <v>651</v>
      </c>
      <c r="I122" s="239" t="s">
        <v>161</v>
      </c>
      <c r="J122" s="239">
        <v>4</v>
      </c>
      <c r="K122" s="239">
        <v>4</v>
      </c>
      <c r="L122" s="239" t="s">
        <v>161</v>
      </c>
      <c r="M122" s="239">
        <v>255</v>
      </c>
      <c r="N122" s="240">
        <v>255</v>
      </c>
      <c r="O122" s="242"/>
      <c r="P122" s="40"/>
      <c r="Q122" s="40"/>
      <c r="R122" s="40"/>
      <c r="S122" s="40"/>
      <c r="T122" s="40"/>
    </row>
    <row r="123" spans="1:20">
      <c r="A123" s="238"/>
      <c r="B123" s="235">
        <v>8</v>
      </c>
      <c r="C123" s="239" t="s">
        <v>161</v>
      </c>
      <c r="D123" s="239">
        <v>17</v>
      </c>
      <c r="E123" s="239">
        <v>6</v>
      </c>
      <c r="F123" s="239" t="s">
        <v>161</v>
      </c>
      <c r="G123" s="239">
        <v>673</v>
      </c>
      <c r="H123" s="240">
        <v>643</v>
      </c>
      <c r="I123" s="239" t="s">
        <v>161</v>
      </c>
      <c r="J123" s="239">
        <v>4</v>
      </c>
      <c r="K123" s="239">
        <v>4</v>
      </c>
      <c r="L123" s="239" t="s">
        <v>161</v>
      </c>
      <c r="M123" s="239">
        <v>255</v>
      </c>
      <c r="N123" s="240">
        <v>253</v>
      </c>
      <c r="O123" s="242"/>
      <c r="P123" s="40"/>
      <c r="Q123" s="40"/>
      <c r="R123" s="40"/>
      <c r="S123" s="40"/>
      <c r="T123" s="40"/>
    </row>
    <row r="124" spans="1:20">
      <c r="A124" s="238"/>
      <c r="B124" s="235">
        <v>9</v>
      </c>
      <c r="C124" s="239" t="s">
        <v>161</v>
      </c>
      <c r="D124" s="239">
        <v>17</v>
      </c>
      <c r="E124" s="239">
        <v>6</v>
      </c>
      <c r="F124" s="239" t="s">
        <v>161</v>
      </c>
      <c r="G124" s="239">
        <v>673</v>
      </c>
      <c r="H124" s="240">
        <v>645</v>
      </c>
      <c r="I124" s="239" t="s">
        <v>161</v>
      </c>
      <c r="J124" s="239">
        <v>4</v>
      </c>
      <c r="K124" s="239">
        <v>4</v>
      </c>
      <c r="L124" s="239" t="s">
        <v>161</v>
      </c>
      <c r="M124" s="239">
        <v>255</v>
      </c>
      <c r="N124" s="240">
        <v>253</v>
      </c>
      <c r="O124" s="242"/>
      <c r="P124" s="40"/>
      <c r="Q124" s="40"/>
      <c r="R124" s="40"/>
      <c r="S124" s="40"/>
      <c r="T124" s="40"/>
    </row>
    <row r="125" spans="1:20">
      <c r="A125" s="238"/>
      <c r="B125" s="235">
        <v>10</v>
      </c>
      <c r="C125" s="239" t="s">
        <v>161</v>
      </c>
      <c r="D125" s="239">
        <v>17</v>
      </c>
      <c r="E125" s="239">
        <v>7</v>
      </c>
      <c r="F125" s="239" t="s">
        <v>161</v>
      </c>
      <c r="G125" s="239">
        <v>673</v>
      </c>
      <c r="H125" s="240">
        <v>637</v>
      </c>
      <c r="I125" s="239" t="s">
        <v>161</v>
      </c>
      <c r="J125" s="239">
        <v>4</v>
      </c>
      <c r="K125" s="239">
        <v>4</v>
      </c>
      <c r="L125" s="239">
        <v>6</v>
      </c>
      <c r="M125" s="239">
        <v>261</v>
      </c>
      <c r="N125" s="240">
        <v>260</v>
      </c>
      <c r="O125" s="242"/>
      <c r="P125" s="40"/>
      <c r="Q125" s="40"/>
      <c r="R125" s="40"/>
      <c r="S125" s="40"/>
      <c r="T125" s="40"/>
    </row>
    <row r="126" spans="1:20">
      <c r="A126" s="238"/>
      <c r="B126" s="235">
        <v>11</v>
      </c>
      <c r="C126" s="239" t="s">
        <v>161</v>
      </c>
      <c r="D126" s="239">
        <v>17</v>
      </c>
      <c r="E126" s="239">
        <v>7</v>
      </c>
      <c r="F126" s="239" t="s">
        <v>161</v>
      </c>
      <c r="G126" s="239">
        <v>673</v>
      </c>
      <c r="H126" s="240">
        <v>641</v>
      </c>
      <c r="I126" s="239" t="s">
        <v>161</v>
      </c>
      <c r="J126" s="239">
        <v>4</v>
      </c>
      <c r="K126" s="239">
        <v>4</v>
      </c>
      <c r="L126" s="239" t="s">
        <v>161</v>
      </c>
      <c r="M126" s="239">
        <v>261</v>
      </c>
      <c r="N126" s="240">
        <v>258</v>
      </c>
      <c r="O126" s="242"/>
      <c r="P126" s="40"/>
      <c r="Q126" s="40"/>
      <c r="R126" s="40"/>
      <c r="S126" s="40"/>
      <c r="T126" s="40"/>
    </row>
    <row r="127" spans="1:20">
      <c r="A127" s="238"/>
      <c r="B127" s="235">
        <v>12</v>
      </c>
      <c r="C127" s="239" t="s">
        <v>161</v>
      </c>
      <c r="D127" s="239">
        <v>17</v>
      </c>
      <c r="E127" s="239">
        <v>6</v>
      </c>
      <c r="F127" s="239" t="s">
        <v>161</v>
      </c>
      <c r="G127" s="239">
        <v>669</v>
      </c>
      <c r="H127" s="240">
        <v>634</v>
      </c>
      <c r="I127" s="239" t="s">
        <v>161</v>
      </c>
      <c r="J127" s="239">
        <v>4</v>
      </c>
      <c r="K127" s="239">
        <v>4</v>
      </c>
      <c r="L127" s="239" t="s">
        <v>161</v>
      </c>
      <c r="M127" s="239">
        <v>261</v>
      </c>
      <c r="N127" s="240">
        <v>260</v>
      </c>
      <c r="O127" s="242"/>
      <c r="P127" s="40"/>
      <c r="Q127" s="40"/>
      <c r="R127" s="40"/>
      <c r="S127" s="40"/>
      <c r="T127" s="40"/>
    </row>
    <row r="128" spans="1:20">
      <c r="A128" s="111"/>
      <c r="B128" s="235"/>
      <c r="C128" s="243"/>
      <c r="D128" s="244"/>
      <c r="E128" s="239"/>
      <c r="F128" s="239"/>
      <c r="G128" s="239"/>
      <c r="H128" s="243"/>
      <c r="I128" s="245"/>
      <c r="J128" s="239"/>
      <c r="K128" s="239"/>
      <c r="L128" s="239"/>
      <c r="M128" s="239"/>
      <c r="N128" s="240"/>
      <c r="O128" s="242"/>
      <c r="P128" s="40"/>
      <c r="Q128" s="40"/>
      <c r="R128" s="40"/>
      <c r="S128" s="40"/>
      <c r="T128" s="40"/>
    </row>
    <row r="129" spans="1:20">
      <c r="A129" s="238" t="s">
        <v>163</v>
      </c>
      <c r="B129" s="235">
        <v>1</v>
      </c>
      <c r="C129" s="239" t="s">
        <v>161</v>
      </c>
      <c r="D129" s="239">
        <v>17</v>
      </c>
      <c r="E129" s="239">
        <v>7</v>
      </c>
      <c r="F129" s="239" t="s">
        <v>161</v>
      </c>
      <c r="G129" s="239">
        <v>669</v>
      </c>
      <c r="H129" s="240">
        <v>622</v>
      </c>
      <c r="I129" s="239" t="s">
        <v>161</v>
      </c>
      <c r="J129" s="239">
        <v>4</v>
      </c>
      <c r="K129" s="239">
        <v>4</v>
      </c>
      <c r="L129" s="239" t="s">
        <v>161</v>
      </c>
      <c r="M129" s="239">
        <v>261</v>
      </c>
      <c r="N129" s="240">
        <v>261</v>
      </c>
      <c r="O129" s="242"/>
      <c r="P129" s="40"/>
      <c r="Q129" s="40"/>
      <c r="R129" s="40"/>
      <c r="S129" s="40"/>
      <c r="T129" s="40"/>
    </row>
    <row r="130" spans="1:20">
      <c r="A130" s="246"/>
      <c r="B130" s="235">
        <v>2</v>
      </c>
      <c r="C130" s="239" t="s">
        <v>161</v>
      </c>
      <c r="D130" s="239">
        <v>17</v>
      </c>
      <c r="E130" s="239">
        <v>7</v>
      </c>
      <c r="F130" s="239" t="s">
        <v>161</v>
      </c>
      <c r="G130" s="239">
        <v>669</v>
      </c>
      <c r="H130" s="240">
        <v>614</v>
      </c>
      <c r="I130" s="239" t="s">
        <v>161</v>
      </c>
      <c r="J130" s="239">
        <v>4</v>
      </c>
      <c r="K130" s="239">
        <v>4</v>
      </c>
      <c r="L130" s="239">
        <v>14</v>
      </c>
      <c r="M130" s="239">
        <v>275</v>
      </c>
      <c r="N130" s="240">
        <v>274</v>
      </c>
      <c r="O130" s="242"/>
      <c r="P130" s="40"/>
      <c r="Q130" s="40"/>
      <c r="R130" s="40"/>
      <c r="S130" s="40"/>
      <c r="T130" s="40"/>
    </row>
    <row r="131" spans="1:20">
      <c r="A131" s="246"/>
      <c r="B131" s="235">
        <v>3</v>
      </c>
      <c r="C131" s="239" t="s">
        <v>161</v>
      </c>
      <c r="D131" s="239">
        <v>17</v>
      </c>
      <c r="E131" s="239">
        <v>7</v>
      </c>
      <c r="F131" s="239" t="s">
        <v>161</v>
      </c>
      <c r="G131" s="239">
        <v>669</v>
      </c>
      <c r="H131" s="240">
        <v>630</v>
      </c>
      <c r="I131" s="239" t="s">
        <v>161</v>
      </c>
      <c r="J131" s="239">
        <v>4</v>
      </c>
      <c r="K131" s="239">
        <v>4</v>
      </c>
      <c r="L131" s="239" t="s">
        <v>161</v>
      </c>
      <c r="M131" s="239">
        <v>275</v>
      </c>
      <c r="N131" s="240">
        <v>273</v>
      </c>
      <c r="O131" s="242"/>
      <c r="P131" s="40"/>
      <c r="Q131" s="40"/>
      <c r="R131" s="40"/>
      <c r="S131" s="40"/>
      <c r="T131" s="40"/>
    </row>
    <row r="132" spans="1:20">
      <c r="A132" s="246"/>
      <c r="B132" s="235">
        <v>4</v>
      </c>
      <c r="C132" s="239" t="s">
        <v>161</v>
      </c>
      <c r="D132" s="239">
        <v>17</v>
      </c>
      <c r="E132" s="239">
        <v>7</v>
      </c>
      <c r="F132" s="239" t="s">
        <v>161</v>
      </c>
      <c r="G132" s="239">
        <v>661</v>
      </c>
      <c r="H132" s="240">
        <v>594</v>
      </c>
      <c r="I132" s="239" t="s">
        <v>161</v>
      </c>
      <c r="J132" s="239">
        <v>4</v>
      </c>
      <c r="K132" s="239">
        <v>4</v>
      </c>
      <c r="L132" s="239" t="s">
        <v>161</v>
      </c>
      <c r="M132" s="239">
        <v>275</v>
      </c>
      <c r="N132" s="240">
        <v>275</v>
      </c>
      <c r="O132" s="242"/>
      <c r="P132" s="40"/>
      <c r="Q132" s="40"/>
      <c r="R132" s="40"/>
      <c r="S132" s="40"/>
      <c r="T132" s="40"/>
    </row>
    <row r="133" spans="1:20">
      <c r="A133" s="111"/>
      <c r="B133" s="235">
        <v>5</v>
      </c>
      <c r="C133" s="239" t="s">
        <v>161</v>
      </c>
      <c r="D133" s="239">
        <v>16</v>
      </c>
      <c r="E133" s="239">
        <v>6</v>
      </c>
      <c r="F133" s="239" t="s">
        <v>161</v>
      </c>
      <c r="G133" s="239">
        <v>253</v>
      </c>
      <c r="H133" s="240">
        <v>211</v>
      </c>
      <c r="I133" s="239" t="s">
        <v>161</v>
      </c>
      <c r="J133" s="239">
        <v>4</v>
      </c>
      <c r="K133" s="239">
        <v>3</v>
      </c>
      <c r="L133" s="239" t="s">
        <v>161</v>
      </c>
      <c r="M133" s="239">
        <v>275</v>
      </c>
      <c r="N133" s="240">
        <v>275</v>
      </c>
      <c r="O133" s="242"/>
      <c r="P133" s="40"/>
      <c r="Q133" s="40"/>
      <c r="R133" s="40"/>
      <c r="S133" s="40"/>
      <c r="T133" s="40"/>
    </row>
    <row r="134" spans="1:20">
      <c r="A134" s="111"/>
      <c r="B134" s="235">
        <v>6</v>
      </c>
      <c r="C134" s="239" t="s">
        <v>161</v>
      </c>
      <c r="D134" s="239">
        <v>2</v>
      </c>
      <c r="E134" s="239" t="s">
        <v>161</v>
      </c>
      <c r="F134" s="239" t="s">
        <v>161</v>
      </c>
      <c r="G134" s="239" t="s">
        <v>161</v>
      </c>
      <c r="H134" s="240" t="s">
        <v>161</v>
      </c>
      <c r="I134" s="239" t="s">
        <v>161</v>
      </c>
      <c r="J134" s="239">
        <v>4</v>
      </c>
      <c r="K134" s="239">
        <v>4</v>
      </c>
      <c r="L134" s="239">
        <v>1</v>
      </c>
      <c r="M134" s="239">
        <v>276</v>
      </c>
      <c r="N134" s="240">
        <v>262</v>
      </c>
      <c r="O134" s="242"/>
      <c r="P134" s="40"/>
      <c r="Q134" s="40"/>
      <c r="R134" s="40"/>
      <c r="S134" s="40"/>
      <c r="T134" s="40"/>
    </row>
    <row r="135" spans="1:20">
      <c r="A135" s="111"/>
      <c r="B135" s="235">
        <v>7</v>
      </c>
      <c r="C135" s="239" t="s">
        <v>164</v>
      </c>
      <c r="D135" s="239" t="s">
        <v>164</v>
      </c>
      <c r="E135" s="239" t="s">
        <v>164</v>
      </c>
      <c r="F135" s="239" t="s">
        <v>164</v>
      </c>
      <c r="G135" s="239" t="s">
        <v>164</v>
      </c>
      <c r="H135" s="240" t="s">
        <v>164</v>
      </c>
      <c r="I135" s="239" t="s">
        <v>161</v>
      </c>
      <c r="J135" s="239">
        <v>4</v>
      </c>
      <c r="K135" s="239">
        <v>4</v>
      </c>
      <c r="L135" s="239">
        <v>8</v>
      </c>
      <c r="M135" s="239">
        <v>284</v>
      </c>
      <c r="N135" s="240">
        <v>275</v>
      </c>
      <c r="O135" s="242"/>
      <c r="P135" s="40"/>
      <c r="Q135" s="40"/>
      <c r="R135" s="40"/>
      <c r="S135" s="40"/>
      <c r="T135" s="40"/>
    </row>
    <row r="136" spans="1:20">
      <c r="A136" s="98"/>
      <c r="B136" s="103"/>
      <c r="C136" s="99"/>
      <c r="D136" s="101"/>
      <c r="E136" s="247"/>
      <c r="F136" s="247"/>
      <c r="G136" s="247"/>
      <c r="H136" s="99"/>
      <c r="I136" s="102"/>
      <c r="J136" s="247"/>
      <c r="K136" s="247"/>
      <c r="L136" s="247"/>
      <c r="M136" s="247"/>
      <c r="N136" s="103"/>
      <c r="O136" s="242"/>
      <c r="P136" s="40"/>
      <c r="Q136" s="40"/>
      <c r="R136" s="40"/>
      <c r="S136" s="40"/>
      <c r="T136" s="40"/>
    </row>
    <row r="137" spans="1:20">
      <c r="A137" s="40"/>
      <c r="B137" s="40"/>
      <c r="C137" s="40"/>
      <c r="D137" s="40"/>
      <c r="E137" s="40"/>
      <c r="F137" s="40"/>
      <c r="G137" s="40"/>
      <c r="H137" s="40"/>
      <c r="I137" s="40"/>
      <c r="J137" s="40"/>
      <c r="K137" s="40"/>
      <c r="L137" s="40"/>
      <c r="M137" s="40"/>
      <c r="N137" s="40"/>
      <c r="O137" s="242"/>
      <c r="P137" s="40"/>
      <c r="Q137" s="40"/>
      <c r="R137" s="40"/>
      <c r="S137" s="40"/>
      <c r="T137" s="40"/>
    </row>
    <row r="138" spans="1:20" ht="93" customHeight="1">
      <c r="A138" s="44" t="s">
        <v>132</v>
      </c>
      <c r="B138" s="44">
        <v>-6</v>
      </c>
      <c r="C138" s="353" t="s">
        <v>165</v>
      </c>
      <c r="D138" s="353"/>
      <c r="E138" s="353"/>
      <c r="F138" s="353"/>
      <c r="G138" s="353"/>
      <c r="H138" s="221"/>
      <c r="I138" s="211" t="s">
        <v>166</v>
      </c>
      <c r="J138" s="267" t="s">
        <v>157</v>
      </c>
      <c r="K138" s="267"/>
      <c r="L138" s="267"/>
      <c r="M138" s="267"/>
      <c r="N138" s="267"/>
      <c r="O138" s="248"/>
      <c r="P138" s="248"/>
      <c r="Q138" s="249"/>
      <c r="R138" s="249"/>
      <c r="S138" s="249"/>
      <c r="T138" s="249"/>
    </row>
    <row r="139" spans="1:20">
      <c r="A139" s="44"/>
      <c r="B139" s="44"/>
      <c r="C139" s="353"/>
      <c r="D139" s="353"/>
      <c r="E139" s="353"/>
      <c r="F139" s="353"/>
      <c r="G139" s="353"/>
      <c r="H139" s="221"/>
      <c r="I139" s="44"/>
      <c r="J139" s="267"/>
      <c r="K139" s="267"/>
      <c r="L139" s="267"/>
      <c r="M139" s="267"/>
      <c r="N139" s="267"/>
      <c r="O139" s="248"/>
      <c r="P139" s="248"/>
      <c r="Q139" s="44"/>
      <c r="R139" s="44"/>
      <c r="S139" s="44"/>
      <c r="T139" s="44"/>
    </row>
    <row r="143" spans="1:20">
      <c r="A143" s="40"/>
      <c r="B143" s="40"/>
      <c r="C143" s="40"/>
      <c r="D143" s="40"/>
      <c r="E143" s="40"/>
      <c r="F143" s="40"/>
      <c r="G143" s="40"/>
      <c r="H143" s="40"/>
      <c r="I143" s="40"/>
      <c r="J143" s="40"/>
      <c r="K143" s="40"/>
      <c r="L143" s="40"/>
      <c r="M143" s="40"/>
      <c r="N143" s="40"/>
    </row>
    <row r="144" spans="1:20" ht="16">
      <c r="A144" s="39"/>
      <c r="B144" s="40"/>
      <c r="C144" s="40"/>
      <c r="D144" s="40"/>
      <c r="E144" s="40"/>
      <c r="F144" s="40"/>
      <c r="G144" s="40"/>
      <c r="H144" s="40"/>
      <c r="I144" s="40"/>
      <c r="J144" s="40"/>
      <c r="K144" s="40"/>
      <c r="L144" s="40"/>
      <c r="M144" s="40"/>
      <c r="N144" s="40"/>
    </row>
    <row r="145" spans="1:14" ht="16">
      <c r="A145" s="33" t="s">
        <v>74</v>
      </c>
      <c r="B145" s="40"/>
      <c r="C145" s="39" t="s">
        <v>119</v>
      </c>
      <c r="D145" s="39"/>
      <c r="E145" s="39"/>
      <c r="F145" s="39"/>
      <c r="G145" s="39"/>
      <c r="H145" s="39"/>
      <c r="I145" s="40"/>
      <c r="J145" s="40"/>
      <c r="K145" s="40"/>
      <c r="L145" s="40"/>
      <c r="M145" s="40"/>
      <c r="N145" s="40"/>
    </row>
    <row r="146" spans="1:14" ht="16">
      <c r="A146" s="31" t="s">
        <v>76</v>
      </c>
      <c r="B146" s="40"/>
      <c r="C146" s="39" t="s">
        <v>120</v>
      </c>
      <c r="D146" s="39"/>
      <c r="E146" s="39"/>
      <c r="F146" s="39"/>
      <c r="G146" s="39"/>
      <c r="H146" s="175"/>
      <c r="I146" s="40"/>
      <c r="J146" s="40"/>
      <c r="K146" s="40"/>
      <c r="L146" s="40"/>
      <c r="M146" s="40"/>
      <c r="N146" s="176">
        <v>202307</v>
      </c>
    </row>
    <row r="147" spans="1:14">
      <c r="A147" s="40"/>
      <c r="B147" s="40"/>
      <c r="C147" s="40"/>
      <c r="D147" s="40"/>
      <c r="E147" s="40"/>
      <c r="F147" s="40"/>
      <c r="G147" s="40"/>
      <c r="H147" s="40"/>
      <c r="I147" s="40"/>
      <c r="J147" s="40"/>
      <c r="K147" s="40"/>
      <c r="L147" s="40"/>
      <c r="M147" s="40"/>
      <c r="N147" s="40"/>
    </row>
    <row r="148" spans="1:14">
      <c r="A148" s="42"/>
      <c r="B148" s="43"/>
      <c r="C148" s="280" t="s">
        <v>146</v>
      </c>
      <c r="D148" s="266"/>
      <c r="E148" s="266"/>
      <c r="F148" s="266"/>
      <c r="G148" s="266"/>
      <c r="H148" s="266"/>
      <c r="I148" s="266"/>
      <c r="J148" s="266"/>
      <c r="K148" s="299"/>
      <c r="L148" s="266"/>
      <c r="M148" s="266"/>
      <c r="N148" s="299"/>
    </row>
    <row r="149" spans="1:14">
      <c r="A149" s="45"/>
      <c r="B149" s="46"/>
      <c r="C149" s="332" t="s">
        <v>147</v>
      </c>
      <c r="D149" s="330"/>
      <c r="E149" s="330"/>
      <c r="F149" s="330"/>
      <c r="G149" s="330"/>
      <c r="H149" s="331"/>
      <c r="I149" s="332" t="s">
        <v>167</v>
      </c>
      <c r="J149" s="330"/>
      <c r="K149" s="340"/>
      <c r="L149" s="330"/>
      <c r="M149" s="330"/>
      <c r="N149" s="340"/>
    </row>
    <row r="150" spans="1:14">
      <c r="A150" s="90"/>
      <c r="B150" s="46"/>
      <c r="C150" s="345" t="s">
        <v>168</v>
      </c>
      <c r="D150" s="346"/>
      <c r="E150" s="346"/>
      <c r="F150" s="346"/>
      <c r="G150" s="346"/>
      <c r="H150" s="347"/>
      <c r="I150" s="345" t="s">
        <v>169</v>
      </c>
      <c r="J150" s="334"/>
      <c r="K150" s="348"/>
      <c r="L150" s="334"/>
      <c r="M150" s="334"/>
      <c r="N150" s="335"/>
    </row>
    <row r="151" spans="1:14">
      <c r="A151" s="48"/>
      <c r="B151" s="46"/>
      <c r="C151" s="332" t="s">
        <v>149</v>
      </c>
      <c r="D151" s="330"/>
      <c r="E151" s="340"/>
      <c r="F151" s="341" t="s">
        <v>150</v>
      </c>
      <c r="G151" s="342"/>
      <c r="H151" s="343"/>
      <c r="I151" s="332" t="s">
        <v>149</v>
      </c>
      <c r="J151" s="330"/>
      <c r="K151" s="340"/>
      <c r="L151" s="344" t="s">
        <v>150</v>
      </c>
      <c r="M151" s="330"/>
      <c r="N151" s="331"/>
    </row>
    <row r="152" spans="1:14">
      <c r="A152" s="48" t="s">
        <v>151</v>
      </c>
      <c r="B152" s="49"/>
      <c r="C152" s="54" t="s">
        <v>91</v>
      </c>
      <c r="D152" s="50" t="s">
        <v>94</v>
      </c>
      <c r="E152" s="51" t="s">
        <v>95</v>
      </c>
      <c r="F152" s="177" t="s">
        <v>91</v>
      </c>
      <c r="G152" s="50" t="s">
        <v>92</v>
      </c>
      <c r="H152" s="52" t="s">
        <v>93</v>
      </c>
      <c r="I152" s="54" t="s">
        <v>91</v>
      </c>
      <c r="J152" s="50" t="s">
        <v>92</v>
      </c>
      <c r="K152" s="51" t="s">
        <v>93</v>
      </c>
      <c r="L152" s="177" t="s">
        <v>91</v>
      </c>
      <c r="M152" s="50" t="s">
        <v>92</v>
      </c>
      <c r="N152" s="52" t="s">
        <v>93</v>
      </c>
    </row>
    <row r="153" spans="1:14">
      <c r="A153" s="53" t="s">
        <v>97</v>
      </c>
      <c r="B153" s="49"/>
      <c r="C153" s="138" t="s">
        <v>101</v>
      </c>
      <c r="D153" s="55" t="s">
        <v>102</v>
      </c>
      <c r="E153" s="56" t="s">
        <v>103</v>
      </c>
      <c r="F153" s="166" t="s">
        <v>101</v>
      </c>
      <c r="G153" s="55" t="s">
        <v>99</v>
      </c>
      <c r="H153" s="59" t="s">
        <v>100</v>
      </c>
      <c r="I153" s="138" t="s">
        <v>101</v>
      </c>
      <c r="J153" s="55" t="s">
        <v>99</v>
      </c>
      <c r="K153" s="56" t="s">
        <v>100</v>
      </c>
      <c r="L153" s="166" t="s">
        <v>101</v>
      </c>
      <c r="M153" s="55" t="s">
        <v>99</v>
      </c>
      <c r="N153" s="59" t="s">
        <v>100</v>
      </c>
    </row>
    <row r="154" spans="1:14">
      <c r="A154" s="60"/>
      <c r="B154" s="61"/>
      <c r="C154" s="62"/>
      <c r="D154" s="63" t="s">
        <v>104</v>
      </c>
      <c r="E154" s="64"/>
      <c r="F154" s="164"/>
      <c r="G154" s="63"/>
      <c r="H154" s="67"/>
      <c r="I154" s="62"/>
      <c r="J154" s="63"/>
      <c r="K154" s="64"/>
      <c r="L154" s="164"/>
      <c r="M154" s="63"/>
      <c r="N154" s="67"/>
    </row>
    <row r="155" spans="1:14">
      <c r="A155" s="68"/>
      <c r="B155" s="69"/>
      <c r="C155" s="93"/>
      <c r="D155" s="74"/>
      <c r="E155" s="250"/>
      <c r="F155" s="74"/>
      <c r="G155" s="74"/>
      <c r="H155" s="91"/>
      <c r="I155" s="121"/>
      <c r="J155" s="91"/>
      <c r="K155" s="91"/>
      <c r="L155" s="94"/>
      <c r="M155" s="91"/>
      <c r="N155" s="95"/>
    </row>
    <row r="156" spans="1:14">
      <c r="A156" s="29">
        <v>2018</v>
      </c>
      <c r="B156" s="22"/>
      <c r="C156" s="93">
        <v>2</v>
      </c>
      <c r="D156" s="91">
        <v>102</v>
      </c>
      <c r="E156" s="250">
        <v>102</v>
      </c>
      <c r="F156" s="94">
        <v>43</v>
      </c>
      <c r="G156" s="91">
        <v>53</v>
      </c>
      <c r="H156" s="91">
        <v>53</v>
      </c>
      <c r="I156" s="93">
        <v>0</v>
      </c>
      <c r="J156" s="91">
        <v>11</v>
      </c>
      <c r="K156" s="91">
        <v>11</v>
      </c>
      <c r="L156" s="94">
        <v>4</v>
      </c>
      <c r="M156" s="91">
        <v>133</v>
      </c>
      <c r="N156" s="95">
        <v>132</v>
      </c>
    </row>
    <row r="157" spans="1:14">
      <c r="A157" s="29">
        <v>2019</v>
      </c>
      <c r="B157" s="22"/>
      <c r="C157" s="93">
        <v>0</v>
      </c>
      <c r="D157" s="91">
        <v>98</v>
      </c>
      <c r="E157" s="250">
        <v>98</v>
      </c>
      <c r="F157" s="94">
        <v>5</v>
      </c>
      <c r="G157" s="91">
        <v>58</v>
      </c>
      <c r="H157" s="91">
        <v>58</v>
      </c>
      <c r="I157" s="93">
        <v>0</v>
      </c>
      <c r="J157" s="91">
        <v>11</v>
      </c>
      <c r="K157" s="91">
        <v>11</v>
      </c>
      <c r="L157" s="94">
        <v>0</v>
      </c>
      <c r="M157" s="91">
        <v>133</v>
      </c>
      <c r="N157" s="95">
        <v>133</v>
      </c>
    </row>
    <row r="158" spans="1:14">
      <c r="A158" s="29">
        <v>2020</v>
      </c>
      <c r="B158" s="22"/>
      <c r="C158" s="93">
        <v>0</v>
      </c>
      <c r="D158" s="91">
        <v>92</v>
      </c>
      <c r="E158" s="250">
        <v>92</v>
      </c>
      <c r="F158" s="94">
        <v>0</v>
      </c>
      <c r="G158" s="91">
        <v>58</v>
      </c>
      <c r="H158" s="91">
        <v>58</v>
      </c>
      <c r="I158" s="93">
        <v>0</v>
      </c>
      <c r="J158" s="91">
        <v>11</v>
      </c>
      <c r="K158" s="91">
        <v>11</v>
      </c>
      <c r="L158" s="94">
        <v>0</v>
      </c>
      <c r="M158" s="91">
        <v>133</v>
      </c>
      <c r="N158" s="95">
        <v>131</v>
      </c>
    </row>
    <row r="159" spans="1:14">
      <c r="A159" s="29">
        <v>2021</v>
      </c>
      <c r="B159" s="22"/>
      <c r="C159" s="93">
        <v>0</v>
      </c>
      <c r="D159" s="91">
        <v>91</v>
      </c>
      <c r="E159" s="250">
        <v>77</v>
      </c>
      <c r="F159" s="94">
        <v>0</v>
      </c>
      <c r="G159" s="91">
        <v>58</v>
      </c>
      <c r="H159" s="91">
        <v>58</v>
      </c>
      <c r="I159" s="93">
        <v>0</v>
      </c>
      <c r="J159" s="91">
        <v>11</v>
      </c>
      <c r="K159" s="91">
        <v>11</v>
      </c>
      <c r="L159" s="94">
        <v>4</v>
      </c>
      <c r="M159" s="91">
        <v>137</v>
      </c>
      <c r="N159" s="95">
        <v>134</v>
      </c>
    </row>
    <row r="160" spans="1:14">
      <c r="A160" s="29">
        <v>2022</v>
      </c>
      <c r="B160" s="22"/>
      <c r="C160" s="30">
        <v>2</v>
      </c>
      <c r="D160" s="30">
        <v>93</v>
      </c>
      <c r="E160" s="250">
        <v>74</v>
      </c>
      <c r="F160" s="94">
        <v>0</v>
      </c>
      <c r="G160" s="91">
        <v>58</v>
      </c>
      <c r="H160" s="91">
        <v>58</v>
      </c>
      <c r="I160" s="93">
        <v>0</v>
      </c>
      <c r="J160" s="91">
        <v>11</v>
      </c>
      <c r="K160" s="91">
        <v>11</v>
      </c>
      <c r="L160" s="94">
        <v>3</v>
      </c>
      <c r="M160" s="91">
        <v>140</v>
      </c>
      <c r="N160" s="95">
        <v>138</v>
      </c>
    </row>
    <row r="161" spans="1:14">
      <c r="A161" s="23"/>
      <c r="B161" s="22"/>
      <c r="C161" s="37"/>
      <c r="D161" s="86"/>
      <c r="E161" s="251"/>
      <c r="F161" s="21"/>
      <c r="G161" s="86"/>
      <c r="H161" s="21"/>
      <c r="I161" s="37"/>
      <c r="J161" s="86"/>
      <c r="K161" s="86"/>
      <c r="L161" s="20"/>
      <c r="M161" s="86"/>
      <c r="N161" s="87"/>
    </row>
    <row r="162" spans="1:14">
      <c r="A162" s="23"/>
      <c r="B162" s="22"/>
      <c r="C162" s="37"/>
      <c r="D162" s="86"/>
      <c r="E162" s="251"/>
      <c r="F162" s="21"/>
      <c r="G162" s="86"/>
      <c r="H162" s="21"/>
      <c r="I162" s="37"/>
      <c r="J162" s="86"/>
      <c r="K162" s="86"/>
      <c r="L162" s="20"/>
      <c r="M162" s="86"/>
      <c r="N162" s="87"/>
    </row>
    <row r="163" spans="1:14">
      <c r="A163" s="23"/>
      <c r="B163" s="22"/>
      <c r="C163" s="37"/>
      <c r="D163" s="86"/>
      <c r="E163" s="251"/>
      <c r="F163" s="21"/>
      <c r="G163" s="86"/>
      <c r="H163" s="21"/>
      <c r="I163" s="37"/>
      <c r="J163" s="86"/>
      <c r="K163" s="86"/>
      <c r="L163" s="20"/>
      <c r="M163" s="86"/>
      <c r="N163" s="87"/>
    </row>
    <row r="164" spans="1:14">
      <c r="A164" s="23"/>
      <c r="B164" s="22"/>
      <c r="C164" s="37"/>
      <c r="D164" s="86"/>
      <c r="E164" s="251"/>
      <c r="F164" s="21"/>
      <c r="G164" s="86"/>
      <c r="H164" s="21"/>
      <c r="I164" s="37"/>
      <c r="J164" s="86"/>
      <c r="K164" s="86"/>
      <c r="L164" s="20"/>
      <c r="M164" s="86"/>
      <c r="N164" s="87"/>
    </row>
    <row r="165" spans="1:14">
      <c r="A165" s="23">
        <v>2022</v>
      </c>
      <c r="B165" s="22">
        <v>2</v>
      </c>
      <c r="C165" s="37">
        <v>0</v>
      </c>
      <c r="D165" s="86">
        <v>91</v>
      </c>
      <c r="E165" s="251">
        <v>76</v>
      </c>
      <c r="F165" s="21">
        <v>0</v>
      </c>
      <c r="G165" s="21">
        <v>58</v>
      </c>
      <c r="H165" s="21">
        <v>58</v>
      </c>
      <c r="I165" s="37">
        <v>0</v>
      </c>
      <c r="J165" s="86">
        <v>11</v>
      </c>
      <c r="K165" s="86">
        <v>11</v>
      </c>
      <c r="L165" s="20">
        <v>0</v>
      </c>
      <c r="M165" s="86">
        <v>137</v>
      </c>
      <c r="N165" s="87">
        <v>134</v>
      </c>
    </row>
    <row r="166" spans="1:14">
      <c r="A166" s="23"/>
      <c r="B166" s="22">
        <v>3</v>
      </c>
      <c r="C166" s="37">
        <v>0</v>
      </c>
      <c r="D166" s="86">
        <v>91</v>
      </c>
      <c r="E166" s="251">
        <v>75</v>
      </c>
      <c r="F166" s="21">
        <v>0</v>
      </c>
      <c r="G166" s="21">
        <v>58</v>
      </c>
      <c r="H166" s="21">
        <v>58</v>
      </c>
      <c r="I166" s="37">
        <v>0</v>
      </c>
      <c r="J166" s="86">
        <v>11</v>
      </c>
      <c r="K166" s="86">
        <v>11</v>
      </c>
      <c r="L166" s="20">
        <v>0</v>
      </c>
      <c r="M166" s="86">
        <v>137</v>
      </c>
      <c r="N166" s="87">
        <v>134</v>
      </c>
    </row>
    <row r="167" spans="1:14">
      <c r="A167" s="23"/>
      <c r="B167" s="22">
        <v>4</v>
      </c>
      <c r="C167" s="37">
        <v>0</v>
      </c>
      <c r="D167" s="86">
        <v>91</v>
      </c>
      <c r="E167" s="251">
        <v>76</v>
      </c>
      <c r="F167" s="21">
        <v>0</v>
      </c>
      <c r="G167" s="21">
        <v>58</v>
      </c>
      <c r="H167" s="21">
        <v>58</v>
      </c>
      <c r="I167" s="37">
        <v>0</v>
      </c>
      <c r="J167" s="86">
        <v>11</v>
      </c>
      <c r="K167" s="86">
        <v>11</v>
      </c>
      <c r="L167" s="20">
        <v>0</v>
      </c>
      <c r="M167" s="86">
        <v>137</v>
      </c>
      <c r="N167" s="87">
        <v>134</v>
      </c>
    </row>
    <row r="168" spans="1:14">
      <c r="A168" s="23"/>
      <c r="B168" s="22">
        <v>5</v>
      </c>
      <c r="C168" s="37">
        <v>0</v>
      </c>
      <c r="D168" s="86">
        <v>91</v>
      </c>
      <c r="E168" s="251">
        <v>76</v>
      </c>
      <c r="F168" s="21">
        <v>0</v>
      </c>
      <c r="G168" s="21">
        <v>58</v>
      </c>
      <c r="H168" s="21">
        <v>58</v>
      </c>
      <c r="I168" s="37">
        <v>0</v>
      </c>
      <c r="J168" s="86">
        <v>11</v>
      </c>
      <c r="K168" s="86">
        <v>11</v>
      </c>
      <c r="L168" s="20">
        <v>0</v>
      </c>
      <c r="M168" s="86">
        <v>137</v>
      </c>
      <c r="N168" s="87">
        <v>134</v>
      </c>
    </row>
    <row r="169" spans="1:14">
      <c r="A169" s="23"/>
      <c r="B169" s="22">
        <v>6</v>
      </c>
      <c r="C169" s="37">
        <v>0</v>
      </c>
      <c r="D169" s="86">
        <v>91</v>
      </c>
      <c r="E169" s="251">
        <v>76</v>
      </c>
      <c r="F169" s="21">
        <v>0</v>
      </c>
      <c r="G169" s="21">
        <v>58</v>
      </c>
      <c r="H169" s="21">
        <v>58</v>
      </c>
      <c r="I169" s="37">
        <v>0</v>
      </c>
      <c r="J169" s="86">
        <v>11</v>
      </c>
      <c r="K169" s="86">
        <v>11</v>
      </c>
      <c r="L169" s="20">
        <v>0</v>
      </c>
      <c r="M169" s="86">
        <v>137</v>
      </c>
      <c r="N169" s="87">
        <v>134</v>
      </c>
    </row>
    <row r="170" spans="1:14">
      <c r="A170" s="23"/>
      <c r="B170" s="22">
        <v>7</v>
      </c>
      <c r="C170" s="37">
        <v>2</v>
      </c>
      <c r="D170" s="86">
        <v>93</v>
      </c>
      <c r="E170" s="251">
        <v>75</v>
      </c>
      <c r="F170" s="21">
        <v>0</v>
      </c>
      <c r="G170" s="21">
        <v>58</v>
      </c>
      <c r="H170" s="21">
        <v>58</v>
      </c>
      <c r="I170" s="37">
        <v>0</v>
      </c>
      <c r="J170" s="86">
        <v>11</v>
      </c>
      <c r="K170" s="86">
        <v>11</v>
      </c>
      <c r="L170" s="20">
        <v>0</v>
      </c>
      <c r="M170" s="86">
        <v>137</v>
      </c>
      <c r="N170" s="87">
        <v>135</v>
      </c>
    </row>
    <row r="171" spans="1:14">
      <c r="A171" s="23"/>
      <c r="B171" s="22">
        <v>8</v>
      </c>
      <c r="C171" s="37">
        <v>0</v>
      </c>
      <c r="D171" s="86">
        <v>93</v>
      </c>
      <c r="E171" s="251">
        <v>75</v>
      </c>
      <c r="F171" s="21">
        <v>0</v>
      </c>
      <c r="G171" s="21">
        <v>58</v>
      </c>
      <c r="H171" s="21">
        <v>58</v>
      </c>
      <c r="I171" s="37">
        <v>0</v>
      </c>
      <c r="J171" s="86">
        <v>11</v>
      </c>
      <c r="K171" s="86">
        <v>11</v>
      </c>
      <c r="L171" s="20">
        <v>3</v>
      </c>
      <c r="M171" s="86">
        <v>140</v>
      </c>
      <c r="N171" s="87">
        <v>138</v>
      </c>
    </row>
    <row r="172" spans="1:14">
      <c r="A172" s="23"/>
      <c r="B172" s="22">
        <v>9</v>
      </c>
      <c r="C172" s="37">
        <v>0</v>
      </c>
      <c r="D172" s="86">
        <v>93</v>
      </c>
      <c r="E172" s="251">
        <v>73</v>
      </c>
      <c r="F172" s="21">
        <v>0</v>
      </c>
      <c r="G172" s="21">
        <v>58</v>
      </c>
      <c r="H172" s="21">
        <v>58</v>
      </c>
      <c r="I172" s="37">
        <v>0</v>
      </c>
      <c r="J172" s="86">
        <v>11</v>
      </c>
      <c r="K172" s="86">
        <v>11</v>
      </c>
      <c r="L172" s="20">
        <v>0</v>
      </c>
      <c r="M172" s="86">
        <v>140</v>
      </c>
      <c r="N172" s="87">
        <v>138</v>
      </c>
    </row>
    <row r="173" spans="1:14">
      <c r="A173" s="23"/>
      <c r="B173" s="22">
        <v>10</v>
      </c>
      <c r="C173" s="37">
        <v>0</v>
      </c>
      <c r="D173" s="86">
        <v>93</v>
      </c>
      <c r="E173" s="251">
        <v>72</v>
      </c>
      <c r="F173" s="21">
        <v>0</v>
      </c>
      <c r="G173" s="21">
        <v>58</v>
      </c>
      <c r="H173" s="21">
        <v>58</v>
      </c>
      <c r="I173" s="37">
        <v>0</v>
      </c>
      <c r="J173" s="86">
        <v>11</v>
      </c>
      <c r="K173" s="86">
        <v>11</v>
      </c>
      <c r="L173" s="20">
        <v>0</v>
      </c>
      <c r="M173" s="86">
        <v>140</v>
      </c>
      <c r="N173" s="87">
        <v>138</v>
      </c>
    </row>
    <row r="174" spans="1:14">
      <c r="A174" s="23"/>
      <c r="B174" s="22">
        <v>11</v>
      </c>
      <c r="C174" s="37">
        <v>0</v>
      </c>
      <c r="D174" s="86">
        <v>93</v>
      </c>
      <c r="E174" s="251">
        <v>72</v>
      </c>
      <c r="F174" s="21">
        <v>0</v>
      </c>
      <c r="G174" s="21">
        <v>58</v>
      </c>
      <c r="H174" s="21">
        <v>58</v>
      </c>
      <c r="I174" s="37">
        <v>0</v>
      </c>
      <c r="J174" s="86">
        <v>11</v>
      </c>
      <c r="K174" s="86">
        <v>11</v>
      </c>
      <c r="L174" s="20">
        <v>0</v>
      </c>
      <c r="M174" s="86">
        <v>140</v>
      </c>
      <c r="N174" s="87">
        <v>138</v>
      </c>
    </row>
    <row r="175" spans="1:14">
      <c r="A175" s="23"/>
      <c r="B175" s="22">
        <v>12</v>
      </c>
      <c r="C175" s="37">
        <v>0</v>
      </c>
      <c r="D175" s="86">
        <v>93</v>
      </c>
      <c r="E175" s="251">
        <v>74</v>
      </c>
      <c r="F175" s="21">
        <v>0</v>
      </c>
      <c r="G175" s="21">
        <v>58</v>
      </c>
      <c r="H175" s="21">
        <v>58</v>
      </c>
      <c r="I175" s="37">
        <v>0</v>
      </c>
      <c r="J175" s="86">
        <v>11</v>
      </c>
      <c r="K175" s="86">
        <v>11</v>
      </c>
      <c r="L175" s="20">
        <v>0</v>
      </c>
      <c r="M175" s="86">
        <v>140</v>
      </c>
      <c r="N175" s="87">
        <v>138</v>
      </c>
    </row>
    <row r="176" spans="1:14">
      <c r="A176" s="111"/>
      <c r="B176" s="35"/>
      <c r="C176" s="159"/>
      <c r="D176" s="86"/>
      <c r="E176" s="251"/>
      <c r="F176" s="21"/>
      <c r="G176" s="21"/>
      <c r="H176" s="24"/>
      <c r="I176" s="159"/>
      <c r="J176" s="86"/>
      <c r="K176" s="86"/>
      <c r="L176" s="20"/>
      <c r="M176" s="86"/>
      <c r="N176" s="113"/>
    </row>
    <row r="177" spans="1:14">
      <c r="A177" s="23">
        <v>2023</v>
      </c>
      <c r="B177" s="22">
        <v>1</v>
      </c>
      <c r="C177" s="37">
        <v>0</v>
      </c>
      <c r="D177" s="86">
        <v>93</v>
      </c>
      <c r="E177" s="251">
        <v>75</v>
      </c>
      <c r="F177" s="21">
        <v>0</v>
      </c>
      <c r="G177" s="21">
        <v>58</v>
      </c>
      <c r="H177" s="21">
        <v>58</v>
      </c>
      <c r="I177" s="37">
        <v>0</v>
      </c>
      <c r="J177" s="86">
        <v>11</v>
      </c>
      <c r="K177" s="86">
        <v>11</v>
      </c>
      <c r="L177" s="20">
        <v>0</v>
      </c>
      <c r="M177" s="86">
        <v>140</v>
      </c>
      <c r="N177" s="87">
        <v>138</v>
      </c>
    </row>
    <row r="178" spans="1:14">
      <c r="A178" s="23"/>
      <c r="B178" s="22">
        <v>2</v>
      </c>
      <c r="C178" s="37">
        <v>0</v>
      </c>
      <c r="D178" s="86">
        <v>93</v>
      </c>
      <c r="E178" s="251">
        <v>73</v>
      </c>
      <c r="F178" s="21">
        <v>0</v>
      </c>
      <c r="G178" s="21">
        <v>58</v>
      </c>
      <c r="H178" s="21">
        <v>58</v>
      </c>
      <c r="I178" s="37">
        <v>0</v>
      </c>
      <c r="J178" s="86">
        <v>11</v>
      </c>
      <c r="K178" s="86">
        <v>11</v>
      </c>
      <c r="L178" s="20">
        <v>0</v>
      </c>
      <c r="M178" s="86">
        <v>140</v>
      </c>
      <c r="N178" s="87">
        <v>138</v>
      </c>
    </row>
    <row r="179" spans="1:14">
      <c r="A179" s="23"/>
      <c r="B179" s="22">
        <v>3</v>
      </c>
      <c r="C179" s="37">
        <v>0</v>
      </c>
      <c r="D179" s="86">
        <v>93</v>
      </c>
      <c r="E179" s="251">
        <v>76</v>
      </c>
      <c r="F179" s="21">
        <v>1</v>
      </c>
      <c r="G179" s="21">
        <v>59</v>
      </c>
      <c r="H179" s="21">
        <v>59</v>
      </c>
      <c r="I179" s="37">
        <v>0</v>
      </c>
      <c r="J179" s="86">
        <v>11</v>
      </c>
      <c r="K179" s="86">
        <v>11</v>
      </c>
      <c r="L179" s="20">
        <v>0</v>
      </c>
      <c r="M179" s="86">
        <v>140</v>
      </c>
      <c r="N179" s="87">
        <v>138</v>
      </c>
    </row>
    <row r="180" spans="1:14">
      <c r="A180" s="23"/>
      <c r="B180" s="22">
        <v>4</v>
      </c>
      <c r="C180" s="37">
        <v>0</v>
      </c>
      <c r="D180" s="86">
        <v>93</v>
      </c>
      <c r="E180" s="251">
        <v>77</v>
      </c>
      <c r="F180" s="21">
        <v>0</v>
      </c>
      <c r="G180" s="21">
        <v>59</v>
      </c>
      <c r="H180" s="21">
        <v>59</v>
      </c>
      <c r="I180" s="37">
        <v>0</v>
      </c>
      <c r="J180" s="86">
        <v>11</v>
      </c>
      <c r="K180" s="86">
        <v>11</v>
      </c>
      <c r="L180" s="20">
        <v>0</v>
      </c>
      <c r="M180" s="86">
        <v>140</v>
      </c>
      <c r="N180" s="87">
        <v>138</v>
      </c>
    </row>
    <row r="181" spans="1:14">
      <c r="A181" s="23"/>
      <c r="B181" s="22">
        <v>5</v>
      </c>
      <c r="C181" s="37">
        <v>0</v>
      </c>
      <c r="D181" s="86">
        <v>94</v>
      </c>
      <c r="E181" s="251">
        <v>79</v>
      </c>
      <c r="F181" s="21">
        <v>0</v>
      </c>
      <c r="G181" s="21">
        <v>59</v>
      </c>
      <c r="H181" s="21">
        <v>59</v>
      </c>
      <c r="I181" s="37">
        <v>0</v>
      </c>
      <c r="J181" s="86">
        <v>11</v>
      </c>
      <c r="K181" s="86">
        <v>11</v>
      </c>
      <c r="L181" s="20">
        <v>0</v>
      </c>
      <c r="M181" s="86">
        <v>140</v>
      </c>
      <c r="N181" s="87">
        <v>138</v>
      </c>
    </row>
    <row r="182" spans="1:14">
      <c r="A182" s="23"/>
      <c r="B182" s="22">
        <v>6</v>
      </c>
      <c r="C182" s="37">
        <v>0</v>
      </c>
      <c r="D182" s="86">
        <v>94</v>
      </c>
      <c r="E182" s="251">
        <v>81</v>
      </c>
      <c r="F182" s="21">
        <v>0</v>
      </c>
      <c r="G182" s="21">
        <v>59</v>
      </c>
      <c r="H182" s="21">
        <v>59</v>
      </c>
      <c r="I182" s="37">
        <v>0</v>
      </c>
      <c r="J182" s="86">
        <v>11</v>
      </c>
      <c r="K182" s="86">
        <v>11</v>
      </c>
      <c r="L182" s="20">
        <v>0</v>
      </c>
      <c r="M182" s="86">
        <v>140</v>
      </c>
      <c r="N182" s="87">
        <v>138</v>
      </c>
    </row>
    <row r="183" spans="1:14">
      <c r="A183" s="111"/>
      <c r="B183" s="22">
        <v>7</v>
      </c>
      <c r="C183" s="37">
        <v>0</v>
      </c>
      <c r="D183" s="86">
        <v>94</v>
      </c>
      <c r="E183" s="251">
        <v>81</v>
      </c>
      <c r="F183" s="21">
        <v>0</v>
      </c>
      <c r="G183" s="21">
        <v>59</v>
      </c>
      <c r="H183" s="21">
        <v>59</v>
      </c>
      <c r="I183" s="37">
        <v>0</v>
      </c>
      <c r="J183" s="86">
        <v>11</v>
      </c>
      <c r="K183" s="86">
        <v>11</v>
      </c>
      <c r="L183" s="20">
        <v>0</v>
      </c>
      <c r="M183" s="86">
        <v>140</v>
      </c>
      <c r="N183" s="87">
        <v>138</v>
      </c>
    </row>
    <row r="184" spans="1:14">
      <c r="A184" s="98"/>
      <c r="B184" s="99"/>
      <c r="C184" s="100"/>
      <c r="D184" s="101"/>
      <c r="E184" s="101"/>
      <c r="F184" s="101"/>
      <c r="G184" s="101"/>
      <c r="H184" s="99"/>
      <c r="I184" s="100"/>
      <c r="J184" s="101"/>
      <c r="K184" s="101"/>
      <c r="L184" s="101"/>
      <c r="M184" s="101"/>
      <c r="N184" s="103"/>
    </row>
    <row r="185" spans="1:14">
      <c r="A185" s="40"/>
      <c r="B185" s="40"/>
      <c r="C185" s="40"/>
      <c r="D185" s="40"/>
      <c r="E185" s="40"/>
      <c r="F185" s="40"/>
      <c r="G185" s="40"/>
      <c r="H185" s="40"/>
      <c r="I185" s="40"/>
      <c r="J185" s="40"/>
      <c r="K185" s="40"/>
      <c r="L185" s="40"/>
      <c r="M185" s="40"/>
      <c r="N185" s="40"/>
    </row>
    <row r="186" spans="1:14">
      <c r="A186" s="40"/>
      <c r="B186" s="40"/>
      <c r="C186" s="40"/>
      <c r="D186" s="40"/>
      <c r="E186" s="40"/>
      <c r="F186" s="40"/>
      <c r="G186" s="40"/>
      <c r="H186" s="40"/>
      <c r="I186" s="40"/>
      <c r="J186" s="40"/>
      <c r="K186" s="40"/>
      <c r="L186" s="40"/>
      <c r="M186" s="40"/>
      <c r="N186" s="40"/>
    </row>
    <row r="187" spans="1:14">
      <c r="A187" s="40"/>
      <c r="B187" s="40"/>
      <c r="C187" s="40"/>
      <c r="D187" s="40"/>
      <c r="E187" s="40"/>
      <c r="F187" s="40"/>
      <c r="G187" s="40"/>
      <c r="H187" s="40"/>
      <c r="I187" s="40"/>
      <c r="J187" s="40"/>
      <c r="K187" s="40"/>
      <c r="L187" s="40"/>
      <c r="M187" s="40"/>
      <c r="N187" s="40"/>
    </row>
    <row r="188" spans="1:14" ht="16">
      <c r="A188" s="39"/>
      <c r="B188" s="40"/>
      <c r="C188" s="40"/>
      <c r="D188" s="40"/>
      <c r="E188" s="40"/>
      <c r="F188" s="40"/>
      <c r="G188" s="40"/>
      <c r="H188" s="40"/>
      <c r="I188" s="40"/>
      <c r="J188" s="40"/>
      <c r="K188" s="40"/>
      <c r="L188" s="40"/>
    </row>
    <row r="189" spans="1:14" ht="16">
      <c r="A189" s="39"/>
      <c r="B189" s="40"/>
      <c r="C189" s="40"/>
      <c r="D189" s="40"/>
      <c r="E189" s="40"/>
      <c r="F189" s="40"/>
      <c r="G189" s="40"/>
      <c r="H189" s="40"/>
      <c r="I189" s="40"/>
      <c r="J189" s="40"/>
      <c r="K189" s="40"/>
      <c r="L189" s="40"/>
    </row>
    <row r="190" spans="1:14" ht="16">
      <c r="A190" s="33" t="s">
        <v>74</v>
      </c>
      <c r="B190" s="40"/>
      <c r="C190" s="39" t="s">
        <v>119</v>
      </c>
      <c r="D190" s="39"/>
      <c r="E190" s="39"/>
      <c r="F190" s="40"/>
      <c r="G190" s="40"/>
      <c r="H190" s="40"/>
      <c r="I190" s="40"/>
      <c r="J190" s="40"/>
      <c r="K190" s="40"/>
      <c r="L190" s="40"/>
    </row>
    <row r="191" spans="1:14" ht="16">
      <c r="A191" s="31" t="s">
        <v>76</v>
      </c>
      <c r="B191" s="40"/>
      <c r="C191" s="39" t="s">
        <v>120</v>
      </c>
      <c r="D191" s="39"/>
      <c r="E191" s="175"/>
      <c r="F191" s="40"/>
      <c r="G191" s="40"/>
      <c r="H191" s="40"/>
      <c r="I191" s="40"/>
      <c r="J191" s="40"/>
      <c r="K191" s="176">
        <v>202307</v>
      </c>
      <c r="L191" s="40"/>
    </row>
    <row r="192" spans="1:14">
      <c r="A192" s="40"/>
      <c r="B192" s="40"/>
      <c r="C192" s="40"/>
      <c r="D192" s="40"/>
      <c r="E192" s="40"/>
      <c r="F192" s="40"/>
      <c r="G192" s="40"/>
      <c r="H192" s="40"/>
      <c r="I192" s="40"/>
      <c r="J192" s="40"/>
      <c r="K192" s="40"/>
      <c r="L192" s="40"/>
    </row>
    <row r="193" spans="1:12">
      <c r="A193" s="42"/>
      <c r="B193" s="43"/>
      <c r="C193" s="280" t="s">
        <v>146</v>
      </c>
      <c r="D193" s="266"/>
      <c r="E193" s="266"/>
      <c r="F193" s="266"/>
      <c r="G193" s="266"/>
      <c r="H193" s="266"/>
      <c r="I193" s="266"/>
      <c r="J193" s="266"/>
      <c r="K193" s="281"/>
      <c r="L193" s="44"/>
    </row>
    <row r="194" spans="1:12">
      <c r="A194" s="45"/>
      <c r="B194" s="46"/>
      <c r="C194" s="332" t="s">
        <v>167</v>
      </c>
      <c r="D194" s="330"/>
      <c r="E194" s="330"/>
      <c r="F194" s="330"/>
      <c r="G194" s="330"/>
      <c r="H194" s="331"/>
      <c r="I194" s="162"/>
      <c r="J194" s="162"/>
      <c r="K194" s="163"/>
      <c r="L194" s="44"/>
    </row>
    <row r="195" spans="1:12">
      <c r="A195" s="90"/>
      <c r="B195" s="46"/>
      <c r="C195" s="333" t="s">
        <v>170</v>
      </c>
      <c r="D195" s="334"/>
      <c r="E195" s="334"/>
      <c r="F195" s="334"/>
      <c r="G195" s="334"/>
      <c r="H195" s="335"/>
      <c r="I195" s="336" t="s">
        <v>85</v>
      </c>
      <c r="J195" s="337"/>
      <c r="K195" s="338"/>
      <c r="L195" s="44"/>
    </row>
    <row r="196" spans="1:12">
      <c r="A196" s="48"/>
      <c r="B196" s="46"/>
      <c r="C196" s="332" t="s">
        <v>149</v>
      </c>
      <c r="D196" s="330"/>
      <c r="E196" s="330"/>
      <c r="F196" s="339" t="s">
        <v>150</v>
      </c>
      <c r="G196" s="330"/>
      <c r="H196" s="331"/>
      <c r="I196" s="283" t="s">
        <v>89</v>
      </c>
      <c r="J196" s="283"/>
      <c r="K196" s="284"/>
      <c r="L196" s="44"/>
    </row>
    <row r="197" spans="1:12">
      <c r="A197" s="48" t="s">
        <v>151</v>
      </c>
      <c r="B197" s="49"/>
      <c r="C197" s="173" t="s">
        <v>91</v>
      </c>
      <c r="D197" s="50" t="s">
        <v>94</v>
      </c>
      <c r="E197" s="50" t="s">
        <v>95</v>
      </c>
      <c r="F197" s="177" t="s">
        <v>91</v>
      </c>
      <c r="G197" s="50" t="s">
        <v>92</v>
      </c>
      <c r="H197" s="52" t="s">
        <v>93</v>
      </c>
      <c r="I197" s="173" t="s">
        <v>91</v>
      </c>
      <c r="J197" s="51" t="s">
        <v>92</v>
      </c>
      <c r="K197" s="52" t="s">
        <v>93</v>
      </c>
      <c r="L197" s="44"/>
    </row>
    <row r="198" spans="1:12">
      <c r="A198" s="53" t="s">
        <v>97</v>
      </c>
      <c r="B198" s="49"/>
      <c r="C198" s="138" t="s">
        <v>101</v>
      </c>
      <c r="D198" s="55" t="s">
        <v>102</v>
      </c>
      <c r="E198" s="55" t="s">
        <v>103</v>
      </c>
      <c r="F198" s="178" t="s">
        <v>101</v>
      </c>
      <c r="G198" s="55" t="s">
        <v>99</v>
      </c>
      <c r="H198" s="59" t="s">
        <v>100</v>
      </c>
      <c r="I198" s="165" t="s">
        <v>101</v>
      </c>
      <c r="J198" s="56" t="s">
        <v>99</v>
      </c>
      <c r="K198" s="59" t="s">
        <v>100</v>
      </c>
      <c r="L198" s="44"/>
    </row>
    <row r="199" spans="1:12">
      <c r="A199" s="60"/>
      <c r="B199" s="61"/>
      <c r="C199" s="62"/>
      <c r="D199" s="63" t="s">
        <v>104</v>
      </c>
      <c r="E199" s="66"/>
      <c r="F199" s="65"/>
      <c r="G199" s="63"/>
      <c r="H199" s="67"/>
      <c r="I199" s="161"/>
      <c r="J199" s="252"/>
      <c r="K199" s="67"/>
      <c r="L199" s="44"/>
    </row>
    <row r="200" spans="1:12">
      <c r="A200" s="68"/>
      <c r="B200" s="69"/>
      <c r="C200" s="70"/>
      <c r="D200" s="74"/>
      <c r="E200" s="73"/>
      <c r="F200" s="91"/>
      <c r="G200" s="91"/>
      <c r="H200" s="95"/>
      <c r="I200" s="107"/>
      <c r="J200" s="94"/>
      <c r="K200" s="108"/>
      <c r="L200" s="77"/>
    </row>
    <row r="201" spans="1:12">
      <c r="A201" s="29">
        <v>2018</v>
      </c>
      <c r="B201" s="22"/>
      <c r="C201" s="93">
        <v>595</v>
      </c>
      <c r="D201" s="91">
        <v>6860</v>
      </c>
      <c r="E201" s="109">
        <v>6811</v>
      </c>
      <c r="F201" s="91">
        <v>20</v>
      </c>
      <c r="G201" s="91">
        <v>126</v>
      </c>
      <c r="H201" s="95">
        <v>124</v>
      </c>
      <c r="I201" s="94">
        <v>1272</v>
      </c>
      <c r="J201" s="94">
        <v>13383</v>
      </c>
      <c r="K201" s="95">
        <v>13229</v>
      </c>
      <c r="L201" s="44"/>
    </row>
    <row r="202" spans="1:12">
      <c r="A202" s="29">
        <v>2019</v>
      </c>
      <c r="B202" s="22"/>
      <c r="C202" s="93">
        <v>407</v>
      </c>
      <c r="D202" s="91">
        <v>6872</v>
      </c>
      <c r="E202" s="109">
        <v>6836</v>
      </c>
      <c r="F202" s="91">
        <v>40</v>
      </c>
      <c r="G202" s="91">
        <v>171</v>
      </c>
      <c r="H202" s="95">
        <v>171</v>
      </c>
      <c r="I202" s="94">
        <v>762</v>
      </c>
      <c r="J202" s="94">
        <v>13560</v>
      </c>
      <c r="K202" s="95">
        <v>13328</v>
      </c>
      <c r="L202" s="44"/>
    </row>
    <row r="203" spans="1:12">
      <c r="A203" s="29">
        <v>2020</v>
      </c>
      <c r="B203" s="22"/>
      <c r="C203" s="93">
        <v>170</v>
      </c>
      <c r="D203" s="91">
        <v>6877</v>
      </c>
      <c r="E203" s="109">
        <v>6522</v>
      </c>
      <c r="F203" s="91">
        <v>2</v>
      </c>
      <c r="G203" s="91">
        <v>173</v>
      </c>
      <c r="H203" s="95">
        <v>167</v>
      </c>
      <c r="I203" s="94">
        <v>461</v>
      </c>
      <c r="J203" s="94">
        <v>13339</v>
      </c>
      <c r="K203" s="95">
        <v>12873</v>
      </c>
      <c r="L203" s="44"/>
    </row>
    <row r="204" spans="1:12">
      <c r="A204" s="29">
        <v>2021</v>
      </c>
      <c r="B204" s="22"/>
      <c r="C204" s="93">
        <v>268</v>
      </c>
      <c r="D204" s="91">
        <v>6672</v>
      </c>
      <c r="E204" s="109">
        <v>6010</v>
      </c>
      <c r="F204" s="91">
        <v>5</v>
      </c>
      <c r="G204" s="91">
        <v>175</v>
      </c>
      <c r="H204" s="95">
        <v>170</v>
      </c>
      <c r="I204" s="94">
        <v>554</v>
      </c>
      <c r="J204" s="94">
        <v>13162</v>
      </c>
      <c r="K204" s="95">
        <v>12365</v>
      </c>
      <c r="L204" s="44"/>
    </row>
    <row r="205" spans="1:12">
      <c r="A205" s="29">
        <v>2022</v>
      </c>
      <c r="B205" s="22"/>
      <c r="C205" s="30">
        <v>309</v>
      </c>
      <c r="D205" s="30">
        <v>6579</v>
      </c>
      <c r="E205" s="109">
        <v>6140</v>
      </c>
      <c r="F205" s="91">
        <v>0</v>
      </c>
      <c r="G205" s="91">
        <v>175</v>
      </c>
      <c r="H205" s="95">
        <v>171</v>
      </c>
      <c r="I205" s="94">
        <v>548</v>
      </c>
      <c r="J205" s="94">
        <v>13103</v>
      </c>
      <c r="K205" s="95">
        <v>12287</v>
      </c>
      <c r="L205" s="44"/>
    </row>
    <row r="206" spans="1:12">
      <c r="A206" s="23"/>
      <c r="B206" s="22"/>
      <c r="C206" s="85"/>
      <c r="D206" s="86"/>
      <c r="E206" s="110"/>
      <c r="F206" s="21"/>
      <c r="G206" s="86"/>
      <c r="H206" s="87"/>
      <c r="I206" s="96"/>
      <c r="J206" s="96"/>
      <c r="K206" s="87"/>
      <c r="L206" s="44"/>
    </row>
    <row r="207" spans="1:12">
      <c r="A207" s="23"/>
      <c r="B207" s="22"/>
      <c r="C207" s="85"/>
      <c r="D207" s="86"/>
      <c r="E207" s="110"/>
      <c r="F207" s="21"/>
      <c r="G207" s="86"/>
      <c r="H207" s="87"/>
      <c r="I207" s="96"/>
      <c r="J207" s="96"/>
      <c r="K207" s="87"/>
      <c r="L207" s="44"/>
    </row>
    <row r="208" spans="1:12">
      <c r="A208" s="23"/>
      <c r="B208" s="22"/>
      <c r="C208" s="85"/>
      <c r="D208" s="86"/>
      <c r="E208" s="110"/>
      <c r="F208" s="21"/>
      <c r="G208" s="86"/>
      <c r="H208" s="87"/>
      <c r="I208" s="96"/>
      <c r="J208" s="96"/>
      <c r="K208" s="87"/>
      <c r="L208" s="44"/>
    </row>
    <row r="209" spans="1:12">
      <c r="A209" s="23"/>
      <c r="B209" s="22"/>
      <c r="C209" s="85"/>
      <c r="D209" s="86"/>
      <c r="E209" s="110"/>
      <c r="F209" s="21"/>
      <c r="G209" s="86"/>
      <c r="H209" s="87"/>
      <c r="I209" s="96"/>
      <c r="J209" s="96"/>
      <c r="K209" s="87"/>
      <c r="L209" s="44"/>
    </row>
    <row r="210" spans="1:12">
      <c r="A210" s="23">
        <v>2022</v>
      </c>
      <c r="B210" s="22">
        <v>2</v>
      </c>
      <c r="C210" s="85">
        <v>10</v>
      </c>
      <c r="D210" s="86">
        <v>6654</v>
      </c>
      <c r="E210" s="110">
        <v>5980</v>
      </c>
      <c r="F210" s="21">
        <v>0</v>
      </c>
      <c r="G210" s="86">
        <v>175</v>
      </c>
      <c r="H210" s="87">
        <v>166</v>
      </c>
      <c r="I210" s="96">
        <v>22</v>
      </c>
      <c r="J210" s="96">
        <v>13158</v>
      </c>
      <c r="K210" s="87">
        <v>12294</v>
      </c>
      <c r="L210" s="40"/>
    </row>
    <row r="211" spans="1:12">
      <c r="A211" s="23"/>
      <c r="B211" s="22">
        <v>3</v>
      </c>
      <c r="C211" s="85">
        <v>9</v>
      </c>
      <c r="D211" s="86">
        <v>6641</v>
      </c>
      <c r="E211" s="110">
        <v>5974</v>
      </c>
      <c r="F211" s="21">
        <v>0</v>
      </c>
      <c r="G211" s="86">
        <v>175</v>
      </c>
      <c r="H211" s="87">
        <v>167</v>
      </c>
      <c r="I211" s="96">
        <v>9</v>
      </c>
      <c r="J211" s="96">
        <v>13134</v>
      </c>
      <c r="K211" s="87">
        <v>12171</v>
      </c>
      <c r="L211" s="40"/>
    </row>
    <row r="212" spans="1:12">
      <c r="A212" s="23"/>
      <c r="B212" s="22">
        <v>4</v>
      </c>
      <c r="C212" s="85">
        <v>6</v>
      </c>
      <c r="D212" s="86">
        <v>6634</v>
      </c>
      <c r="E212" s="110">
        <v>5983</v>
      </c>
      <c r="F212" s="21">
        <v>0</v>
      </c>
      <c r="G212" s="86">
        <v>175</v>
      </c>
      <c r="H212" s="87">
        <v>168</v>
      </c>
      <c r="I212" s="96">
        <v>20</v>
      </c>
      <c r="J212" s="96">
        <v>13125</v>
      </c>
      <c r="K212" s="87">
        <v>12198</v>
      </c>
      <c r="L212" s="40"/>
    </row>
    <row r="213" spans="1:12">
      <c r="A213" s="23"/>
      <c r="B213" s="22">
        <v>5</v>
      </c>
      <c r="C213" s="85">
        <v>13</v>
      </c>
      <c r="D213" s="86">
        <v>6618</v>
      </c>
      <c r="E213" s="110">
        <v>5983</v>
      </c>
      <c r="F213" s="21">
        <v>0</v>
      </c>
      <c r="G213" s="86">
        <v>175</v>
      </c>
      <c r="H213" s="87">
        <v>170</v>
      </c>
      <c r="I213" s="96">
        <v>81</v>
      </c>
      <c r="J213" s="96">
        <v>13148</v>
      </c>
      <c r="K213" s="87">
        <v>12217</v>
      </c>
      <c r="L213" s="40"/>
    </row>
    <row r="214" spans="1:12">
      <c r="A214" s="23"/>
      <c r="B214" s="22">
        <v>6</v>
      </c>
      <c r="C214" s="85">
        <v>17</v>
      </c>
      <c r="D214" s="86">
        <v>6610</v>
      </c>
      <c r="E214" s="110">
        <v>6012</v>
      </c>
      <c r="F214" s="21">
        <v>0</v>
      </c>
      <c r="G214" s="86">
        <v>175</v>
      </c>
      <c r="H214" s="87">
        <v>170</v>
      </c>
      <c r="I214" s="96">
        <v>54</v>
      </c>
      <c r="J214" s="96">
        <v>13129</v>
      </c>
      <c r="K214" s="87">
        <v>12256</v>
      </c>
      <c r="L214" s="40"/>
    </row>
    <row r="215" spans="1:12">
      <c r="A215" s="23"/>
      <c r="B215" s="22">
        <v>7</v>
      </c>
      <c r="C215" s="85">
        <v>34</v>
      </c>
      <c r="D215" s="86">
        <v>6604</v>
      </c>
      <c r="E215" s="110">
        <v>6072</v>
      </c>
      <c r="F215" s="21">
        <v>0</v>
      </c>
      <c r="G215" s="86">
        <v>175</v>
      </c>
      <c r="H215" s="87">
        <v>171</v>
      </c>
      <c r="I215" s="96">
        <v>61</v>
      </c>
      <c r="J215" s="96">
        <v>13129</v>
      </c>
      <c r="K215" s="87">
        <v>12325</v>
      </c>
      <c r="L215" s="40"/>
    </row>
    <row r="216" spans="1:12">
      <c r="A216" s="23"/>
      <c r="B216" s="22">
        <v>8</v>
      </c>
      <c r="C216" s="85">
        <v>80</v>
      </c>
      <c r="D216" s="86">
        <v>6616</v>
      </c>
      <c r="E216" s="110">
        <v>6107</v>
      </c>
      <c r="F216" s="21">
        <v>0</v>
      </c>
      <c r="G216" s="86">
        <v>175</v>
      </c>
      <c r="H216" s="87">
        <v>172</v>
      </c>
      <c r="I216" s="96">
        <v>88</v>
      </c>
      <c r="J216" s="96">
        <v>13124</v>
      </c>
      <c r="K216" s="87">
        <v>12310</v>
      </c>
      <c r="L216" s="40"/>
    </row>
    <row r="217" spans="1:12">
      <c r="A217" s="23"/>
      <c r="B217" s="22">
        <v>9</v>
      </c>
      <c r="C217" s="85">
        <v>35</v>
      </c>
      <c r="D217" s="86">
        <v>6610</v>
      </c>
      <c r="E217" s="110">
        <v>6108</v>
      </c>
      <c r="F217" s="21">
        <v>0</v>
      </c>
      <c r="G217" s="86">
        <v>176</v>
      </c>
      <c r="H217" s="87">
        <v>171</v>
      </c>
      <c r="I217" s="96">
        <v>48</v>
      </c>
      <c r="J217" s="96">
        <v>13118</v>
      </c>
      <c r="K217" s="87">
        <v>12266</v>
      </c>
      <c r="L217" s="40"/>
    </row>
    <row r="218" spans="1:12">
      <c r="A218" s="23"/>
      <c r="B218" s="22">
        <v>10</v>
      </c>
      <c r="C218" s="85">
        <v>22</v>
      </c>
      <c r="D218" s="86">
        <v>6601</v>
      </c>
      <c r="E218" s="110">
        <v>6110</v>
      </c>
      <c r="F218" s="21">
        <v>0</v>
      </c>
      <c r="G218" s="86">
        <v>175</v>
      </c>
      <c r="H218" s="87">
        <v>170</v>
      </c>
      <c r="I218" s="96">
        <v>44</v>
      </c>
      <c r="J218" s="96">
        <v>13114</v>
      </c>
      <c r="K218" s="87">
        <v>12280</v>
      </c>
      <c r="L218" s="40"/>
    </row>
    <row r="219" spans="1:12">
      <c r="A219" s="23"/>
      <c r="B219" s="22">
        <v>11</v>
      </c>
      <c r="C219" s="85">
        <v>38</v>
      </c>
      <c r="D219" s="86">
        <v>6583</v>
      </c>
      <c r="E219" s="110">
        <v>6143</v>
      </c>
      <c r="F219" s="21">
        <v>0</v>
      </c>
      <c r="G219" s="86">
        <v>175</v>
      </c>
      <c r="H219" s="87">
        <v>172</v>
      </c>
      <c r="I219" s="96">
        <v>41</v>
      </c>
      <c r="J219" s="96">
        <v>13090</v>
      </c>
      <c r="K219" s="87">
        <v>12292</v>
      </c>
      <c r="L219" s="40"/>
    </row>
    <row r="220" spans="1:12">
      <c r="A220" s="23"/>
      <c r="B220" s="22">
        <v>12</v>
      </c>
      <c r="C220" s="85">
        <v>29</v>
      </c>
      <c r="D220" s="86">
        <v>6579</v>
      </c>
      <c r="E220" s="110">
        <v>6140</v>
      </c>
      <c r="F220" s="21">
        <v>0</v>
      </c>
      <c r="G220" s="86">
        <v>175</v>
      </c>
      <c r="H220" s="87">
        <v>171</v>
      </c>
      <c r="I220" s="96">
        <v>52</v>
      </c>
      <c r="J220" s="96">
        <v>13103</v>
      </c>
      <c r="K220" s="87">
        <v>12287</v>
      </c>
      <c r="L220" s="40"/>
    </row>
    <row r="221" spans="1:12">
      <c r="A221" s="111"/>
      <c r="B221" s="35"/>
      <c r="C221" s="97"/>
      <c r="D221" s="86"/>
      <c r="E221" s="110"/>
      <c r="F221" s="21"/>
      <c r="G221" s="86"/>
      <c r="H221" s="110"/>
      <c r="I221" s="85"/>
      <c r="J221" s="96"/>
      <c r="K221" s="87"/>
      <c r="L221" s="40"/>
    </row>
    <row r="222" spans="1:12">
      <c r="A222" s="23">
        <v>2023</v>
      </c>
      <c r="B222" s="22">
        <v>1</v>
      </c>
      <c r="C222" s="85">
        <v>37</v>
      </c>
      <c r="D222" s="86">
        <v>6595</v>
      </c>
      <c r="E222" s="110">
        <v>6172</v>
      </c>
      <c r="F222" s="21">
        <v>0</v>
      </c>
      <c r="G222" s="86">
        <v>175</v>
      </c>
      <c r="H222" s="87">
        <v>170</v>
      </c>
      <c r="I222" s="96">
        <v>43</v>
      </c>
      <c r="J222" s="96">
        <v>13121</v>
      </c>
      <c r="K222" s="87">
        <v>12315</v>
      </c>
      <c r="L222" s="40"/>
    </row>
    <row r="223" spans="1:12">
      <c r="A223" s="23"/>
      <c r="B223" s="22">
        <v>2</v>
      </c>
      <c r="C223" s="85">
        <v>43</v>
      </c>
      <c r="D223" s="86">
        <v>6602</v>
      </c>
      <c r="E223" s="110">
        <v>6245</v>
      </c>
      <c r="F223" s="21">
        <v>0</v>
      </c>
      <c r="G223" s="86">
        <v>175</v>
      </c>
      <c r="H223" s="87">
        <v>171</v>
      </c>
      <c r="I223" s="96">
        <v>70</v>
      </c>
      <c r="J223" s="96">
        <v>13140</v>
      </c>
      <c r="K223" s="87">
        <v>12478</v>
      </c>
      <c r="L223" s="40"/>
    </row>
    <row r="224" spans="1:12">
      <c r="A224" s="23"/>
      <c r="B224" s="22">
        <v>3</v>
      </c>
      <c r="C224" s="85">
        <v>24</v>
      </c>
      <c r="D224" s="86">
        <v>6596</v>
      </c>
      <c r="E224" s="110">
        <v>6277</v>
      </c>
      <c r="F224" s="21">
        <v>0</v>
      </c>
      <c r="G224" s="86">
        <v>175</v>
      </c>
      <c r="H224" s="87">
        <v>172</v>
      </c>
      <c r="I224" s="96">
        <v>53</v>
      </c>
      <c r="J224" s="96">
        <v>13157</v>
      </c>
      <c r="K224" s="87">
        <v>12575</v>
      </c>
      <c r="L224" s="40"/>
    </row>
    <row r="225" spans="1:12">
      <c r="A225" s="23"/>
      <c r="B225" s="22">
        <v>4</v>
      </c>
      <c r="C225" s="85">
        <v>28</v>
      </c>
      <c r="D225" s="86">
        <v>6595</v>
      </c>
      <c r="E225" s="110">
        <v>6286</v>
      </c>
      <c r="F225" s="21">
        <v>0</v>
      </c>
      <c r="G225" s="86">
        <v>175</v>
      </c>
      <c r="H225" s="87">
        <v>172</v>
      </c>
      <c r="I225" s="96">
        <v>43</v>
      </c>
      <c r="J225" s="96">
        <v>13161</v>
      </c>
      <c r="K225" s="87">
        <v>12553</v>
      </c>
      <c r="L225" s="40"/>
    </row>
    <row r="226" spans="1:12">
      <c r="A226" s="23"/>
      <c r="B226" s="22">
        <v>5</v>
      </c>
      <c r="C226" s="85">
        <v>25</v>
      </c>
      <c r="D226" s="86">
        <v>6589</v>
      </c>
      <c r="E226" s="110">
        <v>6280</v>
      </c>
      <c r="F226" s="21">
        <v>3</v>
      </c>
      <c r="G226" s="86">
        <v>178</v>
      </c>
      <c r="H226" s="87">
        <v>175</v>
      </c>
      <c r="I226" s="96">
        <v>28</v>
      </c>
      <c r="J226" s="96">
        <v>13151</v>
      </c>
      <c r="K226" s="87">
        <v>12476</v>
      </c>
      <c r="L226" s="40"/>
    </row>
    <row r="227" spans="1:12">
      <c r="A227" s="23"/>
      <c r="B227" s="22">
        <v>6</v>
      </c>
      <c r="C227" s="85">
        <v>12</v>
      </c>
      <c r="D227" s="86">
        <v>6562</v>
      </c>
      <c r="E227" s="110">
        <v>6255</v>
      </c>
      <c r="F227" s="21">
        <v>0</v>
      </c>
      <c r="G227" s="86">
        <v>178</v>
      </c>
      <c r="H227" s="87">
        <v>175</v>
      </c>
      <c r="I227" s="96">
        <v>16</v>
      </c>
      <c r="J227" s="96">
        <v>13115</v>
      </c>
      <c r="K227" s="87">
        <v>12356</v>
      </c>
      <c r="L227" s="40"/>
    </row>
    <row r="228" spans="1:12">
      <c r="A228" s="111"/>
      <c r="B228" s="22">
        <v>7</v>
      </c>
      <c r="C228" s="85">
        <v>32</v>
      </c>
      <c r="D228" s="86">
        <v>6559</v>
      </c>
      <c r="E228" s="110">
        <v>6228</v>
      </c>
      <c r="F228" s="21">
        <v>0</v>
      </c>
      <c r="G228" s="86">
        <v>178</v>
      </c>
      <c r="H228" s="87">
        <v>176</v>
      </c>
      <c r="I228" s="96">
        <v>54</v>
      </c>
      <c r="J228" s="96">
        <v>13129</v>
      </c>
      <c r="K228" s="87">
        <v>12325</v>
      </c>
      <c r="L228" s="40"/>
    </row>
    <row r="229" spans="1:12">
      <c r="A229" s="98"/>
      <c r="B229" s="99"/>
      <c r="C229" s="100"/>
      <c r="D229" s="101"/>
      <c r="E229" s="101"/>
      <c r="F229" s="101"/>
      <c r="G229" s="101"/>
      <c r="H229" s="98"/>
      <c r="I229" s="102"/>
      <c r="J229" s="101"/>
      <c r="K229" s="120"/>
      <c r="L229" s="40"/>
    </row>
    <row r="230" spans="1:12">
      <c r="A230" s="40"/>
      <c r="B230" s="40"/>
      <c r="C230" s="40"/>
      <c r="D230" s="40"/>
      <c r="E230" s="40"/>
      <c r="F230" s="40"/>
      <c r="G230" s="40"/>
      <c r="H230" s="40"/>
      <c r="I230" s="40"/>
      <c r="J230" s="40"/>
      <c r="K230" s="40"/>
      <c r="L230" s="40"/>
    </row>
    <row r="231" spans="1:12">
      <c r="A231" s="44" t="s">
        <v>132</v>
      </c>
      <c r="B231" s="127" t="s">
        <v>171</v>
      </c>
      <c r="C231" s="316" t="s">
        <v>172</v>
      </c>
      <c r="D231" s="317"/>
      <c r="E231" s="317"/>
      <c r="F231" s="317"/>
      <c r="G231" s="211" t="s">
        <v>173</v>
      </c>
      <c r="H231" s="317" t="s">
        <v>174</v>
      </c>
      <c r="I231" s="317"/>
      <c r="J231" s="317"/>
      <c r="K231" s="317"/>
      <c r="L231" s="248"/>
    </row>
    <row r="232" spans="1:12">
      <c r="A232" s="44"/>
      <c r="B232" s="44"/>
      <c r="C232" s="317"/>
      <c r="D232" s="317"/>
      <c r="E232" s="317"/>
      <c r="F232" s="317"/>
      <c r="G232" s="221"/>
      <c r="H232" s="317"/>
      <c r="I232" s="317"/>
      <c r="J232" s="317"/>
      <c r="K232" s="317"/>
      <c r="L232" s="248"/>
    </row>
    <row r="233" spans="1:12">
      <c r="A233" s="40"/>
      <c r="B233" s="40"/>
      <c r="C233" s="40"/>
      <c r="D233" s="40"/>
      <c r="E233" s="40"/>
      <c r="F233" s="40"/>
      <c r="G233" s="40"/>
      <c r="H233" s="40"/>
      <c r="I233" s="40"/>
      <c r="J233" s="40"/>
      <c r="K233" s="40"/>
      <c r="L233" s="40"/>
    </row>
    <row r="234" spans="1:12">
      <c r="A234" s="40"/>
      <c r="B234" s="40"/>
      <c r="C234" s="40"/>
      <c r="D234" s="40"/>
      <c r="E234" s="40"/>
      <c r="F234" s="40"/>
      <c r="G234" s="40"/>
      <c r="H234" s="40"/>
      <c r="I234" s="40"/>
      <c r="J234" s="40"/>
      <c r="K234" s="40"/>
      <c r="L234" s="40"/>
    </row>
    <row r="236" spans="1:12">
      <c r="A236" s="40"/>
      <c r="B236" s="40"/>
      <c r="C236" s="40"/>
      <c r="D236" s="40"/>
      <c r="E236" s="40"/>
      <c r="F236" s="40"/>
      <c r="G236" s="40"/>
      <c r="H236" s="40"/>
      <c r="I236" s="40"/>
      <c r="J236" s="40"/>
      <c r="K236" s="40"/>
      <c r="L236" s="40"/>
    </row>
    <row r="237" spans="1:12" ht="16">
      <c r="A237" s="39"/>
      <c r="B237" s="40"/>
      <c r="C237" s="40"/>
      <c r="D237" s="40"/>
      <c r="E237" s="40"/>
      <c r="F237" s="40"/>
      <c r="G237" s="40"/>
      <c r="H237" s="40"/>
      <c r="I237" s="40"/>
      <c r="J237" s="40"/>
      <c r="K237" s="40"/>
      <c r="L237" s="40"/>
    </row>
    <row r="238" spans="1:12" ht="16">
      <c r="A238" s="33" t="s">
        <v>74</v>
      </c>
      <c r="B238" s="40"/>
      <c r="C238" s="39" t="s">
        <v>119</v>
      </c>
      <c r="D238" s="40"/>
      <c r="E238" s="40"/>
      <c r="F238" s="40"/>
      <c r="G238" s="40"/>
      <c r="H238" s="40"/>
      <c r="I238" s="39"/>
      <c r="J238" s="40"/>
      <c r="K238" s="40"/>
      <c r="L238" s="40"/>
    </row>
    <row r="239" spans="1:12" ht="16">
      <c r="A239" s="31" t="s">
        <v>76</v>
      </c>
      <c r="B239" s="40"/>
      <c r="C239" s="39" t="s">
        <v>120</v>
      </c>
      <c r="D239" s="328"/>
      <c r="E239" s="328"/>
      <c r="F239" s="40"/>
      <c r="G239" s="40"/>
      <c r="H239" s="40"/>
      <c r="I239" s="39"/>
      <c r="J239" s="40"/>
      <c r="K239" s="176">
        <v>202307</v>
      </c>
      <c r="L239" s="40"/>
    </row>
    <row r="240" spans="1:12">
      <c r="A240" s="40"/>
      <c r="B240" s="40"/>
      <c r="C240" s="40"/>
      <c r="D240" s="40"/>
      <c r="E240" s="40"/>
      <c r="F240" s="40"/>
      <c r="G240" s="40"/>
      <c r="H240" s="40"/>
      <c r="I240" s="40"/>
      <c r="J240" s="40"/>
      <c r="K240" s="40"/>
      <c r="L240" s="40"/>
    </row>
    <row r="241" spans="1:12">
      <c r="A241" s="42"/>
      <c r="B241" s="43"/>
      <c r="C241" s="280" t="s">
        <v>175</v>
      </c>
      <c r="D241" s="300"/>
      <c r="E241" s="300"/>
      <c r="F241" s="300"/>
      <c r="G241" s="300"/>
      <c r="H241" s="300"/>
      <c r="I241" s="300"/>
      <c r="J241" s="300"/>
      <c r="K241" s="302"/>
      <c r="L241" s="44"/>
    </row>
    <row r="242" spans="1:12">
      <c r="A242" s="45"/>
      <c r="B242" s="46"/>
      <c r="C242" s="329" t="s">
        <v>176</v>
      </c>
      <c r="D242" s="330"/>
      <c r="E242" s="330"/>
      <c r="F242" s="330"/>
      <c r="G242" s="330"/>
      <c r="H242" s="330"/>
      <c r="I242" s="330"/>
      <c r="J242" s="330"/>
      <c r="K242" s="331"/>
      <c r="L242" s="44"/>
    </row>
    <row r="243" spans="1:12">
      <c r="A243" s="90"/>
      <c r="B243" s="46"/>
      <c r="C243" s="288" t="s">
        <v>177</v>
      </c>
      <c r="D243" s="286"/>
      <c r="E243" s="286"/>
      <c r="F243" s="301" t="s">
        <v>178</v>
      </c>
      <c r="G243" s="266"/>
      <c r="H243" s="281"/>
      <c r="I243" s="300" t="s">
        <v>85</v>
      </c>
      <c r="J243" s="266"/>
      <c r="K243" s="281"/>
      <c r="L243" s="44"/>
    </row>
    <row r="244" spans="1:12">
      <c r="A244" s="48"/>
      <c r="B244" s="46"/>
      <c r="C244" s="319" t="s">
        <v>179</v>
      </c>
      <c r="D244" s="319"/>
      <c r="E244" s="319"/>
      <c r="F244" s="320" t="s">
        <v>180</v>
      </c>
      <c r="G244" s="319"/>
      <c r="H244" s="321"/>
      <c r="I244" s="319" t="s">
        <v>89</v>
      </c>
      <c r="J244" s="319"/>
      <c r="K244" s="321"/>
      <c r="L244" s="44"/>
    </row>
    <row r="245" spans="1:12">
      <c r="A245" s="48" t="s">
        <v>151</v>
      </c>
      <c r="B245" s="49"/>
      <c r="C245" s="173" t="s">
        <v>91</v>
      </c>
      <c r="D245" s="50" t="s">
        <v>92</v>
      </c>
      <c r="E245" s="50" t="s">
        <v>93</v>
      </c>
      <c r="F245" s="177" t="s">
        <v>91</v>
      </c>
      <c r="G245" s="50" t="s">
        <v>92</v>
      </c>
      <c r="H245" s="52" t="s">
        <v>93</v>
      </c>
      <c r="I245" s="173" t="s">
        <v>91</v>
      </c>
      <c r="J245" s="51" t="s">
        <v>92</v>
      </c>
      <c r="K245" s="52" t="s">
        <v>93</v>
      </c>
      <c r="L245" s="44"/>
    </row>
    <row r="246" spans="1:12">
      <c r="A246" s="53" t="s">
        <v>97</v>
      </c>
      <c r="B246" s="49"/>
      <c r="C246" s="138" t="s">
        <v>101</v>
      </c>
      <c r="D246" s="55" t="s">
        <v>99</v>
      </c>
      <c r="E246" s="55" t="s">
        <v>100</v>
      </c>
      <c r="F246" s="178" t="s">
        <v>101</v>
      </c>
      <c r="G246" s="55" t="s">
        <v>99</v>
      </c>
      <c r="H246" s="59" t="s">
        <v>100</v>
      </c>
      <c r="I246" s="165" t="s">
        <v>101</v>
      </c>
      <c r="J246" s="56" t="s">
        <v>99</v>
      </c>
      <c r="K246" s="59" t="s">
        <v>100</v>
      </c>
      <c r="L246" s="44"/>
    </row>
    <row r="247" spans="1:12">
      <c r="A247" s="60"/>
      <c r="B247" s="61"/>
      <c r="C247" s="62"/>
      <c r="D247" s="63"/>
      <c r="E247" s="66"/>
      <c r="F247" s="65"/>
      <c r="G247" s="63"/>
      <c r="H247" s="67"/>
      <c r="I247" s="161"/>
      <c r="J247" s="252"/>
      <c r="K247" s="67"/>
      <c r="L247" s="44"/>
    </row>
    <row r="248" spans="1:12">
      <c r="A248" s="68"/>
      <c r="B248" s="69"/>
      <c r="C248" s="94"/>
      <c r="D248" s="91"/>
      <c r="E248" s="109"/>
      <c r="F248" s="91"/>
      <c r="G248" s="91"/>
      <c r="H248" s="95"/>
      <c r="I248" s="94"/>
      <c r="J248" s="91"/>
      <c r="K248" s="95"/>
      <c r="L248" s="77"/>
    </row>
    <row r="249" spans="1:12">
      <c r="A249" s="29">
        <v>2018</v>
      </c>
      <c r="B249" s="22"/>
      <c r="C249" s="94">
        <v>50</v>
      </c>
      <c r="D249" s="91">
        <v>675</v>
      </c>
      <c r="E249" s="109">
        <v>667</v>
      </c>
      <c r="F249" s="91">
        <v>0</v>
      </c>
      <c r="G249" s="91">
        <v>29</v>
      </c>
      <c r="H249" s="95">
        <v>27</v>
      </c>
      <c r="I249" s="94">
        <v>50</v>
      </c>
      <c r="J249" s="91">
        <v>704</v>
      </c>
      <c r="K249" s="95">
        <v>694</v>
      </c>
      <c r="L249" s="44"/>
    </row>
    <row r="250" spans="1:12">
      <c r="A250" s="29">
        <v>2019</v>
      </c>
      <c r="B250" s="22"/>
      <c r="C250" s="94">
        <v>64</v>
      </c>
      <c r="D250" s="91">
        <v>705</v>
      </c>
      <c r="E250" s="109">
        <v>702</v>
      </c>
      <c r="F250" s="91">
        <v>0</v>
      </c>
      <c r="G250" s="91">
        <v>29</v>
      </c>
      <c r="H250" s="95">
        <v>27</v>
      </c>
      <c r="I250" s="94">
        <v>64</v>
      </c>
      <c r="J250" s="91">
        <v>734</v>
      </c>
      <c r="K250" s="95">
        <v>729</v>
      </c>
      <c r="L250" s="44"/>
    </row>
    <row r="251" spans="1:12">
      <c r="A251" s="29">
        <v>2020</v>
      </c>
      <c r="B251" s="22"/>
      <c r="C251" s="94">
        <v>35</v>
      </c>
      <c r="D251" s="91">
        <v>720</v>
      </c>
      <c r="E251" s="109">
        <v>705</v>
      </c>
      <c r="F251" s="91">
        <v>0</v>
      </c>
      <c r="G251" s="91">
        <v>25</v>
      </c>
      <c r="H251" s="95">
        <v>24</v>
      </c>
      <c r="I251" s="94">
        <v>35</v>
      </c>
      <c r="J251" s="91">
        <v>745</v>
      </c>
      <c r="K251" s="95">
        <v>729</v>
      </c>
      <c r="L251" s="44"/>
    </row>
    <row r="252" spans="1:12">
      <c r="A252" s="29">
        <v>2021</v>
      </c>
      <c r="B252" s="22"/>
      <c r="C252" s="94">
        <v>74</v>
      </c>
      <c r="D252" s="91">
        <v>759</v>
      </c>
      <c r="E252" s="109">
        <v>754</v>
      </c>
      <c r="F252" s="91">
        <v>0</v>
      </c>
      <c r="G252" s="91">
        <v>25</v>
      </c>
      <c r="H252" s="95">
        <v>24</v>
      </c>
      <c r="I252" s="94">
        <v>74</v>
      </c>
      <c r="J252" s="91">
        <v>784</v>
      </c>
      <c r="K252" s="95">
        <v>778</v>
      </c>
      <c r="L252" s="44"/>
    </row>
    <row r="253" spans="1:12">
      <c r="A253" s="29">
        <v>2022</v>
      </c>
      <c r="B253" s="22"/>
      <c r="C253" s="30">
        <v>57</v>
      </c>
      <c r="D253" s="30">
        <v>786</v>
      </c>
      <c r="E253" s="109">
        <v>774</v>
      </c>
      <c r="F253" s="91">
        <v>0</v>
      </c>
      <c r="G253" s="91">
        <v>29</v>
      </c>
      <c r="H253" s="95">
        <v>28</v>
      </c>
      <c r="I253" s="94">
        <v>57</v>
      </c>
      <c r="J253" s="91">
        <v>815</v>
      </c>
      <c r="K253" s="95">
        <v>802</v>
      </c>
      <c r="L253" s="44"/>
    </row>
    <row r="254" spans="1:12">
      <c r="A254" s="23"/>
      <c r="B254" s="22"/>
      <c r="C254" s="96"/>
      <c r="D254" s="86"/>
      <c r="E254" s="110"/>
      <c r="F254" s="21"/>
      <c r="G254" s="86"/>
      <c r="H254" s="87"/>
      <c r="I254" s="96"/>
      <c r="J254" s="86"/>
      <c r="K254" s="87"/>
      <c r="L254" s="44"/>
    </row>
    <row r="255" spans="1:12">
      <c r="A255" s="23"/>
      <c r="B255" s="22"/>
      <c r="C255" s="96"/>
      <c r="D255" s="86"/>
      <c r="E255" s="110"/>
      <c r="F255" s="21"/>
      <c r="G255" s="86"/>
      <c r="H255" s="87"/>
      <c r="I255" s="96"/>
      <c r="J255" s="86"/>
      <c r="K255" s="87"/>
      <c r="L255" s="44"/>
    </row>
    <row r="256" spans="1:12">
      <c r="A256" s="23"/>
      <c r="B256" s="22"/>
      <c r="C256" s="96"/>
      <c r="D256" s="86"/>
      <c r="E256" s="110"/>
      <c r="F256" s="21"/>
      <c r="G256" s="86"/>
      <c r="H256" s="87"/>
      <c r="I256" s="96"/>
      <c r="J256" s="86"/>
      <c r="K256" s="87"/>
      <c r="L256" s="44"/>
    </row>
    <row r="257" spans="1:12">
      <c r="A257" s="23"/>
      <c r="B257" s="22"/>
      <c r="C257" s="96"/>
      <c r="D257" s="86"/>
      <c r="E257" s="110"/>
      <c r="F257" s="21"/>
      <c r="G257" s="86"/>
      <c r="H257" s="87"/>
      <c r="I257" s="96"/>
      <c r="J257" s="86"/>
      <c r="K257" s="87"/>
      <c r="L257" s="44"/>
    </row>
    <row r="258" spans="1:12">
      <c r="A258" s="23">
        <v>2022</v>
      </c>
      <c r="B258" s="22">
        <v>2</v>
      </c>
      <c r="C258" s="96">
        <v>6</v>
      </c>
      <c r="D258" s="86">
        <v>777</v>
      </c>
      <c r="E258" s="110">
        <v>771</v>
      </c>
      <c r="F258" s="21">
        <v>0</v>
      </c>
      <c r="G258" s="86">
        <v>25</v>
      </c>
      <c r="H258" s="87">
        <v>24</v>
      </c>
      <c r="I258" s="96">
        <v>6</v>
      </c>
      <c r="J258" s="86">
        <v>802</v>
      </c>
      <c r="K258" s="87">
        <v>795</v>
      </c>
      <c r="L258" s="40"/>
    </row>
    <row r="259" spans="1:12">
      <c r="A259" s="23"/>
      <c r="B259" s="22">
        <v>3</v>
      </c>
      <c r="C259" s="96">
        <v>0</v>
      </c>
      <c r="D259" s="86">
        <v>777</v>
      </c>
      <c r="E259" s="110">
        <v>766</v>
      </c>
      <c r="F259" s="21">
        <v>0</v>
      </c>
      <c r="G259" s="86">
        <v>25</v>
      </c>
      <c r="H259" s="87">
        <v>24</v>
      </c>
      <c r="I259" s="96">
        <v>0</v>
      </c>
      <c r="J259" s="86">
        <v>802</v>
      </c>
      <c r="K259" s="87">
        <v>790</v>
      </c>
      <c r="L259" s="40"/>
    </row>
    <row r="260" spans="1:12">
      <c r="A260" s="23"/>
      <c r="B260" s="22">
        <v>4</v>
      </c>
      <c r="C260" s="96">
        <v>1</v>
      </c>
      <c r="D260" s="86">
        <v>777</v>
      </c>
      <c r="E260" s="110">
        <v>764</v>
      </c>
      <c r="F260" s="21">
        <v>0</v>
      </c>
      <c r="G260" s="86">
        <v>25</v>
      </c>
      <c r="H260" s="87">
        <v>24</v>
      </c>
      <c r="I260" s="96">
        <v>1</v>
      </c>
      <c r="J260" s="86">
        <v>802</v>
      </c>
      <c r="K260" s="87">
        <v>788</v>
      </c>
      <c r="L260" s="40"/>
    </row>
    <row r="261" spans="1:12">
      <c r="A261" s="23"/>
      <c r="B261" s="22">
        <v>5</v>
      </c>
      <c r="C261" s="96">
        <v>2</v>
      </c>
      <c r="D261" s="86">
        <v>778</v>
      </c>
      <c r="E261" s="110">
        <v>767</v>
      </c>
      <c r="F261" s="21">
        <v>0</v>
      </c>
      <c r="G261" s="86">
        <v>25</v>
      </c>
      <c r="H261" s="87">
        <v>24</v>
      </c>
      <c r="I261" s="96">
        <v>2</v>
      </c>
      <c r="J261" s="86">
        <v>803</v>
      </c>
      <c r="K261" s="87">
        <v>791</v>
      </c>
      <c r="L261" s="40"/>
    </row>
    <row r="262" spans="1:12">
      <c r="A262" s="23"/>
      <c r="B262" s="22">
        <v>6</v>
      </c>
      <c r="C262" s="96">
        <v>2</v>
      </c>
      <c r="D262" s="86">
        <v>779</v>
      </c>
      <c r="E262" s="110">
        <v>768</v>
      </c>
      <c r="F262" s="21">
        <v>0</v>
      </c>
      <c r="G262" s="86">
        <v>25</v>
      </c>
      <c r="H262" s="87">
        <v>24</v>
      </c>
      <c r="I262" s="96">
        <v>2</v>
      </c>
      <c r="J262" s="86">
        <v>804</v>
      </c>
      <c r="K262" s="87">
        <v>792</v>
      </c>
      <c r="L262" s="40"/>
    </row>
    <row r="263" spans="1:12">
      <c r="A263" s="23"/>
      <c r="B263" s="22">
        <v>7</v>
      </c>
      <c r="C263" s="96">
        <v>9</v>
      </c>
      <c r="D263" s="86">
        <v>778</v>
      </c>
      <c r="E263" s="110">
        <v>767</v>
      </c>
      <c r="F263" s="21">
        <v>0</v>
      </c>
      <c r="G263" s="86">
        <v>25</v>
      </c>
      <c r="H263" s="87">
        <v>24</v>
      </c>
      <c r="I263" s="96">
        <v>9</v>
      </c>
      <c r="J263" s="86">
        <v>803</v>
      </c>
      <c r="K263" s="87">
        <v>791</v>
      </c>
      <c r="L263" s="40"/>
    </row>
    <row r="264" spans="1:12">
      <c r="A264" s="23"/>
      <c r="B264" s="22">
        <v>8</v>
      </c>
      <c r="C264" s="96">
        <v>1</v>
      </c>
      <c r="D264" s="86">
        <v>779</v>
      </c>
      <c r="E264" s="110">
        <v>769</v>
      </c>
      <c r="F264" s="21">
        <v>0</v>
      </c>
      <c r="G264" s="86">
        <v>25</v>
      </c>
      <c r="H264" s="87">
        <v>24</v>
      </c>
      <c r="I264" s="96">
        <v>1</v>
      </c>
      <c r="J264" s="86">
        <v>804</v>
      </c>
      <c r="K264" s="87">
        <v>793</v>
      </c>
      <c r="L264" s="40"/>
    </row>
    <row r="265" spans="1:12">
      <c r="A265" s="23"/>
      <c r="B265" s="22">
        <v>9</v>
      </c>
      <c r="C265" s="96">
        <v>3</v>
      </c>
      <c r="D265" s="86">
        <v>780</v>
      </c>
      <c r="E265" s="110">
        <v>770</v>
      </c>
      <c r="F265" s="21">
        <v>0</v>
      </c>
      <c r="G265" s="86">
        <v>25</v>
      </c>
      <c r="H265" s="87">
        <v>23</v>
      </c>
      <c r="I265" s="96">
        <v>3</v>
      </c>
      <c r="J265" s="86">
        <v>805</v>
      </c>
      <c r="K265" s="87">
        <v>793</v>
      </c>
      <c r="L265" s="40"/>
    </row>
    <row r="266" spans="1:12">
      <c r="A266" s="23"/>
      <c r="B266" s="22">
        <v>10</v>
      </c>
      <c r="C266" s="96">
        <v>6</v>
      </c>
      <c r="D266" s="86">
        <v>781</v>
      </c>
      <c r="E266" s="110">
        <v>774</v>
      </c>
      <c r="F266" s="21">
        <v>0</v>
      </c>
      <c r="G266" s="86">
        <v>25</v>
      </c>
      <c r="H266" s="87">
        <v>24</v>
      </c>
      <c r="I266" s="96">
        <v>6</v>
      </c>
      <c r="J266" s="86">
        <v>806</v>
      </c>
      <c r="K266" s="87">
        <v>798</v>
      </c>
      <c r="L266" s="40"/>
    </row>
    <row r="267" spans="1:12">
      <c r="A267" s="23"/>
      <c r="B267" s="22">
        <v>11</v>
      </c>
      <c r="C267" s="96">
        <v>5</v>
      </c>
      <c r="D267" s="86">
        <v>782</v>
      </c>
      <c r="E267" s="110">
        <v>772</v>
      </c>
      <c r="F267" s="21">
        <v>0</v>
      </c>
      <c r="G267" s="86">
        <v>25</v>
      </c>
      <c r="H267" s="87">
        <v>24</v>
      </c>
      <c r="I267" s="96">
        <v>5</v>
      </c>
      <c r="J267" s="86">
        <v>807</v>
      </c>
      <c r="K267" s="87">
        <v>796</v>
      </c>
      <c r="L267" s="40"/>
    </row>
    <row r="268" spans="1:12">
      <c r="A268" s="23"/>
      <c r="B268" s="22">
        <v>12</v>
      </c>
      <c r="C268" s="96">
        <v>8</v>
      </c>
      <c r="D268" s="86">
        <v>786</v>
      </c>
      <c r="E268" s="110">
        <v>774</v>
      </c>
      <c r="F268" s="21">
        <v>0</v>
      </c>
      <c r="G268" s="86">
        <v>29</v>
      </c>
      <c r="H268" s="87">
        <v>28</v>
      </c>
      <c r="I268" s="96">
        <v>8</v>
      </c>
      <c r="J268" s="86">
        <v>815</v>
      </c>
      <c r="K268" s="87">
        <v>802</v>
      </c>
      <c r="L268" s="40"/>
    </row>
    <row r="269" spans="1:12">
      <c r="A269" s="111"/>
      <c r="B269" s="22"/>
      <c r="C269" s="88"/>
      <c r="D269" s="86"/>
      <c r="E269" s="110"/>
      <c r="F269" s="21"/>
      <c r="G269" s="86"/>
      <c r="H269" s="113"/>
      <c r="I269" s="88"/>
      <c r="J269" s="86"/>
      <c r="K269" s="113"/>
      <c r="L269" s="40"/>
    </row>
    <row r="270" spans="1:12">
      <c r="A270" s="23">
        <v>2023</v>
      </c>
      <c r="B270" s="22">
        <v>1</v>
      </c>
      <c r="C270" s="96">
        <v>18</v>
      </c>
      <c r="D270" s="86">
        <v>802</v>
      </c>
      <c r="E270" s="110">
        <v>789</v>
      </c>
      <c r="F270" s="21">
        <v>0</v>
      </c>
      <c r="G270" s="86">
        <v>29</v>
      </c>
      <c r="H270" s="87">
        <v>28</v>
      </c>
      <c r="I270" s="96">
        <v>18</v>
      </c>
      <c r="J270" s="86">
        <v>831</v>
      </c>
      <c r="K270" s="87">
        <v>817</v>
      </c>
      <c r="L270" s="40"/>
    </row>
    <row r="271" spans="1:12">
      <c r="A271" s="23"/>
      <c r="B271" s="22">
        <v>2</v>
      </c>
      <c r="C271" s="96">
        <v>20</v>
      </c>
      <c r="D271" s="86">
        <v>813</v>
      </c>
      <c r="E271" s="110">
        <v>803</v>
      </c>
      <c r="F271" s="21">
        <v>0</v>
      </c>
      <c r="G271" s="86">
        <v>29</v>
      </c>
      <c r="H271" s="87">
        <v>28</v>
      </c>
      <c r="I271" s="96">
        <v>20</v>
      </c>
      <c r="J271" s="86">
        <v>842</v>
      </c>
      <c r="K271" s="87">
        <v>831</v>
      </c>
      <c r="L271" s="40"/>
    </row>
    <row r="272" spans="1:12">
      <c r="A272" s="23"/>
      <c r="B272" s="22">
        <v>3</v>
      </c>
      <c r="C272" s="96">
        <v>3</v>
      </c>
      <c r="D272" s="86">
        <v>813</v>
      </c>
      <c r="E272" s="110">
        <v>801</v>
      </c>
      <c r="F272" s="21">
        <v>0</v>
      </c>
      <c r="G272" s="86">
        <v>29</v>
      </c>
      <c r="H272" s="87">
        <v>28</v>
      </c>
      <c r="I272" s="96">
        <v>3</v>
      </c>
      <c r="J272" s="86">
        <v>842</v>
      </c>
      <c r="K272" s="87">
        <v>829</v>
      </c>
      <c r="L272" s="40"/>
    </row>
    <row r="273" spans="1:15">
      <c r="A273" s="23"/>
      <c r="B273" s="22">
        <v>4</v>
      </c>
      <c r="C273" s="96">
        <v>4</v>
      </c>
      <c r="D273" s="86">
        <v>813</v>
      </c>
      <c r="E273" s="110">
        <v>801</v>
      </c>
      <c r="F273" s="21">
        <v>0</v>
      </c>
      <c r="G273" s="86">
        <v>29</v>
      </c>
      <c r="H273" s="87">
        <v>28</v>
      </c>
      <c r="I273" s="96">
        <v>4</v>
      </c>
      <c r="J273" s="86">
        <v>842</v>
      </c>
      <c r="K273" s="87">
        <v>829</v>
      </c>
      <c r="L273" s="40"/>
    </row>
    <row r="274" spans="1:15">
      <c r="A274" s="23"/>
      <c r="B274" s="22">
        <v>5</v>
      </c>
      <c r="C274" s="96">
        <v>5</v>
      </c>
      <c r="D274" s="86">
        <v>814</v>
      </c>
      <c r="E274" s="110">
        <v>802</v>
      </c>
      <c r="F274" s="21">
        <v>0</v>
      </c>
      <c r="G274" s="86">
        <v>29</v>
      </c>
      <c r="H274" s="87">
        <v>28</v>
      </c>
      <c r="I274" s="96">
        <v>5</v>
      </c>
      <c r="J274" s="86">
        <v>843</v>
      </c>
      <c r="K274" s="87">
        <v>830</v>
      </c>
      <c r="L274" s="40"/>
    </row>
    <row r="275" spans="1:15">
      <c r="A275" s="23"/>
      <c r="B275" s="22">
        <v>6</v>
      </c>
      <c r="C275" s="96">
        <v>8</v>
      </c>
      <c r="D275" s="86">
        <v>815</v>
      </c>
      <c r="E275" s="110">
        <v>804</v>
      </c>
      <c r="F275" s="21">
        <v>0</v>
      </c>
      <c r="G275" s="86">
        <v>29</v>
      </c>
      <c r="H275" s="87">
        <v>28</v>
      </c>
      <c r="I275" s="96">
        <v>8</v>
      </c>
      <c r="J275" s="86">
        <v>844</v>
      </c>
      <c r="K275" s="87">
        <v>832</v>
      </c>
      <c r="L275" s="40"/>
    </row>
    <row r="276" spans="1:15">
      <c r="A276" s="23"/>
      <c r="B276" s="22">
        <v>7</v>
      </c>
      <c r="C276" s="96">
        <v>4</v>
      </c>
      <c r="D276" s="86">
        <v>816</v>
      </c>
      <c r="E276" s="110">
        <v>800</v>
      </c>
      <c r="F276" s="21">
        <v>0</v>
      </c>
      <c r="G276" s="86">
        <v>29</v>
      </c>
      <c r="H276" s="87">
        <v>28</v>
      </c>
      <c r="I276" s="96">
        <v>4</v>
      </c>
      <c r="J276" s="86">
        <v>845</v>
      </c>
      <c r="K276" s="87">
        <v>828</v>
      </c>
      <c r="L276" s="40"/>
    </row>
    <row r="277" spans="1:15">
      <c r="A277" s="98"/>
      <c r="B277" s="99"/>
      <c r="C277" s="100"/>
      <c r="D277" s="101"/>
      <c r="E277" s="101"/>
      <c r="F277" s="101"/>
      <c r="G277" s="101"/>
      <c r="H277" s="103"/>
      <c r="I277" s="99"/>
      <c r="J277" s="101"/>
      <c r="K277" s="103"/>
      <c r="L277" s="40"/>
    </row>
    <row r="278" spans="1:15">
      <c r="A278" s="40"/>
      <c r="B278" s="40"/>
      <c r="C278" s="40"/>
      <c r="D278" s="40"/>
      <c r="E278" s="40"/>
      <c r="F278" s="40"/>
      <c r="G278" s="40"/>
      <c r="H278" s="40"/>
      <c r="I278" s="40"/>
      <c r="J278" s="40"/>
      <c r="K278" s="40"/>
      <c r="L278" s="40"/>
    </row>
    <row r="279" spans="1:15">
      <c r="A279" s="40"/>
      <c r="B279" s="40"/>
      <c r="C279" s="40"/>
      <c r="D279" s="40"/>
      <c r="E279" s="40"/>
      <c r="F279" s="40"/>
      <c r="G279" s="40"/>
      <c r="H279" s="40"/>
      <c r="I279" s="40"/>
      <c r="J279" s="40"/>
      <c r="K279" s="40"/>
      <c r="L279" s="40"/>
    </row>
    <row r="280" spans="1:15">
      <c r="A280" s="40"/>
      <c r="B280" s="40"/>
      <c r="C280" s="40"/>
      <c r="D280" s="40"/>
      <c r="E280" s="40"/>
      <c r="F280" s="40"/>
      <c r="G280" s="40"/>
      <c r="H280" s="40"/>
      <c r="I280" s="40"/>
      <c r="J280" s="40"/>
      <c r="K280" s="40"/>
      <c r="L280" s="40"/>
      <c r="M280" s="40"/>
      <c r="N280" s="40"/>
      <c r="O280" s="40"/>
    </row>
    <row r="281" spans="1:15" ht="16">
      <c r="A281" s="39"/>
      <c r="B281" s="40"/>
      <c r="C281" s="40"/>
      <c r="D281" s="40"/>
      <c r="E281" s="40"/>
      <c r="F281" s="40"/>
      <c r="G281" s="40"/>
      <c r="H281" s="40"/>
      <c r="I281" s="40"/>
      <c r="J281" s="40"/>
      <c r="K281" s="40"/>
      <c r="L281" s="40"/>
      <c r="M281" s="40"/>
      <c r="N281" s="40"/>
      <c r="O281" s="40"/>
    </row>
    <row r="282" spans="1:15" ht="16">
      <c r="A282" s="33" t="s">
        <v>74</v>
      </c>
      <c r="B282" s="40"/>
      <c r="C282" s="39" t="s">
        <v>119</v>
      </c>
      <c r="D282" s="40"/>
      <c r="E282" s="40"/>
      <c r="F282" s="40"/>
      <c r="G282" s="40"/>
      <c r="H282" s="40"/>
      <c r="I282" s="40"/>
      <c r="J282" s="40"/>
      <c r="K282" s="40"/>
      <c r="L282" s="39"/>
      <c r="M282" s="40"/>
      <c r="N282" s="40"/>
      <c r="O282" s="40"/>
    </row>
    <row r="283" spans="1:15" ht="16">
      <c r="A283" s="31" t="s">
        <v>76</v>
      </c>
      <c r="B283" s="40"/>
      <c r="C283" s="39" t="s">
        <v>120</v>
      </c>
      <c r="D283" s="40"/>
      <c r="E283" s="175"/>
      <c r="F283" s="40"/>
      <c r="G283" s="40"/>
      <c r="H283" s="40"/>
      <c r="I283" s="40"/>
      <c r="J283" s="40"/>
      <c r="K283" s="40"/>
      <c r="L283" s="39"/>
      <c r="M283" s="40"/>
      <c r="N283" s="253">
        <v>202307</v>
      </c>
      <c r="O283" s="40"/>
    </row>
    <row r="284" spans="1:15">
      <c r="A284" s="40"/>
      <c r="B284" s="40"/>
      <c r="C284" s="40"/>
      <c r="D284" s="40"/>
      <c r="E284" s="40"/>
      <c r="F284" s="40"/>
      <c r="G284" s="40"/>
      <c r="H284" s="40"/>
      <c r="I284" s="40"/>
      <c r="J284" s="40"/>
      <c r="K284" s="40"/>
      <c r="L284" s="40"/>
      <c r="M284" s="40"/>
      <c r="N284" s="40"/>
      <c r="O284" s="40"/>
    </row>
    <row r="285" spans="1:15">
      <c r="A285" s="42"/>
      <c r="B285" s="43"/>
      <c r="C285" s="280" t="s">
        <v>181</v>
      </c>
      <c r="D285" s="300"/>
      <c r="E285" s="300"/>
      <c r="F285" s="300"/>
      <c r="G285" s="300"/>
      <c r="H285" s="300"/>
      <c r="I285" s="300"/>
      <c r="J285" s="300"/>
      <c r="K285" s="302"/>
      <c r="L285" s="114"/>
      <c r="M285" s="115"/>
      <c r="N285" s="116"/>
      <c r="O285" s="44"/>
    </row>
    <row r="286" spans="1:15">
      <c r="A286" s="45"/>
      <c r="B286" s="46"/>
      <c r="C286" s="322" t="s">
        <v>182</v>
      </c>
      <c r="D286" s="323"/>
      <c r="E286" s="323"/>
      <c r="F286" s="323"/>
      <c r="G286" s="323"/>
      <c r="H286" s="323"/>
      <c r="I286" s="323"/>
      <c r="J286" s="323"/>
      <c r="K286" s="324"/>
      <c r="L286" s="325" t="s">
        <v>183</v>
      </c>
      <c r="M286" s="326"/>
      <c r="N286" s="327"/>
      <c r="O286" s="44"/>
    </row>
    <row r="287" spans="1:15">
      <c r="A287" s="90"/>
      <c r="B287" s="46"/>
      <c r="C287" s="280" t="s">
        <v>184</v>
      </c>
      <c r="D287" s="266"/>
      <c r="E287" s="266"/>
      <c r="F287" s="301" t="s">
        <v>185</v>
      </c>
      <c r="G287" s="266"/>
      <c r="H287" s="281"/>
      <c r="I287" s="280" t="s">
        <v>85</v>
      </c>
      <c r="J287" s="266"/>
      <c r="K287" s="281"/>
      <c r="L287" s="292" t="s">
        <v>186</v>
      </c>
      <c r="M287" s="286"/>
      <c r="N287" s="305"/>
      <c r="O287" s="44"/>
    </row>
    <row r="288" spans="1:15">
      <c r="A288" s="48"/>
      <c r="B288" s="46"/>
      <c r="C288" s="318" t="s">
        <v>187</v>
      </c>
      <c r="D288" s="319"/>
      <c r="E288" s="319"/>
      <c r="F288" s="320" t="s">
        <v>188</v>
      </c>
      <c r="G288" s="319"/>
      <c r="H288" s="321"/>
      <c r="I288" s="318" t="s">
        <v>89</v>
      </c>
      <c r="J288" s="319"/>
      <c r="K288" s="321"/>
      <c r="L288" s="167"/>
      <c r="M288" s="117"/>
      <c r="N288" s="61"/>
      <c r="O288" s="44"/>
    </row>
    <row r="289" spans="1:15">
      <c r="A289" s="48" t="s">
        <v>151</v>
      </c>
      <c r="B289" s="49"/>
      <c r="C289" s="173" t="s">
        <v>91</v>
      </c>
      <c r="D289" s="50" t="s">
        <v>92</v>
      </c>
      <c r="E289" s="50" t="s">
        <v>93</v>
      </c>
      <c r="F289" s="177" t="s">
        <v>91</v>
      </c>
      <c r="G289" s="50" t="s">
        <v>92</v>
      </c>
      <c r="H289" s="52" t="s">
        <v>93</v>
      </c>
      <c r="I289" s="173" t="s">
        <v>91</v>
      </c>
      <c r="J289" s="50" t="s">
        <v>92</v>
      </c>
      <c r="K289" s="52" t="s">
        <v>93</v>
      </c>
      <c r="L289" s="173" t="s">
        <v>91</v>
      </c>
      <c r="M289" s="50" t="s">
        <v>92</v>
      </c>
      <c r="N289" s="52" t="s">
        <v>93</v>
      </c>
      <c r="O289" s="44"/>
    </row>
    <row r="290" spans="1:15">
      <c r="A290" s="53" t="s">
        <v>97</v>
      </c>
      <c r="B290" s="49"/>
      <c r="C290" s="138" t="s">
        <v>101</v>
      </c>
      <c r="D290" s="55" t="s">
        <v>99</v>
      </c>
      <c r="E290" s="55" t="s">
        <v>100</v>
      </c>
      <c r="F290" s="178" t="s">
        <v>101</v>
      </c>
      <c r="G290" s="55" t="s">
        <v>99</v>
      </c>
      <c r="H290" s="59" t="s">
        <v>100</v>
      </c>
      <c r="I290" s="138" t="s">
        <v>101</v>
      </c>
      <c r="J290" s="55" t="s">
        <v>99</v>
      </c>
      <c r="K290" s="59" t="s">
        <v>100</v>
      </c>
      <c r="L290" s="138" t="s">
        <v>101</v>
      </c>
      <c r="M290" s="55" t="s">
        <v>99</v>
      </c>
      <c r="N290" s="59" t="s">
        <v>100</v>
      </c>
      <c r="O290" s="44"/>
    </row>
    <row r="291" spans="1:15">
      <c r="A291" s="60"/>
      <c r="B291" s="61"/>
      <c r="C291" s="62"/>
      <c r="D291" s="63"/>
      <c r="E291" s="66"/>
      <c r="F291" s="65"/>
      <c r="G291" s="63"/>
      <c r="H291" s="67"/>
      <c r="I291" s="62"/>
      <c r="J291" s="63"/>
      <c r="K291" s="67"/>
      <c r="L291" s="62"/>
      <c r="M291" s="63"/>
      <c r="N291" s="67"/>
      <c r="O291" s="44"/>
    </row>
    <row r="292" spans="1:15">
      <c r="A292" s="68"/>
      <c r="B292" s="69"/>
      <c r="C292" s="93"/>
      <c r="D292" s="91"/>
      <c r="E292" s="109"/>
      <c r="F292" s="91"/>
      <c r="G292" s="91"/>
      <c r="H292" s="95"/>
      <c r="I292" s="93"/>
      <c r="J292" s="91"/>
      <c r="K292" s="95"/>
      <c r="L292" s="93"/>
      <c r="M292" s="91"/>
      <c r="N292" s="95"/>
      <c r="O292" s="77"/>
    </row>
    <row r="293" spans="1:15">
      <c r="A293" s="29">
        <v>2018</v>
      </c>
      <c r="B293" s="22"/>
      <c r="C293" s="93">
        <v>109</v>
      </c>
      <c r="D293" s="91">
        <v>1040</v>
      </c>
      <c r="E293" s="109">
        <v>1028</v>
      </c>
      <c r="F293" s="91">
        <v>387</v>
      </c>
      <c r="G293" s="91">
        <v>3310</v>
      </c>
      <c r="H293" s="95">
        <v>3295</v>
      </c>
      <c r="I293" s="93">
        <v>496</v>
      </c>
      <c r="J293" s="91">
        <v>4350</v>
      </c>
      <c r="K293" s="95">
        <v>4323</v>
      </c>
      <c r="L293" s="93">
        <v>402</v>
      </c>
      <c r="M293" s="91">
        <v>3385</v>
      </c>
      <c r="N293" s="95">
        <v>3346</v>
      </c>
      <c r="O293" s="211"/>
    </row>
    <row r="294" spans="1:15">
      <c r="A294" s="29">
        <v>2019</v>
      </c>
      <c r="B294" s="22"/>
      <c r="C294" s="93">
        <v>45</v>
      </c>
      <c r="D294" s="91">
        <v>1044</v>
      </c>
      <c r="E294" s="109">
        <v>1021</v>
      </c>
      <c r="F294" s="91">
        <v>436</v>
      </c>
      <c r="G294" s="91">
        <v>3302</v>
      </c>
      <c r="H294" s="95">
        <v>3294</v>
      </c>
      <c r="I294" s="93">
        <v>481</v>
      </c>
      <c r="J294" s="91">
        <v>4346</v>
      </c>
      <c r="K294" s="95">
        <v>4315</v>
      </c>
      <c r="L294" s="93">
        <v>269</v>
      </c>
      <c r="M294" s="91">
        <v>3489</v>
      </c>
      <c r="N294" s="95">
        <v>3457</v>
      </c>
      <c r="O294" s="44"/>
    </row>
    <row r="295" spans="1:15">
      <c r="A295" s="29">
        <v>2020</v>
      </c>
      <c r="B295" s="22"/>
      <c r="C295" s="93">
        <v>34</v>
      </c>
      <c r="D295" s="91">
        <v>1009</v>
      </c>
      <c r="E295" s="109">
        <v>986</v>
      </c>
      <c r="F295" s="91">
        <v>125</v>
      </c>
      <c r="G295" s="91">
        <v>3341</v>
      </c>
      <c r="H295" s="95">
        <v>3281</v>
      </c>
      <c r="I295" s="93">
        <v>159</v>
      </c>
      <c r="J295" s="91">
        <v>4350</v>
      </c>
      <c r="K295" s="95">
        <v>4267</v>
      </c>
      <c r="L295" s="93">
        <v>144</v>
      </c>
      <c r="M295" s="91">
        <v>3569</v>
      </c>
      <c r="N295" s="95">
        <v>3501</v>
      </c>
      <c r="O295" s="44"/>
    </row>
    <row r="296" spans="1:15">
      <c r="A296" s="29">
        <v>2021</v>
      </c>
      <c r="B296" s="22"/>
      <c r="C296" s="93">
        <v>14</v>
      </c>
      <c r="D296" s="91">
        <v>1015</v>
      </c>
      <c r="E296" s="109">
        <v>977</v>
      </c>
      <c r="F296" s="91">
        <v>145</v>
      </c>
      <c r="G296" s="91">
        <v>3334</v>
      </c>
      <c r="H296" s="95">
        <v>3251</v>
      </c>
      <c r="I296" s="93">
        <v>159</v>
      </c>
      <c r="J296" s="91">
        <v>4349</v>
      </c>
      <c r="K296" s="95">
        <v>4228</v>
      </c>
      <c r="L296" s="93">
        <v>109</v>
      </c>
      <c r="M296" s="91">
        <v>3504</v>
      </c>
      <c r="N296" s="95">
        <v>3471</v>
      </c>
      <c r="O296" s="44"/>
    </row>
    <row r="297" spans="1:15">
      <c r="A297" s="29">
        <v>2022</v>
      </c>
      <c r="B297" s="22"/>
      <c r="C297" s="93">
        <v>12</v>
      </c>
      <c r="D297" s="91">
        <v>997</v>
      </c>
      <c r="E297" s="109">
        <v>871</v>
      </c>
      <c r="F297" s="91">
        <v>117</v>
      </c>
      <c r="G297" s="91">
        <v>3352</v>
      </c>
      <c r="H297" s="95">
        <v>3272</v>
      </c>
      <c r="I297" s="93">
        <v>129</v>
      </c>
      <c r="J297" s="91">
        <v>4349</v>
      </c>
      <c r="K297" s="95">
        <v>4143</v>
      </c>
      <c r="L297" s="93">
        <v>70</v>
      </c>
      <c r="M297" s="91">
        <v>3473</v>
      </c>
      <c r="N297" s="95">
        <v>3426</v>
      </c>
      <c r="O297" s="44"/>
    </row>
    <row r="298" spans="1:15">
      <c r="A298" s="23"/>
      <c r="B298" s="22"/>
      <c r="C298" s="85"/>
      <c r="D298" s="86"/>
      <c r="E298" s="110"/>
      <c r="F298" s="86"/>
      <c r="G298" s="86"/>
      <c r="H298" s="87"/>
      <c r="I298" s="85"/>
      <c r="J298" s="86"/>
      <c r="K298" s="87"/>
      <c r="L298" s="85"/>
      <c r="M298" s="86"/>
      <c r="N298" s="87"/>
      <c r="O298" s="44"/>
    </row>
    <row r="299" spans="1:15">
      <c r="A299" s="23"/>
      <c r="B299" s="22"/>
      <c r="C299" s="85"/>
      <c r="D299" s="86"/>
      <c r="E299" s="110"/>
      <c r="F299" s="86"/>
      <c r="G299" s="86"/>
      <c r="H299" s="87"/>
      <c r="I299" s="85"/>
      <c r="J299" s="86"/>
      <c r="K299" s="87"/>
      <c r="L299" s="85"/>
      <c r="M299" s="86"/>
      <c r="N299" s="87"/>
      <c r="O299" s="44"/>
    </row>
    <row r="300" spans="1:15">
      <c r="A300" s="23"/>
      <c r="B300" s="22"/>
      <c r="C300" s="85"/>
      <c r="D300" s="86"/>
      <c r="E300" s="110"/>
      <c r="F300" s="86"/>
      <c r="G300" s="86"/>
      <c r="H300" s="87"/>
      <c r="I300" s="85"/>
      <c r="J300" s="86"/>
      <c r="K300" s="87"/>
      <c r="L300" s="85"/>
      <c r="M300" s="86"/>
      <c r="N300" s="87"/>
      <c r="O300" s="44"/>
    </row>
    <row r="301" spans="1:15">
      <c r="A301" s="23"/>
      <c r="B301" s="22"/>
      <c r="C301" s="85"/>
      <c r="D301" s="86"/>
      <c r="E301" s="110"/>
      <c r="F301" s="86"/>
      <c r="G301" s="86"/>
      <c r="H301" s="87"/>
      <c r="I301" s="85"/>
      <c r="J301" s="86"/>
      <c r="K301" s="87"/>
      <c r="L301" s="85"/>
      <c r="M301" s="86"/>
      <c r="N301" s="87"/>
      <c r="O301" s="44"/>
    </row>
    <row r="302" spans="1:15">
      <c r="A302" s="23">
        <v>2022</v>
      </c>
      <c r="B302" s="22">
        <v>2</v>
      </c>
      <c r="C302" s="85">
        <v>0</v>
      </c>
      <c r="D302" s="86">
        <v>1017</v>
      </c>
      <c r="E302" s="86">
        <v>956</v>
      </c>
      <c r="F302" s="86">
        <v>4</v>
      </c>
      <c r="G302" s="86">
        <v>3332</v>
      </c>
      <c r="H302" s="87">
        <v>3248</v>
      </c>
      <c r="I302" s="85">
        <v>4</v>
      </c>
      <c r="J302" s="86">
        <v>4349</v>
      </c>
      <c r="K302" s="87">
        <v>4204</v>
      </c>
      <c r="L302" s="85">
        <v>3</v>
      </c>
      <c r="M302" s="86">
        <v>3510</v>
      </c>
      <c r="N302" s="87">
        <v>3468</v>
      </c>
      <c r="O302" s="40"/>
    </row>
    <row r="303" spans="1:15">
      <c r="A303" s="23"/>
      <c r="B303" s="22">
        <v>3</v>
      </c>
      <c r="C303" s="85">
        <v>0</v>
      </c>
      <c r="D303" s="86">
        <v>1016</v>
      </c>
      <c r="E303" s="86">
        <v>955</v>
      </c>
      <c r="F303" s="86">
        <v>10</v>
      </c>
      <c r="G303" s="86">
        <v>3333</v>
      </c>
      <c r="H303" s="87">
        <v>3247</v>
      </c>
      <c r="I303" s="85">
        <v>10</v>
      </c>
      <c r="J303" s="86">
        <v>4349</v>
      </c>
      <c r="K303" s="87">
        <v>4202</v>
      </c>
      <c r="L303" s="85">
        <v>2</v>
      </c>
      <c r="M303" s="86">
        <v>3509</v>
      </c>
      <c r="N303" s="87">
        <v>3461</v>
      </c>
      <c r="O303" s="40"/>
    </row>
    <row r="304" spans="1:15">
      <c r="A304" s="23"/>
      <c r="B304" s="22">
        <v>4</v>
      </c>
      <c r="C304" s="85">
        <v>1</v>
      </c>
      <c r="D304" s="86">
        <v>1025</v>
      </c>
      <c r="E304" s="86">
        <v>946</v>
      </c>
      <c r="F304" s="86">
        <v>4</v>
      </c>
      <c r="G304" s="86">
        <v>3324</v>
      </c>
      <c r="H304" s="87">
        <v>3238</v>
      </c>
      <c r="I304" s="85">
        <v>5</v>
      </c>
      <c r="J304" s="86">
        <v>4349</v>
      </c>
      <c r="K304" s="87">
        <v>4184</v>
      </c>
      <c r="L304" s="85">
        <v>5</v>
      </c>
      <c r="M304" s="86">
        <v>3514</v>
      </c>
      <c r="N304" s="87">
        <v>3474</v>
      </c>
      <c r="O304" s="40"/>
    </row>
    <row r="305" spans="1:15">
      <c r="A305" s="23"/>
      <c r="B305" s="22">
        <v>5</v>
      </c>
      <c r="C305" s="85">
        <v>1</v>
      </c>
      <c r="D305" s="86">
        <v>1024</v>
      </c>
      <c r="E305" s="86">
        <v>934</v>
      </c>
      <c r="F305" s="86">
        <v>4</v>
      </c>
      <c r="G305" s="86">
        <v>3323</v>
      </c>
      <c r="H305" s="87">
        <v>3229</v>
      </c>
      <c r="I305" s="85">
        <v>5</v>
      </c>
      <c r="J305" s="86">
        <v>4347</v>
      </c>
      <c r="K305" s="87">
        <v>4163</v>
      </c>
      <c r="L305" s="85">
        <v>7</v>
      </c>
      <c r="M305" s="86">
        <v>3515</v>
      </c>
      <c r="N305" s="87">
        <v>3479</v>
      </c>
      <c r="O305" s="40"/>
    </row>
    <row r="306" spans="1:15">
      <c r="A306" s="23"/>
      <c r="B306" s="22">
        <v>6</v>
      </c>
      <c r="C306" s="85">
        <v>3</v>
      </c>
      <c r="D306" s="86">
        <v>1017</v>
      </c>
      <c r="E306" s="86">
        <v>921</v>
      </c>
      <c r="F306" s="86">
        <v>13</v>
      </c>
      <c r="G306" s="86">
        <v>3331</v>
      </c>
      <c r="H306" s="87">
        <v>3230</v>
      </c>
      <c r="I306" s="85">
        <v>16</v>
      </c>
      <c r="J306" s="86">
        <v>4348</v>
      </c>
      <c r="K306" s="87">
        <v>4151</v>
      </c>
      <c r="L306" s="85">
        <v>7</v>
      </c>
      <c r="M306" s="86">
        <v>3510</v>
      </c>
      <c r="N306" s="87">
        <v>3475</v>
      </c>
      <c r="O306" s="40"/>
    </row>
    <row r="307" spans="1:15">
      <c r="A307" s="23"/>
      <c r="B307" s="22">
        <v>7</v>
      </c>
      <c r="C307" s="85">
        <v>3</v>
      </c>
      <c r="D307" s="86">
        <v>1018</v>
      </c>
      <c r="E307" s="86">
        <v>914</v>
      </c>
      <c r="F307" s="86">
        <v>7</v>
      </c>
      <c r="G307" s="86">
        <v>3331</v>
      </c>
      <c r="H307" s="87">
        <v>3231</v>
      </c>
      <c r="I307" s="85">
        <v>10</v>
      </c>
      <c r="J307" s="86">
        <v>4349</v>
      </c>
      <c r="K307" s="87">
        <v>4145</v>
      </c>
      <c r="L307" s="85">
        <v>2</v>
      </c>
      <c r="M307" s="86">
        <v>3498</v>
      </c>
      <c r="N307" s="87">
        <v>3465</v>
      </c>
      <c r="O307" s="40"/>
    </row>
    <row r="308" spans="1:15">
      <c r="A308" s="23"/>
      <c r="B308" s="22">
        <v>8</v>
      </c>
      <c r="C308" s="85">
        <v>0</v>
      </c>
      <c r="D308" s="86">
        <v>1019</v>
      </c>
      <c r="E308" s="86">
        <v>909</v>
      </c>
      <c r="F308" s="86">
        <v>16</v>
      </c>
      <c r="G308" s="86">
        <v>3328</v>
      </c>
      <c r="H308" s="87">
        <v>3235</v>
      </c>
      <c r="I308" s="85">
        <v>16</v>
      </c>
      <c r="J308" s="86">
        <v>4347</v>
      </c>
      <c r="K308" s="87">
        <v>4144</v>
      </c>
      <c r="L308" s="85">
        <v>16</v>
      </c>
      <c r="M308" s="86">
        <v>3480</v>
      </c>
      <c r="N308" s="87">
        <v>3434</v>
      </c>
      <c r="O308" s="40"/>
    </row>
    <row r="309" spans="1:15">
      <c r="A309" s="23"/>
      <c r="B309" s="22">
        <v>9</v>
      </c>
      <c r="C309" s="85">
        <v>0</v>
      </c>
      <c r="D309" s="86">
        <v>1006</v>
      </c>
      <c r="E309" s="86">
        <v>901</v>
      </c>
      <c r="F309" s="86">
        <v>21</v>
      </c>
      <c r="G309" s="86">
        <v>3334</v>
      </c>
      <c r="H309" s="87">
        <v>3242</v>
      </c>
      <c r="I309" s="85">
        <v>21</v>
      </c>
      <c r="J309" s="86">
        <v>4340</v>
      </c>
      <c r="K309" s="87">
        <v>4143</v>
      </c>
      <c r="L309" s="85">
        <v>5</v>
      </c>
      <c r="M309" s="86">
        <v>3477</v>
      </c>
      <c r="N309" s="87">
        <v>3437</v>
      </c>
      <c r="O309" s="40"/>
    </row>
    <row r="310" spans="1:15">
      <c r="A310" s="23"/>
      <c r="B310" s="22">
        <v>10</v>
      </c>
      <c r="C310" s="85">
        <v>0</v>
      </c>
      <c r="D310" s="86">
        <v>999</v>
      </c>
      <c r="E310" s="86">
        <v>886</v>
      </c>
      <c r="F310" s="86">
        <v>19</v>
      </c>
      <c r="G310" s="86">
        <v>3347</v>
      </c>
      <c r="H310" s="87">
        <v>3255</v>
      </c>
      <c r="I310" s="85">
        <v>19</v>
      </c>
      <c r="J310" s="86">
        <v>4346</v>
      </c>
      <c r="K310" s="87">
        <v>4141</v>
      </c>
      <c r="L310" s="85">
        <v>3</v>
      </c>
      <c r="M310" s="86">
        <v>3476</v>
      </c>
      <c r="N310" s="87">
        <v>3435</v>
      </c>
      <c r="O310" s="40"/>
    </row>
    <row r="311" spans="1:15">
      <c r="A311" s="23"/>
      <c r="B311" s="22">
        <v>11</v>
      </c>
      <c r="C311" s="85">
        <v>2</v>
      </c>
      <c r="D311" s="86">
        <v>999</v>
      </c>
      <c r="E311" s="86">
        <v>877</v>
      </c>
      <c r="F311" s="86">
        <v>11</v>
      </c>
      <c r="G311" s="86">
        <v>3350</v>
      </c>
      <c r="H311" s="87">
        <v>3255</v>
      </c>
      <c r="I311" s="85">
        <v>13</v>
      </c>
      <c r="J311" s="86">
        <v>4349</v>
      </c>
      <c r="K311" s="87">
        <v>4132</v>
      </c>
      <c r="L311" s="85">
        <v>8</v>
      </c>
      <c r="M311" s="86">
        <v>3475</v>
      </c>
      <c r="N311" s="87">
        <v>3437</v>
      </c>
      <c r="O311" s="40"/>
    </row>
    <row r="312" spans="1:15">
      <c r="A312" s="23"/>
      <c r="B312" s="22">
        <v>12</v>
      </c>
      <c r="C312" s="85">
        <v>1</v>
      </c>
      <c r="D312" s="86">
        <v>997</v>
      </c>
      <c r="E312" s="86">
        <v>871</v>
      </c>
      <c r="F312" s="86">
        <v>5</v>
      </c>
      <c r="G312" s="86">
        <v>3352</v>
      </c>
      <c r="H312" s="87">
        <v>3272</v>
      </c>
      <c r="I312" s="85">
        <v>6</v>
      </c>
      <c r="J312" s="86">
        <v>4349</v>
      </c>
      <c r="K312" s="87">
        <v>4143</v>
      </c>
      <c r="L312" s="85">
        <v>5</v>
      </c>
      <c r="M312" s="86">
        <v>3473</v>
      </c>
      <c r="N312" s="87">
        <v>3426</v>
      </c>
      <c r="O312" s="40"/>
    </row>
    <row r="313" spans="1:15">
      <c r="A313" s="23"/>
      <c r="B313" s="22"/>
      <c r="C313" s="85"/>
      <c r="D313" s="86"/>
      <c r="E313" s="110"/>
      <c r="F313" s="86"/>
      <c r="G313" s="86"/>
      <c r="H313" s="87"/>
      <c r="I313" s="85"/>
      <c r="J313" s="86"/>
      <c r="K313" s="87"/>
      <c r="L313" s="85"/>
      <c r="M313" s="86"/>
      <c r="N313" s="87"/>
      <c r="O313" s="40"/>
    </row>
    <row r="314" spans="1:15">
      <c r="A314" s="23">
        <v>2023</v>
      </c>
      <c r="B314" s="22">
        <v>1</v>
      </c>
      <c r="C314" s="85">
        <v>0</v>
      </c>
      <c r="D314" s="86">
        <v>990</v>
      </c>
      <c r="E314" s="86">
        <v>863</v>
      </c>
      <c r="F314" s="86">
        <v>6</v>
      </c>
      <c r="G314" s="86">
        <v>3359</v>
      </c>
      <c r="H314" s="87">
        <v>3281</v>
      </c>
      <c r="I314" s="85">
        <v>6</v>
      </c>
      <c r="J314" s="86">
        <v>4349</v>
      </c>
      <c r="K314" s="87">
        <v>4144</v>
      </c>
      <c r="L314" s="85">
        <v>5</v>
      </c>
      <c r="M314" s="86">
        <v>3466</v>
      </c>
      <c r="N314" s="87">
        <v>3416</v>
      </c>
      <c r="O314" s="40"/>
    </row>
    <row r="315" spans="1:15">
      <c r="A315" s="23"/>
      <c r="B315" s="22">
        <v>2</v>
      </c>
      <c r="C315" s="85">
        <v>0</v>
      </c>
      <c r="D315" s="86">
        <v>981</v>
      </c>
      <c r="E315" s="86">
        <v>855</v>
      </c>
      <c r="F315" s="86">
        <v>9</v>
      </c>
      <c r="G315" s="86">
        <v>3368</v>
      </c>
      <c r="H315" s="87">
        <v>3293</v>
      </c>
      <c r="I315" s="85">
        <v>9</v>
      </c>
      <c r="J315" s="86">
        <v>4349</v>
      </c>
      <c r="K315" s="87">
        <v>4148</v>
      </c>
      <c r="L315" s="85">
        <v>8</v>
      </c>
      <c r="M315" s="86">
        <v>3465</v>
      </c>
      <c r="N315" s="87">
        <v>3418</v>
      </c>
      <c r="O315" s="40"/>
    </row>
    <row r="316" spans="1:15">
      <c r="A316" s="23"/>
      <c r="B316" s="22">
        <v>3</v>
      </c>
      <c r="C316" s="85">
        <v>1</v>
      </c>
      <c r="D316" s="86">
        <v>974</v>
      </c>
      <c r="E316" s="86">
        <v>847</v>
      </c>
      <c r="F316" s="86">
        <v>8</v>
      </c>
      <c r="G316" s="86">
        <v>3375</v>
      </c>
      <c r="H316" s="87">
        <v>3299</v>
      </c>
      <c r="I316" s="85">
        <v>9</v>
      </c>
      <c r="J316" s="86">
        <v>4349</v>
      </c>
      <c r="K316" s="87">
        <v>4146</v>
      </c>
      <c r="L316" s="85">
        <v>6</v>
      </c>
      <c r="M316" s="86">
        <v>3459</v>
      </c>
      <c r="N316" s="87">
        <v>3418</v>
      </c>
      <c r="O316" s="40"/>
    </row>
    <row r="317" spans="1:15">
      <c r="A317" s="23"/>
      <c r="B317" s="22">
        <v>4</v>
      </c>
      <c r="C317" s="85">
        <v>0</v>
      </c>
      <c r="D317" s="86">
        <v>973</v>
      </c>
      <c r="E317" s="86">
        <v>842</v>
      </c>
      <c r="F317" s="86">
        <v>5</v>
      </c>
      <c r="G317" s="86">
        <v>3376</v>
      </c>
      <c r="H317" s="87">
        <v>3299</v>
      </c>
      <c r="I317" s="85">
        <v>5</v>
      </c>
      <c r="J317" s="86">
        <v>4349</v>
      </c>
      <c r="K317" s="87">
        <v>4141</v>
      </c>
      <c r="L317" s="85">
        <v>1</v>
      </c>
      <c r="M317" s="86">
        <v>3456</v>
      </c>
      <c r="N317" s="87">
        <v>3408</v>
      </c>
      <c r="O317" s="40"/>
    </row>
    <row r="318" spans="1:15">
      <c r="A318" s="23"/>
      <c r="B318" s="22">
        <v>5</v>
      </c>
      <c r="C318" s="85">
        <v>0</v>
      </c>
      <c r="D318" s="86">
        <v>970</v>
      </c>
      <c r="E318" s="86">
        <v>834</v>
      </c>
      <c r="F318" s="86">
        <v>10</v>
      </c>
      <c r="G318" s="86">
        <v>3379</v>
      </c>
      <c r="H318" s="87">
        <v>3295</v>
      </c>
      <c r="I318" s="85">
        <v>10</v>
      </c>
      <c r="J318" s="86">
        <v>4349</v>
      </c>
      <c r="K318" s="87">
        <v>4129</v>
      </c>
      <c r="L318" s="85">
        <v>7</v>
      </c>
      <c r="M318" s="86">
        <v>3457</v>
      </c>
      <c r="N318" s="87">
        <v>3415</v>
      </c>
      <c r="O318" s="40"/>
    </row>
    <row r="319" spans="1:15">
      <c r="A319" s="23"/>
      <c r="B319" s="22">
        <v>6</v>
      </c>
      <c r="C319" s="85">
        <v>5</v>
      </c>
      <c r="D319" s="86">
        <v>965</v>
      </c>
      <c r="E319" s="86">
        <v>823</v>
      </c>
      <c r="F319" s="86">
        <v>8</v>
      </c>
      <c r="G319" s="86">
        <v>3383</v>
      </c>
      <c r="H319" s="87">
        <v>3299</v>
      </c>
      <c r="I319" s="85">
        <v>13</v>
      </c>
      <c r="J319" s="86">
        <v>4348</v>
      </c>
      <c r="K319" s="87">
        <v>4122</v>
      </c>
      <c r="L319" s="85">
        <v>10</v>
      </c>
      <c r="M319" s="86">
        <v>3458</v>
      </c>
      <c r="N319" s="87">
        <v>3415</v>
      </c>
      <c r="O319" s="40"/>
    </row>
    <row r="320" spans="1:15">
      <c r="A320" s="23"/>
      <c r="B320" s="22">
        <v>7</v>
      </c>
      <c r="C320" s="85">
        <v>1</v>
      </c>
      <c r="D320" s="86">
        <v>964</v>
      </c>
      <c r="E320" s="86">
        <v>818</v>
      </c>
      <c r="F320" s="86">
        <v>6</v>
      </c>
      <c r="G320" s="86">
        <v>3385</v>
      </c>
      <c r="H320" s="87">
        <v>3290</v>
      </c>
      <c r="I320" s="85">
        <v>7</v>
      </c>
      <c r="J320" s="86">
        <v>4349</v>
      </c>
      <c r="K320" s="87">
        <v>4108</v>
      </c>
      <c r="L320" s="85">
        <v>12</v>
      </c>
      <c r="M320" s="86">
        <v>3460</v>
      </c>
      <c r="N320" s="87">
        <v>3405</v>
      </c>
      <c r="O320" s="40"/>
    </row>
    <row r="321" spans="1:15">
      <c r="A321" s="18"/>
      <c r="B321" s="17"/>
      <c r="C321" s="118"/>
      <c r="D321" s="89"/>
      <c r="E321" s="119"/>
      <c r="F321" s="89"/>
      <c r="G321" s="89"/>
      <c r="H321" s="120"/>
      <c r="I321" s="118"/>
      <c r="J321" s="89"/>
      <c r="K321" s="120"/>
      <c r="L321" s="118"/>
      <c r="M321" s="89"/>
      <c r="N321" s="120"/>
      <c r="O321" s="40"/>
    </row>
    <row r="322" spans="1:15">
      <c r="A322" s="40"/>
      <c r="B322" s="40"/>
      <c r="C322" s="40"/>
      <c r="D322" s="40"/>
      <c r="E322" s="40"/>
      <c r="F322" s="40"/>
      <c r="G322" s="40"/>
      <c r="H322" s="40"/>
      <c r="I322" s="40"/>
      <c r="J322" s="40"/>
      <c r="K322" s="40"/>
      <c r="L322" s="40"/>
      <c r="M322" s="40"/>
      <c r="N322" s="40"/>
      <c r="O322" s="40"/>
    </row>
    <row r="323" spans="1:15">
      <c r="A323" s="40"/>
      <c r="B323" s="40"/>
      <c r="C323" s="40"/>
      <c r="D323" s="40"/>
      <c r="E323" s="40"/>
      <c r="F323" s="40"/>
      <c r="G323" s="40"/>
      <c r="H323" s="40"/>
      <c r="I323" s="40"/>
      <c r="J323" s="40"/>
      <c r="K323" s="40"/>
      <c r="L323" s="40"/>
      <c r="M323" s="40"/>
      <c r="N323" s="40"/>
      <c r="O323" s="40"/>
    </row>
    <row r="324" spans="1:15">
      <c r="A324" s="40"/>
      <c r="B324" s="40"/>
      <c r="C324" s="40"/>
      <c r="D324" s="40"/>
      <c r="E324" s="40"/>
      <c r="F324" s="40"/>
      <c r="G324" s="40"/>
      <c r="H324" s="40"/>
      <c r="I324" s="40"/>
      <c r="J324" s="40"/>
      <c r="K324" s="40"/>
      <c r="L324" s="40"/>
      <c r="M324" s="40"/>
      <c r="N324" s="40"/>
      <c r="O324" s="40"/>
    </row>
    <row r="325" spans="1:15">
      <c r="A325" s="40"/>
      <c r="B325" s="40"/>
      <c r="C325" s="40"/>
      <c r="D325" s="40"/>
      <c r="E325" s="40"/>
      <c r="F325" s="40"/>
      <c r="G325" s="40"/>
      <c r="H325" s="40"/>
      <c r="I325" s="40"/>
      <c r="J325" s="40"/>
      <c r="K325" s="40"/>
      <c r="L325" s="40"/>
      <c r="M325" s="40"/>
      <c r="N325" s="40"/>
      <c r="O325" s="40"/>
    </row>
    <row r="326" spans="1:15">
      <c r="A326" s="40"/>
      <c r="B326" s="40"/>
      <c r="C326" s="40"/>
      <c r="D326" s="40"/>
      <c r="E326" s="40"/>
      <c r="F326" s="40"/>
      <c r="G326" s="40"/>
      <c r="H326" s="40"/>
      <c r="I326" s="40"/>
      <c r="J326" s="40"/>
      <c r="K326" s="40"/>
      <c r="L326" s="40"/>
      <c r="M326" s="40"/>
      <c r="N326" s="40"/>
      <c r="O326" s="40"/>
    </row>
    <row r="327" spans="1:15">
      <c r="A327" s="40"/>
      <c r="B327" s="40"/>
      <c r="C327" s="40"/>
      <c r="D327" s="40"/>
      <c r="E327" s="40"/>
      <c r="F327" s="40"/>
      <c r="G327" s="40"/>
      <c r="H327" s="40"/>
      <c r="I327" s="40"/>
      <c r="J327" s="40"/>
      <c r="K327" s="40"/>
      <c r="L327" s="40"/>
      <c r="M327" s="40"/>
      <c r="N327" s="40"/>
      <c r="O327" s="40"/>
    </row>
  </sheetData>
  <mergeCells count="62">
    <mergeCell ref="C8:H8"/>
    <mergeCell ref="C53:N53"/>
    <mergeCell ref="C54:H54"/>
    <mergeCell ref="I54:N54"/>
    <mergeCell ref="C55:E55"/>
    <mergeCell ref="F55:H55"/>
    <mergeCell ref="I55:K55"/>
    <mergeCell ref="L55:N55"/>
    <mergeCell ref="C9:H9"/>
    <mergeCell ref="C10:H10"/>
    <mergeCell ref="C11:E11"/>
    <mergeCell ref="F11:H11"/>
    <mergeCell ref="C52:N52"/>
    <mergeCell ref="C90:G91"/>
    <mergeCell ref="J90:N91"/>
    <mergeCell ref="C100:N100"/>
    <mergeCell ref="C101:N101"/>
    <mergeCell ref="C102:H102"/>
    <mergeCell ref="I102:N102"/>
    <mergeCell ref="C103:E103"/>
    <mergeCell ref="F103:H103"/>
    <mergeCell ref="I103:K103"/>
    <mergeCell ref="L103:N103"/>
    <mergeCell ref="C138:G139"/>
    <mergeCell ref="J138:N139"/>
    <mergeCell ref="C148:N148"/>
    <mergeCell ref="C149:H149"/>
    <mergeCell ref="I149:N149"/>
    <mergeCell ref="C150:H150"/>
    <mergeCell ref="I150:N150"/>
    <mergeCell ref="C151:E151"/>
    <mergeCell ref="F151:H151"/>
    <mergeCell ref="I151:K151"/>
    <mergeCell ref="L151:N151"/>
    <mergeCell ref="C193:K193"/>
    <mergeCell ref="C194:H194"/>
    <mergeCell ref="C195:H195"/>
    <mergeCell ref="I195:K195"/>
    <mergeCell ref="C196:E196"/>
    <mergeCell ref="F196:H196"/>
    <mergeCell ref="I196:K196"/>
    <mergeCell ref="C231:F232"/>
    <mergeCell ref="H231:K232"/>
    <mergeCell ref="D239:E239"/>
    <mergeCell ref="C241:K241"/>
    <mergeCell ref="C242:K242"/>
    <mergeCell ref="C243:E243"/>
    <mergeCell ref="F243:H243"/>
    <mergeCell ref="I243:K243"/>
    <mergeCell ref="C244:E244"/>
    <mergeCell ref="F244:H244"/>
    <mergeCell ref="I244:K244"/>
    <mergeCell ref="L286:N286"/>
    <mergeCell ref="C287:E287"/>
    <mergeCell ref="F287:H287"/>
    <mergeCell ref="I287:K287"/>
    <mergeCell ref="L287:N287"/>
    <mergeCell ref="C288:E288"/>
    <mergeCell ref="F288:H288"/>
    <mergeCell ref="I288:K288"/>
    <mergeCell ref="C285:K285"/>
    <mergeCell ref="C286:K286"/>
  </mergeCells>
  <phoneticPr fontId="5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C112-1602-447F-8595-60696CFEA8B8}">
  <dimension ref="A4:O53"/>
  <sheetViews>
    <sheetView zoomScale="138" workbookViewId="0">
      <selection activeCell="F63" sqref="F63"/>
    </sheetView>
  </sheetViews>
  <sheetFormatPr baseColWidth="10" defaultColWidth="12" defaultRowHeight="14"/>
  <sheetData>
    <row r="4" spans="1:15">
      <c r="A4" s="40"/>
      <c r="B4" s="40"/>
      <c r="C4" s="40"/>
      <c r="D4" s="40"/>
      <c r="E4" s="40"/>
      <c r="F4" s="40"/>
      <c r="G4" s="40"/>
      <c r="H4" s="40"/>
      <c r="I4" s="40"/>
      <c r="J4" s="40"/>
      <c r="K4" s="40"/>
      <c r="L4" s="40"/>
      <c r="M4" s="40"/>
      <c r="N4" s="40"/>
      <c r="O4" s="40"/>
    </row>
    <row r="5" spans="1:15" ht="16">
      <c r="A5" s="39"/>
      <c r="B5" s="40"/>
      <c r="C5" s="40"/>
      <c r="D5" s="40"/>
      <c r="E5" s="40"/>
      <c r="F5" s="40"/>
      <c r="G5" s="40"/>
      <c r="H5" s="40"/>
      <c r="I5" s="40"/>
      <c r="J5" s="40"/>
      <c r="K5" s="40"/>
      <c r="L5" s="40"/>
      <c r="M5" s="40"/>
      <c r="N5" s="40"/>
      <c r="O5" s="40"/>
    </row>
    <row r="6" spans="1:15" ht="16">
      <c r="A6" s="33" t="s">
        <v>74</v>
      </c>
      <c r="B6" s="40"/>
      <c r="C6" s="39" t="s">
        <v>119</v>
      </c>
      <c r="D6" s="40"/>
      <c r="E6" s="40"/>
      <c r="F6" s="40"/>
      <c r="G6" s="40"/>
      <c r="H6" s="40"/>
      <c r="I6" s="40"/>
      <c r="J6" s="40"/>
      <c r="K6" s="40"/>
      <c r="L6" s="40"/>
      <c r="M6" s="40"/>
      <c r="N6" s="40"/>
      <c r="O6" s="40"/>
    </row>
    <row r="7" spans="1:15" ht="16">
      <c r="A7" s="31" t="s">
        <v>76</v>
      </c>
      <c r="B7" s="40"/>
      <c r="C7" s="39" t="s">
        <v>120</v>
      </c>
      <c r="D7" s="40"/>
      <c r="E7" s="40"/>
      <c r="F7" s="40"/>
      <c r="G7" s="40"/>
      <c r="H7" s="40"/>
      <c r="I7" s="40"/>
      <c r="J7" s="40"/>
      <c r="K7" s="175"/>
      <c r="L7" s="40"/>
      <c r="M7" s="40"/>
      <c r="N7" s="253">
        <v>202307</v>
      </c>
      <c r="O7" s="40"/>
    </row>
    <row r="8" spans="1:15">
      <c r="A8" s="40"/>
      <c r="B8" s="40"/>
      <c r="C8" s="40"/>
      <c r="D8" s="40"/>
      <c r="E8" s="40"/>
      <c r="F8" s="40"/>
      <c r="G8" s="40"/>
      <c r="H8" s="40"/>
      <c r="I8" s="40"/>
      <c r="J8" s="40"/>
      <c r="K8" s="40"/>
      <c r="L8" s="40"/>
      <c r="M8" s="40"/>
      <c r="N8" s="40"/>
      <c r="O8" s="40"/>
    </row>
    <row r="9" spans="1:15">
      <c r="A9" s="42"/>
      <c r="B9" s="43"/>
      <c r="C9" s="280" t="s">
        <v>189</v>
      </c>
      <c r="D9" s="300"/>
      <c r="E9" s="300"/>
      <c r="F9" s="300"/>
      <c r="G9" s="300"/>
      <c r="H9" s="300"/>
      <c r="I9" s="300"/>
      <c r="J9" s="300"/>
      <c r="K9" s="300"/>
      <c r="L9" s="300"/>
      <c r="M9" s="300"/>
      <c r="N9" s="302"/>
      <c r="O9" s="44"/>
    </row>
    <row r="10" spans="1:15">
      <c r="A10" s="45"/>
      <c r="B10" s="46"/>
      <c r="C10" s="359" t="s">
        <v>190</v>
      </c>
      <c r="D10" s="360"/>
      <c r="E10" s="360"/>
      <c r="F10" s="360"/>
      <c r="G10" s="360"/>
      <c r="H10" s="360"/>
      <c r="I10" s="360"/>
      <c r="J10" s="360"/>
      <c r="K10" s="360"/>
      <c r="L10" s="360"/>
      <c r="M10" s="360"/>
      <c r="N10" s="361"/>
      <c r="O10" s="44"/>
    </row>
    <row r="11" spans="1:15">
      <c r="A11" s="90"/>
      <c r="B11" s="46"/>
      <c r="C11" s="280" t="s">
        <v>191</v>
      </c>
      <c r="D11" s="266"/>
      <c r="E11" s="299"/>
      <c r="F11" s="300" t="s">
        <v>192</v>
      </c>
      <c r="G11" s="266"/>
      <c r="H11" s="266"/>
      <c r="I11" s="301" t="s">
        <v>193</v>
      </c>
      <c r="J11" s="266"/>
      <c r="K11" s="281"/>
      <c r="L11" s="280" t="s">
        <v>85</v>
      </c>
      <c r="M11" s="266"/>
      <c r="N11" s="281"/>
      <c r="O11" s="44"/>
    </row>
    <row r="12" spans="1:15">
      <c r="A12" s="48"/>
      <c r="B12" s="46"/>
      <c r="C12" s="359" t="s">
        <v>194</v>
      </c>
      <c r="D12" s="360"/>
      <c r="E12" s="362"/>
      <c r="F12" s="283" t="s">
        <v>195</v>
      </c>
      <c r="G12" s="283"/>
      <c r="H12" s="283"/>
      <c r="I12" s="296" t="s">
        <v>196</v>
      </c>
      <c r="J12" s="283"/>
      <c r="K12" s="284"/>
      <c r="L12" s="282" t="s">
        <v>89</v>
      </c>
      <c r="M12" s="283"/>
      <c r="N12" s="284"/>
      <c r="O12" s="44"/>
    </row>
    <row r="13" spans="1:15">
      <c r="A13" s="48" t="s">
        <v>151</v>
      </c>
      <c r="B13" s="172"/>
      <c r="C13" s="54" t="s">
        <v>91</v>
      </c>
      <c r="D13" s="50" t="s">
        <v>92</v>
      </c>
      <c r="E13" s="51" t="s">
        <v>93</v>
      </c>
      <c r="F13" s="58" t="s">
        <v>91</v>
      </c>
      <c r="G13" s="50" t="s">
        <v>92</v>
      </c>
      <c r="H13" s="50" t="s">
        <v>93</v>
      </c>
      <c r="I13" s="58" t="s">
        <v>91</v>
      </c>
      <c r="J13" s="50" t="s">
        <v>92</v>
      </c>
      <c r="K13" s="52" t="s">
        <v>93</v>
      </c>
      <c r="L13" s="54" t="s">
        <v>91</v>
      </c>
      <c r="M13" s="50" t="s">
        <v>92</v>
      </c>
      <c r="N13" s="52" t="s">
        <v>93</v>
      </c>
      <c r="O13" s="44"/>
    </row>
    <row r="14" spans="1:15">
      <c r="A14" s="53" t="s">
        <v>97</v>
      </c>
      <c r="B14" s="49"/>
      <c r="C14" s="254" t="s">
        <v>101</v>
      </c>
      <c r="D14" s="55" t="s">
        <v>99</v>
      </c>
      <c r="E14" s="55" t="s">
        <v>100</v>
      </c>
      <c r="F14" s="255" t="s">
        <v>101</v>
      </c>
      <c r="G14" s="55" t="s">
        <v>99</v>
      </c>
      <c r="H14" s="55" t="s">
        <v>100</v>
      </c>
      <c r="I14" s="255" t="s">
        <v>101</v>
      </c>
      <c r="J14" s="55" t="s">
        <v>99</v>
      </c>
      <c r="K14" s="59" t="s">
        <v>100</v>
      </c>
      <c r="L14" s="254" t="s">
        <v>101</v>
      </c>
      <c r="M14" s="55" t="s">
        <v>99</v>
      </c>
      <c r="N14" s="59" t="s">
        <v>100</v>
      </c>
      <c r="O14" s="44"/>
    </row>
    <row r="15" spans="1:15">
      <c r="A15" s="60"/>
      <c r="B15" s="61"/>
      <c r="C15" s="256"/>
      <c r="D15" s="63"/>
      <c r="E15" s="64"/>
      <c r="F15" s="65"/>
      <c r="G15" s="63"/>
      <c r="H15" s="66"/>
      <c r="I15" s="65"/>
      <c r="J15" s="63"/>
      <c r="K15" s="67"/>
      <c r="L15" s="256"/>
      <c r="M15" s="63"/>
      <c r="N15" s="67"/>
      <c r="O15" s="44"/>
    </row>
    <row r="16" spans="1:15">
      <c r="A16" s="68"/>
      <c r="B16" s="69"/>
      <c r="C16" s="93"/>
      <c r="D16" s="91"/>
      <c r="E16" s="91"/>
      <c r="F16" s="94"/>
      <c r="G16" s="91"/>
      <c r="H16" s="109"/>
      <c r="I16" s="91"/>
      <c r="J16" s="91"/>
      <c r="K16" s="95"/>
      <c r="L16" s="121"/>
      <c r="M16" s="112"/>
      <c r="N16" s="123"/>
      <c r="O16" s="77"/>
    </row>
    <row r="17" spans="1:15">
      <c r="A17" s="29">
        <v>2018</v>
      </c>
      <c r="B17" s="22"/>
      <c r="C17" s="93">
        <v>6377</v>
      </c>
      <c r="D17" s="91">
        <v>74772</v>
      </c>
      <c r="E17" s="91">
        <v>72704</v>
      </c>
      <c r="F17" s="94">
        <v>2936</v>
      </c>
      <c r="G17" s="91">
        <v>37690</v>
      </c>
      <c r="H17" s="109">
        <v>36702</v>
      </c>
      <c r="I17" s="91">
        <v>552</v>
      </c>
      <c r="J17" s="91">
        <v>6609</v>
      </c>
      <c r="K17" s="95">
        <v>6398</v>
      </c>
      <c r="L17" s="38">
        <v>9865</v>
      </c>
      <c r="M17" s="27">
        <v>119071</v>
      </c>
      <c r="N17" s="26">
        <v>115804</v>
      </c>
      <c r="O17" s="44"/>
    </row>
    <row r="18" spans="1:15">
      <c r="A18" s="29">
        <v>2019</v>
      </c>
      <c r="B18" s="22"/>
      <c r="C18" s="93">
        <v>6578</v>
      </c>
      <c r="D18" s="91">
        <v>74146</v>
      </c>
      <c r="E18" s="91">
        <v>71610</v>
      </c>
      <c r="F18" s="94">
        <v>2177</v>
      </c>
      <c r="G18" s="91">
        <v>36410</v>
      </c>
      <c r="H18" s="109">
        <v>35322</v>
      </c>
      <c r="I18" s="91">
        <v>236</v>
      </c>
      <c r="J18" s="91">
        <v>6643</v>
      </c>
      <c r="K18" s="95">
        <v>6393</v>
      </c>
      <c r="L18" s="38">
        <v>8991</v>
      </c>
      <c r="M18" s="27">
        <v>117199</v>
      </c>
      <c r="N18" s="26">
        <v>113325</v>
      </c>
      <c r="O18" s="44"/>
    </row>
    <row r="19" spans="1:15">
      <c r="A19" s="29">
        <v>2020</v>
      </c>
      <c r="B19" s="22"/>
      <c r="C19" s="93">
        <v>4109</v>
      </c>
      <c r="D19" s="91">
        <v>76079</v>
      </c>
      <c r="E19" s="91">
        <v>74275</v>
      </c>
      <c r="F19" s="94">
        <v>1061</v>
      </c>
      <c r="G19" s="91">
        <v>36154</v>
      </c>
      <c r="H19" s="109">
        <v>35380</v>
      </c>
      <c r="I19" s="91">
        <v>257</v>
      </c>
      <c r="J19" s="91">
        <v>6810</v>
      </c>
      <c r="K19" s="95">
        <v>6634</v>
      </c>
      <c r="L19" s="38">
        <v>5427</v>
      </c>
      <c r="M19" s="27">
        <v>119043</v>
      </c>
      <c r="N19" s="26">
        <v>116289</v>
      </c>
      <c r="O19" s="44"/>
    </row>
    <row r="20" spans="1:15">
      <c r="A20" s="29">
        <v>2021</v>
      </c>
      <c r="B20" s="22"/>
      <c r="C20" s="93">
        <v>4865</v>
      </c>
      <c r="D20" s="91">
        <v>77174</v>
      </c>
      <c r="E20" s="91">
        <v>75568</v>
      </c>
      <c r="F20" s="94">
        <v>1764</v>
      </c>
      <c r="G20" s="91">
        <v>35635</v>
      </c>
      <c r="H20" s="109">
        <v>34992</v>
      </c>
      <c r="I20" s="91">
        <v>473</v>
      </c>
      <c r="J20" s="91">
        <v>7086</v>
      </c>
      <c r="K20" s="95">
        <v>6883</v>
      </c>
      <c r="L20" s="38">
        <v>7102</v>
      </c>
      <c r="M20" s="27">
        <v>119895</v>
      </c>
      <c r="N20" s="26">
        <v>117443</v>
      </c>
      <c r="O20" s="44"/>
    </row>
    <row r="21" spans="1:15">
      <c r="A21" s="29">
        <v>2022</v>
      </c>
      <c r="B21" s="22"/>
      <c r="C21" s="93">
        <v>5025</v>
      </c>
      <c r="D21" s="91">
        <v>78018</v>
      </c>
      <c r="E21" s="91">
        <v>75919</v>
      </c>
      <c r="F21" s="94">
        <v>1483</v>
      </c>
      <c r="G21" s="91">
        <v>35095</v>
      </c>
      <c r="H21" s="109">
        <v>33473</v>
      </c>
      <c r="I21" s="91">
        <v>485</v>
      </c>
      <c r="J21" s="91">
        <v>7362</v>
      </c>
      <c r="K21" s="95">
        <v>7004</v>
      </c>
      <c r="L21" s="38">
        <v>6993</v>
      </c>
      <c r="M21" s="27">
        <v>120475</v>
      </c>
      <c r="N21" s="26">
        <v>116396</v>
      </c>
      <c r="O21" s="44"/>
    </row>
    <row r="22" spans="1:15">
      <c r="A22" s="23"/>
      <c r="B22" s="22"/>
      <c r="C22" s="85"/>
      <c r="D22" s="86"/>
      <c r="E22" s="86"/>
      <c r="F22" s="96"/>
      <c r="G22" s="86"/>
      <c r="H22" s="110"/>
      <c r="I22" s="86"/>
      <c r="J22" s="86"/>
      <c r="K22" s="87"/>
      <c r="L22" s="37"/>
      <c r="M22" s="21"/>
      <c r="N22" s="19"/>
      <c r="O22" s="44"/>
    </row>
    <row r="23" spans="1:15">
      <c r="A23" s="23"/>
      <c r="B23" s="22"/>
      <c r="C23" s="85"/>
      <c r="D23" s="86"/>
      <c r="E23" s="86"/>
      <c r="F23" s="96"/>
      <c r="G23" s="86"/>
      <c r="H23" s="110"/>
      <c r="I23" s="86"/>
      <c r="J23" s="86"/>
      <c r="K23" s="87"/>
      <c r="L23" s="37"/>
      <c r="M23" s="21"/>
      <c r="N23" s="19"/>
      <c r="O23" s="44"/>
    </row>
    <row r="24" spans="1:15">
      <c r="A24" s="23"/>
      <c r="B24" s="22"/>
      <c r="C24" s="85"/>
      <c r="D24" s="86"/>
      <c r="E24" s="86"/>
      <c r="F24" s="96"/>
      <c r="G24" s="86"/>
      <c r="H24" s="110"/>
      <c r="I24" s="86"/>
      <c r="J24" s="86"/>
      <c r="K24" s="87"/>
      <c r="L24" s="37"/>
      <c r="M24" s="21"/>
      <c r="N24" s="19"/>
      <c r="O24" s="44"/>
    </row>
    <row r="25" spans="1:15">
      <c r="A25" s="23"/>
      <c r="B25" s="22"/>
      <c r="C25" s="85"/>
      <c r="D25" s="86"/>
      <c r="E25" s="86"/>
      <c r="F25" s="96"/>
      <c r="G25" s="86"/>
      <c r="H25" s="110"/>
      <c r="I25" s="86"/>
      <c r="J25" s="86"/>
      <c r="K25" s="87"/>
      <c r="L25" s="37"/>
      <c r="M25" s="21"/>
      <c r="N25" s="19"/>
      <c r="O25" s="44"/>
    </row>
    <row r="26" spans="1:15">
      <c r="A26" s="23">
        <v>2022</v>
      </c>
      <c r="B26" s="22">
        <v>2</v>
      </c>
      <c r="C26" s="85">
        <v>336</v>
      </c>
      <c r="D26" s="86">
        <v>77454</v>
      </c>
      <c r="E26" s="86">
        <v>75452</v>
      </c>
      <c r="F26" s="96">
        <v>80</v>
      </c>
      <c r="G26" s="86">
        <v>35676</v>
      </c>
      <c r="H26" s="110">
        <v>34927</v>
      </c>
      <c r="I26" s="86">
        <v>32</v>
      </c>
      <c r="J26" s="86">
        <v>7138</v>
      </c>
      <c r="K26" s="87">
        <v>6908</v>
      </c>
      <c r="L26" s="37">
        <v>448</v>
      </c>
      <c r="M26" s="21">
        <v>120268</v>
      </c>
      <c r="N26" s="19">
        <v>117287</v>
      </c>
      <c r="O26" s="44"/>
    </row>
    <row r="27" spans="1:15">
      <c r="A27" s="23"/>
      <c r="B27" s="22">
        <v>3</v>
      </c>
      <c r="C27" s="85">
        <v>449</v>
      </c>
      <c r="D27" s="86">
        <v>77660</v>
      </c>
      <c r="E27" s="86">
        <v>75089</v>
      </c>
      <c r="F27" s="96">
        <v>117</v>
      </c>
      <c r="G27" s="86">
        <v>35658</v>
      </c>
      <c r="H27" s="110">
        <v>34534</v>
      </c>
      <c r="I27" s="86">
        <v>41</v>
      </c>
      <c r="J27" s="86">
        <v>7169</v>
      </c>
      <c r="K27" s="87">
        <v>6880</v>
      </c>
      <c r="L27" s="37">
        <v>607</v>
      </c>
      <c r="M27" s="21">
        <v>120487</v>
      </c>
      <c r="N27" s="19">
        <v>116503</v>
      </c>
      <c r="O27" s="44"/>
    </row>
    <row r="28" spans="1:15">
      <c r="A28" s="23"/>
      <c r="B28" s="22">
        <v>4</v>
      </c>
      <c r="C28" s="85">
        <v>412</v>
      </c>
      <c r="D28" s="86">
        <v>77730</v>
      </c>
      <c r="E28" s="86">
        <v>75528</v>
      </c>
      <c r="F28" s="96">
        <v>82</v>
      </c>
      <c r="G28" s="86">
        <v>35584</v>
      </c>
      <c r="H28" s="110">
        <v>34320</v>
      </c>
      <c r="I28" s="86">
        <v>34</v>
      </c>
      <c r="J28" s="86">
        <v>7186</v>
      </c>
      <c r="K28" s="87">
        <v>6906</v>
      </c>
      <c r="L28" s="37">
        <v>528</v>
      </c>
      <c r="M28" s="21">
        <v>120500</v>
      </c>
      <c r="N28" s="19">
        <v>116754</v>
      </c>
      <c r="O28" s="44"/>
    </row>
    <row r="29" spans="1:15">
      <c r="A29" s="23"/>
      <c r="B29" s="22">
        <v>5</v>
      </c>
      <c r="C29" s="85">
        <v>516</v>
      </c>
      <c r="D29" s="86">
        <v>77696</v>
      </c>
      <c r="E29" s="86">
        <v>75730</v>
      </c>
      <c r="F29" s="96">
        <v>106</v>
      </c>
      <c r="G29" s="86">
        <v>35483</v>
      </c>
      <c r="H29" s="110">
        <v>34101</v>
      </c>
      <c r="I29" s="86">
        <v>41</v>
      </c>
      <c r="J29" s="86">
        <v>7218</v>
      </c>
      <c r="K29" s="87">
        <v>6923</v>
      </c>
      <c r="L29" s="37">
        <v>663</v>
      </c>
      <c r="M29" s="21">
        <v>120397</v>
      </c>
      <c r="N29" s="19">
        <v>116754</v>
      </c>
      <c r="O29" s="44"/>
    </row>
    <row r="30" spans="1:15">
      <c r="A30" s="23"/>
      <c r="B30" s="22">
        <v>6</v>
      </c>
      <c r="C30" s="85">
        <v>438</v>
      </c>
      <c r="D30" s="86">
        <v>77740</v>
      </c>
      <c r="E30" s="86">
        <v>75855</v>
      </c>
      <c r="F30" s="96">
        <v>171</v>
      </c>
      <c r="G30" s="86">
        <v>35462</v>
      </c>
      <c r="H30" s="110">
        <v>33995</v>
      </c>
      <c r="I30" s="86">
        <v>36</v>
      </c>
      <c r="J30" s="86">
        <v>7243</v>
      </c>
      <c r="K30" s="87">
        <v>6959</v>
      </c>
      <c r="L30" s="37">
        <v>645</v>
      </c>
      <c r="M30" s="21">
        <v>120445</v>
      </c>
      <c r="N30" s="19">
        <v>116809</v>
      </c>
      <c r="O30" s="44"/>
    </row>
    <row r="31" spans="1:15">
      <c r="A31" s="23"/>
      <c r="B31" s="22">
        <v>7</v>
      </c>
      <c r="C31" s="85">
        <v>328</v>
      </c>
      <c r="D31" s="86">
        <v>77706</v>
      </c>
      <c r="E31" s="86">
        <v>75688</v>
      </c>
      <c r="F31" s="96">
        <v>164</v>
      </c>
      <c r="G31" s="86">
        <v>35425</v>
      </c>
      <c r="H31" s="110">
        <v>33846</v>
      </c>
      <c r="I31" s="86">
        <v>45</v>
      </c>
      <c r="J31" s="86">
        <v>7264</v>
      </c>
      <c r="K31" s="87">
        <v>6961</v>
      </c>
      <c r="L31" s="37">
        <v>537</v>
      </c>
      <c r="M31" s="21">
        <v>120395</v>
      </c>
      <c r="N31" s="19">
        <v>116495</v>
      </c>
      <c r="O31" s="44"/>
    </row>
    <row r="32" spans="1:15">
      <c r="A32" s="23"/>
      <c r="B32" s="22">
        <v>8</v>
      </c>
      <c r="C32" s="85">
        <v>496</v>
      </c>
      <c r="D32" s="86">
        <v>77730</v>
      </c>
      <c r="E32" s="86">
        <v>75827</v>
      </c>
      <c r="F32" s="96">
        <v>144</v>
      </c>
      <c r="G32" s="86">
        <v>35348</v>
      </c>
      <c r="H32" s="110">
        <v>33752</v>
      </c>
      <c r="I32" s="86">
        <v>63</v>
      </c>
      <c r="J32" s="86">
        <v>7299</v>
      </c>
      <c r="K32" s="87">
        <v>7000</v>
      </c>
      <c r="L32" s="37">
        <v>703</v>
      </c>
      <c r="M32" s="21">
        <v>120377</v>
      </c>
      <c r="N32" s="19">
        <v>116579</v>
      </c>
      <c r="O32" s="44"/>
    </row>
    <row r="33" spans="1:15">
      <c r="A33" s="23"/>
      <c r="B33" s="22">
        <v>9</v>
      </c>
      <c r="C33" s="85">
        <v>426</v>
      </c>
      <c r="D33" s="86">
        <v>77678</v>
      </c>
      <c r="E33" s="86">
        <v>75717</v>
      </c>
      <c r="F33" s="96">
        <v>151</v>
      </c>
      <c r="G33" s="86">
        <v>35267</v>
      </c>
      <c r="H33" s="110">
        <v>33634</v>
      </c>
      <c r="I33" s="86">
        <v>37</v>
      </c>
      <c r="J33" s="86">
        <v>7317</v>
      </c>
      <c r="K33" s="87">
        <v>7009</v>
      </c>
      <c r="L33" s="37">
        <v>614</v>
      </c>
      <c r="M33" s="21">
        <v>120262</v>
      </c>
      <c r="N33" s="19">
        <v>116360</v>
      </c>
      <c r="O33" s="44"/>
    </row>
    <row r="34" spans="1:15">
      <c r="A34" s="23"/>
      <c r="B34" s="22">
        <v>10</v>
      </c>
      <c r="C34" s="85">
        <v>437</v>
      </c>
      <c r="D34" s="86">
        <v>77796</v>
      </c>
      <c r="E34" s="86">
        <v>75730</v>
      </c>
      <c r="F34" s="96">
        <v>112</v>
      </c>
      <c r="G34" s="86">
        <v>35219</v>
      </c>
      <c r="H34" s="110">
        <v>33603</v>
      </c>
      <c r="I34" s="86">
        <v>33</v>
      </c>
      <c r="J34" s="86">
        <v>7325</v>
      </c>
      <c r="K34" s="87">
        <v>6997</v>
      </c>
      <c r="L34" s="37">
        <v>582</v>
      </c>
      <c r="M34" s="21">
        <v>120340</v>
      </c>
      <c r="N34" s="19">
        <v>116330</v>
      </c>
      <c r="O34" s="44"/>
    </row>
    <row r="35" spans="1:15">
      <c r="A35" s="23"/>
      <c r="B35" s="22">
        <v>11</v>
      </c>
      <c r="C35" s="85">
        <v>476</v>
      </c>
      <c r="D35" s="86">
        <v>77987</v>
      </c>
      <c r="E35" s="86">
        <v>75895</v>
      </c>
      <c r="F35" s="96">
        <v>108</v>
      </c>
      <c r="G35" s="86">
        <v>35147</v>
      </c>
      <c r="H35" s="110">
        <v>33508</v>
      </c>
      <c r="I35" s="86">
        <v>40</v>
      </c>
      <c r="J35" s="86">
        <v>7351</v>
      </c>
      <c r="K35" s="87">
        <v>7012</v>
      </c>
      <c r="L35" s="37">
        <v>624</v>
      </c>
      <c r="M35" s="21">
        <v>120485</v>
      </c>
      <c r="N35" s="19">
        <v>116415</v>
      </c>
      <c r="O35" s="44"/>
    </row>
    <row r="36" spans="1:15">
      <c r="A36" s="23"/>
      <c r="B36" s="22">
        <v>12</v>
      </c>
      <c r="C36" s="85">
        <v>371</v>
      </c>
      <c r="D36" s="86">
        <v>78018</v>
      </c>
      <c r="E36" s="86">
        <v>75919</v>
      </c>
      <c r="F36" s="96">
        <v>115</v>
      </c>
      <c r="G36" s="86">
        <v>35095</v>
      </c>
      <c r="H36" s="110">
        <v>33473</v>
      </c>
      <c r="I36" s="86">
        <v>35</v>
      </c>
      <c r="J36" s="86">
        <v>7362</v>
      </c>
      <c r="K36" s="87">
        <v>7004</v>
      </c>
      <c r="L36" s="37">
        <v>521</v>
      </c>
      <c r="M36" s="21">
        <v>120475</v>
      </c>
      <c r="N36" s="19">
        <v>116396</v>
      </c>
      <c r="O36" s="44"/>
    </row>
    <row r="37" spans="1:15">
      <c r="A37" s="23"/>
      <c r="B37" s="22"/>
      <c r="C37" s="85"/>
      <c r="D37" s="86"/>
      <c r="E37" s="86"/>
      <c r="F37" s="96"/>
      <c r="G37" s="86"/>
      <c r="H37" s="110"/>
      <c r="I37" s="86"/>
      <c r="J37" s="86"/>
      <c r="K37" s="87"/>
      <c r="L37" s="37"/>
      <c r="M37" s="21"/>
      <c r="N37" s="19"/>
      <c r="O37" s="44"/>
    </row>
    <row r="38" spans="1:15">
      <c r="A38" s="23">
        <v>2023</v>
      </c>
      <c r="B38" s="22">
        <v>1</v>
      </c>
      <c r="C38" s="85">
        <v>245</v>
      </c>
      <c r="D38" s="86">
        <v>78084</v>
      </c>
      <c r="E38" s="86">
        <v>75834</v>
      </c>
      <c r="F38" s="96">
        <v>91</v>
      </c>
      <c r="G38" s="86">
        <v>35074</v>
      </c>
      <c r="H38" s="110">
        <v>33428</v>
      </c>
      <c r="I38" s="86">
        <v>34</v>
      </c>
      <c r="J38" s="86">
        <v>7390</v>
      </c>
      <c r="K38" s="87">
        <v>7025</v>
      </c>
      <c r="L38" s="37">
        <v>370</v>
      </c>
      <c r="M38" s="21">
        <v>120548</v>
      </c>
      <c r="N38" s="19">
        <v>116287</v>
      </c>
      <c r="O38" s="44"/>
    </row>
    <row r="39" spans="1:15">
      <c r="A39" s="23"/>
      <c r="B39" s="22">
        <v>2</v>
      </c>
      <c r="C39" s="85">
        <v>295</v>
      </c>
      <c r="D39" s="86">
        <v>78164</v>
      </c>
      <c r="E39" s="86">
        <v>76027</v>
      </c>
      <c r="F39" s="96">
        <v>73</v>
      </c>
      <c r="G39" s="86">
        <v>35037</v>
      </c>
      <c r="H39" s="110">
        <v>33790</v>
      </c>
      <c r="I39" s="86">
        <v>47</v>
      </c>
      <c r="J39" s="86">
        <v>7427</v>
      </c>
      <c r="K39" s="87">
        <v>7088</v>
      </c>
      <c r="L39" s="37">
        <v>415</v>
      </c>
      <c r="M39" s="21">
        <v>120628</v>
      </c>
      <c r="N39" s="19">
        <v>116905</v>
      </c>
      <c r="O39" s="44"/>
    </row>
    <row r="40" spans="1:15">
      <c r="A40" s="23"/>
      <c r="B40" s="22">
        <v>3</v>
      </c>
      <c r="C40" s="85">
        <v>359</v>
      </c>
      <c r="D40" s="86">
        <v>78157</v>
      </c>
      <c r="E40" s="86">
        <v>75971</v>
      </c>
      <c r="F40" s="96">
        <v>153</v>
      </c>
      <c r="G40" s="86">
        <v>35009</v>
      </c>
      <c r="H40" s="110">
        <v>33844</v>
      </c>
      <c r="I40" s="86">
        <v>55</v>
      </c>
      <c r="J40" s="86">
        <v>7467</v>
      </c>
      <c r="K40" s="87">
        <v>7098</v>
      </c>
      <c r="L40" s="37">
        <v>567</v>
      </c>
      <c r="M40" s="21">
        <v>120633</v>
      </c>
      <c r="N40" s="19">
        <v>116913</v>
      </c>
      <c r="O40" s="44"/>
    </row>
    <row r="41" spans="1:15">
      <c r="A41" s="23"/>
      <c r="B41" s="22">
        <v>4</v>
      </c>
      <c r="C41" s="85">
        <v>293</v>
      </c>
      <c r="D41" s="86">
        <v>78136</v>
      </c>
      <c r="E41" s="86">
        <v>75726</v>
      </c>
      <c r="F41" s="96">
        <v>100</v>
      </c>
      <c r="G41" s="86">
        <v>34976</v>
      </c>
      <c r="H41" s="110">
        <v>33813</v>
      </c>
      <c r="I41" s="86">
        <v>46</v>
      </c>
      <c r="J41" s="86">
        <v>7491</v>
      </c>
      <c r="K41" s="87">
        <v>7103</v>
      </c>
      <c r="L41" s="37">
        <v>439</v>
      </c>
      <c r="M41" s="21">
        <v>120603</v>
      </c>
      <c r="N41" s="19">
        <v>116642</v>
      </c>
      <c r="O41" s="44"/>
    </row>
    <row r="42" spans="1:15">
      <c r="A42" s="23"/>
      <c r="B42" s="22">
        <v>5</v>
      </c>
      <c r="C42" s="85">
        <v>282</v>
      </c>
      <c r="D42" s="86">
        <v>78090</v>
      </c>
      <c r="E42" s="86">
        <v>75575</v>
      </c>
      <c r="F42" s="96">
        <v>139</v>
      </c>
      <c r="G42" s="86">
        <v>34930</v>
      </c>
      <c r="H42" s="110">
        <v>33691</v>
      </c>
      <c r="I42" s="86">
        <v>54</v>
      </c>
      <c r="J42" s="86">
        <v>7524</v>
      </c>
      <c r="K42" s="87">
        <v>7133</v>
      </c>
      <c r="L42" s="37">
        <v>475</v>
      </c>
      <c r="M42" s="21">
        <v>120544</v>
      </c>
      <c r="N42" s="19">
        <v>116399</v>
      </c>
      <c r="O42" s="44"/>
    </row>
    <row r="43" spans="1:15">
      <c r="A43" s="23"/>
      <c r="B43" s="22">
        <v>6</v>
      </c>
      <c r="C43" s="85">
        <v>246</v>
      </c>
      <c r="D43" s="86">
        <v>78079</v>
      </c>
      <c r="E43" s="86">
        <v>75551</v>
      </c>
      <c r="F43" s="96">
        <v>129</v>
      </c>
      <c r="G43" s="86">
        <v>34907</v>
      </c>
      <c r="H43" s="110">
        <v>33629</v>
      </c>
      <c r="I43" s="86">
        <v>55</v>
      </c>
      <c r="J43" s="86">
        <v>7566</v>
      </c>
      <c r="K43" s="87">
        <v>7188</v>
      </c>
      <c r="L43" s="37">
        <v>430</v>
      </c>
      <c r="M43" s="21">
        <v>120552</v>
      </c>
      <c r="N43" s="19">
        <v>116368</v>
      </c>
      <c r="O43" s="44"/>
    </row>
    <row r="44" spans="1:15">
      <c r="A44" s="23"/>
      <c r="B44" s="22">
        <v>7</v>
      </c>
      <c r="C44" s="85">
        <v>270</v>
      </c>
      <c r="D44" s="86">
        <v>78036</v>
      </c>
      <c r="E44" s="86">
        <v>75389</v>
      </c>
      <c r="F44" s="96">
        <v>88</v>
      </c>
      <c r="G44" s="86">
        <v>34855</v>
      </c>
      <c r="H44" s="110">
        <v>33548</v>
      </c>
      <c r="I44" s="86">
        <v>61</v>
      </c>
      <c r="J44" s="86">
        <v>7617</v>
      </c>
      <c r="K44" s="87">
        <v>7223</v>
      </c>
      <c r="L44" s="37">
        <v>419</v>
      </c>
      <c r="M44" s="21">
        <v>120508</v>
      </c>
      <c r="N44" s="19">
        <v>116160</v>
      </c>
      <c r="O44" s="44"/>
    </row>
    <row r="45" spans="1:15">
      <c r="A45" s="18"/>
      <c r="B45" s="17"/>
      <c r="C45" s="118"/>
      <c r="D45" s="89"/>
      <c r="E45" s="89"/>
      <c r="F45" s="124"/>
      <c r="G45" s="89"/>
      <c r="H45" s="119"/>
      <c r="I45" s="89"/>
      <c r="J45" s="89"/>
      <c r="K45" s="120"/>
      <c r="L45" s="80"/>
      <c r="M45" s="15"/>
      <c r="N45" s="11"/>
      <c r="O45" s="44"/>
    </row>
    <row r="46" spans="1:15">
      <c r="A46" s="81"/>
      <c r="B46" s="35"/>
      <c r="C46" s="88"/>
      <c r="D46" s="88"/>
      <c r="E46" s="88"/>
      <c r="F46" s="88"/>
      <c r="G46" s="88"/>
      <c r="H46" s="88"/>
      <c r="I46" s="88"/>
      <c r="J46" s="88"/>
      <c r="K46" s="88"/>
      <c r="L46" s="24"/>
      <c r="M46" s="24"/>
      <c r="N46" s="24"/>
      <c r="O46" s="44"/>
    </row>
    <row r="47" spans="1:15">
      <c r="A47" s="125" t="s">
        <v>197</v>
      </c>
      <c r="B47" s="126" t="s">
        <v>198</v>
      </c>
      <c r="C47" s="257" t="s">
        <v>199</v>
      </c>
      <c r="D47" s="258"/>
      <c r="E47" s="258"/>
      <c r="F47" s="258"/>
      <c r="G47" s="44"/>
      <c r="H47" s="128" t="s">
        <v>200</v>
      </c>
      <c r="I47" s="126" t="s">
        <v>198</v>
      </c>
      <c r="J47" s="267" t="s">
        <v>201</v>
      </c>
      <c r="K47" s="268"/>
      <c r="L47" s="268"/>
      <c r="M47" s="268"/>
      <c r="N47" s="268"/>
      <c r="O47" s="44"/>
    </row>
    <row r="48" spans="1:15">
      <c r="A48" s="44"/>
      <c r="B48" s="126" t="s">
        <v>202</v>
      </c>
      <c r="C48" s="84" t="s">
        <v>203</v>
      </c>
      <c r="D48" s="129"/>
      <c r="E48" s="129"/>
      <c r="F48" s="129"/>
      <c r="G48" s="44"/>
      <c r="H48" s="44"/>
      <c r="I48" s="126" t="s">
        <v>202</v>
      </c>
      <c r="J48" s="267" t="s">
        <v>204</v>
      </c>
      <c r="K48" s="268"/>
      <c r="L48" s="268"/>
      <c r="M48" s="268"/>
      <c r="N48" s="268"/>
      <c r="O48" s="44"/>
    </row>
    <row r="49" spans="1:15">
      <c r="A49" s="130"/>
      <c r="B49" s="171"/>
      <c r="C49" s="127"/>
      <c r="D49" s="133"/>
      <c r="E49" s="133"/>
      <c r="F49" s="133"/>
      <c r="G49" s="134"/>
      <c r="H49" s="44"/>
      <c r="I49" s="171"/>
      <c r="J49" s="134"/>
      <c r="K49" s="134"/>
      <c r="L49" s="134"/>
      <c r="M49" s="44"/>
      <c r="N49" s="44"/>
      <c r="O49" s="44"/>
    </row>
    <row r="50" spans="1:15">
      <c r="A50" s="130"/>
      <c r="B50" s="126" t="s">
        <v>205</v>
      </c>
      <c r="C50" s="259" t="s">
        <v>206</v>
      </c>
      <c r="D50" s="258"/>
      <c r="E50" s="258"/>
      <c r="F50" s="258"/>
      <c r="G50" s="134"/>
      <c r="H50" s="44"/>
      <c r="I50" s="126" t="s">
        <v>205</v>
      </c>
      <c r="J50" s="267" t="s">
        <v>207</v>
      </c>
      <c r="K50" s="268"/>
      <c r="L50" s="268"/>
      <c r="M50" s="268"/>
      <c r="N50" s="268"/>
      <c r="O50" s="44"/>
    </row>
    <row r="51" spans="1:15">
      <c r="A51" s="44"/>
      <c r="B51" s="135"/>
      <c r="C51" s="127"/>
      <c r="D51" s="133"/>
      <c r="E51" s="133"/>
      <c r="F51" s="133"/>
      <c r="G51" s="133"/>
      <c r="H51" s="133"/>
      <c r="I51" s="44"/>
      <c r="J51" s="44"/>
      <c r="K51" s="44"/>
      <c r="L51" s="44"/>
      <c r="M51" s="44"/>
      <c r="N51" s="44"/>
      <c r="O51" s="44"/>
    </row>
    <row r="52" spans="1:15">
      <c r="A52" s="44"/>
      <c r="B52" s="44"/>
      <c r="C52" s="44"/>
      <c r="D52" s="40"/>
      <c r="E52" s="40"/>
      <c r="F52" s="40"/>
      <c r="G52" s="40"/>
      <c r="H52" s="40"/>
      <c r="I52" s="44"/>
      <c r="J52" s="44"/>
      <c r="K52" s="44"/>
      <c r="L52" s="44"/>
      <c r="M52" s="44"/>
      <c r="N52" s="44"/>
      <c r="O52" s="44"/>
    </row>
    <row r="53" spans="1:15">
      <c r="A53" s="44"/>
      <c r="B53" s="44"/>
      <c r="C53" s="44"/>
      <c r="D53" s="44"/>
      <c r="E53" s="44"/>
      <c r="F53" s="44"/>
      <c r="G53" s="44"/>
      <c r="H53" s="44"/>
      <c r="I53" s="44"/>
      <c r="J53" s="44"/>
      <c r="K53" s="44"/>
      <c r="L53" s="44"/>
      <c r="M53" s="44"/>
      <c r="N53" s="44"/>
      <c r="O53" s="44"/>
    </row>
  </sheetData>
  <mergeCells count="13">
    <mergeCell ref="J50:N50"/>
    <mergeCell ref="I12:K12"/>
    <mergeCell ref="C9:N9"/>
    <mergeCell ref="C10:N10"/>
    <mergeCell ref="C11:E11"/>
    <mergeCell ref="F11:H11"/>
    <mergeCell ref="L11:N11"/>
    <mergeCell ref="L12:N12"/>
    <mergeCell ref="J47:N47"/>
    <mergeCell ref="J48:N48"/>
    <mergeCell ref="I11:K11"/>
    <mergeCell ref="C12:E12"/>
    <mergeCell ref="F12:H12"/>
  </mergeCells>
  <phoneticPr fontId="5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AA29C-BCB7-4194-B9F3-88D0DE506704}">
  <dimension ref="A4:O51"/>
  <sheetViews>
    <sheetView topLeftCell="D6" zoomScale="176" workbookViewId="0">
      <selection activeCell="S35" sqref="S35"/>
    </sheetView>
  </sheetViews>
  <sheetFormatPr baseColWidth="10" defaultColWidth="8.796875" defaultRowHeight="14"/>
  <sheetData>
    <row r="4" spans="1:15">
      <c r="A4" s="40"/>
      <c r="B4" s="40"/>
      <c r="C4" s="40"/>
      <c r="D4" s="40"/>
      <c r="E4" s="40"/>
      <c r="F4" s="40"/>
      <c r="G4" s="40"/>
      <c r="H4" s="40"/>
      <c r="I4" s="40"/>
      <c r="J4" s="40"/>
      <c r="K4" s="40"/>
      <c r="L4" s="40"/>
      <c r="M4" s="40"/>
      <c r="N4" s="40"/>
      <c r="O4" s="40"/>
    </row>
    <row r="5" spans="1:15" ht="16">
      <c r="A5" s="260"/>
      <c r="B5" s="40"/>
      <c r="C5" s="40"/>
      <c r="D5" s="40"/>
      <c r="E5" s="40"/>
      <c r="F5" s="40"/>
      <c r="G5" s="40"/>
      <c r="H5" s="40"/>
      <c r="I5" s="40"/>
      <c r="J5" s="40"/>
      <c r="K5" s="40"/>
      <c r="L5" s="40"/>
      <c r="M5" s="40"/>
      <c r="N5" s="40"/>
      <c r="O5" s="40"/>
    </row>
    <row r="6" spans="1:15" ht="16">
      <c r="A6" s="33" t="s">
        <v>74</v>
      </c>
      <c r="B6" s="40"/>
      <c r="C6" s="39" t="s">
        <v>119</v>
      </c>
      <c r="D6" s="40"/>
      <c r="E6" s="40"/>
      <c r="F6" s="40"/>
      <c r="G6" s="40"/>
      <c r="H6" s="40"/>
      <c r="I6" s="39"/>
      <c r="J6" s="40"/>
      <c r="K6" s="40"/>
      <c r="L6" s="40"/>
      <c r="M6" s="40"/>
      <c r="N6" s="40"/>
      <c r="O6" s="40"/>
    </row>
    <row r="7" spans="1:15" ht="16">
      <c r="A7" s="31" t="s">
        <v>76</v>
      </c>
      <c r="B7" s="40"/>
      <c r="C7" s="39" t="s">
        <v>120</v>
      </c>
      <c r="D7" s="40"/>
      <c r="E7" s="40"/>
      <c r="F7" s="40"/>
      <c r="G7" s="40"/>
      <c r="H7" s="40"/>
      <c r="I7" s="39"/>
      <c r="J7" s="40"/>
      <c r="K7" s="40"/>
      <c r="L7" s="40"/>
      <c r="M7" s="40"/>
      <c r="N7" s="176">
        <v>202307</v>
      </c>
      <c r="O7" s="40"/>
    </row>
    <row r="8" spans="1:15">
      <c r="A8" s="40"/>
      <c r="B8" s="40"/>
      <c r="C8" s="40"/>
      <c r="D8" s="40"/>
      <c r="E8" s="40"/>
      <c r="F8" s="40"/>
      <c r="G8" s="40"/>
      <c r="H8" s="40"/>
      <c r="I8" s="40"/>
      <c r="J8" s="40"/>
      <c r="K8" s="40"/>
      <c r="L8" s="40"/>
      <c r="M8" s="40"/>
      <c r="N8" s="40"/>
      <c r="O8" s="40"/>
    </row>
    <row r="9" spans="1:15">
      <c r="A9" s="42"/>
      <c r="B9" s="136"/>
      <c r="C9" s="114"/>
      <c r="D9" s="137"/>
      <c r="E9" s="43"/>
      <c r="F9" s="280" t="s">
        <v>208</v>
      </c>
      <c r="G9" s="300"/>
      <c r="H9" s="300"/>
      <c r="I9" s="300"/>
      <c r="J9" s="300"/>
      <c r="K9" s="300"/>
      <c r="L9" s="300"/>
      <c r="M9" s="300"/>
      <c r="N9" s="302"/>
      <c r="O9" s="44"/>
    </row>
    <row r="10" spans="1:15">
      <c r="A10" s="45"/>
      <c r="B10" s="44"/>
      <c r="C10" s="285" t="s">
        <v>209</v>
      </c>
      <c r="D10" s="286"/>
      <c r="E10" s="305"/>
      <c r="F10" s="282" t="s">
        <v>210</v>
      </c>
      <c r="G10" s="283"/>
      <c r="H10" s="283"/>
      <c r="I10" s="283"/>
      <c r="J10" s="283"/>
      <c r="K10" s="283"/>
      <c r="L10" s="283"/>
      <c r="M10" s="283"/>
      <c r="N10" s="284"/>
      <c r="O10" s="44"/>
    </row>
    <row r="11" spans="1:15">
      <c r="A11" s="90"/>
      <c r="B11" s="44"/>
      <c r="C11" s="292" t="s">
        <v>211</v>
      </c>
      <c r="D11" s="286"/>
      <c r="E11" s="305"/>
      <c r="F11" s="300" t="s">
        <v>212</v>
      </c>
      <c r="G11" s="266"/>
      <c r="H11" s="266"/>
      <c r="I11" s="301" t="s">
        <v>213</v>
      </c>
      <c r="J11" s="266"/>
      <c r="K11" s="281"/>
      <c r="L11" s="280" t="s">
        <v>85</v>
      </c>
      <c r="M11" s="266"/>
      <c r="N11" s="281"/>
      <c r="O11" s="44"/>
    </row>
    <row r="12" spans="1:15">
      <c r="A12" s="48"/>
      <c r="B12" s="44"/>
      <c r="C12" s="160"/>
      <c r="D12" s="117"/>
      <c r="E12" s="61"/>
      <c r="F12" s="283" t="s">
        <v>214</v>
      </c>
      <c r="G12" s="283"/>
      <c r="H12" s="283"/>
      <c r="I12" s="296" t="s">
        <v>215</v>
      </c>
      <c r="J12" s="283"/>
      <c r="K12" s="284"/>
      <c r="L12" s="366" t="s">
        <v>89</v>
      </c>
      <c r="M12" s="337"/>
      <c r="N12" s="338"/>
      <c r="O12" s="44"/>
    </row>
    <row r="13" spans="1:15">
      <c r="A13" s="53" t="s">
        <v>151</v>
      </c>
      <c r="B13" s="105"/>
      <c r="C13" s="54" t="s">
        <v>91</v>
      </c>
      <c r="D13" s="50" t="s">
        <v>92</v>
      </c>
      <c r="E13" s="52" t="s">
        <v>93</v>
      </c>
      <c r="F13" s="54" t="s">
        <v>91</v>
      </c>
      <c r="G13" s="50" t="s">
        <v>92</v>
      </c>
      <c r="H13" s="50" t="s">
        <v>93</v>
      </c>
      <c r="I13" s="58" t="s">
        <v>91</v>
      </c>
      <c r="J13" s="50" t="s">
        <v>92</v>
      </c>
      <c r="K13" s="52" t="s">
        <v>93</v>
      </c>
      <c r="L13" s="261" t="s">
        <v>91</v>
      </c>
      <c r="M13" s="262" t="s">
        <v>92</v>
      </c>
      <c r="N13" s="263" t="s">
        <v>93</v>
      </c>
      <c r="O13" s="44"/>
    </row>
    <row r="14" spans="1:15" ht="24">
      <c r="A14" s="53" t="s">
        <v>97</v>
      </c>
      <c r="B14" s="105"/>
      <c r="C14" s="254" t="s">
        <v>101</v>
      </c>
      <c r="D14" s="55" t="s">
        <v>99</v>
      </c>
      <c r="E14" s="59" t="s">
        <v>100</v>
      </c>
      <c r="F14" s="254" t="s">
        <v>101</v>
      </c>
      <c r="G14" s="55" t="s">
        <v>99</v>
      </c>
      <c r="H14" s="55" t="s">
        <v>100</v>
      </c>
      <c r="I14" s="255" t="s">
        <v>101</v>
      </c>
      <c r="J14" s="55" t="s">
        <v>99</v>
      </c>
      <c r="K14" s="59" t="s">
        <v>100</v>
      </c>
      <c r="L14" s="254" t="s">
        <v>101</v>
      </c>
      <c r="M14" s="55" t="s">
        <v>99</v>
      </c>
      <c r="N14" s="59" t="s">
        <v>100</v>
      </c>
      <c r="O14" s="44"/>
    </row>
    <row r="15" spans="1:15">
      <c r="A15" s="60"/>
      <c r="B15" s="117"/>
      <c r="C15" s="256"/>
      <c r="D15" s="63"/>
      <c r="E15" s="67"/>
      <c r="F15" s="256"/>
      <c r="G15" s="63"/>
      <c r="H15" s="66"/>
      <c r="I15" s="65"/>
      <c r="J15" s="63"/>
      <c r="K15" s="67"/>
      <c r="L15" s="256"/>
      <c r="M15" s="45"/>
      <c r="N15" s="139"/>
      <c r="O15" s="44"/>
    </row>
    <row r="16" spans="1:15">
      <c r="A16" s="68"/>
      <c r="B16" s="140"/>
      <c r="C16" s="121"/>
      <c r="D16" s="112"/>
      <c r="E16" s="123"/>
      <c r="F16" s="107"/>
      <c r="G16" s="112"/>
      <c r="H16" s="141"/>
      <c r="I16" s="112"/>
      <c r="J16" s="112"/>
      <c r="K16" s="123"/>
      <c r="L16" s="142"/>
      <c r="M16" s="74"/>
      <c r="N16" s="76"/>
      <c r="O16" s="77"/>
    </row>
    <row r="17" spans="1:15">
      <c r="A17" s="29">
        <v>2018</v>
      </c>
      <c r="B17" s="35"/>
      <c r="C17" s="38">
        <v>169</v>
      </c>
      <c r="D17" s="27">
        <v>1970</v>
      </c>
      <c r="E17" s="26">
        <v>1763</v>
      </c>
      <c r="F17" s="30">
        <v>4</v>
      </c>
      <c r="G17" s="27">
        <v>658</v>
      </c>
      <c r="H17" s="28">
        <v>658</v>
      </c>
      <c r="I17" s="27">
        <v>922</v>
      </c>
      <c r="J17" s="27">
        <v>5716</v>
      </c>
      <c r="K17" s="26">
        <v>5716</v>
      </c>
      <c r="L17" s="93">
        <v>926</v>
      </c>
      <c r="M17" s="94">
        <v>6374</v>
      </c>
      <c r="N17" s="95">
        <v>6374</v>
      </c>
      <c r="O17" s="44"/>
    </row>
    <row r="18" spans="1:15">
      <c r="A18" s="29">
        <v>2019</v>
      </c>
      <c r="B18" s="35"/>
      <c r="C18" s="38">
        <v>146</v>
      </c>
      <c r="D18" s="27">
        <v>2009</v>
      </c>
      <c r="E18" s="26">
        <v>1828</v>
      </c>
      <c r="F18" s="30">
        <v>0</v>
      </c>
      <c r="G18" s="27">
        <v>615</v>
      </c>
      <c r="H18" s="28">
        <v>615</v>
      </c>
      <c r="I18" s="27">
        <v>519</v>
      </c>
      <c r="J18" s="27">
        <v>5768</v>
      </c>
      <c r="K18" s="26">
        <v>5768</v>
      </c>
      <c r="L18" s="93">
        <v>519</v>
      </c>
      <c r="M18" s="94">
        <v>6383</v>
      </c>
      <c r="N18" s="95">
        <v>6383</v>
      </c>
      <c r="O18" s="44"/>
    </row>
    <row r="19" spans="1:15">
      <c r="A19" s="29">
        <v>2020</v>
      </c>
      <c r="B19" s="35"/>
      <c r="C19" s="38">
        <v>119</v>
      </c>
      <c r="D19" s="27">
        <v>2101</v>
      </c>
      <c r="E19" s="26">
        <v>1861</v>
      </c>
      <c r="F19" s="30">
        <v>212</v>
      </c>
      <c r="G19" s="27">
        <v>687</v>
      </c>
      <c r="H19" s="28">
        <v>687</v>
      </c>
      <c r="I19" s="27">
        <v>348</v>
      </c>
      <c r="J19" s="27">
        <v>5857</v>
      </c>
      <c r="K19" s="26">
        <v>5857</v>
      </c>
      <c r="L19" s="93">
        <v>560</v>
      </c>
      <c r="M19" s="94">
        <v>6544</v>
      </c>
      <c r="N19" s="95">
        <v>6544</v>
      </c>
      <c r="O19" s="44"/>
    </row>
    <row r="20" spans="1:15">
      <c r="A20" s="29">
        <v>2021</v>
      </c>
      <c r="B20" s="35"/>
      <c r="C20" s="38">
        <v>115</v>
      </c>
      <c r="D20" s="27">
        <v>2163</v>
      </c>
      <c r="E20" s="26">
        <v>1931</v>
      </c>
      <c r="F20" s="30">
        <v>146</v>
      </c>
      <c r="G20" s="27">
        <v>696</v>
      </c>
      <c r="H20" s="28">
        <v>696</v>
      </c>
      <c r="I20" s="27">
        <v>776</v>
      </c>
      <c r="J20" s="27">
        <v>5992</v>
      </c>
      <c r="K20" s="26">
        <v>5992</v>
      </c>
      <c r="L20" s="93">
        <v>922</v>
      </c>
      <c r="M20" s="94">
        <v>6688</v>
      </c>
      <c r="N20" s="95">
        <v>6688</v>
      </c>
      <c r="O20" s="44"/>
    </row>
    <row r="21" spans="1:15">
      <c r="A21" s="29">
        <v>2022</v>
      </c>
      <c r="B21" s="22"/>
      <c r="C21" s="93">
        <v>137</v>
      </c>
      <c r="D21" s="91">
        <v>2233</v>
      </c>
      <c r="E21" s="26">
        <v>1981</v>
      </c>
      <c r="F21" s="30">
        <v>225</v>
      </c>
      <c r="G21" s="27">
        <v>695</v>
      </c>
      <c r="H21" s="28">
        <v>695</v>
      </c>
      <c r="I21" s="27">
        <v>553</v>
      </c>
      <c r="J21" s="27">
        <v>6120</v>
      </c>
      <c r="K21" s="26">
        <v>6120</v>
      </c>
      <c r="L21" s="93">
        <v>778</v>
      </c>
      <c r="M21" s="94">
        <v>6815</v>
      </c>
      <c r="N21" s="95">
        <v>6815</v>
      </c>
      <c r="O21" s="44"/>
    </row>
    <row r="22" spans="1:15">
      <c r="A22" s="23"/>
      <c r="B22" s="35"/>
      <c r="C22" s="37"/>
      <c r="D22" s="21"/>
      <c r="E22" s="19"/>
      <c r="F22" s="20"/>
      <c r="G22" s="21"/>
      <c r="H22" s="34"/>
      <c r="I22" s="21"/>
      <c r="J22" s="21"/>
      <c r="K22" s="19"/>
      <c r="L22" s="85"/>
      <c r="M22" s="96"/>
      <c r="N22" s="87"/>
      <c r="O22" s="44"/>
    </row>
    <row r="23" spans="1:15">
      <c r="A23" s="23"/>
      <c r="B23" s="35"/>
      <c r="C23" s="37"/>
      <c r="D23" s="21"/>
      <c r="E23" s="19"/>
      <c r="F23" s="20"/>
      <c r="G23" s="21"/>
      <c r="H23" s="34"/>
      <c r="I23" s="21"/>
      <c r="J23" s="21"/>
      <c r="K23" s="19"/>
      <c r="L23" s="85"/>
      <c r="M23" s="96"/>
      <c r="N23" s="87"/>
      <c r="O23" s="44"/>
    </row>
    <row r="24" spans="1:15">
      <c r="A24" s="23"/>
      <c r="B24" s="35"/>
      <c r="C24" s="37"/>
      <c r="D24" s="21"/>
      <c r="E24" s="19"/>
      <c r="F24" s="20"/>
      <c r="G24" s="21"/>
      <c r="H24" s="34"/>
      <c r="I24" s="21"/>
      <c r="J24" s="21"/>
      <c r="K24" s="19"/>
      <c r="L24" s="85"/>
      <c r="M24" s="96"/>
      <c r="N24" s="87"/>
      <c r="O24" s="44"/>
    </row>
    <row r="25" spans="1:15">
      <c r="A25" s="23"/>
      <c r="B25" s="35"/>
      <c r="C25" s="37"/>
      <c r="D25" s="21"/>
      <c r="E25" s="19"/>
      <c r="F25" s="20"/>
      <c r="G25" s="21"/>
      <c r="H25" s="34"/>
      <c r="I25" s="21"/>
      <c r="J25" s="21"/>
      <c r="K25" s="19"/>
      <c r="L25" s="85"/>
      <c r="M25" s="96"/>
      <c r="N25" s="87"/>
      <c r="O25" s="44"/>
    </row>
    <row r="26" spans="1:15">
      <c r="A26" s="23">
        <v>2022</v>
      </c>
      <c r="B26" s="22">
        <v>2</v>
      </c>
      <c r="C26" s="37">
        <v>7</v>
      </c>
      <c r="D26" s="21">
        <v>2181</v>
      </c>
      <c r="E26" s="19">
        <v>1935</v>
      </c>
      <c r="F26" s="96">
        <v>1</v>
      </c>
      <c r="G26" s="21">
        <v>697</v>
      </c>
      <c r="H26" s="34">
        <v>697</v>
      </c>
      <c r="I26" s="21">
        <v>10</v>
      </c>
      <c r="J26" s="21">
        <v>5999</v>
      </c>
      <c r="K26" s="19">
        <v>5999</v>
      </c>
      <c r="L26" s="85">
        <v>11</v>
      </c>
      <c r="M26" s="96">
        <v>6696</v>
      </c>
      <c r="N26" s="87">
        <v>6696</v>
      </c>
      <c r="O26" s="44"/>
    </row>
    <row r="27" spans="1:15">
      <c r="A27" s="23"/>
      <c r="B27" s="22">
        <v>3</v>
      </c>
      <c r="C27" s="37">
        <v>16</v>
      </c>
      <c r="D27" s="21">
        <v>2197</v>
      </c>
      <c r="E27" s="19">
        <v>1916</v>
      </c>
      <c r="F27" s="96">
        <v>32</v>
      </c>
      <c r="G27" s="21">
        <v>696</v>
      </c>
      <c r="H27" s="34">
        <v>696</v>
      </c>
      <c r="I27" s="21">
        <v>100</v>
      </c>
      <c r="J27" s="21">
        <v>6050</v>
      </c>
      <c r="K27" s="19">
        <v>6050</v>
      </c>
      <c r="L27" s="85">
        <v>132</v>
      </c>
      <c r="M27" s="96">
        <v>6746</v>
      </c>
      <c r="N27" s="87">
        <v>6746</v>
      </c>
      <c r="O27" s="44"/>
    </row>
    <row r="28" spans="1:15">
      <c r="A28" s="23"/>
      <c r="B28" s="22">
        <v>4</v>
      </c>
      <c r="C28" s="37">
        <v>12</v>
      </c>
      <c r="D28" s="21">
        <v>2208</v>
      </c>
      <c r="E28" s="19">
        <v>1944</v>
      </c>
      <c r="F28" s="96">
        <v>36</v>
      </c>
      <c r="G28" s="21">
        <v>712</v>
      </c>
      <c r="H28" s="34">
        <v>712</v>
      </c>
      <c r="I28" s="21">
        <v>85</v>
      </c>
      <c r="J28" s="21">
        <v>6105</v>
      </c>
      <c r="K28" s="19">
        <v>6105</v>
      </c>
      <c r="L28" s="85">
        <v>121</v>
      </c>
      <c r="M28" s="96">
        <v>6817</v>
      </c>
      <c r="N28" s="87">
        <v>6817</v>
      </c>
      <c r="O28" s="44"/>
    </row>
    <row r="29" spans="1:15">
      <c r="A29" s="23"/>
      <c r="B29" s="22">
        <v>5</v>
      </c>
      <c r="C29" s="37">
        <v>7</v>
      </c>
      <c r="D29" s="21">
        <v>2192</v>
      </c>
      <c r="E29" s="19">
        <v>1956</v>
      </c>
      <c r="F29" s="96">
        <v>33</v>
      </c>
      <c r="G29" s="21">
        <v>724</v>
      </c>
      <c r="H29" s="34">
        <v>724</v>
      </c>
      <c r="I29" s="21">
        <v>54</v>
      </c>
      <c r="J29" s="21">
        <v>6125</v>
      </c>
      <c r="K29" s="19">
        <v>6125</v>
      </c>
      <c r="L29" s="85">
        <v>87</v>
      </c>
      <c r="M29" s="96">
        <v>6849</v>
      </c>
      <c r="N29" s="87">
        <v>6849</v>
      </c>
      <c r="O29" s="44"/>
    </row>
    <row r="30" spans="1:15">
      <c r="A30" s="23"/>
      <c r="B30" s="22">
        <v>6</v>
      </c>
      <c r="C30" s="37">
        <v>13</v>
      </c>
      <c r="D30" s="21">
        <v>2205</v>
      </c>
      <c r="E30" s="19">
        <v>1970</v>
      </c>
      <c r="F30" s="96">
        <v>44</v>
      </c>
      <c r="G30" s="21">
        <v>785</v>
      </c>
      <c r="H30" s="34">
        <v>785</v>
      </c>
      <c r="I30" s="21">
        <v>45</v>
      </c>
      <c r="J30" s="21">
        <v>6151</v>
      </c>
      <c r="K30" s="19">
        <v>6151</v>
      </c>
      <c r="L30" s="85">
        <v>89</v>
      </c>
      <c r="M30" s="96">
        <v>6936</v>
      </c>
      <c r="N30" s="87">
        <v>6936</v>
      </c>
      <c r="O30" s="44"/>
    </row>
    <row r="31" spans="1:15">
      <c r="A31" s="23"/>
      <c r="B31" s="22">
        <v>7</v>
      </c>
      <c r="C31" s="37">
        <v>14</v>
      </c>
      <c r="D31" s="21">
        <v>2219</v>
      </c>
      <c r="E31" s="19">
        <v>1973</v>
      </c>
      <c r="F31" s="96">
        <v>33</v>
      </c>
      <c r="G31" s="21">
        <v>760</v>
      </c>
      <c r="H31" s="34">
        <v>760</v>
      </c>
      <c r="I31" s="21">
        <v>23</v>
      </c>
      <c r="J31" s="21">
        <v>6141</v>
      </c>
      <c r="K31" s="19">
        <v>6141</v>
      </c>
      <c r="L31" s="85">
        <v>56</v>
      </c>
      <c r="M31" s="96">
        <v>6901</v>
      </c>
      <c r="N31" s="87">
        <v>6901</v>
      </c>
      <c r="O31" s="44"/>
    </row>
    <row r="32" spans="1:15">
      <c r="A32" s="23"/>
      <c r="B32" s="22">
        <v>8</v>
      </c>
      <c r="C32" s="37">
        <v>18</v>
      </c>
      <c r="D32" s="21">
        <v>2197</v>
      </c>
      <c r="E32" s="19">
        <v>1979</v>
      </c>
      <c r="F32" s="96">
        <v>18</v>
      </c>
      <c r="G32" s="21">
        <v>750</v>
      </c>
      <c r="H32" s="34">
        <v>750</v>
      </c>
      <c r="I32" s="21">
        <v>33</v>
      </c>
      <c r="J32" s="21">
        <v>6136</v>
      </c>
      <c r="K32" s="19">
        <v>6136</v>
      </c>
      <c r="L32" s="85">
        <v>51</v>
      </c>
      <c r="M32" s="96">
        <v>6886</v>
      </c>
      <c r="N32" s="87">
        <v>6886</v>
      </c>
      <c r="O32" s="44"/>
    </row>
    <row r="33" spans="1:15">
      <c r="A33" s="23"/>
      <c r="B33" s="22">
        <v>9</v>
      </c>
      <c r="C33" s="37">
        <v>10</v>
      </c>
      <c r="D33" s="21">
        <v>2208</v>
      </c>
      <c r="E33" s="19">
        <v>1979</v>
      </c>
      <c r="F33" s="96">
        <v>0</v>
      </c>
      <c r="G33" s="21">
        <v>706</v>
      </c>
      <c r="H33" s="34">
        <v>706</v>
      </c>
      <c r="I33" s="21">
        <v>34</v>
      </c>
      <c r="J33" s="21">
        <v>6130</v>
      </c>
      <c r="K33" s="19">
        <v>6130</v>
      </c>
      <c r="L33" s="85">
        <v>34</v>
      </c>
      <c r="M33" s="96">
        <v>6836</v>
      </c>
      <c r="N33" s="87">
        <v>6836</v>
      </c>
      <c r="O33" s="44"/>
    </row>
    <row r="34" spans="1:15">
      <c r="A34" s="23"/>
      <c r="B34" s="22">
        <v>10</v>
      </c>
      <c r="C34" s="37">
        <v>11</v>
      </c>
      <c r="D34" s="21">
        <v>2216</v>
      </c>
      <c r="E34" s="19">
        <v>1979</v>
      </c>
      <c r="F34" s="96">
        <v>0</v>
      </c>
      <c r="G34" s="21">
        <v>705</v>
      </c>
      <c r="H34" s="34">
        <v>705</v>
      </c>
      <c r="I34" s="21">
        <v>38</v>
      </c>
      <c r="J34" s="21">
        <v>6131</v>
      </c>
      <c r="K34" s="19">
        <v>6131</v>
      </c>
      <c r="L34" s="85">
        <v>38</v>
      </c>
      <c r="M34" s="96">
        <v>6836</v>
      </c>
      <c r="N34" s="87">
        <v>6836</v>
      </c>
      <c r="O34" s="44"/>
    </row>
    <row r="35" spans="1:15">
      <c r="A35" s="23"/>
      <c r="B35" s="22">
        <v>11</v>
      </c>
      <c r="C35" s="37">
        <v>8</v>
      </c>
      <c r="D35" s="21">
        <v>2222</v>
      </c>
      <c r="E35" s="19">
        <v>1980</v>
      </c>
      <c r="F35" s="96">
        <v>0</v>
      </c>
      <c r="G35" s="21">
        <v>694</v>
      </c>
      <c r="H35" s="34">
        <v>694</v>
      </c>
      <c r="I35" s="21">
        <v>30</v>
      </c>
      <c r="J35" s="21">
        <v>6112</v>
      </c>
      <c r="K35" s="19">
        <v>6112</v>
      </c>
      <c r="L35" s="85">
        <v>30</v>
      </c>
      <c r="M35" s="96">
        <v>6806</v>
      </c>
      <c r="N35" s="87">
        <v>6806</v>
      </c>
      <c r="O35" s="44"/>
    </row>
    <row r="36" spans="1:15">
      <c r="A36" s="23"/>
      <c r="B36" s="22">
        <v>12</v>
      </c>
      <c r="C36" s="37">
        <v>10</v>
      </c>
      <c r="D36" s="21">
        <v>2233</v>
      </c>
      <c r="E36" s="19">
        <v>1981</v>
      </c>
      <c r="F36" s="96">
        <v>6</v>
      </c>
      <c r="G36" s="21">
        <v>695</v>
      </c>
      <c r="H36" s="34">
        <v>695</v>
      </c>
      <c r="I36" s="21">
        <v>57</v>
      </c>
      <c r="J36" s="21">
        <v>6120</v>
      </c>
      <c r="K36" s="19">
        <v>6120</v>
      </c>
      <c r="L36" s="85">
        <v>63</v>
      </c>
      <c r="M36" s="96">
        <v>6815</v>
      </c>
      <c r="N36" s="87">
        <v>6815</v>
      </c>
      <c r="O36" s="44"/>
    </row>
    <row r="37" spans="1:15">
      <c r="A37" s="48"/>
      <c r="B37" s="22"/>
      <c r="C37" s="37"/>
      <c r="D37" s="21"/>
      <c r="E37" s="19"/>
      <c r="F37" s="96"/>
      <c r="G37" s="21"/>
      <c r="H37" s="34"/>
      <c r="I37" s="21"/>
      <c r="J37" s="21"/>
      <c r="K37" s="19"/>
      <c r="L37" s="85"/>
      <c r="M37" s="96"/>
      <c r="N37" s="87"/>
      <c r="O37" s="44"/>
    </row>
    <row r="38" spans="1:15">
      <c r="A38" s="23">
        <v>2023</v>
      </c>
      <c r="B38" s="22">
        <v>1</v>
      </c>
      <c r="C38" s="37">
        <v>3</v>
      </c>
      <c r="D38" s="21">
        <v>2236</v>
      </c>
      <c r="E38" s="19">
        <v>1968</v>
      </c>
      <c r="F38" s="96">
        <v>13</v>
      </c>
      <c r="G38" s="21">
        <v>692</v>
      </c>
      <c r="H38" s="34">
        <v>692</v>
      </c>
      <c r="I38" s="21">
        <v>37</v>
      </c>
      <c r="J38" s="21">
        <v>6146</v>
      </c>
      <c r="K38" s="19">
        <v>6146</v>
      </c>
      <c r="L38" s="85">
        <v>50</v>
      </c>
      <c r="M38" s="96">
        <v>6838</v>
      </c>
      <c r="N38" s="87">
        <v>6838</v>
      </c>
      <c r="O38" s="44"/>
    </row>
    <row r="39" spans="1:15">
      <c r="A39" s="23"/>
      <c r="B39" s="22">
        <v>2</v>
      </c>
      <c r="C39" s="37">
        <v>6</v>
      </c>
      <c r="D39" s="21">
        <v>2239</v>
      </c>
      <c r="E39" s="19">
        <v>1975</v>
      </c>
      <c r="F39" s="96">
        <v>0</v>
      </c>
      <c r="G39" s="21">
        <v>696</v>
      </c>
      <c r="H39" s="34">
        <v>696</v>
      </c>
      <c r="I39" s="21">
        <v>34</v>
      </c>
      <c r="J39" s="21">
        <v>6153</v>
      </c>
      <c r="K39" s="19">
        <v>6153</v>
      </c>
      <c r="L39" s="85">
        <v>34</v>
      </c>
      <c r="M39" s="96">
        <v>6849</v>
      </c>
      <c r="N39" s="87">
        <v>6849</v>
      </c>
      <c r="O39" s="44"/>
    </row>
    <row r="40" spans="1:15">
      <c r="A40" s="23"/>
      <c r="B40" s="22">
        <v>3</v>
      </c>
      <c r="C40" s="37">
        <v>13</v>
      </c>
      <c r="D40" s="21">
        <v>2251</v>
      </c>
      <c r="E40" s="19">
        <v>1983</v>
      </c>
      <c r="F40" s="96">
        <v>5</v>
      </c>
      <c r="G40" s="21">
        <v>698</v>
      </c>
      <c r="H40" s="34">
        <v>698</v>
      </c>
      <c r="I40" s="21">
        <v>68</v>
      </c>
      <c r="J40" s="21">
        <v>6164</v>
      </c>
      <c r="K40" s="19">
        <v>6164</v>
      </c>
      <c r="L40" s="85">
        <v>73</v>
      </c>
      <c r="M40" s="96">
        <v>6862</v>
      </c>
      <c r="N40" s="87">
        <v>6862</v>
      </c>
      <c r="O40" s="44"/>
    </row>
    <row r="41" spans="1:15">
      <c r="A41" s="23"/>
      <c r="B41" s="22">
        <v>4</v>
      </c>
      <c r="C41" s="37">
        <v>11</v>
      </c>
      <c r="D41" s="21">
        <v>2261</v>
      </c>
      <c r="E41" s="19">
        <v>1971</v>
      </c>
      <c r="F41" s="96">
        <v>28</v>
      </c>
      <c r="G41" s="21">
        <v>718</v>
      </c>
      <c r="H41" s="34">
        <v>718</v>
      </c>
      <c r="I41" s="21">
        <v>79</v>
      </c>
      <c r="J41" s="21">
        <v>6159</v>
      </c>
      <c r="K41" s="19">
        <v>6159</v>
      </c>
      <c r="L41" s="85">
        <v>107</v>
      </c>
      <c r="M41" s="96">
        <v>6877</v>
      </c>
      <c r="N41" s="87">
        <v>6877</v>
      </c>
      <c r="O41" s="44"/>
    </row>
    <row r="42" spans="1:15">
      <c r="A42" s="23"/>
      <c r="B42" s="22">
        <v>5</v>
      </c>
      <c r="C42" s="37">
        <v>11</v>
      </c>
      <c r="D42" s="21">
        <v>2271</v>
      </c>
      <c r="E42" s="19">
        <v>1968</v>
      </c>
      <c r="F42" s="96">
        <v>8</v>
      </c>
      <c r="G42" s="21">
        <v>725</v>
      </c>
      <c r="H42" s="34">
        <v>725</v>
      </c>
      <c r="I42" s="21">
        <v>51</v>
      </c>
      <c r="J42" s="21">
        <v>6159</v>
      </c>
      <c r="K42" s="19">
        <v>6159</v>
      </c>
      <c r="L42" s="85">
        <v>59</v>
      </c>
      <c r="M42" s="96">
        <v>6884</v>
      </c>
      <c r="N42" s="87">
        <v>6884</v>
      </c>
      <c r="O42" s="44"/>
    </row>
    <row r="43" spans="1:15">
      <c r="A43" s="23"/>
      <c r="B43" s="22">
        <v>6</v>
      </c>
      <c r="C43" s="37">
        <v>7</v>
      </c>
      <c r="D43" s="21">
        <v>2278</v>
      </c>
      <c r="E43" s="19">
        <v>1964</v>
      </c>
      <c r="F43" s="96">
        <v>0</v>
      </c>
      <c r="G43" s="21">
        <v>725</v>
      </c>
      <c r="H43" s="34">
        <v>725</v>
      </c>
      <c r="I43" s="21">
        <v>62</v>
      </c>
      <c r="J43" s="21">
        <v>6165</v>
      </c>
      <c r="K43" s="19">
        <v>6165</v>
      </c>
      <c r="L43" s="85">
        <v>62</v>
      </c>
      <c r="M43" s="96">
        <v>6890</v>
      </c>
      <c r="N43" s="87">
        <v>6890</v>
      </c>
      <c r="O43" s="44"/>
    </row>
    <row r="44" spans="1:15">
      <c r="A44" s="48"/>
      <c r="B44" s="22">
        <v>7</v>
      </c>
      <c r="C44" s="37">
        <v>8</v>
      </c>
      <c r="D44" s="21">
        <v>2285</v>
      </c>
      <c r="E44" s="19">
        <v>1960</v>
      </c>
      <c r="F44" s="96">
        <v>0</v>
      </c>
      <c r="G44" s="21">
        <v>723</v>
      </c>
      <c r="H44" s="34">
        <v>723</v>
      </c>
      <c r="I44" s="21">
        <v>35</v>
      </c>
      <c r="J44" s="21">
        <v>6172</v>
      </c>
      <c r="K44" s="19">
        <v>6172</v>
      </c>
      <c r="L44" s="85">
        <v>35</v>
      </c>
      <c r="M44" s="96">
        <v>6895</v>
      </c>
      <c r="N44" s="87">
        <v>6895</v>
      </c>
      <c r="O44" s="44"/>
    </row>
    <row r="45" spans="1:15">
      <c r="A45" s="60"/>
      <c r="B45" s="17"/>
      <c r="C45" s="80"/>
      <c r="D45" s="15"/>
      <c r="E45" s="11"/>
      <c r="F45" s="124"/>
      <c r="G45" s="15"/>
      <c r="H45" s="79"/>
      <c r="I45" s="15"/>
      <c r="J45" s="15"/>
      <c r="K45" s="11"/>
      <c r="L45" s="118"/>
      <c r="M45" s="124"/>
      <c r="N45" s="120"/>
      <c r="O45" s="44"/>
    </row>
    <row r="46" spans="1:15">
      <c r="A46" s="44"/>
      <c r="B46" s="35"/>
      <c r="C46" s="24"/>
      <c r="D46" s="24"/>
      <c r="E46" s="24"/>
      <c r="F46" s="88"/>
      <c r="G46" s="24"/>
      <c r="H46" s="24"/>
      <c r="I46" s="24"/>
      <c r="J46" s="24"/>
      <c r="K46" s="24"/>
      <c r="L46" s="88"/>
      <c r="M46" s="88"/>
      <c r="N46" s="88"/>
      <c r="O46" s="44"/>
    </row>
    <row r="47" spans="1:15">
      <c r="A47" s="44"/>
      <c r="B47" s="35"/>
      <c r="C47" s="24"/>
      <c r="D47" s="24"/>
      <c r="E47" s="24"/>
      <c r="F47" s="88"/>
      <c r="G47" s="24"/>
      <c r="H47" s="24"/>
      <c r="I47" s="24"/>
      <c r="J47" s="24"/>
      <c r="K47" s="24"/>
      <c r="L47" s="88"/>
      <c r="M47" s="88"/>
      <c r="N47" s="88"/>
      <c r="O47" s="44"/>
    </row>
    <row r="48" spans="1:15">
      <c r="A48" s="125" t="s">
        <v>216</v>
      </c>
      <c r="B48" s="126" t="s">
        <v>217</v>
      </c>
      <c r="C48" s="125" t="s">
        <v>218</v>
      </c>
      <c r="D48" s="133"/>
      <c r="E48" s="133"/>
      <c r="F48" s="133"/>
      <c r="G48" s="133"/>
      <c r="H48" s="128" t="s">
        <v>219</v>
      </c>
      <c r="I48" s="126" t="s">
        <v>217</v>
      </c>
      <c r="J48" s="363" t="s">
        <v>220</v>
      </c>
      <c r="K48" s="364"/>
      <c r="L48" s="364"/>
      <c r="M48" s="364"/>
      <c r="N48" s="364"/>
      <c r="O48" s="44"/>
    </row>
    <row r="49" spans="1:15">
      <c r="A49" s="44"/>
      <c r="B49" s="126" t="s">
        <v>221</v>
      </c>
      <c r="C49" s="125" t="s">
        <v>222</v>
      </c>
      <c r="D49" s="133"/>
      <c r="E49" s="133"/>
      <c r="F49" s="133"/>
      <c r="G49" s="133"/>
      <c r="H49" s="133"/>
      <c r="I49" s="126" t="s">
        <v>221</v>
      </c>
      <c r="J49" s="365" t="s">
        <v>223</v>
      </c>
      <c r="K49" s="364"/>
      <c r="L49" s="364"/>
      <c r="M49" s="364"/>
      <c r="N49" s="364"/>
      <c r="O49" s="44"/>
    </row>
    <row r="50" spans="1:15">
      <c r="A50" s="44"/>
      <c r="B50" s="44"/>
      <c r="C50" s="44"/>
      <c r="D50" s="44"/>
      <c r="E50" s="44"/>
      <c r="F50" s="44"/>
      <c r="G50" s="44"/>
      <c r="H50" s="44"/>
      <c r="I50" s="44"/>
      <c r="J50" s="44"/>
      <c r="K50" s="44"/>
      <c r="L50" s="44"/>
      <c r="M50" s="44"/>
      <c r="N50" s="44"/>
      <c r="O50" s="44"/>
    </row>
    <row r="51" spans="1:15">
      <c r="A51" s="44"/>
      <c r="B51" s="131"/>
      <c r="C51" s="44"/>
      <c r="D51" s="44"/>
      <c r="E51" s="44"/>
      <c r="F51" s="44"/>
      <c r="G51" s="44"/>
      <c r="H51" s="44"/>
      <c r="I51" s="40"/>
      <c r="J51" s="40"/>
      <c r="K51" s="40"/>
      <c r="L51" s="40"/>
      <c r="M51" s="40"/>
      <c r="N51" s="40"/>
      <c r="O51" s="44"/>
    </row>
  </sheetData>
  <mergeCells count="12">
    <mergeCell ref="F9:N9"/>
    <mergeCell ref="C10:E10"/>
    <mergeCell ref="F10:N10"/>
    <mergeCell ref="J48:N48"/>
    <mergeCell ref="J49:N49"/>
    <mergeCell ref="C11:E11"/>
    <mergeCell ref="F11:H11"/>
    <mergeCell ref="I11:K11"/>
    <mergeCell ref="L11:N11"/>
    <mergeCell ref="F12:H12"/>
    <mergeCell ref="I12:K12"/>
    <mergeCell ref="L12:N12"/>
  </mergeCells>
  <phoneticPr fontId="5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BD74-ED83-47B6-B377-5F9CB5218FB9}">
  <dimension ref="A1:E16"/>
  <sheetViews>
    <sheetView workbookViewId="0">
      <selection activeCell="F20" sqref="F19:F20"/>
    </sheetView>
  </sheetViews>
  <sheetFormatPr baseColWidth="10" defaultColWidth="8.796875" defaultRowHeight="14"/>
  <sheetData>
    <row r="1" spans="1:5">
      <c r="A1" s="143" t="s">
        <v>29</v>
      </c>
    </row>
    <row r="2" spans="1:5">
      <c r="A2" s="143" t="s">
        <v>224</v>
      </c>
    </row>
    <row r="4" spans="1:5">
      <c r="A4" t="s">
        <v>225</v>
      </c>
    </row>
    <row r="5" spans="1:5">
      <c r="A5" t="s">
        <v>226</v>
      </c>
    </row>
    <row r="6" spans="1:5">
      <c r="C6" t="s">
        <v>227</v>
      </c>
      <c r="E6">
        <v>400</v>
      </c>
    </row>
    <row r="7" spans="1:5">
      <c r="C7" t="s">
        <v>228</v>
      </c>
      <c r="E7">
        <v>5</v>
      </c>
    </row>
    <row r="8" spans="1:5">
      <c r="C8" t="s">
        <v>229</v>
      </c>
      <c r="E8">
        <v>66</v>
      </c>
    </row>
    <row r="9" spans="1:5">
      <c r="C9" t="s">
        <v>230</v>
      </c>
      <c r="E9">
        <v>437</v>
      </c>
    </row>
    <row r="10" spans="1:5">
      <c r="C10" t="s">
        <v>231</v>
      </c>
      <c r="E10">
        <v>133</v>
      </c>
    </row>
    <row r="11" spans="1:5">
      <c r="C11" t="s">
        <v>232</v>
      </c>
      <c r="E11">
        <v>127</v>
      </c>
    </row>
    <row r="16" spans="1:5">
      <c r="A16" t="s">
        <v>233</v>
      </c>
    </row>
  </sheetData>
  <phoneticPr fontId="57" type="noConversion"/>
  <hyperlinks>
    <hyperlink ref="A1" r:id="rId1" xr:uid="{4749614C-AA7B-4B4A-87C7-77220ABD71B8}"/>
    <hyperlink ref="A2" r:id="rId2" xr:uid="{7DE48CAE-52CD-B04C-96BF-451EBE07EE9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1EFD7-51F0-4FEE-91B1-DD18171CFA24}">
  <sheetPr codeName="Sheet2"/>
  <dimension ref="C42:F46"/>
  <sheetViews>
    <sheetView workbookViewId="0">
      <selection activeCell="U35" sqref="U35"/>
    </sheetView>
  </sheetViews>
  <sheetFormatPr baseColWidth="10" defaultColWidth="8.796875" defaultRowHeight="14"/>
  <sheetData>
    <row r="42" spans="3:6">
      <c r="C42" t="s">
        <v>234</v>
      </c>
      <c r="F42">
        <f>10905/('HK TD Cars'!Q18+'HK TD Cars'!N66+'HD TD Gov vehicles'!K20)</f>
        <v>1.831861796484438E-2</v>
      </c>
    </row>
    <row r="43" spans="3:6">
      <c r="C43" t="s">
        <v>235</v>
      </c>
      <c r="F43">
        <f>1-F42</f>
        <v>0.98168138203515565</v>
      </c>
    </row>
    <row r="45" spans="3:6">
      <c r="C45" t="s">
        <v>236</v>
      </c>
      <c r="F45">
        <f xml:space="preserve"> (13106+3002)/('HK TD Buses'!K205 + 'HK TD Buses'!K253 +'HK TD Buses'!K297+'HK TD Buses'!N297)</f>
        <v>0.77974634524155295</v>
      </c>
    </row>
    <row r="46" spans="3:6">
      <c r="C46" t="s">
        <v>237</v>
      </c>
      <c r="F46">
        <f>1-F45</f>
        <v>0.22025365475844705</v>
      </c>
    </row>
  </sheetData>
  <phoneticPr fontId="5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630E-E65F-4458-8D98-EE4CA8EE7275}">
  <dimension ref="A1:N58"/>
  <sheetViews>
    <sheetView topLeftCell="A4" workbookViewId="0">
      <selection activeCell="N51" sqref="N51"/>
    </sheetView>
  </sheetViews>
  <sheetFormatPr baseColWidth="10" defaultColWidth="8.796875" defaultRowHeight="14"/>
  <cols>
    <col min="1" max="1" width="21.3984375" customWidth="1"/>
    <col min="4" max="4" width="9.19921875" style="149"/>
    <col min="5" max="5" width="9.19921875"/>
    <col min="6" max="6" width="9.19921875" style="149"/>
    <col min="7" max="7" width="9.19921875"/>
    <col min="8" max="8" width="9.19921875" style="149"/>
    <col min="9" max="9" width="9.19921875"/>
    <col min="10" max="10" width="9.19921875" style="149"/>
    <col min="11" max="11" width="9.19921875"/>
    <col min="12" max="12" width="9.19921875" style="149"/>
    <col min="13" max="13" width="9.19921875"/>
  </cols>
  <sheetData>
    <row r="1" spans="1:14">
      <c r="A1" t="s">
        <v>238</v>
      </c>
      <c r="B1" t="s">
        <v>239</v>
      </c>
    </row>
    <row r="2" spans="1:14">
      <c r="A2" t="s">
        <v>240</v>
      </c>
    </row>
    <row r="3" spans="1:14">
      <c r="C3">
        <f>SUM('Vehicle Fuel Type'!H15:H22)</f>
        <v>60991</v>
      </c>
      <c r="E3">
        <f>'Vehicle Fuel Type'!H15+'Vehicle Fuel Type'!H17</f>
        <v>60991</v>
      </c>
    </row>
    <row r="5" spans="1:14">
      <c r="C5" t="s">
        <v>123</v>
      </c>
      <c r="E5" t="s">
        <v>125</v>
      </c>
      <c r="G5" t="s">
        <v>124</v>
      </c>
      <c r="I5" t="s">
        <v>241</v>
      </c>
      <c r="K5" t="s">
        <v>242</v>
      </c>
      <c r="M5" t="s">
        <v>243</v>
      </c>
    </row>
    <row r="6" spans="1:14">
      <c r="C6" t="s">
        <v>128</v>
      </c>
      <c r="E6" t="s">
        <v>130</v>
      </c>
      <c r="G6" t="s">
        <v>129</v>
      </c>
      <c r="I6" t="s">
        <v>244</v>
      </c>
      <c r="K6" t="s">
        <v>245</v>
      </c>
      <c r="M6" t="s">
        <v>246</v>
      </c>
    </row>
    <row r="7" spans="1:14">
      <c r="C7" t="s">
        <v>92</v>
      </c>
      <c r="D7" s="149" t="s">
        <v>93</v>
      </c>
      <c r="E7" t="s">
        <v>92</v>
      </c>
      <c r="F7" s="149" t="s">
        <v>93</v>
      </c>
      <c r="G7" t="s">
        <v>92</v>
      </c>
      <c r="H7" s="149" t="s">
        <v>93</v>
      </c>
      <c r="I7" t="s">
        <v>92</v>
      </c>
      <c r="J7" s="149" t="s">
        <v>93</v>
      </c>
      <c r="K7" t="s">
        <v>92</v>
      </c>
      <c r="L7" s="149" t="s">
        <v>93</v>
      </c>
      <c r="M7" t="s">
        <v>92</v>
      </c>
      <c r="N7" t="s">
        <v>93</v>
      </c>
    </row>
    <row r="8" spans="1:14">
      <c r="C8" t="s">
        <v>247</v>
      </c>
      <c r="D8" s="149" t="s">
        <v>248</v>
      </c>
      <c r="E8" t="s">
        <v>247</v>
      </c>
      <c r="F8" s="149" t="s">
        <v>248</v>
      </c>
      <c r="G8" t="s">
        <v>247</v>
      </c>
      <c r="H8" s="149" t="s">
        <v>248</v>
      </c>
      <c r="I8" t="s">
        <v>247</v>
      </c>
      <c r="J8" s="149" t="s">
        <v>248</v>
      </c>
      <c r="K8" t="s">
        <v>247</v>
      </c>
      <c r="L8" s="149" t="s">
        <v>248</v>
      </c>
      <c r="M8" t="s">
        <v>247</v>
      </c>
      <c r="N8" t="s">
        <v>248</v>
      </c>
    </row>
    <row r="9" spans="1:14">
      <c r="A9" t="s">
        <v>249</v>
      </c>
      <c r="C9">
        <v>107224</v>
      </c>
      <c r="D9" s="149">
        <v>73287</v>
      </c>
      <c r="E9" t="s">
        <v>250</v>
      </c>
      <c r="F9" s="149" t="s">
        <v>250</v>
      </c>
      <c r="G9">
        <v>389</v>
      </c>
      <c r="H9" s="149">
        <v>368</v>
      </c>
      <c r="I9" t="s">
        <v>250</v>
      </c>
      <c r="J9" s="149" t="s">
        <v>250</v>
      </c>
      <c r="K9" t="s">
        <v>250</v>
      </c>
      <c r="L9" s="149" t="s">
        <v>250</v>
      </c>
      <c r="M9">
        <v>107613</v>
      </c>
      <c r="N9">
        <v>73655</v>
      </c>
    </row>
    <row r="10" spans="1:14" ht="15" customHeight="1">
      <c r="A10" t="s">
        <v>251</v>
      </c>
    </row>
    <row r="11" spans="1:14" ht="15" customHeight="1">
      <c r="A11" t="s">
        <v>252</v>
      </c>
      <c r="C11">
        <v>127</v>
      </c>
      <c r="D11" s="149">
        <v>85</v>
      </c>
      <c r="E11" t="s">
        <v>250</v>
      </c>
      <c r="F11" s="149" t="s">
        <v>250</v>
      </c>
      <c r="G11" t="s">
        <v>250</v>
      </c>
      <c r="H11" s="149" t="s">
        <v>250</v>
      </c>
      <c r="I11" t="s">
        <v>250</v>
      </c>
      <c r="J11" s="149" t="s">
        <v>250</v>
      </c>
      <c r="K11" t="s">
        <v>250</v>
      </c>
      <c r="L11" s="149" t="s">
        <v>250</v>
      </c>
      <c r="M11">
        <v>127</v>
      </c>
      <c r="N11">
        <v>65</v>
      </c>
    </row>
    <row r="12" spans="1:14" ht="15" customHeight="1">
      <c r="A12" t="s">
        <v>253</v>
      </c>
    </row>
    <row r="13" spans="1:14" ht="15" customHeight="1">
      <c r="A13" t="s">
        <v>82</v>
      </c>
      <c r="C13">
        <v>1128</v>
      </c>
      <c r="D13" s="149">
        <v>938</v>
      </c>
      <c r="E13" t="s">
        <v>250</v>
      </c>
      <c r="F13" s="149" t="s">
        <v>250</v>
      </c>
      <c r="G13">
        <v>11</v>
      </c>
      <c r="H13" s="149">
        <v>11</v>
      </c>
      <c r="I13" t="s">
        <v>250</v>
      </c>
      <c r="J13" s="149" t="s">
        <v>250</v>
      </c>
      <c r="K13" t="s">
        <v>250</v>
      </c>
      <c r="L13" s="149" t="s">
        <v>250</v>
      </c>
      <c r="M13">
        <v>1139</v>
      </c>
      <c r="N13">
        <v>949</v>
      </c>
    </row>
    <row r="14" spans="1:14" ht="15" customHeight="1">
      <c r="A14" t="s">
        <v>254</v>
      </c>
    </row>
    <row r="15" spans="1:14" s="148" customFormat="1" ht="15" customHeight="1">
      <c r="A15" s="148" t="s">
        <v>84</v>
      </c>
      <c r="C15" s="148">
        <v>578215</v>
      </c>
      <c r="D15" s="148">
        <v>507581</v>
      </c>
      <c r="E15" s="148">
        <v>11808</v>
      </c>
      <c r="F15" s="148">
        <v>10905</v>
      </c>
      <c r="G15" s="148">
        <v>62056</v>
      </c>
      <c r="H15" s="148">
        <v>60986</v>
      </c>
      <c r="I15" s="148" t="s">
        <v>250</v>
      </c>
      <c r="J15" s="148" t="s">
        <v>250</v>
      </c>
      <c r="K15" s="148">
        <v>119</v>
      </c>
      <c r="L15" s="148">
        <v>65</v>
      </c>
      <c r="M15">
        <v>652198</v>
      </c>
      <c r="N15" s="148">
        <v>579537</v>
      </c>
    </row>
    <row r="16" spans="1:14" ht="15" customHeight="1">
      <c r="A16" t="s">
        <v>255</v>
      </c>
    </row>
    <row r="17" spans="1:14" ht="15" customHeight="1">
      <c r="A17" t="s">
        <v>256</v>
      </c>
      <c r="C17">
        <v>11</v>
      </c>
      <c r="D17" s="149">
        <v>11</v>
      </c>
      <c r="E17" t="s">
        <v>250</v>
      </c>
      <c r="F17" s="149" t="s">
        <v>250</v>
      </c>
      <c r="G17">
        <v>5</v>
      </c>
      <c r="H17" s="149">
        <v>5</v>
      </c>
      <c r="I17">
        <v>15234</v>
      </c>
      <c r="J17" s="149">
        <v>15000</v>
      </c>
      <c r="K17" t="s">
        <v>250</v>
      </c>
      <c r="L17" s="149" t="s">
        <v>250</v>
      </c>
      <c r="M17">
        <v>15250</v>
      </c>
      <c r="N17">
        <v>15016</v>
      </c>
    </row>
    <row r="18" spans="1:14">
      <c r="A18" t="s">
        <v>257</v>
      </c>
    </row>
    <row r="19" spans="1:14" ht="15" customHeight="1">
      <c r="A19" t="s">
        <v>258</v>
      </c>
      <c r="C19">
        <v>3</v>
      </c>
      <c r="D19" s="149">
        <v>3</v>
      </c>
      <c r="E19" t="s">
        <v>250</v>
      </c>
      <c r="F19" s="149" t="s">
        <v>250</v>
      </c>
      <c r="G19" t="s">
        <v>250</v>
      </c>
      <c r="H19" s="149" t="s">
        <v>250</v>
      </c>
      <c r="I19">
        <v>2835</v>
      </c>
      <c r="J19" s="149">
        <v>2718</v>
      </c>
      <c r="K19" t="s">
        <v>250</v>
      </c>
      <c r="L19" s="149" t="s">
        <v>250</v>
      </c>
      <c r="M19">
        <v>2838</v>
      </c>
      <c r="N19">
        <v>2721</v>
      </c>
    </row>
    <row r="20" spans="1:14">
      <c r="A20" t="s">
        <v>259</v>
      </c>
    </row>
    <row r="21" spans="1:14" ht="15" customHeight="1">
      <c r="A21" t="s">
        <v>260</v>
      </c>
      <c r="C21" t="s">
        <v>250</v>
      </c>
      <c r="D21" s="149" t="s">
        <v>250</v>
      </c>
      <c r="E21" t="s">
        <v>250</v>
      </c>
      <c r="F21" s="149" t="s">
        <v>250</v>
      </c>
      <c r="G21" t="s">
        <v>250</v>
      </c>
      <c r="H21" s="149" t="s">
        <v>250</v>
      </c>
      <c r="I21">
        <v>75</v>
      </c>
      <c r="J21" s="149">
        <v>74</v>
      </c>
      <c r="K21" t="s">
        <v>250</v>
      </c>
      <c r="L21" s="149" t="s">
        <v>250</v>
      </c>
      <c r="M21">
        <v>75</v>
      </c>
      <c r="N21">
        <v>74</v>
      </c>
    </row>
    <row r="22" spans="1:14">
      <c r="A22" t="s">
        <v>261</v>
      </c>
    </row>
    <row r="23" spans="1:14" s="148" customFormat="1" ht="15" customHeight="1">
      <c r="A23" s="148" t="s">
        <v>262</v>
      </c>
      <c r="B23" s="148" t="s">
        <v>263</v>
      </c>
      <c r="C23" s="148" t="s">
        <v>250</v>
      </c>
      <c r="D23" s="148" t="s">
        <v>250</v>
      </c>
      <c r="E23" s="148">
        <v>125</v>
      </c>
      <c r="F23" s="148">
        <v>123</v>
      </c>
      <c r="G23" s="148">
        <v>32</v>
      </c>
      <c r="H23" s="148">
        <v>24</v>
      </c>
      <c r="I23" s="148" t="s">
        <v>250</v>
      </c>
      <c r="J23" s="148" t="s">
        <v>250</v>
      </c>
      <c r="K23" s="148" t="s">
        <v>250</v>
      </c>
      <c r="L23" s="148" t="s">
        <v>250</v>
      </c>
      <c r="M23">
        <v>157</v>
      </c>
      <c r="N23" s="148">
        <v>147</v>
      </c>
    </row>
    <row r="24" spans="1:14">
      <c r="A24" t="s">
        <v>264</v>
      </c>
      <c r="B24" t="s">
        <v>265</v>
      </c>
      <c r="C24" t="s">
        <v>250</v>
      </c>
      <c r="D24" s="149" t="s">
        <v>250</v>
      </c>
      <c r="E24">
        <v>3907</v>
      </c>
      <c r="F24" s="149">
        <v>3692</v>
      </c>
      <c r="G24">
        <v>2</v>
      </c>
      <c r="H24" s="149">
        <v>2</v>
      </c>
      <c r="I24" t="s">
        <v>250</v>
      </c>
      <c r="J24" s="149" t="s">
        <v>250</v>
      </c>
      <c r="K24" t="s">
        <v>250</v>
      </c>
      <c r="L24" s="149" t="s">
        <v>250</v>
      </c>
      <c r="M24">
        <v>3909</v>
      </c>
      <c r="N24">
        <v>3694</v>
      </c>
    </row>
    <row r="25" spans="1:14" ht="15" customHeight="1">
      <c r="A25" t="s">
        <v>266</v>
      </c>
      <c r="B25" t="s">
        <v>263</v>
      </c>
      <c r="C25" t="s">
        <v>250</v>
      </c>
      <c r="D25" s="149" t="s">
        <v>250</v>
      </c>
      <c r="E25">
        <v>41</v>
      </c>
      <c r="F25" s="149">
        <v>17</v>
      </c>
      <c r="G25">
        <v>7</v>
      </c>
      <c r="H25" s="149">
        <v>4</v>
      </c>
      <c r="I25" t="s">
        <v>250</v>
      </c>
      <c r="J25" s="149" t="s">
        <v>250</v>
      </c>
      <c r="K25" t="s">
        <v>250</v>
      </c>
      <c r="L25" s="149" t="s">
        <v>250</v>
      </c>
      <c r="M25">
        <v>48</v>
      </c>
      <c r="N25">
        <v>21</v>
      </c>
    </row>
    <row r="26" spans="1:14">
      <c r="A26" t="s">
        <v>267</v>
      </c>
      <c r="B26" t="s">
        <v>265</v>
      </c>
      <c r="C26" t="s">
        <v>250</v>
      </c>
      <c r="D26" s="149" t="s">
        <v>250</v>
      </c>
      <c r="E26">
        <v>1685</v>
      </c>
      <c r="F26" s="149">
        <v>1490</v>
      </c>
      <c r="G26">
        <v>1</v>
      </c>
      <c r="H26" s="149">
        <v>1</v>
      </c>
      <c r="I26" t="s">
        <v>250</v>
      </c>
      <c r="J26" s="149" t="s">
        <v>250</v>
      </c>
      <c r="K26" t="s">
        <v>250</v>
      </c>
      <c r="L26" s="149" t="s">
        <v>250</v>
      </c>
      <c r="M26">
        <v>1686</v>
      </c>
      <c r="N26">
        <v>1491</v>
      </c>
    </row>
    <row r="27" spans="1:14" ht="15" customHeight="1">
      <c r="A27" t="s">
        <v>268</v>
      </c>
      <c r="B27" t="s">
        <v>263</v>
      </c>
      <c r="C27" t="s">
        <v>250</v>
      </c>
      <c r="D27" s="149" t="s">
        <v>250</v>
      </c>
      <c r="E27" t="s">
        <v>250</v>
      </c>
      <c r="F27" s="149" t="s">
        <v>250</v>
      </c>
      <c r="G27">
        <v>4</v>
      </c>
      <c r="H27" s="149">
        <v>4</v>
      </c>
      <c r="I27" t="s">
        <v>250</v>
      </c>
      <c r="J27" s="149" t="s">
        <v>250</v>
      </c>
      <c r="K27" t="s">
        <v>250</v>
      </c>
      <c r="L27" s="149" t="s">
        <v>250</v>
      </c>
      <c r="M27">
        <v>4</v>
      </c>
      <c r="N27">
        <v>4</v>
      </c>
    </row>
    <row r="28" spans="1:14">
      <c r="A28" t="s">
        <v>269</v>
      </c>
      <c r="B28" t="s">
        <v>265</v>
      </c>
      <c r="C28" t="s">
        <v>250</v>
      </c>
      <c r="D28" s="149" t="s">
        <v>250</v>
      </c>
      <c r="E28">
        <v>284</v>
      </c>
      <c r="F28" s="149">
        <v>275</v>
      </c>
      <c r="G28" t="s">
        <v>250</v>
      </c>
      <c r="H28" s="149" t="s">
        <v>250</v>
      </c>
      <c r="I28" t="s">
        <v>250</v>
      </c>
      <c r="J28" s="149" t="s">
        <v>250</v>
      </c>
      <c r="K28" t="s">
        <v>250</v>
      </c>
      <c r="L28" s="149" t="s">
        <v>250</v>
      </c>
      <c r="M28">
        <v>284</v>
      </c>
      <c r="N28">
        <v>275</v>
      </c>
    </row>
    <row r="29" spans="1:14" ht="15" customHeight="1">
      <c r="A29" t="s">
        <v>270</v>
      </c>
      <c r="B29" t="s">
        <v>263</v>
      </c>
      <c r="C29" t="s">
        <v>250</v>
      </c>
      <c r="D29" s="149" t="s">
        <v>250</v>
      </c>
      <c r="E29">
        <v>90</v>
      </c>
      <c r="F29" s="149">
        <v>77</v>
      </c>
      <c r="G29">
        <v>4</v>
      </c>
      <c r="H29" s="149">
        <v>4</v>
      </c>
      <c r="I29" t="s">
        <v>250</v>
      </c>
      <c r="J29" s="149" t="s">
        <v>250</v>
      </c>
      <c r="K29" t="s">
        <v>250</v>
      </c>
      <c r="L29" s="149" t="s">
        <v>250</v>
      </c>
      <c r="M29">
        <v>94</v>
      </c>
      <c r="N29">
        <v>81</v>
      </c>
    </row>
    <row r="30" spans="1:14" ht="15" customHeight="1">
      <c r="A30" t="s">
        <v>271</v>
      </c>
      <c r="B30" t="s">
        <v>265</v>
      </c>
      <c r="C30" t="s">
        <v>250</v>
      </c>
      <c r="D30" s="149" t="s">
        <v>250</v>
      </c>
      <c r="E30">
        <v>59</v>
      </c>
      <c r="F30" s="149">
        <v>59</v>
      </c>
      <c r="G30" t="s">
        <v>250</v>
      </c>
      <c r="H30" s="149" t="s">
        <v>250</v>
      </c>
      <c r="I30" t="s">
        <v>250</v>
      </c>
      <c r="J30" s="149" t="s">
        <v>250</v>
      </c>
      <c r="K30" t="s">
        <v>250</v>
      </c>
      <c r="L30" s="149" t="s">
        <v>250</v>
      </c>
      <c r="M30">
        <v>59</v>
      </c>
      <c r="N30">
        <v>59</v>
      </c>
    </row>
    <row r="31" spans="1:14">
      <c r="A31" t="s">
        <v>272</v>
      </c>
      <c r="B31" t="s">
        <v>263</v>
      </c>
      <c r="C31" t="s">
        <v>250</v>
      </c>
      <c r="D31" s="149" t="s">
        <v>250</v>
      </c>
      <c r="E31">
        <v>11</v>
      </c>
      <c r="F31" s="149">
        <v>11</v>
      </c>
      <c r="G31" t="s">
        <v>250</v>
      </c>
      <c r="H31" s="149" t="s">
        <v>250</v>
      </c>
      <c r="I31" t="s">
        <v>250</v>
      </c>
      <c r="J31" s="149" t="s">
        <v>250</v>
      </c>
      <c r="K31" t="s">
        <v>250</v>
      </c>
      <c r="L31" s="149" t="s">
        <v>250</v>
      </c>
      <c r="M31">
        <v>11</v>
      </c>
      <c r="N31">
        <v>11</v>
      </c>
    </row>
    <row r="32" spans="1:14">
      <c r="A32" t="s">
        <v>273</v>
      </c>
    </row>
    <row r="33" spans="1:14">
      <c r="A33" t="s">
        <v>274</v>
      </c>
      <c r="B33" t="s">
        <v>265</v>
      </c>
      <c r="C33" t="s">
        <v>250</v>
      </c>
      <c r="D33" s="149" t="s">
        <v>250</v>
      </c>
      <c r="E33">
        <v>140</v>
      </c>
      <c r="F33" s="149">
        <v>138</v>
      </c>
      <c r="G33">
        <v>0</v>
      </c>
      <c r="H33" s="149" t="s">
        <v>250</v>
      </c>
      <c r="I33" t="s">
        <v>250</v>
      </c>
      <c r="J33" s="149" t="s">
        <v>250</v>
      </c>
      <c r="K33" t="s">
        <v>250</v>
      </c>
      <c r="L33" s="149" t="s">
        <v>250</v>
      </c>
      <c r="M33">
        <v>140</v>
      </c>
      <c r="N33">
        <v>138</v>
      </c>
    </row>
    <row r="34" spans="1:14">
      <c r="A34" t="s">
        <v>275</v>
      </c>
      <c r="B34" t="s">
        <v>263</v>
      </c>
      <c r="C34" t="s">
        <v>250</v>
      </c>
      <c r="D34" s="149" t="s">
        <v>250</v>
      </c>
      <c r="E34">
        <v>6549</v>
      </c>
      <c r="F34" s="149">
        <v>6223</v>
      </c>
      <c r="G34">
        <v>10</v>
      </c>
      <c r="H34" s="149">
        <v>5</v>
      </c>
      <c r="I34" t="s">
        <v>250</v>
      </c>
      <c r="J34" s="149" t="s">
        <v>250</v>
      </c>
      <c r="K34" t="s">
        <v>250</v>
      </c>
      <c r="L34" s="149" t="s">
        <v>250</v>
      </c>
      <c r="M34">
        <v>6559</v>
      </c>
      <c r="N34">
        <v>6228</v>
      </c>
    </row>
    <row r="35" spans="1:14">
      <c r="A35" t="s">
        <v>276</v>
      </c>
      <c r="B35" t="s">
        <v>265</v>
      </c>
      <c r="C35" t="s">
        <v>250</v>
      </c>
      <c r="D35" s="149" t="s">
        <v>250</v>
      </c>
      <c r="E35">
        <v>178</v>
      </c>
      <c r="F35" s="149">
        <v>176</v>
      </c>
      <c r="G35" t="s">
        <v>250</v>
      </c>
      <c r="H35" s="149" t="s">
        <v>250</v>
      </c>
      <c r="I35" t="s">
        <v>250</v>
      </c>
      <c r="J35" s="149" t="s">
        <v>250</v>
      </c>
      <c r="K35" t="s">
        <v>250</v>
      </c>
      <c r="L35" s="149" t="s">
        <v>250</v>
      </c>
      <c r="M35">
        <v>178</v>
      </c>
      <c r="N35">
        <v>176</v>
      </c>
    </row>
    <row r="36" spans="1:14">
      <c r="A36" t="s">
        <v>277</v>
      </c>
      <c r="B36" t="s">
        <v>263</v>
      </c>
      <c r="C36" t="s">
        <v>250</v>
      </c>
      <c r="D36" s="149" t="s">
        <v>250</v>
      </c>
      <c r="E36">
        <v>814</v>
      </c>
      <c r="F36" s="149">
        <v>800</v>
      </c>
      <c r="G36">
        <v>2</v>
      </c>
      <c r="H36" s="149">
        <v>2</v>
      </c>
      <c r="I36" t="s">
        <v>250</v>
      </c>
      <c r="J36" s="149" t="s">
        <v>250</v>
      </c>
      <c r="K36" t="s">
        <v>250</v>
      </c>
      <c r="L36" s="149" t="s">
        <v>250</v>
      </c>
      <c r="M36">
        <v>816</v>
      </c>
      <c r="N36">
        <v>800</v>
      </c>
    </row>
    <row r="37" spans="1:14">
      <c r="A37" t="s">
        <v>278</v>
      </c>
      <c r="B37" t="s">
        <v>265</v>
      </c>
      <c r="C37" t="s">
        <v>250</v>
      </c>
      <c r="D37" s="149" t="s">
        <v>250</v>
      </c>
      <c r="E37">
        <v>29</v>
      </c>
      <c r="F37" s="149">
        <v>28</v>
      </c>
      <c r="G37" t="s">
        <v>250</v>
      </c>
      <c r="H37" s="149" t="s">
        <v>250</v>
      </c>
      <c r="I37" t="s">
        <v>250</v>
      </c>
      <c r="J37" s="149" t="s">
        <v>250</v>
      </c>
      <c r="K37" t="s">
        <v>250</v>
      </c>
      <c r="L37" s="149" t="s">
        <v>250</v>
      </c>
      <c r="M37">
        <v>29</v>
      </c>
      <c r="N37">
        <v>28</v>
      </c>
    </row>
    <row r="38" spans="1:14">
      <c r="A38" t="s">
        <v>279</v>
      </c>
      <c r="C38" t="s">
        <v>250</v>
      </c>
      <c r="D38" s="149" t="s">
        <v>250</v>
      </c>
      <c r="E38">
        <v>75</v>
      </c>
      <c r="F38" s="149">
        <v>716</v>
      </c>
      <c r="G38" t="s">
        <v>250</v>
      </c>
      <c r="H38" s="149" t="s">
        <v>250</v>
      </c>
      <c r="I38">
        <v>3594</v>
      </c>
      <c r="J38" s="149">
        <v>3392</v>
      </c>
      <c r="K38" t="s">
        <v>250</v>
      </c>
      <c r="L38" s="149" t="s">
        <v>250</v>
      </c>
      <c r="M38">
        <v>4349</v>
      </c>
      <c r="N38">
        <v>4108</v>
      </c>
    </row>
    <row r="39" spans="1:14">
      <c r="A39" t="s">
        <v>280</v>
      </c>
    </row>
    <row r="40" spans="1:14">
      <c r="A40" t="s">
        <v>281</v>
      </c>
      <c r="C40" t="s">
        <v>250</v>
      </c>
      <c r="D40" s="149" t="s">
        <v>250</v>
      </c>
      <c r="E40">
        <v>2332</v>
      </c>
      <c r="F40" s="149">
        <v>2286</v>
      </c>
      <c r="G40">
        <v>6</v>
      </c>
      <c r="H40" s="149">
        <v>3</v>
      </c>
      <c r="I40">
        <v>1122</v>
      </c>
      <c r="J40" s="149">
        <v>1116</v>
      </c>
      <c r="K40" t="s">
        <v>250</v>
      </c>
      <c r="L40" s="149" t="s">
        <v>250</v>
      </c>
      <c r="M40">
        <v>3460</v>
      </c>
      <c r="N40">
        <v>3405</v>
      </c>
    </row>
    <row r="41" spans="1:14">
      <c r="A41" t="s">
        <v>186</v>
      </c>
    </row>
    <row r="42" spans="1:14" s="148" customFormat="1">
      <c r="A42" s="148" t="s">
        <v>282</v>
      </c>
      <c r="C42" s="148">
        <v>480</v>
      </c>
      <c r="D42" s="148">
        <v>343</v>
      </c>
      <c r="E42" s="148">
        <v>77122</v>
      </c>
      <c r="F42" s="148">
        <v>74626</v>
      </c>
      <c r="G42" s="148">
        <v>434</v>
      </c>
      <c r="H42" s="148">
        <v>420</v>
      </c>
      <c r="I42" s="148" t="s">
        <v>250</v>
      </c>
      <c r="J42" s="148" t="s">
        <v>250</v>
      </c>
      <c r="K42" s="148" t="s">
        <v>250</v>
      </c>
      <c r="L42" s="148" t="s">
        <v>250</v>
      </c>
      <c r="M42">
        <v>78036</v>
      </c>
      <c r="N42" s="148">
        <v>75389</v>
      </c>
    </row>
    <row r="43" spans="1:14">
      <c r="A43" t="s">
        <v>283</v>
      </c>
    </row>
    <row r="44" spans="1:14">
      <c r="A44" t="s">
        <v>284</v>
      </c>
      <c r="C44" t="s">
        <v>250</v>
      </c>
      <c r="D44" s="149" t="s">
        <v>250</v>
      </c>
      <c r="E44">
        <v>34852</v>
      </c>
      <c r="F44" s="149">
        <v>33545</v>
      </c>
      <c r="G44">
        <v>3</v>
      </c>
      <c r="H44" s="149">
        <v>3</v>
      </c>
      <c r="I44" t="s">
        <v>250</v>
      </c>
      <c r="J44" s="149" t="s">
        <v>250</v>
      </c>
      <c r="K44" t="s">
        <v>250</v>
      </c>
      <c r="L44" s="149" t="s">
        <v>250</v>
      </c>
      <c r="M44">
        <v>34855</v>
      </c>
      <c r="N44">
        <v>33548</v>
      </c>
    </row>
    <row r="45" spans="1:14">
      <c r="A45" t="s">
        <v>285</v>
      </c>
    </row>
    <row r="46" spans="1:14">
      <c r="A46" t="s">
        <v>286</v>
      </c>
      <c r="C46" t="s">
        <v>250</v>
      </c>
      <c r="D46" s="149" t="s">
        <v>250</v>
      </c>
      <c r="E46">
        <v>7617</v>
      </c>
      <c r="F46" s="149">
        <v>7223</v>
      </c>
      <c r="G46" t="s">
        <v>250</v>
      </c>
      <c r="H46" s="149" t="s">
        <v>250</v>
      </c>
      <c r="I46" t="s">
        <v>250</v>
      </c>
      <c r="J46" s="149" t="s">
        <v>250</v>
      </c>
      <c r="K46" t="s">
        <v>250</v>
      </c>
      <c r="L46" s="149" t="s">
        <v>250</v>
      </c>
      <c r="M46">
        <v>7617</v>
      </c>
      <c r="N46">
        <v>7223</v>
      </c>
    </row>
    <row r="47" spans="1:14">
      <c r="A47" t="s">
        <v>287</v>
      </c>
    </row>
    <row r="48" spans="1:14">
      <c r="A48" t="s">
        <v>288</v>
      </c>
      <c r="C48">
        <v>53</v>
      </c>
      <c r="D48" s="149">
        <v>37</v>
      </c>
      <c r="E48">
        <v>1915</v>
      </c>
      <c r="F48" s="149">
        <v>1695</v>
      </c>
      <c r="G48">
        <v>133</v>
      </c>
      <c r="H48" s="149">
        <v>102</v>
      </c>
      <c r="I48">
        <v>182</v>
      </c>
      <c r="J48" s="149">
        <v>124</v>
      </c>
      <c r="K48">
        <v>2</v>
      </c>
      <c r="L48" s="149">
        <v>2</v>
      </c>
      <c r="M48">
        <v>2285</v>
      </c>
      <c r="N48">
        <v>1960</v>
      </c>
    </row>
    <row r="49" spans="1:14">
      <c r="A49" t="s">
        <v>289</v>
      </c>
    </row>
    <row r="50" spans="1:14">
      <c r="A50" t="s">
        <v>290</v>
      </c>
      <c r="C50">
        <v>690443</v>
      </c>
      <c r="D50" s="149">
        <v>585487</v>
      </c>
      <c r="E50">
        <v>153616</v>
      </c>
      <c r="F50" s="149">
        <v>147408</v>
      </c>
      <c r="G50">
        <v>63226</v>
      </c>
      <c r="H50" s="149">
        <v>62069</v>
      </c>
      <c r="I50">
        <v>23295</v>
      </c>
      <c r="J50" s="149">
        <v>22677</v>
      </c>
      <c r="K50">
        <v>131</v>
      </c>
      <c r="L50" s="149">
        <v>77</v>
      </c>
      <c r="M50">
        <v>930711</v>
      </c>
      <c r="N50">
        <v>817718</v>
      </c>
    </row>
    <row r="51" spans="1:14">
      <c r="A51" t="s">
        <v>291</v>
      </c>
    </row>
    <row r="52" spans="1:14">
      <c r="A52" t="s">
        <v>132</v>
      </c>
      <c r="C52" t="s">
        <v>292</v>
      </c>
      <c r="G52" t="s">
        <v>219</v>
      </c>
      <c r="J52" s="149" t="s">
        <v>293</v>
      </c>
    </row>
    <row r="53" spans="1:14">
      <c r="C53" t="s">
        <v>294</v>
      </c>
      <c r="J53" s="149" t="s">
        <v>295</v>
      </c>
    </row>
    <row r="54" spans="1:14">
      <c r="C54" t="s">
        <v>296</v>
      </c>
      <c r="J54" s="149" t="s">
        <v>297</v>
      </c>
    </row>
    <row r="55" spans="1:14">
      <c r="C55" t="s">
        <v>298</v>
      </c>
      <c r="J55" s="149" t="s">
        <v>299</v>
      </c>
    </row>
    <row r="56" spans="1:14">
      <c r="C56" t="s">
        <v>300</v>
      </c>
      <c r="J56" s="149" t="s">
        <v>301</v>
      </c>
    </row>
    <row r="57" spans="1:14">
      <c r="C57" t="s">
        <v>302</v>
      </c>
      <c r="J57" s="149" t="s">
        <v>303</v>
      </c>
    </row>
    <row r="58" spans="1:14">
      <c r="A58" t="s">
        <v>304</v>
      </c>
      <c r="B58" t="s">
        <v>305</v>
      </c>
      <c r="F58" s="149" t="s">
        <v>306</v>
      </c>
      <c r="I58" t="s">
        <v>307</v>
      </c>
    </row>
  </sheetData>
  <phoneticPr fontId="5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0B6B-C8C8-4ADD-BF79-D843DB50CA69}">
  <dimension ref="A1:K61"/>
  <sheetViews>
    <sheetView workbookViewId="0">
      <selection sqref="A1:XFD1048576"/>
    </sheetView>
  </sheetViews>
  <sheetFormatPr baseColWidth="10" defaultRowHeight="14"/>
  <cols>
    <col min="1" max="1" width="61.59765625" style="158" customWidth="1"/>
    <col min="2" max="2" width="44.3984375" style="158" customWidth="1"/>
    <col min="3" max="3" width="22" style="158" customWidth="1"/>
    <col min="4" max="4" width="30.796875" style="158" customWidth="1"/>
    <col min="5" max="5" width="15.796875" style="158" bestFit="1" customWidth="1"/>
    <col min="6" max="6" width="15.796875" style="158" customWidth="1"/>
    <col min="7" max="7" width="14.3984375" style="158" bestFit="1" customWidth="1"/>
    <col min="8" max="16384" width="11" style="158"/>
  </cols>
  <sheetData>
    <row r="1" spans="1:11">
      <c r="A1" s="158" t="s">
        <v>378</v>
      </c>
      <c r="C1" s="158">
        <v>2019</v>
      </c>
      <c r="D1" s="158">
        <v>2020</v>
      </c>
      <c r="E1" s="158">
        <v>2021</v>
      </c>
      <c r="G1" s="158">
        <v>1</v>
      </c>
      <c r="H1" s="158" t="s">
        <v>379</v>
      </c>
      <c r="I1" s="158" t="s">
        <v>380</v>
      </c>
      <c r="J1" s="158">
        <v>3412141.63</v>
      </c>
      <c r="K1" s="158" t="s">
        <v>381</v>
      </c>
    </row>
    <row r="2" spans="1:11">
      <c r="A2" s="158" t="s">
        <v>382</v>
      </c>
      <c r="B2" s="158" t="s">
        <v>383</v>
      </c>
      <c r="C2" s="367">
        <v>1559734</v>
      </c>
      <c r="D2" s="367">
        <v>1484030</v>
      </c>
      <c r="E2" s="368">
        <v>1503677</v>
      </c>
      <c r="F2" s="369"/>
      <c r="G2" s="158">
        <v>2.93071E-4</v>
      </c>
      <c r="H2" s="158" t="s">
        <v>384</v>
      </c>
      <c r="I2" s="158" t="s">
        <v>380</v>
      </c>
      <c r="J2" s="158">
        <v>1</v>
      </c>
      <c r="K2" s="158" t="s">
        <v>381</v>
      </c>
    </row>
    <row r="3" spans="1:11">
      <c r="B3" s="158" t="s">
        <v>385</v>
      </c>
      <c r="C3" s="367">
        <v>53341</v>
      </c>
      <c r="D3" s="367">
        <v>50461</v>
      </c>
      <c r="E3" s="368">
        <v>51534</v>
      </c>
      <c r="F3" s="369"/>
    </row>
    <row r="5" spans="1:11">
      <c r="A5" s="158" t="s">
        <v>386</v>
      </c>
      <c r="B5" s="158" t="s">
        <v>387</v>
      </c>
      <c r="C5" s="158">
        <f t="shared" ref="C5:D6" si="0">C2*$J$1</f>
        <v>5322033313126.4199</v>
      </c>
      <c r="D5" s="158">
        <f t="shared" si="0"/>
        <v>5063720543168.8994</v>
      </c>
      <c r="E5" s="158">
        <f>E2*$J$1</f>
        <v>5130758889773.5098</v>
      </c>
    </row>
    <row r="6" spans="1:11">
      <c r="B6" s="158" t="s">
        <v>385</v>
      </c>
      <c r="C6" s="158">
        <f t="shared" si="0"/>
        <v>182007046685.82999</v>
      </c>
      <c r="D6" s="158">
        <f t="shared" si="0"/>
        <v>172180078791.42999</v>
      </c>
      <c r="E6" s="158">
        <f>E3*$J$1</f>
        <v>175841306760.41998</v>
      </c>
    </row>
    <row r="8" spans="1:11">
      <c r="A8" s="158" t="s">
        <v>388</v>
      </c>
      <c r="B8" s="158" t="s">
        <v>387</v>
      </c>
      <c r="C8" s="367">
        <v>301552</v>
      </c>
      <c r="D8" s="367">
        <v>268492</v>
      </c>
      <c r="E8" s="367">
        <v>268050</v>
      </c>
    </row>
    <row r="9" spans="1:11" ht="15" thickBot="1">
      <c r="B9" s="370" t="s">
        <v>389</v>
      </c>
      <c r="C9" s="371">
        <v>22971</v>
      </c>
      <c r="D9" s="371">
        <v>12631</v>
      </c>
      <c r="E9" s="371">
        <v>12328</v>
      </c>
    </row>
    <row r="10" spans="1:11" ht="16" thickTop="1">
      <c r="B10" s="372" t="s">
        <v>383</v>
      </c>
      <c r="C10" s="372">
        <f t="shared" ref="C10:D10" si="1">C8+C9</f>
        <v>324523</v>
      </c>
      <c r="D10" s="372">
        <f t="shared" si="1"/>
        <v>281123</v>
      </c>
      <c r="E10" s="372">
        <f>E8+E9</f>
        <v>280378</v>
      </c>
      <c r="F10" s="372"/>
    </row>
    <row r="11" spans="1:11">
      <c r="B11" s="158" t="s">
        <v>385</v>
      </c>
      <c r="C11" s="158">
        <v>10592</v>
      </c>
      <c r="D11" s="158">
        <v>10385</v>
      </c>
      <c r="E11" s="158">
        <v>9727</v>
      </c>
    </row>
    <row r="13" spans="1:11">
      <c r="A13" s="158" t="s">
        <v>390</v>
      </c>
      <c r="B13" s="158" t="s">
        <v>387</v>
      </c>
      <c r="C13" s="368">
        <f>1568196+104183</f>
        <v>1672379</v>
      </c>
      <c r="D13" s="368">
        <f>1145035+7647</f>
        <v>1152682</v>
      </c>
      <c r="E13" s="367">
        <f>1334591+486</f>
        <v>1335077</v>
      </c>
    </row>
    <row r="14" spans="1:11" ht="15" thickBot="1">
      <c r="B14" s="370" t="s">
        <v>389</v>
      </c>
      <c r="C14" s="373">
        <v>15764</v>
      </c>
      <c r="D14" s="373">
        <v>3070</v>
      </c>
      <c r="E14" s="371">
        <v>3102</v>
      </c>
    </row>
    <row r="15" spans="1:11" ht="16" thickTop="1">
      <c r="B15" s="372" t="s">
        <v>383</v>
      </c>
      <c r="C15" s="372">
        <f t="shared" ref="C15:D15" si="2">C13+C14</f>
        <v>1688143</v>
      </c>
      <c r="D15" s="372">
        <f t="shared" si="2"/>
        <v>1155752</v>
      </c>
      <c r="E15" s="372">
        <f>E13+E14</f>
        <v>1338179</v>
      </c>
      <c r="F15" s="372"/>
    </row>
    <row r="16" spans="1:11">
      <c r="B16" s="158" t="s">
        <v>385</v>
      </c>
      <c r="C16" s="368">
        <v>155885</v>
      </c>
      <c r="D16" s="368">
        <v>111865</v>
      </c>
      <c r="E16" s="368">
        <v>141581</v>
      </c>
      <c r="F16" s="369"/>
    </row>
    <row r="18" spans="1:6">
      <c r="A18" s="158" t="s">
        <v>391</v>
      </c>
      <c r="B18" s="158" t="s">
        <v>387</v>
      </c>
      <c r="C18" s="367">
        <v>10.6</v>
      </c>
      <c r="D18" s="367">
        <v>10.5</v>
      </c>
      <c r="E18" s="367">
        <v>10.7</v>
      </c>
    </row>
    <row r="19" spans="1:6">
      <c r="B19" s="158" t="s">
        <v>389</v>
      </c>
      <c r="C19" s="367">
        <v>28.2</v>
      </c>
      <c r="D19" s="367">
        <v>25.8</v>
      </c>
      <c r="E19" s="367">
        <v>23.7</v>
      </c>
    </row>
    <row r="20" spans="1:6">
      <c r="B20" s="158" t="s">
        <v>385</v>
      </c>
      <c r="C20" s="367">
        <v>2.7</v>
      </c>
      <c r="D20" s="367">
        <v>2.8</v>
      </c>
      <c r="E20" s="367">
        <v>2.6</v>
      </c>
    </row>
    <row r="22" spans="1:6" ht="15">
      <c r="A22" s="374" t="s">
        <v>392</v>
      </c>
      <c r="B22" s="158" t="s">
        <v>387</v>
      </c>
      <c r="C22" s="367">
        <v>59</v>
      </c>
      <c r="D22" s="367">
        <v>45</v>
      </c>
      <c r="E22" s="367">
        <v>54</v>
      </c>
    </row>
    <row r="23" spans="1:6">
      <c r="B23" s="158" t="s">
        <v>389</v>
      </c>
      <c r="C23" s="367">
        <v>19</v>
      </c>
      <c r="D23" s="367">
        <v>6</v>
      </c>
      <c r="E23" s="367">
        <v>5</v>
      </c>
    </row>
    <row r="24" spans="1:6">
      <c r="B24" s="158" t="s">
        <v>385</v>
      </c>
      <c r="C24" s="367">
        <v>40</v>
      </c>
      <c r="D24" s="367">
        <v>30</v>
      </c>
      <c r="E24" s="367">
        <v>37</v>
      </c>
    </row>
    <row r="26" spans="1:6">
      <c r="A26" s="158" t="s">
        <v>393</v>
      </c>
      <c r="B26" s="158" t="s">
        <v>387</v>
      </c>
      <c r="C26" s="367">
        <v>2083</v>
      </c>
      <c r="D26" s="367">
        <v>2083</v>
      </c>
      <c r="E26" s="367">
        <v>2083</v>
      </c>
    </row>
    <row r="27" spans="1:6" ht="15" thickBot="1">
      <c r="B27" s="370" t="s">
        <v>389</v>
      </c>
      <c r="C27" s="371">
        <v>88</v>
      </c>
      <c r="D27" s="371">
        <v>88</v>
      </c>
      <c r="E27" s="371">
        <v>88</v>
      </c>
    </row>
    <row r="28" spans="1:6" ht="16" thickTop="1">
      <c r="B28" s="372" t="s">
        <v>383</v>
      </c>
      <c r="C28" s="372">
        <f>C26+C27</f>
        <v>2171</v>
      </c>
      <c r="D28" s="372">
        <f>D26+D27</f>
        <v>2171</v>
      </c>
      <c r="E28" s="372">
        <f>E26+E27</f>
        <v>2171</v>
      </c>
      <c r="F28" s="372"/>
    </row>
    <row r="29" spans="1:6">
      <c r="B29" s="158" t="s">
        <v>385</v>
      </c>
      <c r="C29" s="367">
        <v>146</v>
      </c>
      <c r="D29" s="367">
        <v>146</v>
      </c>
      <c r="E29" s="367">
        <v>146</v>
      </c>
    </row>
    <row r="31" spans="1:6">
      <c r="A31" s="158" t="s">
        <v>394</v>
      </c>
      <c r="B31" s="158" t="s">
        <v>387</v>
      </c>
      <c r="C31" s="375">
        <f t="shared" ref="C31:D32" si="3">C26/8</f>
        <v>260.375</v>
      </c>
      <c r="D31" s="375">
        <f t="shared" si="3"/>
        <v>260.375</v>
      </c>
      <c r="E31" s="375">
        <f>E26/8</f>
        <v>260.375</v>
      </c>
      <c r="F31" s="375"/>
    </row>
    <row r="32" spans="1:6" ht="15" thickBot="1">
      <c r="B32" s="370" t="s">
        <v>389</v>
      </c>
      <c r="C32" s="370">
        <f t="shared" si="3"/>
        <v>11</v>
      </c>
      <c r="D32" s="370">
        <f t="shared" si="3"/>
        <v>11</v>
      </c>
      <c r="E32" s="370">
        <f>E27/8</f>
        <v>11</v>
      </c>
    </row>
    <row r="33" spans="1:6" ht="16" thickTop="1">
      <c r="B33" s="372" t="s">
        <v>383</v>
      </c>
      <c r="C33" s="376">
        <f t="shared" ref="C33:D33" si="4">C32+C31</f>
        <v>271.375</v>
      </c>
      <c r="D33" s="376">
        <f t="shared" si="4"/>
        <v>271.375</v>
      </c>
      <c r="E33" s="376">
        <f>E32+E31</f>
        <v>271.375</v>
      </c>
      <c r="F33" s="376"/>
    </row>
    <row r="34" spans="1:6">
      <c r="B34" s="158" t="s">
        <v>385</v>
      </c>
      <c r="C34" s="158">
        <f t="shared" ref="C34:D34" si="5">C29</f>
        <v>146</v>
      </c>
      <c r="D34" s="158">
        <f t="shared" si="5"/>
        <v>146</v>
      </c>
      <c r="E34" s="158">
        <f>E29</f>
        <v>146</v>
      </c>
    </row>
    <row r="36" spans="1:6">
      <c r="A36" s="158" t="s">
        <v>388</v>
      </c>
      <c r="B36" s="158" t="s">
        <v>387</v>
      </c>
      <c r="C36" s="377">
        <f>C8/C26</f>
        <v>144.76812289966395</v>
      </c>
      <c r="D36" s="377">
        <f t="shared" ref="D36" si="6">D8/D26</f>
        <v>128.89678348535764</v>
      </c>
      <c r="E36" s="377">
        <f>E8/E26</f>
        <v>128.68458953432548</v>
      </c>
      <c r="F36" s="377"/>
    </row>
    <row r="37" spans="1:6" ht="15" thickBot="1">
      <c r="B37" s="370" t="s">
        <v>389</v>
      </c>
      <c r="C37" s="378">
        <f t="shared" ref="C37:D37" si="7">C9/C27</f>
        <v>261.03409090909093</v>
      </c>
      <c r="D37" s="378">
        <f t="shared" si="7"/>
        <v>143.53409090909091</v>
      </c>
      <c r="E37" s="378">
        <f>E9/E27</f>
        <v>140.09090909090909</v>
      </c>
      <c r="F37" s="377"/>
    </row>
    <row r="38" spans="1:6" ht="16" thickTop="1">
      <c r="B38" s="372" t="s">
        <v>383</v>
      </c>
      <c r="C38" s="379">
        <f t="shared" ref="C38:D38" si="8">C37+C36</f>
        <v>405.80221380875491</v>
      </c>
      <c r="D38" s="379">
        <f t="shared" si="8"/>
        <v>272.43087439444855</v>
      </c>
      <c r="E38" s="379">
        <f>E37+E36</f>
        <v>268.7754986252346</v>
      </c>
      <c r="F38" s="379"/>
    </row>
    <row r="39" spans="1:6">
      <c r="B39" s="158" t="s">
        <v>385</v>
      </c>
      <c r="C39" s="377">
        <f t="shared" ref="C39:D39" si="9">C11/C29</f>
        <v>72.547945205479451</v>
      </c>
      <c r="D39" s="377">
        <f t="shared" si="9"/>
        <v>71.130136986301366</v>
      </c>
      <c r="E39" s="377">
        <f>E11/E29</f>
        <v>66.623287671232873</v>
      </c>
      <c r="F39" s="377"/>
    </row>
    <row r="41" spans="1:6">
      <c r="A41" s="158" t="s">
        <v>395</v>
      </c>
      <c r="B41" s="158" t="s">
        <v>387</v>
      </c>
      <c r="C41" s="375">
        <f t="shared" ref="C41:D42" si="10">C5/C8/1000</f>
        <v>17648.807877667597</v>
      </c>
      <c r="D41" s="375">
        <f t="shared" si="10"/>
        <v>18859.856320370436</v>
      </c>
      <c r="E41" s="375">
        <f>E5/E8/1000</f>
        <v>19141.051631313225</v>
      </c>
      <c r="F41" s="375"/>
    </row>
    <row r="42" spans="1:6">
      <c r="B42" s="158" t="s">
        <v>385</v>
      </c>
      <c r="C42" s="375">
        <f t="shared" si="10"/>
        <v>7923.3401543611499</v>
      </c>
      <c r="D42" s="375">
        <f t="shared" si="10"/>
        <v>13631.547683590374</v>
      </c>
      <c r="E42" s="375">
        <f>E6/E9/1000</f>
        <v>14263.571281669369</v>
      </c>
      <c r="F42" s="375"/>
    </row>
    <row r="44" spans="1:6">
      <c r="A44" s="158" t="s">
        <v>396</v>
      </c>
      <c r="B44" s="158" t="s">
        <v>387</v>
      </c>
      <c r="C44" s="375">
        <f t="shared" ref="C44:D44" si="11">C41*8</f>
        <v>141190.46302134078</v>
      </c>
      <c r="D44" s="375">
        <f t="shared" si="11"/>
        <v>150878.85056296349</v>
      </c>
      <c r="E44" s="375">
        <f>E41*8</f>
        <v>153128.4130505058</v>
      </c>
      <c r="F44" s="375"/>
    </row>
    <row r="45" spans="1:6">
      <c r="A45" s="158" t="s">
        <v>397</v>
      </c>
      <c r="B45" s="158" t="s">
        <v>385</v>
      </c>
      <c r="C45" s="375">
        <f t="shared" ref="C45:D45" si="12">C42</f>
        <v>7923.3401543611499</v>
      </c>
      <c r="D45" s="375">
        <f t="shared" si="12"/>
        <v>13631.547683590374</v>
      </c>
      <c r="E45" s="375">
        <f>E42</f>
        <v>14263.571281669369</v>
      </c>
      <c r="F45" s="375"/>
    </row>
    <row r="47" spans="1:6">
      <c r="A47" s="158" t="s">
        <v>398</v>
      </c>
      <c r="B47" s="158" t="s">
        <v>387</v>
      </c>
      <c r="C47" s="380">
        <f t="shared" ref="C47:D48" si="13">C44*$G$2</f>
        <v>41.378830188127367</v>
      </c>
      <c r="D47" s="380">
        <f t="shared" si="13"/>
        <v>44.218215613338273</v>
      </c>
      <c r="E47" s="380">
        <f>E44*$G$2</f>
        <v>44.877497141124785</v>
      </c>
      <c r="F47" s="381"/>
    </row>
    <row r="48" spans="1:6">
      <c r="A48" s="158" t="s">
        <v>397</v>
      </c>
      <c r="B48" s="158" t="s">
        <v>385</v>
      </c>
      <c r="C48" s="380">
        <f t="shared" si="13"/>
        <v>2.3221012223787767</v>
      </c>
      <c r="D48" s="380">
        <f t="shared" si="13"/>
        <v>3.9950113111775143</v>
      </c>
      <c r="E48" s="380">
        <f>E45*$G$2</f>
        <v>4.1802390990901239</v>
      </c>
      <c r="F48" s="381"/>
    </row>
    <row r="50" spans="1:5">
      <c r="A50" s="158" t="s">
        <v>399</v>
      </c>
      <c r="B50" s="158" t="s">
        <v>387</v>
      </c>
      <c r="C50" s="158">
        <f>C26*C22*C36</f>
        <v>17791568</v>
      </c>
      <c r="D50" s="158">
        <f t="shared" ref="D50" si="14">D26*D22*D36</f>
        <v>12082139.999999998</v>
      </c>
      <c r="E50" s="158">
        <f>E26*E22*E36</f>
        <v>14474699.999999998</v>
      </c>
    </row>
    <row r="51" spans="1:5" ht="15" thickBot="1">
      <c r="B51" s="370" t="s">
        <v>389</v>
      </c>
      <c r="C51" s="370">
        <f t="shared" ref="C51" si="15">C27*C23*C37</f>
        <v>436449.00000000006</v>
      </c>
      <c r="D51" s="370">
        <f>D27*D23*D37</f>
        <v>75786</v>
      </c>
      <c r="E51" s="370">
        <f>E27*E23*E37</f>
        <v>61640</v>
      </c>
    </row>
    <row r="52" spans="1:5" ht="16" thickTop="1">
      <c r="B52" s="372" t="s">
        <v>383</v>
      </c>
      <c r="C52" s="158">
        <f t="shared" ref="C52:D52" si="16">C50+C51</f>
        <v>18228017</v>
      </c>
      <c r="D52" s="158">
        <f t="shared" si="16"/>
        <v>12157925.999999998</v>
      </c>
      <c r="E52" s="158">
        <f>E50+E51</f>
        <v>14536339.999999998</v>
      </c>
    </row>
    <row r="53" spans="1:5">
      <c r="B53" s="158" t="s">
        <v>385</v>
      </c>
      <c r="C53" s="158">
        <f t="shared" ref="C53:D53" si="17">C29*C24*C39</f>
        <v>423680</v>
      </c>
      <c r="D53" s="158">
        <f t="shared" si="17"/>
        <v>311550</v>
      </c>
      <c r="E53" s="158">
        <f>E29*E24*E39</f>
        <v>359899</v>
      </c>
    </row>
    <row r="55" spans="1:5">
      <c r="A55" s="158" t="s">
        <v>400</v>
      </c>
      <c r="B55" s="158" t="s">
        <v>387</v>
      </c>
      <c r="C55" s="158">
        <f t="shared" ref="C55:D56" si="18">C50/1.6*1000</f>
        <v>11119730000</v>
      </c>
      <c r="D55" s="158">
        <f>D50/1.6*1000</f>
        <v>7551337499.9999981</v>
      </c>
      <c r="E55" s="158">
        <f>E50/1.6*1000</f>
        <v>9046687499.9999981</v>
      </c>
    </row>
    <row r="56" spans="1:5" ht="15" thickBot="1">
      <c r="B56" s="370" t="s">
        <v>389</v>
      </c>
      <c r="C56" s="370">
        <f t="shared" si="18"/>
        <v>272780625</v>
      </c>
      <c r="D56" s="370">
        <f t="shared" si="18"/>
        <v>47366250</v>
      </c>
      <c r="E56" s="370">
        <f>E51/1.6*1000</f>
        <v>38525000</v>
      </c>
    </row>
    <row r="57" spans="1:5" ht="16" thickTop="1">
      <c r="B57" s="372" t="s">
        <v>383</v>
      </c>
      <c r="C57" s="158">
        <f t="shared" ref="C57:D57" si="19">C55+C56</f>
        <v>11392510625</v>
      </c>
      <c r="D57" s="158">
        <f t="shared" si="19"/>
        <v>7598703749.9999981</v>
      </c>
      <c r="E57" s="158">
        <f>E55+E56</f>
        <v>9085212499.9999981</v>
      </c>
    </row>
    <row r="58" spans="1:5">
      <c r="B58" s="158" t="s">
        <v>385</v>
      </c>
      <c r="C58" s="158">
        <f t="shared" ref="C58:D58" si="20">C53/1.6*1000</f>
        <v>264800000</v>
      </c>
      <c r="D58" s="158">
        <f t="shared" si="20"/>
        <v>194718750</v>
      </c>
      <c r="E58" s="158">
        <f>E53/1.6*1000</f>
        <v>224936875</v>
      </c>
    </row>
    <row r="60" spans="1:5" ht="15">
      <c r="A60" s="158" t="s">
        <v>401</v>
      </c>
      <c r="B60" s="382" t="s">
        <v>383</v>
      </c>
      <c r="C60" s="383">
        <f>C57/C5</f>
        <v>2.1406312126797809E-3</v>
      </c>
      <c r="D60" s="383">
        <f>D57/D5</f>
        <v>1.5006167274082417E-3</v>
      </c>
      <c r="E60" s="383">
        <f>E57/E5</f>
        <v>1.7707346408556439E-3</v>
      </c>
    </row>
    <row r="61" spans="1:5" ht="15">
      <c r="B61" s="372" t="s">
        <v>385</v>
      </c>
      <c r="C61" s="158">
        <f t="shared" ref="C61" si="21">C58/C6</f>
        <v>1.4548887244848405E-3</v>
      </c>
      <c r="D61" s="158">
        <f>D58/D6</f>
        <v>1.1309017359428218E-3</v>
      </c>
      <c r="E61" s="158">
        <f>E58/E6</f>
        <v>1.2792038409181732E-3</v>
      </c>
    </row>
  </sheetData>
  <phoneticPr fontId="5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3040-43DA-4589-A412-D4A060C9DFAA}">
  <dimension ref="A1:C3"/>
  <sheetViews>
    <sheetView workbookViewId="0">
      <selection activeCell="L33" sqref="L33"/>
    </sheetView>
  </sheetViews>
  <sheetFormatPr baseColWidth="10" defaultColWidth="8.796875" defaultRowHeight="14"/>
  <sheetData>
    <row r="1" spans="1:3">
      <c r="A1" s="145"/>
      <c r="B1" s="144" t="s">
        <v>308</v>
      </c>
      <c r="C1" s="144" t="s">
        <v>309</v>
      </c>
    </row>
    <row r="2" spans="1:3">
      <c r="A2" s="146" t="s">
        <v>310</v>
      </c>
      <c r="B2">
        <v>14174</v>
      </c>
      <c r="C2">
        <v>2014</v>
      </c>
    </row>
    <row r="3" spans="1:3">
      <c r="A3" s="146" t="s">
        <v>311</v>
      </c>
      <c r="B3">
        <v>174</v>
      </c>
      <c r="C3">
        <v>20</v>
      </c>
    </row>
  </sheetData>
  <phoneticPr fontId="5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040B-F22D-402D-A914-5EFB35677971}">
  <dimension ref="B27:S65"/>
  <sheetViews>
    <sheetView topLeftCell="A24" workbookViewId="0">
      <selection activeCell="N44" sqref="N44"/>
    </sheetView>
  </sheetViews>
  <sheetFormatPr baseColWidth="10" defaultColWidth="8.796875" defaultRowHeight="14"/>
  <cols>
    <col min="2" max="2" width="11.19921875" bestFit="1" customWidth="1"/>
  </cols>
  <sheetData>
    <row r="27" spans="19:19">
      <c r="S27" t="s">
        <v>312</v>
      </c>
    </row>
    <row r="62" spans="2:3">
      <c r="B62" t="s">
        <v>313</v>
      </c>
    </row>
    <row r="64" spans="2:3">
      <c r="B64" s="152"/>
      <c r="C64" t="s">
        <v>314</v>
      </c>
    </row>
    <row r="65" spans="3:3">
      <c r="C65">
        <f>27+111</f>
        <v>138</v>
      </c>
    </row>
  </sheetData>
  <phoneticPr fontId="57" type="noConversion"/>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A6DA-A885-424D-BDDD-546158B022C1}">
  <dimension ref="A1:N13"/>
  <sheetViews>
    <sheetView workbookViewId="0">
      <selection activeCell="G20" sqref="G20"/>
    </sheetView>
  </sheetViews>
  <sheetFormatPr baseColWidth="10" defaultColWidth="8.796875" defaultRowHeight="14"/>
  <cols>
    <col min="1" max="1" width="21.3984375" customWidth="1"/>
  </cols>
  <sheetData>
    <row r="1" spans="1:14">
      <c r="C1" t="s">
        <v>128</v>
      </c>
      <c r="D1" t="s">
        <v>130</v>
      </c>
      <c r="E1" t="s">
        <v>129</v>
      </c>
      <c r="F1" t="s">
        <v>244</v>
      </c>
      <c r="G1" t="s">
        <v>245</v>
      </c>
      <c r="H1" t="s">
        <v>246</v>
      </c>
    </row>
    <row r="2" spans="1:14">
      <c r="A2" t="s">
        <v>315</v>
      </c>
      <c r="C2">
        <f>'Vehicle Fuel Type'!C9+'Vehicle Fuel Type'!C11+'Vehicle Fuel Type'!C13</f>
        <v>108479</v>
      </c>
      <c r="E2">
        <f>'Vehicle Fuel Type'!G9</f>
        <v>389</v>
      </c>
    </row>
    <row r="3" spans="1:14">
      <c r="A3" t="s">
        <v>316</v>
      </c>
      <c r="B3" t="s">
        <v>228</v>
      </c>
      <c r="C3">
        <f>'Vehicle Fuel Type'!C17</f>
        <v>11</v>
      </c>
      <c r="E3">
        <f>'Vehicle Fuel Type'!G17</f>
        <v>5</v>
      </c>
      <c r="F3">
        <f>'Vehicle Fuel Type'!I17+'Vehicle Fuel Type'!I19+'Vehicle Fuel Type'!I21</f>
        <v>18144</v>
      </c>
    </row>
    <row r="4" spans="1:14">
      <c r="A4" t="s">
        <v>317</v>
      </c>
      <c r="C4">
        <f>'Vehicle Fuel Type'!C15</f>
        <v>578215</v>
      </c>
      <c r="D4">
        <f>'Vehicle Fuel Type'!E15</f>
        <v>11808</v>
      </c>
      <c r="E4">
        <f>'Vehicle Fuel Type'!G15+'Vehicle Fuel Type'!G17</f>
        <v>62061</v>
      </c>
      <c r="G4">
        <f>'Vehicle Fuel Type'!K15</f>
        <v>119</v>
      </c>
    </row>
    <row r="5" spans="1:14">
      <c r="A5" t="s">
        <v>318</v>
      </c>
      <c r="D5">
        <f>SUM('Vehicle Fuel Type'!E23:E40)</f>
        <v>16319</v>
      </c>
      <c r="E5">
        <f>SUM('Vehicle Fuel Type'!G23:G40)</f>
        <v>68</v>
      </c>
      <c r="F5">
        <f>SUM('Vehicle Fuel Type'!I23:I40)</f>
        <v>4716</v>
      </c>
      <c r="N5" s="168"/>
    </row>
    <row r="6" spans="1:14">
      <c r="A6" t="s">
        <v>319</v>
      </c>
      <c r="C6">
        <f>'Vehicle Fuel Type'!C42</f>
        <v>480</v>
      </c>
      <c r="D6">
        <f>'Vehicle Fuel Type'!E42</f>
        <v>77122</v>
      </c>
      <c r="E6">
        <f>'Vehicle Fuel Type'!G42</f>
        <v>434</v>
      </c>
    </row>
    <row r="7" spans="1:14">
      <c r="A7" s="150" t="s">
        <v>320</v>
      </c>
      <c r="B7" s="150"/>
      <c r="C7" s="150">
        <f>'Vehicle Fuel Type'!C48</f>
        <v>53</v>
      </c>
      <c r="D7" s="150">
        <f>'Vehicle Fuel Type'!E44+'Vehicle Fuel Type'!E46+'Vehicle Fuel Type'!E48</f>
        <v>44384</v>
      </c>
      <c r="E7" s="150">
        <f>'Vehicle Fuel Type'!G48</f>
        <v>133</v>
      </c>
      <c r="F7" s="150">
        <f>'Vehicle Fuel Type'!I48</f>
        <v>182</v>
      </c>
      <c r="G7" s="150">
        <f>'Vehicle Fuel Type'!K48</f>
        <v>2</v>
      </c>
      <c r="H7" s="151"/>
      <c r="I7" s="151"/>
    </row>
    <row r="8" spans="1:14">
      <c r="A8" t="s">
        <v>321</v>
      </c>
      <c r="H8">
        <f>Ships!B28</f>
        <v>14174</v>
      </c>
    </row>
    <row r="9" spans="1:14">
      <c r="A9" t="s">
        <v>322</v>
      </c>
      <c r="H9">
        <f>Air!C27</f>
        <v>210</v>
      </c>
    </row>
    <row r="10" spans="1:14">
      <c r="A10" t="s">
        <v>323</v>
      </c>
      <c r="H10">
        <f>Ships!B33</f>
        <v>2014</v>
      </c>
    </row>
    <row r="11" spans="1:14">
      <c r="A11" t="s">
        <v>324</v>
      </c>
      <c r="H11">
        <f>Air!C5</f>
        <v>15</v>
      </c>
    </row>
    <row r="13" spans="1:14">
      <c r="A13" t="s">
        <v>325</v>
      </c>
    </row>
  </sheetData>
  <phoneticPr fontId="5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EA66-2305-4768-AA40-0867C39AEC3B}">
  <dimension ref="A1:I33"/>
  <sheetViews>
    <sheetView workbookViewId="0">
      <selection activeCell="I28" sqref="I28"/>
    </sheetView>
  </sheetViews>
  <sheetFormatPr baseColWidth="10" defaultColWidth="8.796875" defaultRowHeight="14"/>
  <cols>
    <col min="1" max="1" width="36.19921875" customWidth="1"/>
    <col min="2" max="2" width="16" style="3" customWidth="1"/>
    <col min="3" max="3" width="14.3984375" style="156" customWidth="1"/>
  </cols>
  <sheetData>
    <row r="1" spans="1:9">
      <c r="A1" s="144" t="s">
        <v>326</v>
      </c>
      <c r="B1" s="154" t="s">
        <v>327</v>
      </c>
      <c r="C1" s="155" t="s">
        <v>328</v>
      </c>
    </row>
    <row r="2" spans="1:9">
      <c r="A2" t="s">
        <v>329</v>
      </c>
      <c r="B2">
        <v>46</v>
      </c>
      <c r="C2" s="156" t="s">
        <v>330</v>
      </c>
      <c r="D2" s="158"/>
      <c r="E2" s="158"/>
      <c r="F2" s="158"/>
      <c r="G2" s="158"/>
      <c r="H2" s="158"/>
      <c r="I2" s="158"/>
    </row>
    <row r="3" spans="1:9">
      <c r="A3" t="s">
        <v>331</v>
      </c>
      <c r="B3">
        <v>365</v>
      </c>
      <c r="C3" s="156" t="s">
        <v>330</v>
      </c>
    </row>
    <row r="4" spans="1:9">
      <c r="A4" t="s">
        <v>332</v>
      </c>
      <c r="B4">
        <v>15</v>
      </c>
      <c r="C4" s="156" t="s">
        <v>333</v>
      </c>
    </row>
    <row r="5" spans="1:9">
      <c r="A5" t="s">
        <v>334</v>
      </c>
      <c r="B5">
        <v>188</v>
      </c>
      <c r="C5" s="156" t="s">
        <v>333</v>
      </c>
    </row>
    <row r="6" spans="1:9">
      <c r="A6" t="s">
        <v>335</v>
      </c>
      <c r="B6">
        <v>27</v>
      </c>
      <c r="C6" s="156" t="s">
        <v>333</v>
      </c>
    </row>
    <row r="7" spans="1:9">
      <c r="A7" t="s">
        <v>336</v>
      </c>
      <c r="B7">
        <v>3</v>
      </c>
      <c r="C7" s="156" t="s">
        <v>333</v>
      </c>
    </row>
    <row r="8" spans="1:9">
      <c r="A8" t="s">
        <v>337</v>
      </c>
      <c r="B8">
        <v>111</v>
      </c>
      <c r="C8" s="156" t="s">
        <v>333</v>
      </c>
    </row>
    <row r="9" spans="1:9">
      <c r="A9" t="s">
        <v>338</v>
      </c>
      <c r="B9">
        <v>10</v>
      </c>
      <c r="C9" s="156" t="s">
        <v>333</v>
      </c>
    </row>
    <row r="10" spans="1:9">
      <c r="A10" t="s">
        <v>339</v>
      </c>
      <c r="B10">
        <v>0</v>
      </c>
      <c r="C10" s="156" t="s">
        <v>333</v>
      </c>
    </row>
    <row r="11" spans="1:9">
      <c r="A11" t="s">
        <v>340</v>
      </c>
      <c r="B11">
        <v>161</v>
      </c>
      <c r="C11" s="156" t="s">
        <v>333</v>
      </c>
    </row>
    <row r="12" spans="1:9">
      <c r="A12" t="s">
        <v>341</v>
      </c>
      <c r="B12">
        <v>24</v>
      </c>
      <c r="C12" s="156" t="s">
        <v>333</v>
      </c>
    </row>
    <row r="13" spans="1:9">
      <c r="A13" t="s">
        <v>342</v>
      </c>
      <c r="B13">
        <v>72</v>
      </c>
      <c r="C13" s="156" t="s">
        <v>333</v>
      </c>
    </row>
    <row r="14" spans="1:9">
      <c r="A14" t="s">
        <v>343</v>
      </c>
      <c r="B14">
        <v>26</v>
      </c>
      <c r="C14" s="156" t="s">
        <v>330</v>
      </c>
    </row>
    <row r="15" spans="1:9">
      <c r="A15" t="s">
        <v>344</v>
      </c>
      <c r="B15">
        <v>52</v>
      </c>
      <c r="C15" s="156" t="s">
        <v>330</v>
      </c>
    </row>
    <row r="16" spans="1:9">
      <c r="A16" t="s">
        <v>345</v>
      </c>
      <c r="B16">
        <v>17</v>
      </c>
      <c r="C16" s="156" t="s">
        <v>330</v>
      </c>
    </row>
    <row r="17" spans="1:3">
      <c r="A17" t="s">
        <v>346</v>
      </c>
      <c r="B17">
        <v>288</v>
      </c>
      <c r="C17" s="156" t="s">
        <v>330</v>
      </c>
    </row>
    <row r="18" spans="1:3">
      <c r="A18" t="s">
        <v>347</v>
      </c>
      <c r="B18">
        <v>19</v>
      </c>
      <c r="C18" s="156" t="s">
        <v>333</v>
      </c>
    </row>
    <row r="19" spans="1:3">
      <c r="A19" t="s">
        <v>348</v>
      </c>
      <c r="B19">
        <v>1384</v>
      </c>
      <c r="C19" s="156" t="s">
        <v>333</v>
      </c>
    </row>
    <row r="20" spans="1:3">
      <c r="A20" t="s">
        <v>349</v>
      </c>
      <c r="B20">
        <v>795</v>
      </c>
      <c r="C20" s="156" t="s">
        <v>350</v>
      </c>
    </row>
    <row r="21" spans="1:3">
      <c r="A21" t="s">
        <v>351</v>
      </c>
      <c r="B21">
        <v>2917</v>
      </c>
      <c r="C21" s="156" t="s">
        <v>350</v>
      </c>
    </row>
    <row r="22" spans="1:3">
      <c r="A22" t="s">
        <v>352</v>
      </c>
      <c r="B22">
        <v>8666</v>
      </c>
      <c r="C22" s="156" t="s">
        <v>350</v>
      </c>
    </row>
    <row r="23" spans="1:3">
      <c r="A23" t="s">
        <v>353</v>
      </c>
      <c r="B23">
        <v>1002</v>
      </c>
      <c r="C23" s="156" t="s">
        <v>354</v>
      </c>
    </row>
    <row r="24" spans="1:3">
      <c r="A24" s="157" t="s">
        <v>246</v>
      </c>
      <c r="B24" s="157">
        <f>SUM(B2:B23)</f>
        <v>16188</v>
      </c>
    </row>
    <row r="26" spans="1:3">
      <c r="A26" t="s">
        <v>355</v>
      </c>
    </row>
    <row r="28" spans="1:3">
      <c r="A28" t="s">
        <v>356</v>
      </c>
      <c r="B28" s="3">
        <f>SUM(B20:B22,B14:B17,B2:B3,B23)</f>
        <v>14174</v>
      </c>
    </row>
    <row r="29" spans="1:3">
      <c r="A29" t="s">
        <v>357</v>
      </c>
      <c r="B29" s="3">
        <f>SUM(B18:B19,B4:B13)</f>
        <v>2014</v>
      </c>
    </row>
    <row r="30" spans="1:3">
      <c r="A30" t="s">
        <v>358</v>
      </c>
      <c r="B30" s="3">
        <f>SUM(B20:B22)</f>
        <v>12378</v>
      </c>
    </row>
    <row r="31" spans="1:3">
      <c r="A31" t="s">
        <v>359</v>
      </c>
      <c r="B31" s="3">
        <f>SUM(B14:B17,B2:B3)</f>
        <v>794</v>
      </c>
    </row>
    <row r="32" spans="1:3">
      <c r="A32" t="s">
        <v>360</v>
      </c>
      <c r="B32" s="3">
        <f>B23</f>
        <v>1002</v>
      </c>
    </row>
    <row r="33" spans="1:2">
      <c r="A33" t="s">
        <v>361</v>
      </c>
      <c r="B33" s="3">
        <f>SUM(B18:B19,B4:B13)</f>
        <v>2014</v>
      </c>
    </row>
  </sheetData>
  <phoneticPr fontId="57" type="noConversion"/>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3"/>
  </sheetPr>
  <dimension ref="A1:H8"/>
  <sheetViews>
    <sheetView tabSelected="1" workbookViewId="0">
      <selection activeCell="B5" sqref="B5"/>
    </sheetView>
  </sheetViews>
  <sheetFormatPr baseColWidth="10" defaultColWidth="8.796875" defaultRowHeight="14"/>
  <cols>
    <col min="1" max="1" width="16.796875" customWidth="1"/>
    <col min="2" max="2" width="24.3984375" customWidth="1"/>
    <col min="3" max="3" width="20.796875" customWidth="1"/>
    <col min="4" max="4" width="18.3984375" customWidth="1"/>
    <col min="5" max="5" width="17.19921875" customWidth="1"/>
    <col min="6" max="6" width="23.3984375" customWidth="1"/>
    <col min="7" max="8" width="24.3984375" customWidth="1"/>
  </cols>
  <sheetData>
    <row r="1" spans="1:8">
      <c r="B1" s="5" t="s">
        <v>362</v>
      </c>
      <c r="C1" s="5" t="s">
        <v>363</v>
      </c>
      <c r="D1" s="5" t="s">
        <v>364</v>
      </c>
      <c r="E1" s="5" t="s">
        <v>365</v>
      </c>
      <c r="F1" s="5" t="s">
        <v>366</v>
      </c>
      <c r="G1" s="1" t="s">
        <v>367</v>
      </c>
      <c r="H1" s="1" t="s">
        <v>368</v>
      </c>
    </row>
    <row r="2" spans="1:8">
      <c r="A2" s="1" t="s">
        <v>369</v>
      </c>
      <c r="B2" s="6">
        <f>'Fuel Type'!E4</f>
        <v>62061</v>
      </c>
      <c r="C2">
        <v>0</v>
      </c>
      <c r="D2" s="6">
        <f>'Fuel Type'!C4</f>
        <v>578215</v>
      </c>
      <c r="E2" s="6">
        <f>'Fuel Type'!D4</f>
        <v>11808</v>
      </c>
      <c r="F2" s="6">
        <f>'Fuel Type'!G4</f>
        <v>119</v>
      </c>
      <c r="G2" s="6">
        <f>'Fuel Type'!F3</f>
        <v>18144</v>
      </c>
      <c r="H2">
        <v>0</v>
      </c>
    </row>
    <row r="3" spans="1:8">
      <c r="A3" s="1" t="s">
        <v>370</v>
      </c>
      <c r="B3" s="6">
        <f>'Fuel Type'!E5</f>
        <v>68</v>
      </c>
      <c r="C3">
        <v>0</v>
      </c>
      <c r="D3" s="7">
        <v>0</v>
      </c>
      <c r="E3" s="6">
        <f>'Fuel Type'!D5</f>
        <v>16319</v>
      </c>
      <c r="F3" s="7">
        <v>0</v>
      </c>
      <c r="G3" s="6">
        <f>'Fuel Type'!F5</f>
        <v>4716</v>
      </c>
      <c r="H3">
        <v>0</v>
      </c>
    </row>
    <row r="4" spans="1:8">
      <c r="A4" s="1" t="s">
        <v>12</v>
      </c>
      <c r="B4" s="170">
        <v>0</v>
      </c>
      <c r="C4" s="169">
        <v>0</v>
      </c>
      <c r="D4" s="170">
        <v>0</v>
      </c>
      <c r="E4" s="170">
        <v>0</v>
      </c>
      <c r="F4" s="170">
        <v>0</v>
      </c>
      <c r="G4" s="170">
        <v>0</v>
      </c>
      <c r="H4" s="169">
        <v>0</v>
      </c>
    </row>
    <row r="5" spans="1:8">
      <c r="A5" s="1" t="s">
        <v>371</v>
      </c>
      <c r="B5" s="7">
        <f>MTR!E33</f>
        <v>271.375</v>
      </c>
      <c r="C5">
        <v>0</v>
      </c>
      <c r="D5" s="7">
        <v>0</v>
      </c>
      <c r="E5" s="7">
        <v>0</v>
      </c>
      <c r="F5" s="7">
        <v>0</v>
      </c>
      <c r="G5" s="7">
        <v>0</v>
      </c>
      <c r="H5">
        <v>0</v>
      </c>
    </row>
    <row r="6" spans="1:8">
      <c r="A6" s="1" t="s">
        <v>372</v>
      </c>
      <c r="B6" s="7">
        <v>0</v>
      </c>
      <c r="C6">
        <v>0</v>
      </c>
      <c r="D6" s="7">
        <v>0</v>
      </c>
      <c r="E6" s="7">
        <v>0</v>
      </c>
      <c r="F6" s="7">
        <v>0</v>
      </c>
      <c r="G6" s="7">
        <v>0</v>
      </c>
      <c r="H6">
        <v>0</v>
      </c>
    </row>
    <row r="7" spans="1:8">
      <c r="A7" s="1" t="s">
        <v>373</v>
      </c>
      <c r="B7" s="6">
        <f>'Fuel Type'!E2</f>
        <v>389</v>
      </c>
      <c r="C7">
        <v>0</v>
      </c>
      <c r="D7" s="6">
        <f>'Fuel Type'!C2</f>
        <v>108479</v>
      </c>
      <c r="E7" s="7">
        <v>0</v>
      </c>
      <c r="F7" s="7">
        <v>0</v>
      </c>
      <c r="G7" s="7">
        <v>0</v>
      </c>
      <c r="H7">
        <v>0</v>
      </c>
    </row>
    <row r="8" spans="1:8">
      <c r="D8" s="174"/>
    </row>
  </sheetData>
  <phoneticPr fontId="5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theme="3"/>
  </sheetPr>
  <dimension ref="A1:H7"/>
  <sheetViews>
    <sheetView workbookViewId="0">
      <selection activeCell="B42" sqref="B42"/>
    </sheetView>
  </sheetViews>
  <sheetFormatPr baseColWidth="10" defaultColWidth="8.796875" defaultRowHeight="14"/>
  <cols>
    <col min="1" max="1" width="16.796875" customWidth="1"/>
    <col min="2" max="2" width="24.3984375" customWidth="1"/>
    <col min="3" max="3" width="20.796875" customWidth="1"/>
    <col min="4" max="4" width="18.3984375" customWidth="1"/>
    <col min="5" max="5" width="17.19921875" customWidth="1"/>
    <col min="6" max="6" width="23.3984375" customWidth="1"/>
    <col min="7" max="8" width="23" customWidth="1"/>
  </cols>
  <sheetData>
    <row r="1" spans="1:8">
      <c r="B1" s="5" t="s">
        <v>362</v>
      </c>
      <c r="C1" s="5" t="s">
        <v>363</v>
      </c>
      <c r="D1" s="5" t="s">
        <v>364</v>
      </c>
      <c r="E1" s="5" t="s">
        <v>365</v>
      </c>
      <c r="F1" s="5" t="s">
        <v>366</v>
      </c>
      <c r="G1" s="1" t="s">
        <v>367</v>
      </c>
      <c r="H1" s="1" t="s">
        <v>368</v>
      </c>
    </row>
    <row r="2" spans="1:8">
      <c r="A2" s="1" t="s">
        <v>369</v>
      </c>
      <c r="B2">
        <f>'Fuel Type'!E6</f>
        <v>434</v>
      </c>
      <c r="C2">
        <v>0</v>
      </c>
      <c r="D2">
        <f>'Fuel Type'!C6</f>
        <v>480</v>
      </c>
      <c r="E2">
        <f>'Fuel Type'!D6</f>
        <v>77122</v>
      </c>
      <c r="F2" s="4">
        <f>'Fuel Type'!G6</f>
        <v>0</v>
      </c>
      <c r="G2" s="4">
        <f>'Fuel Type'!F6</f>
        <v>0</v>
      </c>
      <c r="H2">
        <v>0</v>
      </c>
    </row>
    <row r="3" spans="1:8">
      <c r="A3" s="1" t="s">
        <v>370</v>
      </c>
      <c r="B3">
        <f>'Fuel Type'!E7</f>
        <v>133</v>
      </c>
      <c r="C3">
        <v>0</v>
      </c>
      <c r="D3">
        <f>'Fuel Type'!C7</f>
        <v>53</v>
      </c>
      <c r="E3">
        <f>'Fuel Type'!D7</f>
        <v>44384</v>
      </c>
      <c r="F3">
        <f>'Fuel Type'!G7</f>
        <v>2</v>
      </c>
      <c r="G3">
        <f>'Fuel Type'!F7</f>
        <v>182</v>
      </c>
      <c r="H3">
        <v>0</v>
      </c>
    </row>
    <row r="4" spans="1:8">
      <c r="A4" s="1" t="s">
        <v>12</v>
      </c>
      <c r="B4" s="169">
        <v>0</v>
      </c>
      <c r="C4" s="169">
        <v>0</v>
      </c>
      <c r="D4" s="169">
        <v>0</v>
      </c>
      <c r="E4" s="169">
        <v>0</v>
      </c>
      <c r="F4" s="169">
        <v>0</v>
      </c>
      <c r="G4" s="169">
        <v>0</v>
      </c>
      <c r="H4" s="169">
        <v>0</v>
      </c>
    </row>
    <row r="5" spans="1:8">
      <c r="A5" s="1" t="s">
        <v>371</v>
      </c>
      <c r="B5" s="169">
        <v>0</v>
      </c>
      <c r="C5" s="169">
        <v>0</v>
      </c>
      <c r="D5" s="169">
        <v>0</v>
      </c>
      <c r="E5" s="169">
        <v>0</v>
      </c>
      <c r="F5" s="169">
        <v>0</v>
      </c>
      <c r="G5" s="169">
        <v>0</v>
      </c>
      <c r="H5" s="169">
        <v>0</v>
      </c>
    </row>
    <row r="6" spans="1:8">
      <c r="A6" s="1" t="s">
        <v>372</v>
      </c>
      <c r="B6" s="4">
        <v>0</v>
      </c>
      <c r="C6">
        <v>0</v>
      </c>
      <c r="D6" s="4">
        <v>0</v>
      </c>
      <c r="E6" s="4">
        <v>0</v>
      </c>
      <c r="F6" s="4">
        <v>0</v>
      </c>
      <c r="G6" s="4">
        <v>0</v>
      </c>
      <c r="H6">
        <v>0</v>
      </c>
    </row>
    <row r="7" spans="1:8">
      <c r="A7" s="1" t="s">
        <v>373</v>
      </c>
      <c r="B7" s="4">
        <f>'Fuel Type'!E3</f>
        <v>5</v>
      </c>
      <c r="C7">
        <v>0</v>
      </c>
      <c r="D7" s="4">
        <f>'Fuel Type'!C3</f>
        <v>11</v>
      </c>
      <c r="E7" s="4">
        <v>0</v>
      </c>
      <c r="F7" s="4">
        <v>0</v>
      </c>
      <c r="G7">
        <f>'Fuel Type'!F3</f>
        <v>18144</v>
      </c>
      <c r="H7">
        <v>0</v>
      </c>
    </row>
  </sheetData>
  <phoneticPr fontId="57"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1FC1-2C22-4F54-A2D3-DCC05B71068D}">
  <dimension ref="A1:A3"/>
  <sheetViews>
    <sheetView workbookViewId="0"/>
  </sheetViews>
  <sheetFormatPr baseColWidth="10" defaultColWidth="8.796875" defaultRowHeight="14"/>
  <sheetData>
    <row r="1" spans="1:1">
      <c r="A1" s="147" t="s">
        <v>374</v>
      </c>
    </row>
    <row r="2" spans="1:1">
      <c r="A2" s="147" t="s">
        <v>375</v>
      </c>
    </row>
    <row r="3" spans="1:1">
      <c r="A3" s="147" t="s">
        <v>376</v>
      </c>
    </row>
  </sheetData>
  <phoneticPr fontId="5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5D9410-3E5C-467C-ABD5-95017440E4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5610BF-D00F-44F7-8FFB-092D6D3E2E7E}">
  <ds:schemaRefs>
    <ds:schemaRef ds:uri="http://purl.org/dc/elements/1.1/"/>
    <ds:schemaRef ds:uri="http://schemas.microsoft.com/office/infopath/2007/PartnerControls"/>
    <ds:schemaRef ds:uri="6b15a3a4-8173-42d6-9deb-398ec38eca4b"/>
    <ds:schemaRef ds:uri="http://purl.org/dc/terms/"/>
    <ds:schemaRef ds:uri="http://schemas.openxmlformats.org/package/2006/metadata/core-properties"/>
    <ds:schemaRef ds:uri="http://schemas.microsoft.com/office/2006/documentManagement/types"/>
    <ds:schemaRef ds:uri="http://purl.org/dc/dcmitype/"/>
    <ds:schemaRef ds:uri="cb176f07-3112-4ee9-93fd-ae2cb5f3e43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ACA46F2-BB41-4CFA-AE39-345154E417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17</vt:i4>
      </vt:variant>
    </vt:vector>
  </HeadingPairs>
  <TitlesOfParts>
    <vt:vector size="17" baseType="lpstr">
      <vt:lpstr>About</vt:lpstr>
      <vt:lpstr>Air</vt:lpstr>
      <vt:lpstr>HK TD Motorcycles</vt:lpstr>
      <vt:lpstr>HK TD Cars</vt:lpstr>
      <vt:lpstr>HK TD Buses</vt:lpstr>
      <vt:lpstr>HK TD Freight</vt:lpstr>
      <vt:lpstr>HD TD Gov vehicles</vt:lpstr>
      <vt:lpstr>EV</vt:lpstr>
      <vt:lpstr>Diesel Gasoline split</vt:lpstr>
      <vt:lpstr>Vehicle Fuel Type</vt:lpstr>
      <vt:lpstr>MTR</vt:lpstr>
      <vt:lpstr>Non-road Vehicles</vt:lpstr>
      <vt:lpstr>Ferries</vt:lpstr>
      <vt:lpstr>Fuel Type</vt:lpstr>
      <vt:lpstr>Ships</vt:lpstr>
      <vt:lpstr>SYVbT-passenger</vt:lpstr>
      <vt:lpstr>SYVbT-freight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Lawrence Iu</cp:lastModifiedBy>
  <cp:revision/>
  <dcterms:created xsi:type="dcterms:W3CDTF">2017-06-22T21:46:10Z</dcterms:created>
  <dcterms:modified xsi:type="dcterms:W3CDTF">2024-07-23T05:31:44Z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2560">
    <vt:lpwstr>146</vt:lpwstr>
  </property>
  <property fmtid="{D5CDD505-2E9C-101B-9397-08002B2CF9AE}" pid="4" name="AuthorIds_UIVersion_16896">
    <vt:lpwstr>146</vt:lpwstr>
  </property>
  <property fmtid="{D5CDD505-2E9C-101B-9397-08002B2CF9AE}" pid="5" name="MediaServiceImageTags">
    <vt:lpwstr/>
  </property>
</Properties>
</file>