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trans/0 Need to Update/FoVObE/"/>
    </mc:Choice>
  </mc:AlternateContent>
  <xr:revisionPtr revIDLastSave="522" documentId="8_{C899CFE8-4FAF-224D-BC47-30E4F18BFF68}" xr6:coauthVersionLast="47" xr6:coauthVersionMax="47" xr10:uidLastSave="{6EF8352D-8D12-1444-BDED-2B38E3B12863}"/>
  <bookViews>
    <workbookView xWindow="28800" yWindow="500" windowWidth="34660" windowHeight="21100" activeTab="4" xr2:uid="{00000000-000D-0000-FFFF-FFFF00000000}"/>
  </bookViews>
  <sheets>
    <sheet name="About" sheetId="1" r:id="rId1"/>
    <sheet name="Results" sheetId="10" r:id="rId2"/>
    <sheet name="FoVObE-passengers" sheetId="11" r:id="rId3"/>
    <sheet name="FoVObE-freight" sheetId="12" r:id="rId4"/>
    <sheet name="NTS 1-11" sheetId="13" r:id="rId5"/>
    <sheet name="Federal Govt" sheetId="4" r:id="rId6"/>
    <sheet name="Fire Departments" sheetId="6" r:id="rId7"/>
    <sheet name="Police Departments" sheetId="7" r:id="rId8"/>
    <sheet name="Taxis and Limos" sheetId="8" r:id="rId9"/>
    <sheet name="Population" sheetId="9" r:id="rId10"/>
  </sheets>
  <externalReferences>
    <externalReference r:id="rId11"/>
  </externalReferences>
  <definedNames>
    <definedName name="outputfrac_bio">#REF!</definedName>
    <definedName name="outputfrac_coal">#REF!</definedName>
    <definedName name="outputfrac_elec">#REF!</definedName>
    <definedName name="outputfrac_ngps">#REF!</definedName>
    <definedName name="outputfrac_nonenergy">#REF!</definedName>
    <definedName name="outputfrac_othe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8" l="1"/>
  <c r="D2" i="10"/>
  <c r="A9" i="8"/>
  <c r="A7" i="6" l="1"/>
  <c r="C7" i="10"/>
  <c r="C2" i="10"/>
  <c r="C9" i="10"/>
  <c r="C8" i="10"/>
  <c r="D8" i="10" s="1"/>
  <c r="B16" i="13"/>
  <c r="A4" i="6" l="1"/>
  <c r="B8" i="7"/>
  <c r="B37" i="9"/>
  <c r="B7" i="9"/>
  <c r="C4" i="12" l="1"/>
  <c r="C5" i="12"/>
  <c r="C6" i="12"/>
  <c r="C7" i="12"/>
  <c r="C2" i="12"/>
  <c r="D3" i="12" l="1"/>
  <c r="B4" i="12"/>
  <c r="D4" i="12"/>
  <c r="B5" i="12"/>
  <c r="D5" i="12"/>
  <c r="B6" i="12"/>
  <c r="D6" i="12"/>
  <c r="B7" i="12"/>
  <c r="D7" i="12"/>
  <c r="D2" i="12"/>
  <c r="B2" i="12"/>
  <c r="B3" i="11"/>
  <c r="D3" i="11"/>
  <c r="B4" i="11"/>
  <c r="C4" i="11"/>
  <c r="D4" i="11"/>
  <c r="B5" i="11"/>
  <c r="C5" i="11"/>
  <c r="D5" i="11"/>
  <c r="B6" i="11"/>
  <c r="C6" i="11"/>
  <c r="D6" i="11"/>
  <c r="B7" i="11"/>
  <c r="C7" i="11"/>
  <c r="C2" i="11"/>
  <c r="E7" i="10"/>
  <c r="D7" i="11" s="1"/>
  <c r="C3" i="11"/>
  <c r="B2" i="11" l="1"/>
  <c r="E2" i="10" l="1"/>
  <c r="D2" i="11" s="1"/>
  <c r="B3" i="12" l="1"/>
  <c r="D9" i="10" l="1"/>
  <c r="C3" i="12" s="1"/>
</calcChain>
</file>

<file path=xl/sharedStrings.xml><?xml version="1.0" encoding="utf-8"?>
<sst xmlns="http://schemas.openxmlformats.org/spreadsheetml/2006/main" count="214" uniqueCount="166">
  <si>
    <t>FoVObE Fraction of Vehicles Owned by Entity</t>
  </si>
  <si>
    <t>Source:</t>
  </si>
  <si>
    <t>Total Vehicles by Type</t>
  </si>
  <si>
    <t>Bureau of Transportation Statistics</t>
  </si>
  <si>
    <t>National Transportation Statistics 2015</t>
  </si>
  <si>
    <t>http://www.rita.dot.gov/bts/sites/rita.dot.gov.bts/files/table_01_11_3.xlsx</t>
  </si>
  <si>
    <t>Table 1-11</t>
  </si>
  <si>
    <t>Federal Govt-Owned LDVs and HDVs</t>
  </si>
  <si>
    <t>General Services Administration</t>
  </si>
  <si>
    <t>Fiscal Year 2011 Federal Fleet Report</t>
  </si>
  <si>
    <t>http://www.gsa.gov/graphics/ogp/2011FFR_Tables_FINAL.xlsx</t>
  </si>
  <si>
    <t>Table 2-1: Worldwide Inventory</t>
  </si>
  <si>
    <t>Fire Dept vehicles per 1000 people</t>
  </si>
  <si>
    <t>National Fire Protection Association</t>
  </si>
  <si>
    <t>U.S. Fire Department Profile 2012</t>
  </si>
  <si>
    <t>http://www.nfpa.org/~/media/Files/Research/NFPA%20reports/Fire%20service%20statistics/osfdprofile.pdf</t>
  </si>
  <si>
    <t>Page 22, Table 13</t>
  </si>
  <si>
    <t>Police Department vehicles per 1000 people</t>
  </si>
  <si>
    <t>Bureau of Justice Statistics, U.S. Dept of Justice</t>
  </si>
  <si>
    <t>Local Police Departments, 2007</t>
  </si>
  <si>
    <t>http://www.bjs.gov/content/pub/pdf/lpd07.pdf</t>
  </si>
  <si>
    <t>Page 38, Appendix Table 13</t>
  </si>
  <si>
    <t>Taxis and Limos</t>
  </si>
  <si>
    <t>Bureau of Labor Statistics</t>
  </si>
  <si>
    <t>Occupational Outlook Handbook 2012</t>
  </si>
  <si>
    <t>http://www.bls.gov/ooh/transportation-and-material-moving/taxi-drivers-and-chauffeurs.htm</t>
  </si>
  <si>
    <t>Taxi Drivers and Chauffeurs</t>
  </si>
  <si>
    <t>U.S. Population, historical values, 2000-2009</t>
  </si>
  <si>
    <t>U.S. Census Bureau</t>
  </si>
  <si>
    <t>Population Estimates: Vintage 2009: Annual Population Estimates</t>
  </si>
  <si>
    <t>http://www.census.gov/popest/data/state/totals/2009/tables/NST-EST2009-01.xls</t>
  </si>
  <si>
    <t>U.S. Population, historical values, 2010-2013</t>
  </si>
  <si>
    <t>Population Estimates: National Totals: Vintage 2013</t>
  </si>
  <si>
    <t>http://www.census.gov/popest/data/state/totals/2013/tables/NST-EST2013-01.xls</t>
  </si>
  <si>
    <t>U.S. Population, future projections</t>
  </si>
  <si>
    <t>2012 National Population Projections: Summary Tables, Middle Series</t>
  </si>
  <si>
    <t>http://www.census.gov/population/projections/files/summary/NP2012-T1.xls</t>
  </si>
  <si>
    <t>Note:</t>
  </si>
  <si>
    <t>Excluded vehicle types include: general aviation, military vehicles, passenger ferries, non-truck construction vehicles, non-truck agricultural vehicles, small electric craft (scooters, golf carts, etc.)</t>
  </si>
  <si>
    <t>From NTS Table 1-11, we try to use the years that match our other data sources (usually 2011), rather than the latest year</t>
  </si>
  <si>
    <t>available, because we are taking ratios.</t>
  </si>
  <si>
    <t>Vehicle Exports</t>
  </si>
  <si>
    <t>Vehicles produced and sold for export (sold and used outside the modeled region) should not be included here.</t>
  </si>
  <si>
    <t>The transportation sector in the EPS only tracks transportation within the modeled region.</t>
  </si>
  <si>
    <t>(Exported vehicles may be included in grouped Industry Sector outputs, where exports are handled.)</t>
  </si>
  <si>
    <t>Therefore, the share of vehicles assigned to "foreign entities" in this variable should be zero.</t>
  </si>
  <si>
    <t>Even if a foreign entity owns vehicles in the modeled region, classify those vehicles as government-, industry-,</t>
  </si>
  <si>
    <t>or consumer-owned, depending on the nature of the foreign entitiy.</t>
  </si>
  <si>
    <t>In the output tab, we show more decimal places than the source data</t>
  </si>
  <si>
    <t>provide in order to avoid rounding error in Vensim (each column must</t>
  </si>
  <si>
    <t>add to 1).</t>
  </si>
  <si>
    <t>Subscripts</t>
  </si>
  <si>
    <t>Meaning in Model</t>
  </si>
  <si>
    <t>Fraction Owned by Govt</t>
  </si>
  <si>
    <t>Fraction Owned by Industry</t>
  </si>
  <si>
    <t>Fraction Owned by Consumers</t>
  </si>
  <si>
    <t>Explanation</t>
  </si>
  <si>
    <t>LDVs, passenger</t>
  </si>
  <si>
    <t>most LDVs</t>
  </si>
  <si>
    <t>Government-owned passenger LDVs include all 4-wheeled police vehicles and all Federal LDVs.  Industry-owned LDVs are estimated as one per taxi driver or chauffeur. Assumption that Cross-country vehicles were also considered as LDVs</t>
  </si>
  <si>
    <t>HDVs, passenger</t>
  </si>
  <si>
    <t>buses (school, transit, and intercity)</t>
  </si>
  <si>
    <t>Hong Kong's transit system is operated by the franchised bus operating companies rather than the government</t>
  </si>
  <si>
    <t>aircraft, passenger</t>
  </si>
  <si>
    <t>commercial air travel for people (not general aviation)</t>
  </si>
  <si>
    <t>We assume industry owns all commercial passenger aircraft.</t>
  </si>
  <si>
    <t>rail, passenger</t>
  </si>
  <si>
    <t>intercity, transit, and commuter rail</t>
  </si>
  <si>
    <t xml:space="preserve">The MTR's sole shareholder is the HK Government </t>
  </si>
  <si>
    <t>ships, passenger</t>
  </si>
  <si>
    <t>recreational boats</t>
  </si>
  <si>
    <t>We assume consumers own all recreational boats.</t>
  </si>
  <si>
    <t>motorbikes, passenger</t>
  </si>
  <si>
    <t>registered motorcycles</t>
  </si>
  <si>
    <t>LDVs, freight</t>
  </si>
  <si>
    <t>commercial light trucks</t>
  </si>
  <si>
    <t>HDVs, freight</t>
  </si>
  <si>
    <t>all other HDVs</t>
  </si>
  <si>
    <t>aircraft, freight</t>
  </si>
  <si>
    <t>other commercial flights (not general aviation)</t>
  </si>
  <si>
    <t>We assume industry owns all commercial freight aircraft.</t>
  </si>
  <si>
    <t>rail, freight</t>
  </si>
  <si>
    <t>all other rail</t>
  </si>
  <si>
    <t>We assume all freight rail is industry-owned.</t>
  </si>
  <si>
    <t>ships, freight</t>
  </si>
  <si>
    <t>all other ships</t>
  </si>
  <si>
    <t>We assume industry owns all freight ships.</t>
  </si>
  <si>
    <t>motorbikes, freight</t>
  </si>
  <si>
    <t>not used in model</t>
  </si>
  <si>
    <t>Orange = assumption</t>
  </si>
  <si>
    <t>Green = data</t>
  </si>
  <si>
    <t>NOTE</t>
  </si>
  <si>
    <t>Fraction Owned by Entity (dimensionless)</t>
  </si>
  <si>
    <t>government</t>
  </si>
  <si>
    <t>domestic industries</t>
  </si>
  <si>
    <t>labor and consumers</t>
  </si>
  <si>
    <t>foreign entities</t>
  </si>
  <si>
    <t>LDVs</t>
  </si>
  <si>
    <t>HDVs</t>
  </si>
  <si>
    <t>aircraft</t>
  </si>
  <si>
    <t>rail</t>
  </si>
  <si>
    <t>ships</t>
  </si>
  <si>
    <t>motorbikes</t>
  </si>
  <si>
    <t>Annual Traffic Census 2022</t>
  </si>
  <si>
    <t>Table 6-1</t>
  </si>
  <si>
    <t>Motor Vehicles Registered by Class 1947-2022</t>
  </si>
  <si>
    <t>Year (2022)</t>
  </si>
  <si>
    <t xml:space="preserve">Motorcycle </t>
  </si>
  <si>
    <t>Private Motor Car</t>
  </si>
  <si>
    <t xml:space="preserve"> Taxi </t>
  </si>
  <si>
    <t>Buses (Non-Franchised)</t>
  </si>
  <si>
    <t>Buses (Franchised)</t>
  </si>
  <si>
    <t>Goods Vehicles (incl. special purpose vehicles)</t>
  </si>
  <si>
    <t>Public Light Bus</t>
  </si>
  <si>
    <t xml:space="preserve">Private Light Bus </t>
  </si>
  <si>
    <t xml:space="preserve">Government Vehicle </t>
  </si>
  <si>
    <t>TOTAL</t>
  </si>
  <si>
    <t>Federal Government-Owned Vehicles</t>
  </si>
  <si>
    <t>https://www.gld.gov.hk/en/our-services/land-transport/fleet-management/</t>
  </si>
  <si>
    <t>Bus</t>
  </si>
  <si>
    <t>Fire Department Vehicles</t>
  </si>
  <si>
    <t>d</t>
  </si>
  <si>
    <t>HK Population in 2021</t>
  </si>
  <si>
    <t>Fire Vehicles in 2023</t>
  </si>
  <si>
    <t>Police Department Vehicles</t>
  </si>
  <si>
    <t>https://www.aud.gov.hk/pdf_e/e71ch03.pdf</t>
  </si>
  <si>
    <t>Number of Motorized Land Vehicles operated by Local Police Departments, 2018</t>
  </si>
  <si>
    <t>General purpose vehicles (incl. saloon cars and small motorcycles)</t>
  </si>
  <si>
    <t>Other 4-wheeled vehicles (incl. specialised vehicles)</t>
  </si>
  <si>
    <t>Year</t>
  </si>
  <si>
    <t>HK Population</t>
  </si>
  <si>
    <t>We assume the majority of other 4-wheeled vehicles are SUVs and fall into the LDVs category.</t>
  </si>
  <si>
    <t>Taxi Cabs and Limousines</t>
  </si>
  <si>
    <t>Assumptions</t>
  </si>
  <si>
    <t>We assume approximately one LDV per driver.</t>
  </si>
  <si>
    <t>HK population (updated 21/08/23)</t>
  </si>
  <si>
    <t>Type</t>
  </si>
  <si>
    <t>Historical Data</t>
  </si>
  <si>
    <t>Future projection</t>
  </si>
  <si>
    <t xml:space="preserve">Ambulance </t>
  </si>
  <si>
    <t>Heavy Goods Vehicles</t>
  </si>
  <si>
    <t>Light Bus</t>
  </si>
  <si>
    <t>Light Goods Vehicle</t>
  </si>
  <si>
    <t xml:space="preserve">Medium Goods Vehicle </t>
  </si>
  <si>
    <t xml:space="preserve">Motor Cycle </t>
  </si>
  <si>
    <t xml:space="preserve">Private Car </t>
  </si>
  <si>
    <t xml:space="preserve">Recovery Vehicle </t>
  </si>
  <si>
    <t>Refuse Collection Vehicle</t>
  </si>
  <si>
    <t>Street Washer</t>
  </si>
  <si>
    <t xml:space="preserve">Sweeper </t>
  </si>
  <si>
    <t xml:space="preserve">Trailer </t>
  </si>
  <si>
    <t xml:space="preserve">Operational fire appliances/ supporting vehicles (including amublances) </t>
  </si>
  <si>
    <t>ambulances (also located under the Fire Department)</t>
  </si>
  <si>
    <t xml:space="preserve">Other Special Vehicle </t>
  </si>
  <si>
    <t>Data provided by EMSD at August 2023</t>
  </si>
  <si>
    <t>Government-owned HDVs include those owned by the Federal government and all fire department vehicles. Also includes Medium Goods Vehicles.  We assume industry owns the rest.</t>
  </si>
  <si>
    <t>Assumption that Police motorcycles are inclusive in the total Government number. We assume consumers own the rest.</t>
  </si>
  <si>
    <t>(screenshot taken from email conversation with garycheung@emsd.gov.hk [24/11/23]</t>
  </si>
  <si>
    <t xml:space="preserve">NOTE: taken from email conversation between EMSD Gary Cheung Aug 2023. Email is in the sharedrive </t>
  </si>
  <si>
    <t xml:space="preserve">Taxis (Urban, Island, New Territories) </t>
  </si>
  <si>
    <t>NOTE: Could not get an additional breakdown of police vehicles as this would be contravene with Clause 2.9© on the Code of Access and may harm the proper and efficient conduct of the operations of the HKPD</t>
  </si>
  <si>
    <t>Number of Taxi Drivers and Chauffeurs</t>
  </si>
  <si>
    <t xml:space="preserve">NOTE: TD defines hire car as the following (a) Hotel Hire Car Service (b) Tour Hire Car Service (C) Private Service [Limousine], (d) Private Service [Limousine-Cross Boundary] and (e) private service hire car </t>
  </si>
  <si>
    <t>https://www.info.gov.hk/gia/general/202205/18/P2022051800257.htm</t>
  </si>
  <si>
    <t xml:space="preserve">Hire Cars (as of Dec 2021) </t>
  </si>
  <si>
    <t>NOTE2: Source above only provides the statistics for 3. Assumption that "Private Hire Car Services" includes Limousine services 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</si>
</sst>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4"/>
      <name val="Helv"/>
    </font>
    <font>
      <b/>
      <sz val="10"/>
      <name val="Helv"/>
    </font>
    <font>
      <sz val="8"/>
      <name val="Helv"/>
    </font>
    <font>
      <u/>
      <sz val="11"/>
      <color theme="10"/>
      <name val="Calibri"/>
      <family val="2"/>
      <scheme val="minor"/>
    </font>
    <font>
      <sz val="10"/>
      <name val="Arial Narrow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4D79B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8">
    <xf numFmtId="0" fontId="0" fillId="0" borderId="0"/>
    <xf numFmtId="0" fontId="3" fillId="0" borderId="0" applyNumberFormat="0" applyFill="0" applyBorder="0" applyProtection="0"/>
    <xf numFmtId="0" fontId="5" fillId="0" borderId="0">
      <alignment horizontal="left" vertical="top"/>
    </xf>
    <xf numFmtId="0" fontId="6" fillId="0" borderId="8">
      <alignment horizontal="left"/>
    </xf>
    <xf numFmtId="3" fontId="7" fillId="0" borderId="8">
      <alignment horizontal="right" vertical="center"/>
    </xf>
    <xf numFmtId="0" fontId="8" fillId="0" borderId="0" applyNumberFormat="0" applyFill="0" applyBorder="0" applyAlignment="0" applyProtection="0"/>
    <xf numFmtId="0" fontId="7" fillId="0" borderId="0">
      <alignment horizontal="left"/>
    </xf>
    <xf numFmtId="164" fontId="11" fillId="0" borderId="0" applyFont="0" applyFill="0" applyBorder="0" applyAlignment="0" applyProtection="0"/>
  </cellStyleXfs>
  <cellXfs count="6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2" borderId="0" xfId="0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8" fillId="0" borderId="0" xfId="5"/>
    <xf numFmtId="0" fontId="1" fillId="5" borderId="0" xfId="0" applyFont="1" applyFill="1"/>
    <xf numFmtId="0" fontId="0" fillId="5" borderId="0" xfId="0" applyFill="1"/>
    <xf numFmtId="1" fontId="0" fillId="0" borderId="0" xfId="0" applyNumberFormat="1" applyAlignment="1">
      <alignment horizontal="left"/>
    </xf>
    <xf numFmtId="0" fontId="0" fillId="0" borderId="7" xfId="0" applyBorder="1"/>
    <xf numFmtId="0" fontId="0" fillId="3" borderId="7" xfId="0" applyFill="1" applyBorder="1"/>
    <xf numFmtId="165" fontId="0" fillId="4" borderId="7" xfId="0" applyNumberFormat="1" applyFill="1" applyBorder="1"/>
    <xf numFmtId="0" fontId="0" fillId="0" borderId="4" xfId="0" applyBorder="1"/>
    <xf numFmtId="0" fontId="0" fillId="0" borderId="12" xfId="0" applyBorder="1" applyAlignment="1">
      <alignment wrapText="1"/>
    </xf>
    <xf numFmtId="0" fontId="0" fillId="0" borderId="13" xfId="0" applyBorder="1"/>
    <xf numFmtId="0" fontId="0" fillId="0" borderId="6" xfId="0" applyBorder="1"/>
    <xf numFmtId="0" fontId="0" fillId="3" borderId="6" xfId="0" applyFill="1" applyBorder="1"/>
    <xf numFmtId="0" fontId="0" fillId="0" borderId="14" xfId="0" applyBorder="1" applyAlignment="1">
      <alignment wrapText="1"/>
    </xf>
    <xf numFmtId="165" fontId="0" fillId="4" borderId="9" xfId="0" applyNumberFormat="1" applyFill="1" applyBorder="1"/>
    <xf numFmtId="165" fontId="0" fillId="4" borderId="10" xfId="0" applyNumberFormat="1" applyFill="1" applyBorder="1"/>
    <xf numFmtId="165" fontId="0" fillId="4" borderId="11" xfId="0" applyNumberFormat="1" applyFill="1" applyBorder="1"/>
    <xf numFmtId="165" fontId="0" fillId="4" borderId="4" xfId="0" applyNumberFormat="1" applyFill="1" applyBorder="1"/>
    <xf numFmtId="0" fontId="0" fillId="3" borderId="12" xfId="0" applyFill="1" applyBorder="1"/>
    <xf numFmtId="0" fontId="0" fillId="3" borderId="4" xfId="0" applyFill="1" applyBorder="1"/>
    <xf numFmtId="0" fontId="0" fillId="0" borderId="5" xfId="0" applyBorder="1"/>
    <xf numFmtId="0" fontId="0" fillId="0" borderId="15" xfId="0" applyBorder="1"/>
    <xf numFmtId="0" fontId="0" fillId="3" borderId="5" xfId="0" applyFill="1" applyBorder="1"/>
    <xf numFmtId="0" fontId="0" fillId="3" borderId="15" xfId="0" applyFill="1" applyBorder="1"/>
    <xf numFmtId="0" fontId="0" fillId="3" borderId="16" xfId="0" applyFill="1" applyBorder="1"/>
    <xf numFmtId="0" fontId="0" fillId="0" borderId="16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14" xfId="0" applyBorder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0" xfId="5" applyAlignment="1">
      <alignment horizontal="left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9" fillId="0" borderId="0" xfId="0" applyFont="1"/>
    <xf numFmtId="0" fontId="1" fillId="0" borderId="0" xfId="0" applyFont="1" applyAlignment="1">
      <alignment horizontal="right" wrapText="1"/>
    </xf>
    <xf numFmtId="0" fontId="10" fillId="0" borderId="0" xfId="0" applyFont="1" applyAlignment="1">
      <alignment wrapText="1"/>
    </xf>
    <xf numFmtId="0" fontId="0" fillId="6" borderId="0" xfId="0" applyFill="1" applyAlignment="1">
      <alignment horizontal="right"/>
    </xf>
    <xf numFmtId="166" fontId="0" fillId="2" borderId="17" xfId="7" applyNumberFormat="1" applyFont="1" applyFill="1" applyBorder="1"/>
    <xf numFmtId="166" fontId="0" fillId="7" borderId="17" xfId="7" applyNumberFormat="1" applyFont="1" applyFill="1" applyBorder="1"/>
    <xf numFmtId="166" fontId="0" fillId="7" borderId="13" xfId="7" applyNumberFormat="1" applyFont="1" applyFill="1" applyBorder="1"/>
    <xf numFmtId="0" fontId="0" fillId="8" borderId="4" xfId="0" applyFill="1" applyBorder="1"/>
    <xf numFmtId="0" fontId="0" fillId="8" borderId="7" xfId="0" applyFill="1" applyBorder="1"/>
    <xf numFmtId="0" fontId="0" fillId="8" borderId="12" xfId="0" applyFill="1" applyBorder="1"/>
    <xf numFmtId="1" fontId="0" fillId="4" borderId="7" xfId="0" applyNumberFormat="1" applyFill="1" applyBorder="1"/>
    <xf numFmtId="165" fontId="0" fillId="8" borderId="9" xfId="0" applyNumberFormat="1" applyFill="1" applyBorder="1"/>
    <xf numFmtId="165" fontId="0" fillId="8" borderId="10" xfId="0" applyNumberFormat="1" applyFill="1" applyBorder="1"/>
    <xf numFmtId="0" fontId="0" fillId="8" borderId="11" xfId="0" applyFill="1" applyBorder="1"/>
    <xf numFmtId="165" fontId="0" fillId="3" borderId="13" xfId="0" applyNumberFormat="1" applyFill="1" applyBorder="1"/>
    <xf numFmtId="1" fontId="0" fillId="4" borderId="4" xfId="0" applyNumberFormat="1" applyFill="1" applyBorder="1"/>
    <xf numFmtId="165" fontId="0" fillId="3" borderId="14" xfId="0" applyNumberFormat="1" applyFill="1" applyBorder="1"/>
  </cellXfs>
  <cellStyles count="8">
    <cellStyle name="Comma 2" xfId="7" xr:uid="{57C1FD1D-415F-4542-B6F1-41CF97BD5AD0}"/>
    <cellStyle name="Data_Sheet1 (2)_1" xfId="4" xr:uid="{00000000-0005-0000-0000-000000000000}"/>
    <cellStyle name="Hed Side" xfId="3" xr:uid="{00000000-0005-0000-0000-000001000000}"/>
    <cellStyle name="Hyperlink" xfId="5" builtinId="8"/>
    <cellStyle name="Normal" xfId="0" builtinId="0"/>
    <cellStyle name="Source Text" xfId="6" xr:uid="{00000000-0005-0000-0000-000005000000}"/>
    <cellStyle name="Table Title" xfId="1" xr:uid="{00000000-0005-0000-0000-000006000000}"/>
    <cellStyle name="Title-1" xfId="2" xr:uid="{00000000-0005-0000-0000-000007000000}"/>
  </cellStyles>
  <dxfs count="0"/>
  <tableStyles count="0" defaultTableStyle="TableStyleMedium2" defaultPivotStyle="PivotStyleLight16"/>
  <colors>
    <mruColors>
      <color rgb="FFC4D7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17</xdr:row>
      <xdr:rowOff>177800</xdr:rowOff>
    </xdr:from>
    <xdr:to>
      <xdr:col>13</xdr:col>
      <xdr:colOff>393700</xdr:colOff>
      <xdr:row>45</xdr:row>
      <xdr:rowOff>103388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53DE6B-6BC4-89CF-C9A6-C14416395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3416300"/>
          <a:ext cx="10680700" cy="5259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279400</xdr:colOff>
      <xdr:row>8</xdr:row>
      <xdr:rowOff>139700</xdr:rowOff>
    </xdr:from>
    <xdr:to>
      <xdr:col>7</xdr:col>
      <xdr:colOff>266700</xdr:colOff>
      <xdr:row>24</xdr:row>
      <xdr:rowOff>99594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FCEE21-DD1A-25D6-7DF3-33100DE10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1663700"/>
          <a:ext cx="7772400" cy="300789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ivicexchangeorg.sharepoint.com/sites/HongKong2050isNowTeamsite/Shared%20Documents/12%20Hong%20Kong%20EPS%20technical%20note/HK%20EPS%20update/Policy%20Concept%20model%20(PCM)%2020230821%20WORKING%20COPY.xlsm" TargetMode="External"/><Relationship Id="rId1" Type="http://schemas.openxmlformats.org/officeDocument/2006/relationships/externalLinkPath" Target="/sites/HongKong2050isNowTeamsite/Shared%20Documents/12%20Hong%20Kong%20EPS%20technical%20note/HK%20EPS%20update/Policy%20Concept%20model%20(PCM)%2020230821%20WORKING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AMEWORK"/>
      <sheetName val="GHG &amp; Energy rpt"/>
      <sheetName val="Results summary rpt"/>
      <sheetName val="Result Report"/>
      <sheetName val="Key parameters rpt"/>
      <sheetName val="Sheet4"/>
      <sheetName val="Pivot_Table"/>
      <sheetName val="2016 Data Source"/>
      <sheetName val="Transport"/>
      <sheetName val="Population and GDP"/>
      <sheetName val="Population and GDP (1)"/>
      <sheetName val="Sheet3"/>
      <sheetName val="Building"/>
      <sheetName val="Sheet5"/>
      <sheetName val="Transport-1"/>
      <sheetName val="Transport-2"/>
      <sheetName val="Electricity"/>
      <sheetName val="Waste"/>
      <sheetName val="PMC ref file ---&gt;"/>
      <sheetName val="Trans rough work"/>
      <sheetName val="Trans analysis"/>
      <sheetName val="EF-1"/>
      <sheetName val="Commerical demand"/>
      <sheetName val="Elc"/>
      <sheetName val="Housing demand"/>
      <sheetName val="Elderly &amp; Children pax trips"/>
      <sheetName val="Marine VKM"/>
      <sheetName val="Sheet1"/>
      <sheetName val="Sheet2"/>
      <sheetName val="data demand"/>
    </sheetNames>
    <sheetDataSet>
      <sheetData sheetId="0"/>
      <sheetData sheetId="1"/>
      <sheetData sheetId="2"/>
      <sheetData sheetId="3"/>
      <sheetData sheetId="4">
        <row r="4">
          <cell r="D4">
            <v>7.3346520000000002</v>
          </cell>
          <cell r="O4">
            <v>9.0664999999999996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ensus.gov/popest/data/state/totals/2013/tables/NST-EST2013-01.xls" TargetMode="External"/><Relationship Id="rId2" Type="http://schemas.openxmlformats.org/officeDocument/2006/relationships/hyperlink" Target="http://www.bls.gov/ooh/transportation-and-material-moving/taxi-drivers-and-chauffeurs.htm" TargetMode="External"/><Relationship Id="rId1" Type="http://schemas.openxmlformats.org/officeDocument/2006/relationships/hyperlink" Target="http://www.nfpa.org/~/media/Files/Research/NFPA%20reports/Fire%20service%20statistics/osfdprofile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census.gov/popest/data/state/totals/2009/tables/NST-EST2009-01.xls" TargetMode="External"/><Relationship Id="rId4" Type="http://schemas.openxmlformats.org/officeDocument/2006/relationships/hyperlink" Target="http://www.census.gov/population/projections/files/summary/NP2012-T1.x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gld.gov.hk/en/our-services/land-transport/fleet-management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gov.hk/en/about/abouthk/factsheets/docs/fire_services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ud.gov.hk/pdf_e/e71ch03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fo.gov.hk/gia/general/202205/18/P2022051800257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opLeftCell="A25" zoomScale="125" workbookViewId="0">
      <selection activeCell="B71" sqref="B71"/>
    </sheetView>
  </sheetViews>
  <sheetFormatPr baseColWidth="10" defaultColWidth="8.83203125" defaultRowHeight="15"/>
  <cols>
    <col min="1" max="1" width="10.1640625" customWidth="1"/>
    <col min="2" max="2" width="100.6640625" customWidth="1"/>
  </cols>
  <sheetData>
    <row r="1" spans="1:2">
      <c r="A1" s="1" t="s">
        <v>0</v>
      </c>
    </row>
    <row r="2" spans="1:2">
      <c r="A2" s="1"/>
    </row>
    <row r="3" spans="1:2">
      <c r="A3" s="1" t="s">
        <v>1</v>
      </c>
      <c r="B3" s="2" t="s">
        <v>2</v>
      </c>
    </row>
    <row r="4" spans="1:2">
      <c r="A4" s="1"/>
      <c r="B4" t="s">
        <v>3</v>
      </c>
    </row>
    <row r="5" spans="1:2">
      <c r="A5" s="1"/>
      <c r="B5" s="8">
        <v>2016</v>
      </c>
    </row>
    <row r="6" spans="1:2">
      <c r="A6" s="1"/>
      <c r="B6" t="s">
        <v>4</v>
      </c>
    </row>
    <row r="7" spans="1:2">
      <c r="A7" s="1"/>
      <c r="B7" s="10" t="s">
        <v>5</v>
      </c>
    </row>
    <row r="8" spans="1:2">
      <c r="A8" s="1"/>
      <c r="B8" t="s">
        <v>6</v>
      </c>
    </row>
    <row r="10" spans="1:2">
      <c r="B10" s="2" t="s">
        <v>7</v>
      </c>
    </row>
    <row r="11" spans="1:2">
      <c r="B11" t="s">
        <v>8</v>
      </c>
    </row>
    <row r="12" spans="1:2">
      <c r="B12" s="8">
        <v>2011</v>
      </c>
    </row>
    <row r="13" spans="1:2">
      <c r="B13" t="s">
        <v>9</v>
      </c>
    </row>
    <row r="14" spans="1:2">
      <c r="B14" s="10" t="s">
        <v>10</v>
      </c>
    </row>
    <row r="15" spans="1:2">
      <c r="B15" t="s">
        <v>11</v>
      </c>
    </row>
    <row r="17" spans="2:2">
      <c r="B17" s="2" t="s">
        <v>12</v>
      </c>
    </row>
    <row r="18" spans="2:2">
      <c r="B18" t="s">
        <v>13</v>
      </c>
    </row>
    <row r="19" spans="2:2">
      <c r="B19" s="8">
        <v>2013</v>
      </c>
    </row>
    <row r="20" spans="2:2">
      <c r="B20" t="s">
        <v>14</v>
      </c>
    </row>
    <row r="21" spans="2:2">
      <c r="B21" s="10" t="s">
        <v>15</v>
      </c>
    </row>
    <row r="22" spans="2:2">
      <c r="B22" t="s">
        <v>16</v>
      </c>
    </row>
    <row r="24" spans="2:2">
      <c r="B24" s="2" t="s">
        <v>17</v>
      </c>
    </row>
    <row r="25" spans="2:2">
      <c r="B25" t="s">
        <v>18</v>
      </c>
    </row>
    <row r="26" spans="2:2">
      <c r="B26" s="8">
        <v>2010</v>
      </c>
    </row>
    <row r="27" spans="2:2">
      <c r="B27" t="s">
        <v>19</v>
      </c>
    </row>
    <row r="28" spans="2:2">
      <c r="B28" s="10" t="s">
        <v>20</v>
      </c>
    </row>
    <row r="29" spans="2:2">
      <c r="B29" t="s">
        <v>21</v>
      </c>
    </row>
    <row r="31" spans="2:2">
      <c r="B31" s="2" t="s">
        <v>22</v>
      </c>
    </row>
    <row r="32" spans="2:2">
      <c r="B32" t="s">
        <v>23</v>
      </c>
    </row>
    <row r="33" spans="2:2">
      <c r="B33" s="8">
        <v>2013</v>
      </c>
    </row>
    <row r="34" spans="2:2">
      <c r="B34" t="s">
        <v>24</v>
      </c>
    </row>
    <row r="35" spans="2:2">
      <c r="B35" s="10" t="s">
        <v>25</v>
      </c>
    </row>
    <row r="36" spans="2:2">
      <c r="B36" t="s">
        <v>26</v>
      </c>
    </row>
    <row r="38" spans="2:2">
      <c r="B38" s="7" t="s">
        <v>27</v>
      </c>
    </row>
    <row r="39" spans="2:2">
      <c r="B39" s="8" t="s">
        <v>28</v>
      </c>
    </row>
    <row r="40" spans="2:2">
      <c r="B40" s="8">
        <v>2009</v>
      </c>
    </row>
    <row r="41" spans="2:2">
      <c r="B41" s="8" t="s">
        <v>29</v>
      </c>
    </row>
    <row r="42" spans="2:2">
      <c r="B42" s="41" t="s">
        <v>30</v>
      </c>
    </row>
    <row r="43" spans="2:2">
      <c r="B43" s="8"/>
    </row>
    <row r="44" spans="2:2">
      <c r="B44" s="7" t="s">
        <v>31</v>
      </c>
    </row>
    <row r="45" spans="2:2">
      <c r="B45" s="8" t="s">
        <v>28</v>
      </c>
    </row>
    <row r="46" spans="2:2">
      <c r="B46" s="8">
        <v>2013</v>
      </c>
    </row>
    <row r="47" spans="2:2">
      <c r="B47" s="8" t="s">
        <v>32</v>
      </c>
    </row>
    <row r="48" spans="2:2">
      <c r="B48" s="41" t="s">
        <v>33</v>
      </c>
    </row>
    <row r="49" spans="1:2">
      <c r="B49" s="8"/>
    </row>
    <row r="50" spans="1:2">
      <c r="B50" s="7" t="s">
        <v>34</v>
      </c>
    </row>
    <row r="51" spans="1:2">
      <c r="B51" s="8" t="s">
        <v>28</v>
      </c>
    </row>
    <row r="52" spans="1:2">
      <c r="B52" s="8">
        <v>2012</v>
      </c>
    </row>
    <row r="53" spans="1:2">
      <c r="B53" s="8" t="s">
        <v>35</v>
      </c>
    </row>
    <row r="54" spans="1:2">
      <c r="B54" s="41" t="s">
        <v>36</v>
      </c>
    </row>
    <row r="56" spans="1:2">
      <c r="A56" s="1" t="s">
        <v>37</v>
      </c>
    </row>
    <row r="57" spans="1:2">
      <c r="A57" t="s">
        <v>38</v>
      </c>
    </row>
    <row r="59" spans="1:2">
      <c r="A59" t="s">
        <v>39</v>
      </c>
    </row>
    <row r="60" spans="1:2">
      <c r="A60" t="s">
        <v>40</v>
      </c>
    </row>
    <row r="62" spans="1:2">
      <c r="A62" s="1" t="s">
        <v>41</v>
      </c>
    </row>
    <row r="63" spans="1:2">
      <c r="A63" t="s">
        <v>42</v>
      </c>
    </row>
    <row r="64" spans="1:2">
      <c r="A64" t="s">
        <v>43</v>
      </c>
    </row>
    <row r="65" spans="1:1">
      <c r="A65" t="s">
        <v>44</v>
      </c>
    </row>
    <row r="66" spans="1:1">
      <c r="A66" s="1" t="s">
        <v>45</v>
      </c>
    </row>
    <row r="67" spans="1:1">
      <c r="A67" t="s">
        <v>46</v>
      </c>
    </row>
    <row r="68" spans="1:1">
      <c r="A68" t="s">
        <v>47</v>
      </c>
    </row>
    <row r="71" spans="1:1">
      <c r="A71" t="s">
        <v>48</v>
      </c>
    </row>
    <row r="72" spans="1:1">
      <c r="A72" t="s">
        <v>49</v>
      </c>
    </row>
    <row r="73" spans="1:1">
      <c r="A73" t="s">
        <v>50</v>
      </c>
    </row>
  </sheetData>
  <hyperlinks>
    <hyperlink ref="B21" r:id="rId1" xr:uid="{00000000-0004-0000-0000-000000000000}"/>
    <hyperlink ref="B35" r:id="rId2" xr:uid="{00000000-0004-0000-0000-000001000000}"/>
    <hyperlink ref="B48" r:id="rId3" xr:uid="{00000000-0004-0000-0000-000002000000}"/>
    <hyperlink ref="B54" r:id="rId4" xr:uid="{00000000-0004-0000-0000-000003000000}"/>
    <hyperlink ref="B42" r:id="rId5" xr:uid="{00000000-0004-0000-0000-000004000000}"/>
  </hyperlinks>
  <pageMargins left="0.7" right="0.7" top="0.75" bottom="0.75" header="0.3" footer="0.3"/>
  <pageSetup orientation="portrait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="111" workbookViewId="0">
      <selection activeCell="D2" sqref="D2"/>
    </sheetView>
  </sheetViews>
  <sheetFormatPr baseColWidth="10" defaultColWidth="8.83203125" defaultRowHeight="15"/>
  <cols>
    <col min="1" max="1" width="24" customWidth="1"/>
    <col min="2" max="2" width="51.5" customWidth="1"/>
    <col min="3" max="3" width="17.1640625" customWidth="1"/>
    <col min="4" max="4" width="16.5" customWidth="1"/>
    <col min="5" max="5" width="16.83203125" customWidth="1"/>
    <col min="6" max="6" width="65.6640625" customWidth="1"/>
  </cols>
  <sheetData>
    <row r="1" spans="1:6" s="48" customFormat="1" ht="33" thickBot="1">
      <c r="A1" s="42" t="s">
        <v>51</v>
      </c>
      <c r="B1" s="43" t="s">
        <v>52</v>
      </c>
      <c r="C1" s="44" t="s">
        <v>53</v>
      </c>
      <c r="D1" s="45" t="s">
        <v>54</v>
      </c>
      <c r="E1" s="46" t="s">
        <v>55</v>
      </c>
      <c r="F1" s="47" t="s">
        <v>56</v>
      </c>
    </row>
    <row r="2" spans="1:6" ht="48">
      <c r="A2" s="17" t="s">
        <v>57</v>
      </c>
      <c r="B2" s="14" t="s">
        <v>58</v>
      </c>
      <c r="C2" s="23">
        <f>SUM('Federal Govt'!C4,'Federal Govt'!C6,'Federal Govt'!C11,'Police Departments'!A5)/SUM('NTS 1-11'!B8)</f>
        <v>5.9026387905286816E-3</v>
      </c>
      <c r="D2" s="24">
        <f>'Taxis and Limos'!A9+'Taxis and Limos'!A10/SUM('NTS 1-11'!B8)</f>
        <v>1335.0279628660282</v>
      </c>
      <c r="E2" s="25">
        <f>1-SUM(C2:D2)</f>
        <v>-1334.0338655048188</v>
      </c>
      <c r="F2" s="18" t="s">
        <v>59</v>
      </c>
    </row>
    <row r="3" spans="1:6" ht="32">
      <c r="A3" s="17" t="s">
        <v>60</v>
      </c>
      <c r="B3" s="14" t="s">
        <v>61</v>
      </c>
      <c r="C3" s="65">
        <v>0</v>
      </c>
      <c r="D3" s="60">
        <v>1</v>
      </c>
      <c r="E3" s="59">
        <v>0</v>
      </c>
      <c r="F3" s="18" t="s">
        <v>62</v>
      </c>
    </row>
    <row r="4" spans="1:6" ht="16">
      <c r="A4" s="17" t="s">
        <v>63</v>
      </c>
      <c r="B4" s="14" t="s">
        <v>64</v>
      </c>
      <c r="C4" s="28">
        <v>0</v>
      </c>
      <c r="D4" s="15">
        <v>1</v>
      </c>
      <c r="E4" s="27">
        <v>0</v>
      </c>
      <c r="F4" s="18" t="s">
        <v>65</v>
      </c>
    </row>
    <row r="5" spans="1:6" ht="16">
      <c r="A5" s="17" t="s">
        <v>66</v>
      </c>
      <c r="B5" s="14" t="s">
        <v>67</v>
      </c>
      <c r="C5" s="57">
        <v>1</v>
      </c>
      <c r="D5" s="58">
        <v>0</v>
      </c>
      <c r="E5" s="59">
        <v>0</v>
      </c>
      <c r="F5" s="18" t="s">
        <v>68</v>
      </c>
    </row>
    <row r="6" spans="1:6" ht="16">
      <c r="A6" s="29" t="s">
        <v>69</v>
      </c>
      <c r="B6" s="30" t="s">
        <v>70</v>
      </c>
      <c r="C6" s="31">
        <v>0</v>
      </c>
      <c r="D6" s="32">
        <v>0</v>
      </c>
      <c r="E6" s="33">
        <v>1</v>
      </c>
      <c r="F6" s="34" t="s">
        <v>71</v>
      </c>
    </row>
    <row r="7" spans="1:6" ht="33" thickBot="1">
      <c r="A7" s="19" t="s">
        <v>72</v>
      </c>
      <c r="B7" s="20" t="s">
        <v>73</v>
      </c>
      <c r="C7" s="64">
        <f>'Federal Govt'!C10/'NTS 1-11'!B7</f>
        <v>6.7981733440045196E-3</v>
      </c>
      <c r="D7" s="21">
        <v>0</v>
      </c>
      <c r="E7" s="66">
        <f>1-C7</f>
        <v>0.99320182665599543</v>
      </c>
      <c r="F7" s="22" t="s">
        <v>156</v>
      </c>
    </row>
    <row r="8" spans="1:6" ht="16">
      <c r="A8" s="35" t="s">
        <v>74</v>
      </c>
      <c r="B8" s="36" t="s">
        <v>75</v>
      </c>
      <c r="C8" s="61">
        <f>SUM('Federal Govt'!C7,'Fire Departments'!A7)/SUM('NTS 1-11'!B12)</f>
        <v>2.9272745053297258E-2</v>
      </c>
      <c r="D8" s="62">
        <f>1-C8</f>
        <v>0.97072725494670276</v>
      </c>
      <c r="E8" s="63">
        <v>0</v>
      </c>
      <c r="F8" s="37" t="s">
        <v>154</v>
      </c>
    </row>
    <row r="9" spans="1:6" ht="48">
      <c r="A9" s="17" t="s">
        <v>76</v>
      </c>
      <c r="B9" s="14" t="s">
        <v>77</v>
      </c>
      <c r="C9" s="26">
        <f>SUM('Federal Govt'!C5,'Federal Govt'!C8,'Fire Departments'!A7)/SUM('NTS 1-11'!B12)</f>
        <v>1.2305636144342666E-2</v>
      </c>
      <c r="D9" s="16">
        <f>1-C9</f>
        <v>0.98769436385565734</v>
      </c>
      <c r="E9" s="59">
        <v>0</v>
      </c>
      <c r="F9" s="18" t="s">
        <v>155</v>
      </c>
    </row>
    <row r="10" spans="1:6" ht="16">
      <c r="A10" s="17" t="s">
        <v>78</v>
      </c>
      <c r="B10" s="14" t="s">
        <v>79</v>
      </c>
      <c r="C10" s="28">
        <v>0</v>
      </c>
      <c r="D10" s="15">
        <v>1</v>
      </c>
      <c r="E10" s="27">
        <v>0</v>
      </c>
      <c r="F10" s="18" t="s">
        <v>80</v>
      </c>
    </row>
    <row r="11" spans="1:6" ht="16">
      <c r="A11" s="17" t="s">
        <v>81</v>
      </c>
      <c r="B11" s="14" t="s">
        <v>82</v>
      </c>
      <c r="C11" s="57">
        <v>0</v>
      </c>
      <c r="D11" s="58">
        <v>1</v>
      </c>
      <c r="E11" s="59">
        <v>0</v>
      </c>
      <c r="F11" s="18" t="s">
        <v>83</v>
      </c>
    </row>
    <row r="12" spans="1:6" ht="16">
      <c r="A12" s="29" t="s">
        <v>84</v>
      </c>
      <c r="B12" s="30" t="s">
        <v>85</v>
      </c>
      <c r="C12" s="31">
        <v>0</v>
      </c>
      <c r="D12" s="32">
        <v>1</v>
      </c>
      <c r="E12" s="33">
        <v>0</v>
      </c>
      <c r="F12" s="34" t="s">
        <v>86</v>
      </c>
    </row>
    <row r="13" spans="1:6" ht="16" thickBot="1">
      <c r="A13" s="19" t="s">
        <v>87</v>
      </c>
      <c r="B13" s="20" t="s">
        <v>88</v>
      </c>
      <c r="C13" s="19"/>
      <c r="D13" s="20"/>
      <c r="E13" s="38"/>
      <c r="F13" s="22"/>
    </row>
    <row r="15" spans="1:6">
      <c r="A15" s="3" t="s">
        <v>89</v>
      </c>
    </row>
    <row r="16" spans="1:6">
      <c r="A16" s="4" t="s">
        <v>90</v>
      </c>
    </row>
    <row r="18" spans="1:1">
      <c r="A18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E7"/>
  <sheetViews>
    <sheetView workbookViewId="0">
      <selection activeCell="D2" sqref="D2"/>
    </sheetView>
  </sheetViews>
  <sheetFormatPr baseColWidth="10" defaultColWidth="8.83203125" defaultRowHeight="15"/>
  <cols>
    <col min="1" max="1" width="15.33203125" customWidth="1"/>
    <col min="2" max="2" width="15.6640625" customWidth="1"/>
    <col min="3" max="3" width="17.33203125" customWidth="1"/>
    <col min="4" max="4" width="16.83203125" customWidth="1"/>
    <col min="5" max="5" width="18" customWidth="1"/>
  </cols>
  <sheetData>
    <row r="1" spans="1:5" s="48" customFormat="1" ht="48">
      <c r="A1" s="52" t="s">
        <v>92</v>
      </c>
      <c r="B1" s="51" t="s">
        <v>93</v>
      </c>
      <c r="C1" s="51" t="s">
        <v>94</v>
      </c>
      <c r="D1" s="51" t="s">
        <v>95</v>
      </c>
      <c r="E1" s="51" t="s">
        <v>96</v>
      </c>
    </row>
    <row r="2" spans="1:5">
      <c r="A2" t="s">
        <v>97</v>
      </c>
      <c r="B2">
        <f>Results!C2</f>
        <v>5.9026387905286816E-3</v>
      </c>
      <c r="C2">
        <f>Results!D2</f>
        <v>1335.0279628660282</v>
      </c>
      <c r="D2">
        <f>Results!E2</f>
        <v>-1334.0338655048188</v>
      </c>
      <c r="E2">
        <v>0</v>
      </c>
    </row>
    <row r="3" spans="1:5">
      <c r="A3" t="s">
        <v>98</v>
      </c>
      <c r="B3">
        <f>Results!C3</f>
        <v>0</v>
      </c>
      <c r="C3">
        <f>Results!D3</f>
        <v>1</v>
      </c>
      <c r="D3">
        <f>Results!E3</f>
        <v>0</v>
      </c>
      <c r="E3">
        <v>0</v>
      </c>
    </row>
    <row r="4" spans="1:5">
      <c r="A4" t="s">
        <v>99</v>
      </c>
      <c r="B4">
        <f>Results!C4</f>
        <v>0</v>
      </c>
      <c r="C4">
        <f>Results!D4</f>
        <v>1</v>
      </c>
      <c r="D4">
        <f>Results!E4</f>
        <v>0</v>
      </c>
      <c r="E4">
        <v>0</v>
      </c>
    </row>
    <row r="5" spans="1:5">
      <c r="A5" t="s">
        <v>100</v>
      </c>
      <c r="B5">
        <f>Results!C5</f>
        <v>1</v>
      </c>
      <c r="C5">
        <f>Results!D5</f>
        <v>0</v>
      </c>
      <c r="D5">
        <f>Results!E5</f>
        <v>0</v>
      </c>
      <c r="E5">
        <v>0</v>
      </c>
    </row>
    <row r="6" spans="1:5">
      <c r="A6" t="s">
        <v>101</v>
      </c>
      <c r="B6">
        <f>Results!C6</f>
        <v>0</v>
      </c>
      <c r="C6">
        <f>Results!D6</f>
        <v>0</v>
      </c>
      <c r="D6">
        <f>Results!E6</f>
        <v>1</v>
      </c>
      <c r="E6">
        <v>0</v>
      </c>
    </row>
    <row r="7" spans="1:5">
      <c r="A7" t="s">
        <v>102</v>
      </c>
      <c r="B7">
        <f>Results!C7</f>
        <v>6.7981733440045196E-3</v>
      </c>
      <c r="C7">
        <f>Results!D7</f>
        <v>0</v>
      </c>
      <c r="D7">
        <f>Results!E7</f>
        <v>0.99320182665599543</v>
      </c>
      <c r="E7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E7"/>
  <sheetViews>
    <sheetView workbookViewId="0">
      <selection activeCell="B4" sqref="B4"/>
    </sheetView>
  </sheetViews>
  <sheetFormatPr baseColWidth="10" defaultColWidth="8.83203125" defaultRowHeight="15"/>
  <cols>
    <col min="1" max="1" width="15.33203125" customWidth="1"/>
    <col min="2" max="4" width="15.6640625" customWidth="1"/>
    <col min="5" max="5" width="19.6640625" customWidth="1"/>
  </cols>
  <sheetData>
    <row r="1" spans="1:5" ht="48">
      <c r="A1" s="52" t="s">
        <v>92</v>
      </c>
      <c r="B1" s="51" t="s">
        <v>93</v>
      </c>
      <c r="C1" s="51" t="s">
        <v>94</v>
      </c>
      <c r="D1" s="51" t="s">
        <v>95</v>
      </c>
      <c r="E1" s="51" t="s">
        <v>96</v>
      </c>
    </row>
    <row r="2" spans="1:5">
      <c r="A2" t="s">
        <v>97</v>
      </c>
      <c r="B2" s="9">
        <f>Results!C8</f>
        <v>2.9272745053297258E-2</v>
      </c>
      <c r="C2">
        <f>Results!$D8</f>
        <v>0.97072725494670276</v>
      </c>
      <c r="D2" s="9">
        <f>Results!E8</f>
        <v>0</v>
      </c>
      <c r="E2">
        <v>0</v>
      </c>
    </row>
    <row r="3" spans="1:5">
      <c r="A3" t="s">
        <v>98</v>
      </c>
      <c r="B3">
        <f>Results!C9</f>
        <v>1.2305636144342666E-2</v>
      </c>
      <c r="C3">
        <f>Results!$D9</f>
        <v>0.98769436385565734</v>
      </c>
      <c r="D3" s="9">
        <f>Results!E9</f>
        <v>0</v>
      </c>
      <c r="E3">
        <v>0</v>
      </c>
    </row>
    <row r="4" spans="1:5">
      <c r="A4" t="s">
        <v>99</v>
      </c>
      <c r="B4" s="9">
        <f>Results!C10</f>
        <v>0</v>
      </c>
      <c r="C4">
        <f>Results!$D10</f>
        <v>1</v>
      </c>
      <c r="D4" s="9">
        <f>Results!E10</f>
        <v>0</v>
      </c>
      <c r="E4">
        <v>0</v>
      </c>
    </row>
    <row r="5" spans="1:5">
      <c r="A5" t="s">
        <v>100</v>
      </c>
      <c r="B5" s="9">
        <f>Results!C11</f>
        <v>0</v>
      </c>
      <c r="C5">
        <f>Results!$D11</f>
        <v>1</v>
      </c>
      <c r="D5" s="9">
        <f>Results!E11</f>
        <v>0</v>
      </c>
      <c r="E5">
        <v>0</v>
      </c>
    </row>
    <row r="6" spans="1:5">
      <c r="A6" t="s">
        <v>101</v>
      </c>
      <c r="B6" s="9">
        <f>Results!C12</f>
        <v>0</v>
      </c>
      <c r="C6">
        <f>Results!$D12</f>
        <v>1</v>
      </c>
      <c r="D6" s="9">
        <f>Results!E12</f>
        <v>0</v>
      </c>
      <c r="E6">
        <v>0</v>
      </c>
    </row>
    <row r="7" spans="1:5">
      <c r="A7" t="s">
        <v>102</v>
      </c>
      <c r="B7" s="9">
        <f>Results!C13</f>
        <v>0</v>
      </c>
      <c r="C7">
        <f>Results!$D13</f>
        <v>0</v>
      </c>
      <c r="D7" s="9">
        <f>Results!E13</f>
        <v>0</v>
      </c>
      <c r="E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6"/>
  <sheetViews>
    <sheetView tabSelected="1" workbookViewId="0">
      <selection activeCell="D20" sqref="D20"/>
    </sheetView>
  </sheetViews>
  <sheetFormatPr baseColWidth="10" defaultColWidth="21.5" defaultRowHeight="13"/>
  <cols>
    <col min="1" max="4" width="21.5" style="49"/>
    <col min="5" max="5" width="23" style="49" customWidth="1"/>
    <col min="6" max="6" width="21.5" style="49"/>
    <col min="7" max="7" width="42.6640625" style="49" customWidth="1"/>
    <col min="8" max="20" width="21.5" style="49"/>
    <col min="21" max="21" width="21.5" style="50"/>
    <col min="22" max="16384" width="21.5" style="49"/>
  </cols>
  <sheetData>
    <row r="1" spans="1:2">
      <c r="A1" s="5" t="s">
        <v>103</v>
      </c>
    </row>
    <row r="2" spans="1:2">
      <c r="A2" s="5" t="s">
        <v>104</v>
      </c>
    </row>
    <row r="3" spans="1:2">
      <c r="A3" s="5" t="s">
        <v>105</v>
      </c>
    </row>
    <row r="6" spans="1:2">
      <c r="A6" s="49" t="s">
        <v>106</v>
      </c>
    </row>
    <row r="7" spans="1:2">
      <c r="A7" s="49" t="s">
        <v>107</v>
      </c>
      <c r="B7" s="49">
        <v>106205</v>
      </c>
    </row>
    <row r="8" spans="1:2">
      <c r="A8" s="49" t="s">
        <v>108</v>
      </c>
      <c r="B8" s="49">
        <v>649540</v>
      </c>
    </row>
    <row r="9" spans="1:2">
      <c r="A9" s="49" t="s">
        <v>109</v>
      </c>
      <c r="B9" s="49">
        <v>19498</v>
      </c>
    </row>
    <row r="10" spans="1:2">
      <c r="A10" s="49" t="s">
        <v>110</v>
      </c>
      <c r="B10" s="49">
        <v>6198</v>
      </c>
    </row>
    <row r="11" spans="1:2">
      <c r="A11" s="49" t="s">
        <v>111</v>
      </c>
      <c r="B11" s="49">
        <v>7720</v>
      </c>
    </row>
    <row r="12" spans="1:2">
      <c r="A12" s="49" t="s">
        <v>112</v>
      </c>
      <c r="B12" s="49">
        <v>122708</v>
      </c>
    </row>
    <row r="13" spans="1:2">
      <c r="A13" s="49" t="s">
        <v>113</v>
      </c>
      <c r="B13" s="49">
        <v>4349</v>
      </c>
    </row>
    <row r="14" spans="1:2">
      <c r="A14" s="49" t="s">
        <v>114</v>
      </c>
      <c r="B14" s="49">
        <v>3473</v>
      </c>
    </row>
    <row r="15" spans="1:2">
      <c r="A15" s="49" t="s">
        <v>115</v>
      </c>
      <c r="B15" s="49">
        <v>6899</v>
      </c>
    </row>
    <row r="16" spans="1:2">
      <c r="A16" s="49" t="s">
        <v>116</v>
      </c>
      <c r="B16" s="49">
        <f>SUM(B7,B15)</f>
        <v>113104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7"/>
  <sheetViews>
    <sheetView topLeftCell="A11" workbookViewId="0">
      <selection activeCell="B48" sqref="B48"/>
    </sheetView>
  </sheetViews>
  <sheetFormatPr baseColWidth="10" defaultColWidth="8.83203125" defaultRowHeight="15"/>
  <cols>
    <col min="2" max="2" width="40.5" customWidth="1"/>
    <col min="3" max="3" width="8.5" customWidth="1"/>
    <col min="4" max="4" width="9.5" customWidth="1"/>
    <col min="5" max="5" width="8.5" customWidth="1"/>
    <col min="6" max="6" width="7.5" customWidth="1"/>
    <col min="7" max="7" width="8.5" customWidth="1"/>
    <col min="8" max="8" width="8.1640625" customWidth="1"/>
    <col min="9" max="10" width="8.33203125" customWidth="1"/>
    <col min="11" max="11" width="8.5" customWidth="1"/>
    <col min="12" max="12" width="7" customWidth="1"/>
    <col min="13" max="13" width="7.83203125" customWidth="1"/>
    <col min="14" max="14" width="8.5" customWidth="1"/>
    <col min="15" max="15" width="9.5" customWidth="1"/>
  </cols>
  <sheetData>
    <row r="1" spans="1:3">
      <c r="A1" s="1" t="s">
        <v>117</v>
      </c>
      <c r="C1" s="10" t="s">
        <v>118</v>
      </c>
    </row>
    <row r="2" spans="1:3">
      <c r="A2" s="1"/>
    </row>
    <row r="3" spans="1:3">
      <c r="A3" s="1"/>
      <c r="B3" s="1" t="s">
        <v>139</v>
      </c>
      <c r="C3">
        <v>485</v>
      </c>
    </row>
    <row r="4" spans="1:3">
      <c r="A4" s="1"/>
      <c r="B4" s="1" t="s">
        <v>119</v>
      </c>
      <c r="C4">
        <v>421</v>
      </c>
    </row>
    <row r="5" spans="1:3">
      <c r="A5" s="1"/>
      <c r="B5" s="1" t="s">
        <v>140</v>
      </c>
      <c r="C5">
        <v>5</v>
      </c>
    </row>
    <row r="6" spans="1:3">
      <c r="B6" s="1" t="s">
        <v>141</v>
      </c>
      <c r="C6">
        <v>255</v>
      </c>
    </row>
    <row r="7" spans="1:3">
      <c r="B7" s="1" t="s">
        <v>142</v>
      </c>
      <c r="C7">
        <v>2340</v>
      </c>
    </row>
    <row r="8" spans="1:3">
      <c r="B8" s="1" t="s">
        <v>143</v>
      </c>
      <c r="C8">
        <v>253</v>
      </c>
    </row>
    <row r="9" spans="1:3">
      <c r="B9" s="1" t="s">
        <v>153</v>
      </c>
      <c r="C9">
        <v>122</v>
      </c>
    </row>
    <row r="10" spans="1:3">
      <c r="B10" s="1" t="s">
        <v>144</v>
      </c>
      <c r="C10">
        <v>722</v>
      </c>
    </row>
    <row r="11" spans="1:3">
      <c r="B11" s="1" t="s">
        <v>145</v>
      </c>
      <c r="C11">
        <v>1909</v>
      </c>
    </row>
    <row r="12" spans="1:3">
      <c r="B12" s="1" t="s">
        <v>146</v>
      </c>
      <c r="C12">
        <v>130</v>
      </c>
    </row>
    <row r="13" spans="1:3">
      <c r="B13" s="1" t="s">
        <v>147</v>
      </c>
      <c r="C13">
        <v>141</v>
      </c>
    </row>
    <row r="14" spans="1:3">
      <c r="B14" s="1" t="s">
        <v>148</v>
      </c>
      <c r="C14">
        <v>45</v>
      </c>
    </row>
    <row r="15" spans="1:3">
      <c r="B15" s="1" t="s">
        <v>149</v>
      </c>
      <c r="C15">
        <v>57</v>
      </c>
    </row>
    <row r="16" spans="1:3">
      <c r="B16" s="1" t="s">
        <v>150</v>
      </c>
      <c r="C16">
        <v>14</v>
      </c>
    </row>
    <row r="17" spans="3:3">
      <c r="C17">
        <v>6899</v>
      </c>
    </row>
    <row r="47" spans="2:2">
      <c r="B47" t="s">
        <v>158</v>
      </c>
    </row>
  </sheetData>
  <hyperlinks>
    <hyperlink ref="C1" r:id="rId1" xr:uid="{9CF6EA8C-7B79-C14A-9D6A-E7A73DD8ED23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"/>
  <sheetViews>
    <sheetView workbookViewId="0">
      <selection activeCell="I38" sqref="I38"/>
    </sheetView>
  </sheetViews>
  <sheetFormatPr baseColWidth="10" defaultColWidth="8.83203125" defaultRowHeight="15"/>
  <cols>
    <col min="1" max="1" width="12.83203125" customWidth="1"/>
    <col min="2" max="2" width="30.83203125" customWidth="1"/>
    <col min="3" max="3" width="23.1640625" customWidth="1"/>
  </cols>
  <sheetData>
    <row r="1" spans="1:4">
      <c r="A1" s="1" t="s">
        <v>120</v>
      </c>
      <c r="D1" s="10" t="s">
        <v>121</v>
      </c>
    </row>
    <row r="3" spans="1:4">
      <c r="A3" s="2" t="s">
        <v>122</v>
      </c>
      <c r="B3" s="6"/>
    </row>
    <row r="4" spans="1:4">
      <c r="A4">
        <f>Population!B8</f>
        <v>7194600</v>
      </c>
    </row>
    <row r="6" spans="1:4">
      <c r="A6" s="2" t="s">
        <v>123</v>
      </c>
      <c r="B6" s="6"/>
    </row>
    <row r="7" spans="1:4">
      <c r="A7" s="9">
        <f>837+415</f>
        <v>1252</v>
      </c>
      <c r="B7" t="s">
        <v>151</v>
      </c>
    </row>
    <row r="8" spans="1:4">
      <c r="A8">
        <v>480</v>
      </c>
      <c r="B8" t="s">
        <v>152</v>
      </c>
    </row>
    <row r="27" spans="2:2">
      <c r="B27" t="s">
        <v>157</v>
      </c>
    </row>
  </sheetData>
  <hyperlinks>
    <hyperlink ref="D1" r:id="rId1" display="https://www.gov.hk/en/about/abouthk/factsheets/docs/fire_services.pdf" xr:uid="{7BB2E85D-83FF-924A-9801-0F9B777B0250}"/>
  </hyperlinks>
  <pageMargins left="0.7" right="0.7" top="0.75" bottom="0.75" header="0.3" footer="0.3"/>
  <pageSetup orientation="portrait" horizontalDpi="1200" verticalDpi="1200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workbookViewId="0">
      <selection activeCell="B30" sqref="B30"/>
    </sheetView>
  </sheetViews>
  <sheetFormatPr baseColWidth="10" defaultColWidth="8.83203125" defaultRowHeight="15"/>
  <cols>
    <col min="1" max="1" width="55.5" customWidth="1"/>
    <col min="2" max="2" width="29.33203125" customWidth="1"/>
    <col min="3" max="3" width="16.6640625" customWidth="1"/>
    <col min="4" max="4" width="18.33203125" customWidth="1"/>
  </cols>
  <sheetData>
    <row r="1" spans="1:4">
      <c r="A1" s="1" t="s">
        <v>124</v>
      </c>
      <c r="C1" s="10" t="s">
        <v>125</v>
      </c>
    </row>
    <row r="3" spans="1:4">
      <c r="A3" s="11" t="s">
        <v>126</v>
      </c>
      <c r="B3" s="12"/>
      <c r="C3" s="12"/>
      <c r="D3" s="12"/>
    </row>
    <row r="4" spans="1:4">
      <c r="A4" s="2" t="s">
        <v>127</v>
      </c>
      <c r="B4" s="2" t="s">
        <v>128</v>
      </c>
      <c r="C4" s="2"/>
      <c r="D4" s="6"/>
    </row>
    <row r="5" spans="1:4">
      <c r="A5" s="8">
        <v>1249</v>
      </c>
      <c r="B5" s="8">
        <v>1145</v>
      </c>
      <c r="C5" s="8"/>
    </row>
    <row r="7" spans="1:4">
      <c r="A7" s="2" t="s">
        <v>129</v>
      </c>
      <c r="B7" s="2" t="s">
        <v>130</v>
      </c>
    </row>
    <row r="8" spans="1:4">
      <c r="A8" s="8">
        <v>2021</v>
      </c>
      <c r="B8" s="13">
        <f>Population!B8</f>
        <v>7194600</v>
      </c>
    </row>
    <row r="11" spans="1:4">
      <c r="A11" t="s">
        <v>131</v>
      </c>
    </row>
    <row r="12" spans="1:4">
      <c r="A12" t="s">
        <v>160</v>
      </c>
    </row>
  </sheetData>
  <hyperlinks>
    <hyperlink ref="C1" r:id="rId1" xr:uid="{E0BA05BA-9E56-FE4C-8E86-A81B82836BC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>
      <selection activeCell="A12" sqref="A12"/>
    </sheetView>
  </sheetViews>
  <sheetFormatPr baseColWidth="10" defaultColWidth="8.83203125" defaultRowHeight="15"/>
  <cols>
    <col min="2" max="2" width="87.5" customWidth="1"/>
  </cols>
  <sheetData>
    <row r="1" spans="1:2">
      <c r="A1" s="1" t="s">
        <v>132</v>
      </c>
    </row>
    <row r="3" spans="1:2">
      <c r="A3" s="1" t="s">
        <v>133</v>
      </c>
    </row>
    <row r="4" spans="1:2">
      <c r="A4" t="s">
        <v>134</v>
      </c>
    </row>
    <row r="5" spans="1:2">
      <c r="A5" t="s">
        <v>162</v>
      </c>
    </row>
    <row r="6" spans="1:2">
      <c r="A6" s="10" t="s">
        <v>163</v>
      </c>
    </row>
    <row r="7" spans="1:2">
      <c r="A7" t="s">
        <v>165</v>
      </c>
    </row>
    <row r="8" spans="1:2">
      <c r="A8" s="2" t="s">
        <v>161</v>
      </c>
      <c r="B8" s="6"/>
    </row>
    <row r="9" spans="1:2">
      <c r="A9" s="40">
        <f>1115+100+120</f>
        <v>1335</v>
      </c>
      <c r="B9" t="s">
        <v>164</v>
      </c>
    </row>
    <row r="10" spans="1:2">
      <c r="A10">
        <v>18163</v>
      </c>
      <c r="B10" t="s">
        <v>159</v>
      </c>
    </row>
    <row r="12" spans="1:2">
      <c r="A12">
        <f>SUM(A9:A10)</f>
        <v>19498</v>
      </c>
    </row>
  </sheetData>
  <hyperlinks>
    <hyperlink ref="A6" r:id="rId1" xr:uid="{B1F47896-6B6F-8342-92C3-E473F17BFBC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7"/>
  <sheetViews>
    <sheetView workbookViewId="0">
      <selection activeCell="C7" sqref="C7"/>
    </sheetView>
  </sheetViews>
  <sheetFormatPr baseColWidth="10" defaultColWidth="8.83203125" defaultRowHeight="15"/>
  <cols>
    <col min="2" max="2" width="25.5" customWidth="1"/>
    <col min="3" max="3" width="22.6640625" style="40" customWidth="1"/>
  </cols>
  <sheetData>
    <row r="1" spans="1:3">
      <c r="A1" s="1" t="s">
        <v>129</v>
      </c>
      <c r="B1" s="39" t="s">
        <v>135</v>
      </c>
      <c r="C1" s="39" t="s">
        <v>136</v>
      </c>
    </row>
    <row r="2" spans="1:3">
      <c r="A2">
        <v>2016</v>
      </c>
      <c r="B2" s="54">
        <v>7116829</v>
      </c>
      <c r="C2" s="53" t="s">
        <v>137</v>
      </c>
    </row>
    <row r="3" spans="1:3">
      <c r="A3">
        <v>2017</v>
      </c>
      <c r="B3" s="54">
        <v>7172800</v>
      </c>
      <c r="C3" s="53" t="s">
        <v>137</v>
      </c>
    </row>
    <row r="4" spans="1:3">
      <c r="A4">
        <v>2018</v>
      </c>
      <c r="B4" s="54">
        <v>7227800</v>
      </c>
      <c r="C4" s="53" t="s">
        <v>137</v>
      </c>
    </row>
    <row r="5" spans="1:3">
      <c r="A5">
        <v>2019</v>
      </c>
      <c r="B5" s="54">
        <v>7311400</v>
      </c>
      <c r="C5" s="53" t="s">
        <v>137</v>
      </c>
    </row>
    <row r="6" spans="1:3">
      <c r="A6">
        <v>2020</v>
      </c>
      <c r="B6" s="54">
        <v>7391600</v>
      </c>
      <c r="C6" s="53" t="s">
        <v>137</v>
      </c>
    </row>
    <row r="7" spans="1:3">
      <c r="A7">
        <v>2021</v>
      </c>
      <c r="B7" s="55">
        <f>+'[1]Key parameters rpt'!D4*1000000</f>
        <v>7334652</v>
      </c>
      <c r="C7" s="53" t="s">
        <v>137</v>
      </c>
    </row>
    <row r="8" spans="1:3">
      <c r="A8">
        <v>2022</v>
      </c>
      <c r="B8" s="54">
        <v>7194600</v>
      </c>
      <c r="C8" s="53" t="s">
        <v>138</v>
      </c>
    </row>
    <row r="9" spans="1:3">
      <c r="A9">
        <v>2023</v>
      </c>
      <c r="B9" s="54">
        <v>7249300</v>
      </c>
      <c r="C9" s="53" t="s">
        <v>138</v>
      </c>
    </row>
    <row r="10" spans="1:3">
      <c r="A10">
        <v>2024</v>
      </c>
      <c r="B10" s="54">
        <v>7290000</v>
      </c>
      <c r="C10" s="53" t="s">
        <v>138</v>
      </c>
    </row>
    <row r="11" spans="1:3">
      <c r="A11">
        <v>2025</v>
      </c>
      <c r="B11" s="54">
        <v>7323700</v>
      </c>
      <c r="C11" s="53" t="s">
        <v>138</v>
      </c>
    </row>
    <row r="12" spans="1:3">
      <c r="A12">
        <v>2026</v>
      </c>
      <c r="B12" s="54">
        <v>7361000</v>
      </c>
      <c r="C12" s="53" t="s">
        <v>138</v>
      </c>
    </row>
    <row r="13" spans="1:3">
      <c r="A13">
        <v>2027</v>
      </c>
      <c r="B13" s="54">
        <v>7403300</v>
      </c>
      <c r="C13" s="53" t="s">
        <v>138</v>
      </c>
    </row>
    <row r="14" spans="1:3">
      <c r="A14">
        <v>2028</v>
      </c>
      <c r="B14" s="54">
        <v>7450000</v>
      </c>
      <c r="C14" s="53" t="s">
        <v>138</v>
      </c>
    </row>
    <row r="15" spans="1:3">
      <c r="A15">
        <v>2029</v>
      </c>
      <c r="B15" s="54">
        <v>7497600</v>
      </c>
      <c r="C15" s="53" t="s">
        <v>138</v>
      </c>
    </row>
    <row r="16" spans="1:3">
      <c r="A16">
        <v>2030</v>
      </c>
      <c r="B16" s="54">
        <v>7544800</v>
      </c>
      <c r="C16" s="53" t="s">
        <v>138</v>
      </c>
    </row>
    <row r="17" spans="1:3">
      <c r="A17">
        <v>2031</v>
      </c>
      <c r="B17" s="54">
        <v>7589900</v>
      </c>
      <c r="C17" s="53" t="s">
        <v>138</v>
      </c>
    </row>
    <row r="18" spans="1:3">
      <c r="A18">
        <v>2032</v>
      </c>
      <c r="B18" s="54">
        <v>7634400</v>
      </c>
      <c r="C18" s="53" t="s">
        <v>138</v>
      </c>
    </row>
    <row r="19" spans="1:3">
      <c r="A19">
        <v>2033</v>
      </c>
      <c r="B19" s="54">
        <v>7678700</v>
      </c>
      <c r="C19" s="53" t="s">
        <v>138</v>
      </c>
    </row>
    <row r="20" spans="1:3">
      <c r="A20">
        <v>2034</v>
      </c>
      <c r="B20" s="54">
        <v>7723100</v>
      </c>
      <c r="C20" s="53" t="s">
        <v>138</v>
      </c>
    </row>
    <row r="21" spans="1:3">
      <c r="A21">
        <v>2035</v>
      </c>
      <c r="B21" s="54">
        <v>7769100</v>
      </c>
      <c r="C21" s="53" t="s">
        <v>138</v>
      </c>
    </row>
    <row r="22" spans="1:3">
      <c r="A22">
        <v>2036</v>
      </c>
      <c r="B22" s="54">
        <v>7808000</v>
      </c>
      <c r="C22" s="53" t="s">
        <v>138</v>
      </c>
    </row>
    <row r="23" spans="1:3">
      <c r="A23">
        <v>2037</v>
      </c>
      <c r="B23" s="54">
        <v>7846600</v>
      </c>
      <c r="C23" s="53" t="s">
        <v>138</v>
      </c>
    </row>
    <row r="24" spans="1:3">
      <c r="A24">
        <v>2038</v>
      </c>
      <c r="B24" s="54">
        <v>7881000</v>
      </c>
      <c r="C24" s="53" t="s">
        <v>138</v>
      </c>
    </row>
    <row r="25" spans="1:3">
      <c r="A25">
        <v>2039</v>
      </c>
      <c r="B25" s="54">
        <v>7910500</v>
      </c>
      <c r="C25" s="53" t="s">
        <v>138</v>
      </c>
    </row>
    <row r="26" spans="1:3">
      <c r="A26">
        <v>2040</v>
      </c>
      <c r="B26" s="54">
        <v>7935200</v>
      </c>
      <c r="C26" s="53" t="s">
        <v>138</v>
      </c>
    </row>
    <row r="27" spans="1:3">
      <c r="A27">
        <v>2041</v>
      </c>
      <c r="B27" s="54">
        <v>7955200</v>
      </c>
      <c r="C27" s="53" t="s">
        <v>138</v>
      </c>
    </row>
    <row r="28" spans="1:3">
      <c r="A28">
        <v>2042</v>
      </c>
      <c r="B28" s="54">
        <v>7971100</v>
      </c>
      <c r="C28" s="53" t="s">
        <v>138</v>
      </c>
    </row>
    <row r="29" spans="1:3">
      <c r="A29">
        <v>2043</v>
      </c>
      <c r="B29" s="54">
        <v>7984000</v>
      </c>
      <c r="C29" s="53" t="s">
        <v>138</v>
      </c>
    </row>
    <row r="30" spans="1:3">
      <c r="A30">
        <v>2044</v>
      </c>
      <c r="B30" s="54">
        <v>7992900</v>
      </c>
      <c r="C30" s="53" t="s">
        <v>138</v>
      </c>
    </row>
    <row r="31" spans="1:3">
      <c r="A31">
        <v>2045</v>
      </c>
      <c r="B31" s="54">
        <v>7998200</v>
      </c>
      <c r="C31" s="53" t="s">
        <v>138</v>
      </c>
    </row>
    <row r="32" spans="1:3">
      <c r="A32">
        <v>2046</v>
      </c>
      <c r="B32" s="54">
        <v>7999100</v>
      </c>
      <c r="C32" s="53" t="s">
        <v>138</v>
      </c>
    </row>
    <row r="33" spans="1:3">
      <c r="A33">
        <v>2047</v>
      </c>
      <c r="B33" s="54">
        <v>7977600</v>
      </c>
      <c r="C33" s="53" t="s">
        <v>138</v>
      </c>
    </row>
    <row r="34" spans="1:3">
      <c r="A34">
        <v>2048</v>
      </c>
      <c r="B34" s="54">
        <v>7967000</v>
      </c>
      <c r="C34" s="53" t="s">
        <v>138</v>
      </c>
    </row>
    <row r="35" spans="1:3">
      <c r="A35">
        <v>2049</v>
      </c>
      <c r="B35" s="54">
        <v>7953000</v>
      </c>
      <c r="C35" s="53" t="s">
        <v>138</v>
      </c>
    </row>
    <row r="36" spans="1:3">
      <c r="A36">
        <v>2050</v>
      </c>
      <c r="B36" s="54">
        <v>7936900</v>
      </c>
      <c r="C36" s="53" t="s">
        <v>138</v>
      </c>
    </row>
    <row r="37" spans="1:3" ht="16" thickBot="1">
      <c r="A37">
        <v>2051</v>
      </c>
      <c r="B37" s="56">
        <f>'[1]Key parameters rpt'!O4*1000000</f>
        <v>9066500</v>
      </c>
      <c r="C37" s="53" t="s">
        <v>138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FB3314-84E8-4E41-990C-402EFB934B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0625E4-2E47-4A30-8FE0-A883253BB5A4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b15a3a4-8173-42d6-9deb-398ec38eca4b"/>
    <ds:schemaRef ds:uri="http://www.w3.org/XML/1998/namespace"/>
    <ds:schemaRef ds:uri="http://purl.org/dc/dcmitype/"/>
    <ds:schemaRef ds:uri="http://purl.org/dc/elements/1.1/"/>
    <ds:schemaRef ds:uri="cb176f07-3112-4ee9-93fd-ae2cb5f3e433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26E68D6-6F25-4217-8CA1-2B61513675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Results</vt:lpstr>
      <vt:lpstr>FoVObE-passengers</vt:lpstr>
      <vt:lpstr>FoVObE-freight</vt:lpstr>
      <vt:lpstr>NTS 1-11</vt:lpstr>
      <vt:lpstr>Federal Govt</vt:lpstr>
      <vt:lpstr>Fire Departments</vt:lpstr>
      <vt:lpstr>Police Departments</vt:lpstr>
      <vt:lpstr>Taxis and Limos</vt:lpstr>
      <vt:lpstr>Population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2014-04-12T22:49:27Z</dcterms:created>
  <dcterms:modified xsi:type="dcterms:W3CDTF">2023-12-19T08:39:19Z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