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trans/0 Need to Update/BESP/"/>
    </mc:Choice>
  </mc:AlternateContent>
  <xr:revisionPtr revIDLastSave="399" documentId="8_{B7E98F9E-6537-2041-939F-20AFC18C2A2B}" xr6:coauthVersionLast="47" xr6:coauthVersionMax="47" xr10:uidLastSave="{9A9608A5-9268-4A41-BE6A-DF071A2222C6}"/>
  <bookViews>
    <workbookView xWindow="-140" yWindow="500" windowWidth="28800" windowHeight="17500" activeTab="6" xr2:uid="{00000000-000D-0000-FFFF-FFFF00000000}"/>
  </bookViews>
  <sheets>
    <sheet name="About" sheetId="1" r:id="rId1"/>
    <sheet name="Summary - HK" sheetId="19" r:id="rId2"/>
    <sheet name="Summary - US" sheetId="14" state="hidden" r:id="rId3"/>
    <sheet name="Baseline Calculations" sheetId="15" state="hidden" r:id="rId4"/>
    <sheet name="Baseline Calculations - HK" sheetId="17" r:id="rId5"/>
    <sheet name="PEV Sales by Manufacturer" sheetId="16" state="hidden" r:id="rId6"/>
    <sheet name="PEV Sales by Manufacturer - HK" sheetId="18" r:id="rId7"/>
    <sheet name="BESP-passengers" sheetId="3" r:id="rId8"/>
    <sheet name="BESP-freight" sheetId="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18" l="1"/>
  <c r="D103" i="18"/>
  <c r="D102" i="18"/>
  <c r="D101" i="18"/>
  <c r="D92" i="18"/>
  <c r="D90" i="18"/>
  <c r="D88" i="18"/>
  <c r="B26" i="19"/>
  <c r="E12" i="19"/>
  <c r="F12" i="19" s="1"/>
  <c r="G12" i="19" s="1"/>
  <c r="H12" i="19" s="1"/>
  <c r="I12" i="19" s="1"/>
  <c r="J12" i="19" s="1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3" i="19"/>
  <c r="B2" i="3"/>
  <c r="O79" i="18"/>
  <c r="N79" i="18"/>
  <c r="M79" i="18"/>
  <c r="L79" i="18"/>
  <c r="K79" i="18"/>
  <c r="J79" i="18"/>
  <c r="I79" i="18"/>
  <c r="H79" i="18"/>
  <c r="G79" i="18"/>
  <c r="F79" i="18"/>
  <c r="E79" i="18"/>
  <c r="D79" i="18"/>
  <c r="Q79" i="18" s="1"/>
  <c r="O78" i="18"/>
  <c r="N78" i="18"/>
  <c r="M78" i="18"/>
  <c r="L78" i="18"/>
  <c r="K78" i="18"/>
  <c r="J78" i="18"/>
  <c r="I78" i="18"/>
  <c r="H78" i="18"/>
  <c r="G78" i="18"/>
  <c r="F78" i="18"/>
  <c r="E78" i="18"/>
  <c r="D78" i="18"/>
  <c r="Q78" i="18" s="1"/>
  <c r="O77" i="18"/>
  <c r="N77" i="18"/>
  <c r="M77" i="18"/>
  <c r="L77" i="18"/>
  <c r="K77" i="18"/>
  <c r="J77" i="18"/>
  <c r="I77" i="18"/>
  <c r="H77" i="18"/>
  <c r="G77" i="18"/>
  <c r="F77" i="18"/>
  <c r="E77" i="18"/>
  <c r="D77" i="18"/>
  <c r="Q77" i="18" s="1"/>
  <c r="O76" i="18"/>
  <c r="N76" i="18"/>
  <c r="M76" i="18"/>
  <c r="L76" i="18"/>
  <c r="K76" i="18"/>
  <c r="J76" i="18"/>
  <c r="I76" i="18"/>
  <c r="H76" i="18"/>
  <c r="G76" i="18"/>
  <c r="F76" i="18"/>
  <c r="E76" i="18"/>
  <c r="D76" i="18"/>
  <c r="Q76" i="18" s="1"/>
  <c r="O75" i="18"/>
  <c r="N75" i="18"/>
  <c r="M75" i="18"/>
  <c r="L75" i="18"/>
  <c r="K75" i="18"/>
  <c r="J75" i="18"/>
  <c r="I75" i="18"/>
  <c r="H75" i="18"/>
  <c r="G75" i="18"/>
  <c r="F75" i="18"/>
  <c r="E75" i="18"/>
  <c r="D75" i="18"/>
  <c r="Q75" i="18" s="1"/>
  <c r="O74" i="18"/>
  <c r="N74" i="18"/>
  <c r="M74" i="18"/>
  <c r="L74" i="18"/>
  <c r="K74" i="18"/>
  <c r="J74" i="18"/>
  <c r="I74" i="18"/>
  <c r="H74" i="18"/>
  <c r="G74" i="18"/>
  <c r="F74" i="18"/>
  <c r="E74" i="18"/>
  <c r="D74" i="18"/>
  <c r="Q74" i="18" s="1"/>
  <c r="O73" i="18"/>
  <c r="N73" i="18"/>
  <c r="M73" i="18"/>
  <c r="L73" i="18"/>
  <c r="K73" i="18"/>
  <c r="J73" i="18"/>
  <c r="I73" i="18"/>
  <c r="H73" i="18"/>
  <c r="G73" i="18"/>
  <c r="F73" i="18"/>
  <c r="E73" i="18"/>
  <c r="D73" i="18"/>
  <c r="Q73" i="18" s="1"/>
  <c r="O72" i="18"/>
  <c r="N72" i="18"/>
  <c r="M72" i="18"/>
  <c r="L72" i="18"/>
  <c r="K72" i="18"/>
  <c r="J72" i="18"/>
  <c r="I72" i="18"/>
  <c r="H72" i="18"/>
  <c r="G72" i="18"/>
  <c r="F72" i="18"/>
  <c r="E72" i="18"/>
  <c r="D72" i="18"/>
  <c r="Q72" i="18" s="1"/>
  <c r="O71" i="18"/>
  <c r="N71" i="18"/>
  <c r="M71" i="18"/>
  <c r="L71" i="18"/>
  <c r="K71" i="18"/>
  <c r="J71" i="18"/>
  <c r="I71" i="18"/>
  <c r="H71" i="18"/>
  <c r="G71" i="18"/>
  <c r="F71" i="18"/>
  <c r="E71" i="18"/>
  <c r="D71" i="18"/>
  <c r="Q71" i="18" s="1"/>
  <c r="O70" i="18"/>
  <c r="N70" i="18"/>
  <c r="M70" i="18"/>
  <c r="L70" i="18"/>
  <c r="K70" i="18"/>
  <c r="J70" i="18"/>
  <c r="I70" i="18"/>
  <c r="H70" i="18"/>
  <c r="G70" i="18"/>
  <c r="F70" i="18"/>
  <c r="E70" i="18"/>
  <c r="D70" i="18"/>
  <c r="Q70" i="18" s="1"/>
  <c r="O69" i="18"/>
  <c r="N69" i="18"/>
  <c r="M69" i="18"/>
  <c r="L69" i="18"/>
  <c r="K69" i="18"/>
  <c r="J69" i="18"/>
  <c r="I69" i="18"/>
  <c r="H69" i="18"/>
  <c r="G69" i="18"/>
  <c r="F69" i="18"/>
  <c r="E69" i="18"/>
  <c r="D69" i="18"/>
  <c r="Q69" i="18" s="1"/>
  <c r="O68" i="18"/>
  <c r="N68" i="18"/>
  <c r="M68" i="18"/>
  <c r="L68" i="18"/>
  <c r="K68" i="18"/>
  <c r="J68" i="18"/>
  <c r="I68" i="18"/>
  <c r="H68" i="18"/>
  <c r="G68" i="18"/>
  <c r="F68" i="18"/>
  <c r="E68" i="18"/>
  <c r="D68" i="18"/>
  <c r="Q68" i="18" s="1"/>
  <c r="O67" i="18"/>
  <c r="N67" i="18"/>
  <c r="M67" i="18"/>
  <c r="L67" i="18"/>
  <c r="K67" i="18"/>
  <c r="J67" i="18"/>
  <c r="I67" i="18"/>
  <c r="H67" i="18"/>
  <c r="G67" i="18"/>
  <c r="F67" i="18"/>
  <c r="E67" i="18"/>
  <c r="D67" i="18"/>
  <c r="Q67" i="18" s="1"/>
  <c r="O66" i="18"/>
  <c r="N66" i="18"/>
  <c r="M66" i="18"/>
  <c r="L66" i="18"/>
  <c r="K66" i="18"/>
  <c r="J66" i="18"/>
  <c r="I66" i="18"/>
  <c r="H66" i="18"/>
  <c r="G66" i="18"/>
  <c r="F66" i="18"/>
  <c r="E66" i="18"/>
  <c r="D66" i="18"/>
  <c r="Q66" i="18" s="1"/>
  <c r="O65" i="18"/>
  <c r="N65" i="18"/>
  <c r="M65" i="18"/>
  <c r="L65" i="18"/>
  <c r="K65" i="18"/>
  <c r="J65" i="18"/>
  <c r="I65" i="18"/>
  <c r="H65" i="18"/>
  <c r="G65" i="18"/>
  <c r="F65" i="18"/>
  <c r="E65" i="18"/>
  <c r="D65" i="18"/>
  <c r="Q65" i="18" s="1"/>
  <c r="O64" i="18"/>
  <c r="N64" i="18"/>
  <c r="M64" i="18"/>
  <c r="L64" i="18"/>
  <c r="K64" i="18"/>
  <c r="J64" i="18"/>
  <c r="I64" i="18"/>
  <c r="H64" i="18"/>
  <c r="G64" i="18"/>
  <c r="F64" i="18"/>
  <c r="E64" i="18"/>
  <c r="D64" i="18"/>
  <c r="Q64" i="18" s="1"/>
  <c r="O63" i="18"/>
  <c r="N63" i="18"/>
  <c r="M63" i="18"/>
  <c r="L63" i="18"/>
  <c r="K63" i="18"/>
  <c r="J63" i="18"/>
  <c r="I63" i="18"/>
  <c r="H63" i="18"/>
  <c r="G63" i="18"/>
  <c r="F63" i="18"/>
  <c r="E63" i="18"/>
  <c r="D63" i="18"/>
  <c r="Q63" i="18" s="1"/>
  <c r="O62" i="18"/>
  <c r="N62" i="18"/>
  <c r="M62" i="18"/>
  <c r="L62" i="18"/>
  <c r="K62" i="18"/>
  <c r="J62" i="18"/>
  <c r="I62" i="18"/>
  <c r="H62" i="18"/>
  <c r="G62" i="18"/>
  <c r="F62" i="18"/>
  <c r="E62" i="18"/>
  <c r="D62" i="18"/>
  <c r="Q62" i="18" s="1"/>
  <c r="O61" i="18"/>
  <c r="N61" i="18"/>
  <c r="M61" i="18"/>
  <c r="L61" i="18"/>
  <c r="K61" i="18"/>
  <c r="J61" i="18"/>
  <c r="I61" i="18"/>
  <c r="H61" i="18"/>
  <c r="G61" i="18"/>
  <c r="F61" i="18"/>
  <c r="E61" i="18"/>
  <c r="D61" i="18"/>
  <c r="Q61" i="18" s="1"/>
  <c r="O60" i="18"/>
  <c r="N60" i="18"/>
  <c r="M60" i="18"/>
  <c r="L60" i="18"/>
  <c r="K60" i="18"/>
  <c r="J60" i="18"/>
  <c r="I60" i="18"/>
  <c r="H60" i="18"/>
  <c r="G60" i="18"/>
  <c r="F60" i="18"/>
  <c r="E60" i="18"/>
  <c r="D60" i="18"/>
  <c r="Q60" i="18" s="1"/>
  <c r="O59" i="18"/>
  <c r="N59" i="18"/>
  <c r="M59" i="18"/>
  <c r="L59" i="18"/>
  <c r="K59" i="18"/>
  <c r="J59" i="18"/>
  <c r="I59" i="18"/>
  <c r="H59" i="18"/>
  <c r="G59" i="18"/>
  <c r="F59" i="18"/>
  <c r="E59" i="18"/>
  <c r="D59" i="18"/>
  <c r="Q59" i="18" s="1"/>
  <c r="O58" i="18"/>
  <c r="O81" i="18" s="1"/>
  <c r="N58" i="18"/>
  <c r="M58" i="18"/>
  <c r="M81" i="18" s="1"/>
  <c r="L58" i="18"/>
  <c r="L81" i="18" s="1"/>
  <c r="K58" i="18"/>
  <c r="K81" i="18" s="1"/>
  <c r="J58" i="18"/>
  <c r="J81" i="18" s="1"/>
  <c r="I58" i="18"/>
  <c r="I81" i="18" s="1"/>
  <c r="H58" i="18"/>
  <c r="H81" i="18" s="1"/>
  <c r="G58" i="18"/>
  <c r="G81" i="18" s="1"/>
  <c r="F58" i="18"/>
  <c r="F81" i="18" s="1"/>
  <c r="E58" i="18"/>
  <c r="E81" i="18" s="1"/>
  <c r="D58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S52" i="18"/>
  <c r="Q52" i="18"/>
  <c r="S51" i="18"/>
  <c r="Q51" i="18"/>
  <c r="S50" i="18"/>
  <c r="Q50" i="18"/>
  <c r="S49" i="18"/>
  <c r="Q49" i="18"/>
  <c r="S48" i="18"/>
  <c r="Q48" i="18"/>
  <c r="S47" i="18"/>
  <c r="Q47" i="18"/>
  <c r="S46" i="18"/>
  <c r="Q46" i="18"/>
  <c r="S45" i="18"/>
  <c r="Q45" i="18"/>
  <c r="S44" i="18"/>
  <c r="Q44" i="18"/>
  <c r="S43" i="18"/>
  <c r="Q43" i="18"/>
  <c r="S42" i="18"/>
  <c r="Q42" i="18"/>
  <c r="S41" i="18"/>
  <c r="Q41" i="18"/>
  <c r="S40" i="18"/>
  <c r="Q40" i="18"/>
  <c r="S39" i="18"/>
  <c r="Q39" i="18"/>
  <c r="S38" i="18"/>
  <c r="Q38" i="18"/>
  <c r="S37" i="18"/>
  <c r="Q37" i="18"/>
  <c r="S36" i="18"/>
  <c r="Q36" i="18"/>
  <c r="S35" i="18"/>
  <c r="Q35" i="18"/>
  <c r="S34" i="18"/>
  <c r="Q34" i="18"/>
  <c r="S33" i="18"/>
  <c r="Q33" i="18"/>
  <c r="S32" i="18"/>
  <c r="Q32" i="18"/>
  <c r="S31" i="18"/>
  <c r="Q31" i="18"/>
  <c r="R25" i="18"/>
  <c r="R24" i="18"/>
  <c r="R23" i="18"/>
  <c r="R22" i="18"/>
  <c r="R21" i="18"/>
  <c r="R20" i="18"/>
  <c r="R19" i="18"/>
  <c r="R18" i="18"/>
  <c r="R17" i="18"/>
  <c r="R16" i="18"/>
  <c r="R15" i="18"/>
  <c r="R14" i="18"/>
  <c r="R13" i="18"/>
  <c r="R12" i="18"/>
  <c r="R11" i="18"/>
  <c r="R10" i="18"/>
  <c r="R9" i="18"/>
  <c r="R8" i="18"/>
  <c r="R7" i="18"/>
  <c r="R6" i="18"/>
  <c r="R5" i="18"/>
  <c r="R4" i="18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F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F65" i="17"/>
  <c r="AE65" i="17"/>
  <c r="AD65" i="17"/>
  <c r="AC65" i="17"/>
  <c r="AB65" i="17"/>
  <c r="AA65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F59" i="17"/>
  <c r="AE59" i="17"/>
  <c r="AD59" i="17"/>
  <c r="AC59" i="17"/>
  <c r="AB59" i="17"/>
  <c r="AA59" i="17"/>
  <c r="Z59" i="17"/>
  <c r="Y59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F58" i="17"/>
  <c r="AE58" i="17"/>
  <c r="AD58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F57" i="17"/>
  <c r="AE57" i="17"/>
  <c r="AD57" i="17"/>
  <c r="AC57" i="17"/>
  <c r="AB57" i="17"/>
  <c r="AA57" i="17"/>
  <c r="Z57" i="17"/>
  <c r="Y57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C24" i="17"/>
  <c r="B24" i="17"/>
  <c r="C101" i="17" s="1"/>
  <c r="C23" i="17"/>
  <c r="B23" i="17"/>
  <c r="C100" i="17" s="1"/>
  <c r="C22" i="17"/>
  <c r="B22" i="17"/>
  <c r="C99" i="17" s="1"/>
  <c r="C21" i="17"/>
  <c r="B21" i="17"/>
  <c r="C98" i="17" s="1"/>
  <c r="C20" i="17"/>
  <c r="B20" i="17"/>
  <c r="C97" i="17" s="1"/>
  <c r="C19" i="17"/>
  <c r="B19" i="17"/>
  <c r="C96" i="17" s="1"/>
  <c r="C18" i="17"/>
  <c r="B18" i="17"/>
  <c r="C95" i="17" s="1"/>
  <c r="C17" i="17"/>
  <c r="B17" i="17"/>
  <c r="C94" i="17" s="1"/>
  <c r="C16" i="17"/>
  <c r="B16" i="17"/>
  <c r="C93" i="17" s="1"/>
  <c r="C15" i="17"/>
  <c r="B15" i="17"/>
  <c r="C92" i="17" s="1"/>
  <c r="C14" i="17"/>
  <c r="B14" i="17"/>
  <c r="C91" i="17" s="1"/>
  <c r="C13" i="17"/>
  <c r="B13" i="17"/>
  <c r="C90" i="17" s="1"/>
  <c r="C12" i="17"/>
  <c r="B12" i="17"/>
  <c r="C89" i="17" s="1"/>
  <c r="C11" i="17"/>
  <c r="B11" i="17"/>
  <c r="C88" i="17" s="1"/>
  <c r="C10" i="17"/>
  <c r="B10" i="17"/>
  <c r="C87" i="17" s="1"/>
  <c r="C9" i="17"/>
  <c r="B9" i="17"/>
  <c r="C86" i="17" s="1"/>
  <c r="C8" i="17"/>
  <c r="B8" i="17"/>
  <c r="C85" i="17" s="1"/>
  <c r="C7" i="17"/>
  <c r="B7" i="17"/>
  <c r="C84" i="17" s="1"/>
  <c r="C6" i="17"/>
  <c r="B6" i="17"/>
  <c r="C83" i="17" s="1"/>
  <c r="C5" i="17"/>
  <c r="B5" i="17"/>
  <c r="C82" i="17" s="1"/>
  <c r="C4" i="17"/>
  <c r="B4" i="17"/>
  <c r="C81" i="17" s="1"/>
  <c r="C3" i="17"/>
  <c r="B3" i="17"/>
  <c r="C80" i="17" s="1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32" i="15"/>
  <c r="O79" i="16"/>
  <c r="N79" i="16"/>
  <c r="C77" i="15" s="1"/>
  <c r="M79" i="16"/>
  <c r="B77" i="15" s="1"/>
  <c r="L79" i="16"/>
  <c r="K79" i="16"/>
  <c r="J79" i="16"/>
  <c r="I79" i="16"/>
  <c r="H79" i="16"/>
  <c r="G79" i="16"/>
  <c r="F79" i="16"/>
  <c r="E79" i="16"/>
  <c r="D79" i="16"/>
  <c r="O78" i="16"/>
  <c r="N78" i="16"/>
  <c r="C76" i="15" s="1"/>
  <c r="M78" i="16"/>
  <c r="B76" i="15" s="1"/>
  <c r="L78" i="16"/>
  <c r="K78" i="16"/>
  <c r="J78" i="16"/>
  <c r="I78" i="16"/>
  <c r="H78" i="16"/>
  <c r="G78" i="16"/>
  <c r="F78" i="16"/>
  <c r="E78" i="16"/>
  <c r="D78" i="16"/>
  <c r="O77" i="16"/>
  <c r="N77" i="16"/>
  <c r="C75" i="15" s="1"/>
  <c r="M77" i="16"/>
  <c r="B75" i="15" s="1"/>
  <c r="L77" i="16"/>
  <c r="K77" i="16"/>
  <c r="J77" i="16"/>
  <c r="I77" i="16"/>
  <c r="H77" i="16"/>
  <c r="G77" i="16"/>
  <c r="F77" i="16"/>
  <c r="E77" i="16"/>
  <c r="D77" i="16"/>
  <c r="O76" i="16"/>
  <c r="N76" i="16"/>
  <c r="C74" i="15" s="1"/>
  <c r="M76" i="16"/>
  <c r="B74" i="15" s="1"/>
  <c r="L76" i="16"/>
  <c r="K76" i="16"/>
  <c r="J76" i="16"/>
  <c r="I76" i="16"/>
  <c r="H76" i="16"/>
  <c r="G76" i="16"/>
  <c r="F76" i="16"/>
  <c r="E76" i="16"/>
  <c r="D76" i="16"/>
  <c r="O75" i="16"/>
  <c r="N75" i="16"/>
  <c r="C73" i="15" s="1"/>
  <c r="M75" i="16"/>
  <c r="B73" i="15" s="1"/>
  <c r="L75" i="16"/>
  <c r="K75" i="16"/>
  <c r="J75" i="16"/>
  <c r="I75" i="16"/>
  <c r="H75" i="16"/>
  <c r="G75" i="16"/>
  <c r="F75" i="16"/>
  <c r="E75" i="16"/>
  <c r="D75" i="16"/>
  <c r="O74" i="16"/>
  <c r="N74" i="16"/>
  <c r="C72" i="15" s="1"/>
  <c r="M74" i="16"/>
  <c r="B72" i="15" s="1"/>
  <c r="L74" i="16"/>
  <c r="K74" i="16"/>
  <c r="J74" i="16"/>
  <c r="I74" i="16"/>
  <c r="H74" i="16"/>
  <c r="G74" i="16"/>
  <c r="F74" i="16"/>
  <c r="E74" i="16"/>
  <c r="D74" i="16"/>
  <c r="O73" i="16"/>
  <c r="N73" i="16"/>
  <c r="C71" i="15" s="1"/>
  <c r="M73" i="16"/>
  <c r="B71" i="15" s="1"/>
  <c r="L73" i="16"/>
  <c r="K73" i="16"/>
  <c r="J73" i="16"/>
  <c r="I73" i="16"/>
  <c r="H73" i="16"/>
  <c r="G73" i="16"/>
  <c r="F73" i="16"/>
  <c r="E73" i="16"/>
  <c r="D73" i="16"/>
  <c r="O72" i="16"/>
  <c r="N72" i="16"/>
  <c r="C70" i="15" s="1"/>
  <c r="M72" i="16"/>
  <c r="B70" i="15" s="1"/>
  <c r="L72" i="16"/>
  <c r="K72" i="16"/>
  <c r="J72" i="16"/>
  <c r="I72" i="16"/>
  <c r="H72" i="16"/>
  <c r="G72" i="16"/>
  <c r="F72" i="16"/>
  <c r="E72" i="16"/>
  <c r="D72" i="16"/>
  <c r="O71" i="16"/>
  <c r="N71" i="16"/>
  <c r="C69" i="15" s="1"/>
  <c r="M71" i="16"/>
  <c r="B69" i="15" s="1"/>
  <c r="L71" i="16"/>
  <c r="K71" i="16"/>
  <c r="J71" i="16"/>
  <c r="I71" i="16"/>
  <c r="H71" i="16"/>
  <c r="G71" i="16"/>
  <c r="F71" i="16"/>
  <c r="E71" i="16"/>
  <c r="D71" i="16"/>
  <c r="O70" i="16"/>
  <c r="N70" i="16"/>
  <c r="C68" i="15" s="1"/>
  <c r="M70" i="16"/>
  <c r="B68" i="15" s="1"/>
  <c r="L70" i="16"/>
  <c r="K70" i="16"/>
  <c r="J70" i="16"/>
  <c r="I70" i="16"/>
  <c r="H70" i="16"/>
  <c r="G70" i="16"/>
  <c r="F70" i="16"/>
  <c r="E70" i="16"/>
  <c r="D70" i="16"/>
  <c r="O69" i="16"/>
  <c r="N69" i="16"/>
  <c r="C67" i="15" s="1"/>
  <c r="M69" i="16"/>
  <c r="B67" i="15" s="1"/>
  <c r="L69" i="16"/>
  <c r="K69" i="16"/>
  <c r="J69" i="16"/>
  <c r="I69" i="16"/>
  <c r="H69" i="16"/>
  <c r="G69" i="16"/>
  <c r="F69" i="16"/>
  <c r="E69" i="16"/>
  <c r="D69" i="16"/>
  <c r="O68" i="16"/>
  <c r="N68" i="16"/>
  <c r="C66" i="15" s="1"/>
  <c r="M68" i="16"/>
  <c r="B66" i="15" s="1"/>
  <c r="L68" i="16"/>
  <c r="K68" i="16"/>
  <c r="J68" i="16"/>
  <c r="I68" i="16"/>
  <c r="H68" i="16"/>
  <c r="G68" i="16"/>
  <c r="F68" i="16"/>
  <c r="E68" i="16"/>
  <c r="D68" i="16"/>
  <c r="O67" i="16"/>
  <c r="N67" i="16"/>
  <c r="C65" i="15" s="1"/>
  <c r="M67" i="16"/>
  <c r="B65" i="15" s="1"/>
  <c r="L67" i="16"/>
  <c r="K67" i="16"/>
  <c r="J67" i="16"/>
  <c r="I67" i="16"/>
  <c r="H67" i="16"/>
  <c r="G67" i="16"/>
  <c r="F67" i="16"/>
  <c r="E67" i="16"/>
  <c r="D67" i="16"/>
  <c r="O66" i="16"/>
  <c r="N66" i="16"/>
  <c r="C64" i="15" s="1"/>
  <c r="M66" i="16"/>
  <c r="B64" i="15" s="1"/>
  <c r="L66" i="16"/>
  <c r="K66" i="16"/>
  <c r="J66" i="16"/>
  <c r="I66" i="16"/>
  <c r="H66" i="16"/>
  <c r="G66" i="16"/>
  <c r="F66" i="16"/>
  <c r="E66" i="16"/>
  <c r="D66" i="16"/>
  <c r="O65" i="16"/>
  <c r="N65" i="16"/>
  <c r="C63" i="15" s="1"/>
  <c r="M65" i="16"/>
  <c r="B63" i="15" s="1"/>
  <c r="L65" i="16"/>
  <c r="K65" i="16"/>
  <c r="J65" i="16"/>
  <c r="I65" i="16"/>
  <c r="H65" i="16"/>
  <c r="G65" i="16"/>
  <c r="F65" i="16"/>
  <c r="E65" i="16"/>
  <c r="D65" i="16"/>
  <c r="O64" i="16"/>
  <c r="N64" i="16"/>
  <c r="C62" i="15" s="1"/>
  <c r="M64" i="16"/>
  <c r="B62" i="15" s="1"/>
  <c r="L64" i="16"/>
  <c r="K64" i="16"/>
  <c r="J64" i="16"/>
  <c r="I64" i="16"/>
  <c r="H64" i="16"/>
  <c r="G64" i="16"/>
  <c r="F64" i="16"/>
  <c r="E64" i="16"/>
  <c r="D64" i="16"/>
  <c r="O63" i="16"/>
  <c r="N63" i="16"/>
  <c r="C61" i="15" s="1"/>
  <c r="M63" i="16"/>
  <c r="B61" i="15" s="1"/>
  <c r="L63" i="16"/>
  <c r="K63" i="16"/>
  <c r="J63" i="16"/>
  <c r="I63" i="16"/>
  <c r="H63" i="16"/>
  <c r="G63" i="16"/>
  <c r="F63" i="16"/>
  <c r="E63" i="16"/>
  <c r="D63" i="16"/>
  <c r="O62" i="16"/>
  <c r="N62" i="16"/>
  <c r="C60" i="15" s="1"/>
  <c r="M62" i="16"/>
  <c r="B60" i="15" s="1"/>
  <c r="L62" i="16"/>
  <c r="K62" i="16"/>
  <c r="J62" i="16"/>
  <c r="I62" i="16"/>
  <c r="H62" i="16"/>
  <c r="G62" i="16"/>
  <c r="F62" i="16"/>
  <c r="E62" i="16"/>
  <c r="D62" i="16"/>
  <c r="O61" i="16"/>
  <c r="N61" i="16"/>
  <c r="C59" i="15" s="1"/>
  <c r="M61" i="16"/>
  <c r="B59" i="15" s="1"/>
  <c r="L61" i="16"/>
  <c r="K61" i="16"/>
  <c r="J61" i="16"/>
  <c r="I61" i="16"/>
  <c r="H61" i="16"/>
  <c r="G61" i="16"/>
  <c r="F61" i="16"/>
  <c r="E61" i="16"/>
  <c r="D61" i="16"/>
  <c r="O60" i="16"/>
  <c r="N60" i="16"/>
  <c r="M60" i="16"/>
  <c r="B58" i="15" s="1"/>
  <c r="L60" i="16"/>
  <c r="K60" i="16"/>
  <c r="J60" i="16"/>
  <c r="I60" i="16"/>
  <c r="H60" i="16"/>
  <c r="G60" i="16"/>
  <c r="F60" i="16"/>
  <c r="E60" i="16"/>
  <c r="D60" i="16"/>
  <c r="O59" i="16"/>
  <c r="N59" i="16"/>
  <c r="C57" i="15" s="1"/>
  <c r="M59" i="16"/>
  <c r="L59" i="16"/>
  <c r="K59" i="16"/>
  <c r="J59" i="16"/>
  <c r="I59" i="16"/>
  <c r="H59" i="16"/>
  <c r="G59" i="16"/>
  <c r="F59" i="16"/>
  <c r="E59" i="16"/>
  <c r="D59" i="16"/>
  <c r="O58" i="16"/>
  <c r="N58" i="16"/>
  <c r="C56" i="15" s="1"/>
  <c r="M58" i="16"/>
  <c r="B56" i="15" s="1"/>
  <c r="L58" i="16"/>
  <c r="K58" i="16"/>
  <c r="J58" i="16"/>
  <c r="I58" i="16"/>
  <c r="H58" i="16"/>
  <c r="G58" i="16"/>
  <c r="F58" i="16"/>
  <c r="E58" i="16"/>
  <c r="D58" i="16"/>
  <c r="O54" i="16"/>
  <c r="N54" i="16"/>
  <c r="S49" i="16" s="1"/>
  <c r="M54" i="16"/>
  <c r="L54" i="16"/>
  <c r="K54" i="16"/>
  <c r="J54" i="16"/>
  <c r="I54" i="16"/>
  <c r="H54" i="16"/>
  <c r="G54" i="16"/>
  <c r="F54" i="16"/>
  <c r="E54" i="16"/>
  <c r="D54" i="16"/>
  <c r="Q52" i="16"/>
  <c r="Q51" i="16"/>
  <c r="Q50" i="16"/>
  <c r="Q49" i="16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I33" i="19" l="1"/>
  <c r="J33" i="19" s="1"/>
  <c r="K33" i="19" s="1"/>
  <c r="L33" i="19" s="1"/>
  <c r="M33" i="19" s="1"/>
  <c r="N33" i="19" s="1"/>
  <c r="O33" i="19" s="1"/>
  <c r="P33" i="19" s="1"/>
  <c r="Q33" i="19" s="1"/>
  <c r="R33" i="19" s="1"/>
  <c r="S33" i="19" s="1"/>
  <c r="T33" i="19" s="1"/>
  <c r="U33" i="19" s="1"/>
  <c r="V33" i="19" s="1"/>
  <c r="W33" i="19" s="1"/>
  <c r="X33" i="19" s="1"/>
  <c r="Y33" i="19" s="1"/>
  <c r="Z33" i="19" s="1"/>
  <c r="AA33" i="19" s="1"/>
  <c r="AB33" i="19" s="1"/>
  <c r="AC33" i="19" s="1"/>
  <c r="AD33" i="19" s="1"/>
  <c r="AE33" i="19" s="1"/>
  <c r="AF33" i="19" s="1"/>
  <c r="AG33" i="19" s="1"/>
  <c r="H33" i="19"/>
  <c r="G33" i="19"/>
  <c r="F33" i="19"/>
  <c r="E33" i="19"/>
  <c r="D33" i="19"/>
  <c r="C33" i="19"/>
  <c r="D81" i="18"/>
  <c r="Q58" i="18"/>
  <c r="N81" i="18"/>
  <c r="S58" i="18"/>
  <c r="S59" i="18"/>
  <c r="S60" i="18"/>
  <c r="S61" i="18"/>
  <c r="S62" i="18"/>
  <c r="S63" i="18"/>
  <c r="S64" i="18"/>
  <c r="S65" i="18"/>
  <c r="S66" i="18"/>
  <c r="S67" i="18"/>
  <c r="S68" i="18"/>
  <c r="S69" i="18"/>
  <c r="S70" i="18"/>
  <c r="S71" i="18"/>
  <c r="S72" i="18"/>
  <c r="S73" i="18"/>
  <c r="S74" i="18"/>
  <c r="S75" i="18"/>
  <c r="S76" i="18"/>
  <c r="S77" i="18"/>
  <c r="S78" i="18"/>
  <c r="S79" i="18"/>
  <c r="D80" i="17"/>
  <c r="D3" i="17"/>
  <c r="D81" i="17"/>
  <c r="D4" i="17"/>
  <c r="D82" i="17"/>
  <c r="D5" i="17"/>
  <c r="D83" i="17"/>
  <c r="D6" i="17"/>
  <c r="D84" i="17"/>
  <c r="D7" i="17"/>
  <c r="D85" i="17"/>
  <c r="D8" i="17"/>
  <c r="D86" i="17"/>
  <c r="D9" i="17"/>
  <c r="D87" i="17"/>
  <c r="D10" i="17"/>
  <c r="D88" i="17"/>
  <c r="D11" i="17"/>
  <c r="D89" i="17"/>
  <c r="D12" i="17"/>
  <c r="D90" i="17"/>
  <c r="D13" i="17"/>
  <c r="D91" i="17"/>
  <c r="D14" i="17"/>
  <c r="D92" i="17"/>
  <c r="D15" i="17"/>
  <c r="D93" i="17"/>
  <c r="D16" i="17"/>
  <c r="D94" i="17"/>
  <c r="D17" i="17"/>
  <c r="D95" i="17"/>
  <c r="D18" i="17"/>
  <c r="D96" i="17"/>
  <c r="D19" i="17"/>
  <c r="D97" i="17"/>
  <c r="D20" i="17"/>
  <c r="D98" i="17"/>
  <c r="D21" i="17"/>
  <c r="D99" i="17"/>
  <c r="D22" i="17"/>
  <c r="D100" i="17"/>
  <c r="D23" i="17"/>
  <c r="D101" i="17"/>
  <c r="D24" i="17"/>
  <c r="D81" i="16"/>
  <c r="I81" i="16"/>
  <c r="J81" i="16"/>
  <c r="H50" i="15"/>
  <c r="P50" i="15"/>
  <c r="X50" i="15"/>
  <c r="AF50" i="15"/>
  <c r="I50" i="15"/>
  <c r="Q50" i="15"/>
  <c r="Y50" i="15"/>
  <c r="J50" i="15"/>
  <c r="R50" i="15"/>
  <c r="Z50" i="15"/>
  <c r="K50" i="15"/>
  <c r="S50" i="15"/>
  <c r="AA50" i="15"/>
  <c r="L50" i="15"/>
  <c r="T50" i="15"/>
  <c r="AB50" i="15"/>
  <c r="E50" i="15"/>
  <c r="M50" i="15"/>
  <c r="U50" i="15"/>
  <c r="AC50" i="15"/>
  <c r="F50" i="15"/>
  <c r="N50" i="15"/>
  <c r="V50" i="15"/>
  <c r="AD50" i="15"/>
  <c r="D50" i="15"/>
  <c r="G50" i="15"/>
  <c r="O50" i="15"/>
  <c r="W50" i="15"/>
  <c r="AE50" i="15"/>
  <c r="Q58" i="16"/>
  <c r="Q62" i="16"/>
  <c r="Q63" i="16"/>
  <c r="Q66" i="16"/>
  <c r="Q67" i="16"/>
  <c r="Q70" i="16"/>
  <c r="Q71" i="16"/>
  <c r="Q73" i="16"/>
  <c r="Q74" i="16"/>
  <c r="Q75" i="16"/>
  <c r="L81" i="16"/>
  <c r="Q60" i="16"/>
  <c r="Q61" i="16"/>
  <c r="Q64" i="16"/>
  <c r="Q65" i="16"/>
  <c r="Q68" i="16"/>
  <c r="Q69" i="16"/>
  <c r="Q72" i="16"/>
  <c r="F81" i="16"/>
  <c r="N81" i="16"/>
  <c r="S70" i="16" s="1"/>
  <c r="C58" i="15"/>
  <c r="E81" i="16"/>
  <c r="M81" i="16"/>
  <c r="B57" i="15"/>
  <c r="G81" i="16"/>
  <c r="O81" i="16"/>
  <c r="Q76" i="16"/>
  <c r="Q77" i="16"/>
  <c r="Q78" i="16"/>
  <c r="Q79" i="16"/>
  <c r="K81" i="16"/>
  <c r="S46" i="16"/>
  <c r="H81" i="16"/>
  <c r="S38" i="16"/>
  <c r="S31" i="16"/>
  <c r="S35" i="16"/>
  <c r="S39" i="16"/>
  <c r="S43" i="16"/>
  <c r="S47" i="16"/>
  <c r="S51" i="16"/>
  <c r="S34" i="16"/>
  <c r="Q59" i="16"/>
  <c r="S42" i="16"/>
  <c r="S50" i="16"/>
  <c r="S32" i="16"/>
  <c r="S36" i="16"/>
  <c r="S40" i="16"/>
  <c r="S44" i="16"/>
  <c r="S48" i="16"/>
  <c r="S52" i="16"/>
  <c r="S33" i="16"/>
  <c r="S37" i="16"/>
  <c r="S41" i="16"/>
  <c r="S45" i="16"/>
  <c r="C37" i="19" l="1"/>
  <c r="C44" i="19" s="1"/>
  <c r="D37" i="19"/>
  <c r="D44" i="19" s="1"/>
  <c r="E37" i="19"/>
  <c r="E44" i="19" s="1"/>
  <c r="F37" i="19"/>
  <c r="F44" i="19" s="1"/>
  <c r="G37" i="19"/>
  <c r="G44" i="19" s="1"/>
  <c r="H37" i="19"/>
  <c r="H44" i="19" s="1"/>
  <c r="I37" i="19"/>
  <c r="I44" i="19" s="1"/>
  <c r="J37" i="19"/>
  <c r="J44" i="19" s="1"/>
  <c r="K37" i="19"/>
  <c r="K44" i="19" s="1"/>
  <c r="L37" i="19"/>
  <c r="L44" i="19" s="1"/>
  <c r="M37" i="19"/>
  <c r="M44" i="19" s="1"/>
  <c r="N37" i="19"/>
  <c r="N44" i="19" s="1"/>
  <c r="O37" i="19"/>
  <c r="O44" i="19" s="1"/>
  <c r="P37" i="19"/>
  <c r="P44" i="19" s="1"/>
  <c r="Q37" i="19"/>
  <c r="Q44" i="19" s="1"/>
  <c r="R37" i="19"/>
  <c r="R44" i="19" s="1"/>
  <c r="S37" i="19"/>
  <c r="S44" i="19" s="1"/>
  <c r="T37" i="19"/>
  <c r="T44" i="19" s="1"/>
  <c r="U37" i="19"/>
  <c r="U44" i="19" s="1"/>
  <c r="V37" i="19"/>
  <c r="V44" i="19" s="1"/>
  <c r="W37" i="19"/>
  <c r="W44" i="19" s="1"/>
  <c r="X37" i="19"/>
  <c r="X44" i="19" s="1"/>
  <c r="Y37" i="19"/>
  <c r="Y44" i="19" s="1"/>
  <c r="Z37" i="19"/>
  <c r="Z44" i="19" s="1"/>
  <c r="AA37" i="19"/>
  <c r="AA44" i="19" s="1"/>
  <c r="AB37" i="19"/>
  <c r="AB44" i="19" s="1"/>
  <c r="AC37" i="19"/>
  <c r="AC44" i="19" s="1"/>
  <c r="AD37" i="19"/>
  <c r="AD44" i="19" s="1"/>
  <c r="AE37" i="19"/>
  <c r="AE44" i="19" s="1"/>
  <c r="AF37" i="19"/>
  <c r="AF44" i="19" s="1"/>
  <c r="AG37" i="19"/>
  <c r="AG44" i="19" s="1"/>
  <c r="E101" i="17"/>
  <c r="E24" i="17"/>
  <c r="E100" i="17"/>
  <c r="E23" i="17"/>
  <c r="E99" i="17"/>
  <c r="E22" i="17"/>
  <c r="E98" i="17"/>
  <c r="E21" i="17"/>
  <c r="E97" i="17"/>
  <c r="E20" i="17"/>
  <c r="E96" i="17"/>
  <c r="E19" i="17"/>
  <c r="E95" i="17"/>
  <c r="E18" i="17"/>
  <c r="E94" i="17"/>
  <c r="E17" i="17"/>
  <c r="E93" i="17"/>
  <c r="E16" i="17"/>
  <c r="E92" i="17"/>
  <c r="E15" i="17"/>
  <c r="E91" i="17"/>
  <c r="E14" i="17"/>
  <c r="E90" i="17"/>
  <c r="E13" i="17"/>
  <c r="E89" i="17"/>
  <c r="E12" i="17"/>
  <c r="E88" i="17"/>
  <c r="E11" i="17"/>
  <c r="E87" i="17"/>
  <c r="E10" i="17"/>
  <c r="E86" i="17"/>
  <c r="E9" i="17"/>
  <c r="E85" i="17"/>
  <c r="E8" i="17"/>
  <c r="E84" i="17"/>
  <c r="E7" i="17"/>
  <c r="E83" i="17"/>
  <c r="E6" i="17"/>
  <c r="E82" i="17"/>
  <c r="E5" i="17"/>
  <c r="E81" i="17"/>
  <c r="E4" i="17"/>
  <c r="E80" i="17"/>
  <c r="E3" i="17"/>
  <c r="S64" i="16"/>
  <c r="S60" i="16"/>
  <c r="S62" i="16"/>
  <c r="M60" i="15" s="1"/>
  <c r="S68" i="16"/>
  <c r="V66" i="15" s="1"/>
  <c r="S77" i="16"/>
  <c r="J75" i="15" s="1"/>
  <c r="S61" i="16"/>
  <c r="U59" i="15" s="1"/>
  <c r="S67" i="16"/>
  <c r="L65" i="15" s="1"/>
  <c r="S75" i="16"/>
  <c r="R73" i="15" s="1"/>
  <c r="S79" i="16"/>
  <c r="E77" i="15" s="1"/>
  <c r="S71" i="16"/>
  <c r="I69" i="15" s="1"/>
  <c r="S69" i="16"/>
  <c r="K67" i="15" s="1"/>
  <c r="S78" i="16"/>
  <c r="AF76" i="15" s="1"/>
  <c r="S73" i="16"/>
  <c r="Z71" i="15" s="1"/>
  <c r="S58" i="16"/>
  <c r="F56" i="15" s="1"/>
  <c r="S65" i="16"/>
  <c r="Y63" i="15" s="1"/>
  <c r="S74" i="16"/>
  <c r="V72" i="15" s="1"/>
  <c r="S76" i="16"/>
  <c r="N74" i="15" s="1"/>
  <c r="S59" i="16"/>
  <c r="J57" i="15" s="1"/>
  <c r="S66" i="16"/>
  <c r="AC64" i="15" s="1"/>
  <c r="S72" i="16"/>
  <c r="F70" i="15" s="1"/>
  <c r="S63" i="16"/>
  <c r="AD61" i="15" s="1"/>
  <c r="E42" i="15"/>
  <c r="M42" i="15"/>
  <c r="U42" i="15"/>
  <c r="AC42" i="15"/>
  <c r="F42" i="15"/>
  <c r="N42" i="15"/>
  <c r="V42" i="15"/>
  <c r="AD42" i="15"/>
  <c r="G42" i="15"/>
  <c r="O42" i="15"/>
  <c r="W42" i="15"/>
  <c r="AE42" i="15"/>
  <c r="K42" i="15"/>
  <c r="Y42" i="15"/>
  <c r="L42" i="15"/>
  <c r="Z42" i="15"/>
  <c r="P42" i="15"/>
  <c r="AA42" i="15"/>
  <c r="Q42" i="15"/>
  <c r="AB42" i="15"/>
  <c r="R42" i="15"/>
  <c r="AF42" i="15"/>
  <c r="H42" i="15"/>
  <c r="S42" i="15"/>
  <c r="I42" i="15"/>
  <c r="T42" i="15"/>
  <c r="D42" i="15"/>
  <c r="J42" i="15"/>
  <c r="X42" i="15"/>
  <c r="E44" i="15"/>
  <c r="M44" i="15"/>
  <c r="U44" i="15"/>
  <c r="AC44" i="15"/>
  <c r="F44" i="15"/>
  <c r="N44" i="15"/>
  <c r="V44" i="15"/>
  <c r="AD44" i="15"/>
  <c r="G44" i="15"/>
  <c r="O44" i="15"/>
  <c r="W44" i="15"/>
  <c r="AE44" i="15"/>
  <c r="H44" i="15"/>
  <c r="S44" i="15"/>
  <c r="D44" i="15"/>
  <c r="I44" i="15"/>
  <c r="T44" i="15"/>
  <c r="J44" i="15"/>
  <c r="X44" i="15"/>
  <c r="K44" i="15"/>
  <c r="Y44" i="15"/>
  <c r="L44" i="15"/>
  <c r="Z44" i="15"/>
  <c r="P44" i="15"/>
  <c r="AA44" i="15"/>
  <c r="Q44" i="15"/>
  <c r="AB44" i="15"/>
  <c r="R44" i="15"/>
  <c r="AF44" i="15"/>
  <c r="R57" i="15"/>
  <c r="E33" i="15"/>
  <c r="M33" i="15"/>
  <c r="U33" i="15"/>
  <c r="AC33" i="15"/>
  <c r="F33" i="15"/>
  <c r="N33" i="15"/>
  <c r="V33" i="15"/>
  <c r="AD33" i="15"/>
  <c r="G33" i="15"/>
  <c r="O33" i="15"/>
  <c r="W33" i="15"/>
  <c r="AE33" i="15"/>
  <c r="P33" i="15"/>
  <c r="AA33" i="15"/>
  <c r="Q33" i="15"/>
  <c r="AB33" i="15"/>
  <c r="R33" i="15"/>
  <c r="AF33" i="15"/>
  <c r="J33" i="15"/>
  <c r="K33" i="15"/>
  <c r="L33" i="15"/>
  <c r="S33" i="15"/>
  <c r="T33" i="15"/>
  <c r="X33" i="15"/>
  <c r="D33" i="15"/>
  <c r="H33" i="15"/>
  <c r="Y33" i="15"/>
  <c r="I33" i="15"/>
  <c r="Z33" i="15"/>
  <c r="W64" i="15"/>
  <c r="I34" i="15"/>
  <c r="Q34" i="15"/>
  <c r="Y34" i="15"/>
  <c r="J34" i="15"/>
  <c r="R34" i="15"/>
  <c r="Z34" i="15"/>
  <c r="K34" i="15"/>
  <c r="M34" i="15"/>
  <c r="W34" i="15"/>
  <c r="N34" i="15"/>
  <c r="X34" i="15"/>
  <c r="O34" i="15"/>
  <c r="AA34" i="15"/>
  <c r="E34" i="15"/>
  <c r="U34" i="15"/>
  <c r="F34" i="15"/>
  <c r="V34" i="15"/>
  <c r="G34" i="15"/>
  <c r="AB34" i="15"/>
  <c r="H34" i="15"/>
  <c r="AC34" i="15"/>
  <c r="L34" i="15"/>
  <c r="AD34" i="15"/>
  <c r="P34" i="15"/>
  <c r="AE34" i="15"/>
  <c r="S34" i="15"/>
  <c r="AF34" i="15"/>
  <c r="D34" i="15"/>
  <c r="T34" i="15"/>
  <c r="E36" i="15"/>
  <c r="J36" i="15"/>
  <c r="R36" i="15"/>
  <c r="Z36" i="15"/>
  <c r="H36" i="15"/>
  <c r="Q36" i="15"/>
  <c r="AA36" i="15"/>
  <c r="I36" i="15"/>
  <c r="S36" i="15"/>
  <c r="AB36" i="15"/>
  <c r="K36" i="15"/>
  <c r="T36" i="15"/>
  <c r="AC36" i="15"/>
  <c r="N36" i="15"/>
  <c r="AD36" i="15"/>
  <c r="D36" i="15"/>
  <c r="O36" i="15"/>
  <c r="AE36" i="15"/>
  <c r="P36" i="15"/>
  <c r="AF36" i="15"/>
  <c r="U36" i="15"/>
  <c r="F36" i="15"/>
  <c r="V36" i="15"/>
  <c r="G36" i="15"/>
  <c r="W36" i="15"/>
  <c r="L36" i="15"/>
  <c r="X36" i="15"/>
  <c r="M36" i="15"/>
  <c r="Y36" i="15"/>
  <c r="I32" i="15"/>
  <c r="Q32" i="15"/>
  <c r="Y32" i="15"/>
  <c r="J32" i="15"/>
  <c r="R32" i="15"/>
  <c r="Z32" i="15"/>
  <c r="K32" i="15"/>
  <c r="S32" i="15"/>
  <c r="AA32" i="15"/>
  <c r="E32" i="15"/>
  <c r="P32" i="15"/>
  <c r="AD32" i="15"/>
  <c r="F32" i="15"/>
  <c r="T32" i="15"/>
  <c r="AE32" i="15"/>
  <c r="G32" i="15"/>
  <c r="U32" i="15"/>
  <c r="AF32" i="15"/>
  <c r="O32" i="15"/>
  <c r="V32" i="15"/>
  <c r="W32" i="15"/>
  <c r="D32" i="15"/>
  <c r="X32" i="15"/>
  <c r="H32" i="15"/>
  <c r="AB32" i="15"/>
  <c r="L32" i="15"/>
  <c r="AC32" i="15"/>
  <c r="M32" i="15"/>
  <c r="N32" i="15"/>
  <c r="J38" i="15"/>
  <c r="R38" i="15"/>
  <c r="Z38" i="15"/>
  <c r="G38" i="15"/>
  <c r="P38" i="15"/>
  <c r="Y38" i="15"/>
  <c r="H38" i="15"/>
  <c r="Q38" i="15"/>
  <c r="AA38" i="15"/>
  <c r="I38" i="15"/>
  <c r="S38" i="15"/>
  <c r="AB38" i="15"/>
  <c r="O38" i="15"/>
  <c r="AE38" i="15"/>
  <c r="T38" i="15"/>
  <c r="AF38" i="15"/>
  <c r="E38" i="15"/>
  <c r="U38" i="15"/>
  <c r="D38" i="15"/>
  <c r="F38" i="15"/>
  <c r="V38" i="15"/>
  <c r="K38" i="15"/>
  <c r="W38" i="15"/>
  <c r="L38" i="15"/>
  <c r="X38" i="15"/>
  <c r="M38" i="15"/>
  <c r="AC38" i="15"/>
  <c r="N38" i="15"/>
  <c r="AD38" i="15"/>
  <c r="L51" i="15"/>
  <c r="T51" i="15"/>
  <c r="AB51" i="15"/>
  <c r="E51" i="15"/>
  <c r="M51" i="15"/>
  <c r="U51" i="15"/>
  <c r="AC51" i="15"/>
  <c r="F51" i="15"/>
  <c r="N51" i="15"/>
  <c r="V51" i="15"/>
  <c r="AD51" i="15"/>
  <c r="G51" i="15"/>
  <c r="O51" i="15"/>
  <c r="W51" i="15"/>
  <c r="AE51" i="15"/>
  <c r="H51" i="15"/>
  <c r="P51" i="15"/>
  <c r="X51" i="15"/>
  <c r="AF51" i="15"/>
  <c r="I51" i="15"/>
  <c r="Q51" i="15"/>
  <c r="Y51" i="15"/>
  <c r="J51" i="15"/>
  <c r="R51" i="15"/>
  <c r="Z51" i="15"/>
  <c r="K51" i="15"/>
  <c r="S51" i="15"/>
  <c r="AA51" i="15"/>
  <c r="D51" i="15"/>
  <c r="E40" i="15"/>
  <c r="M40" i="15"/>
  <c r="U40" i="15"/>
  <c r="AC40" i="15"/>
  <c r="F40" i="15"/>
  <c r="N40" i="15"/>
  <c r="V40" i="15"/>
  <c r="AD40" i="15"/>
  <c r="G40" i="15"/>
  <c r="O40" i="15"/>
  <c r="W40" i="15"/>
  <c r="AE40" i="15"/>
  <c r="Q40" i="15"/>
  <c r="AB40" i="15"/>
  <c r="R40" i="15"/>
  <c r="AF40" i="15"/>
  <c r="H40" i="15"/>
  <c r="S40" i="15"/>
  <c r="I40" i="15"/>
  <c r="T40" i="15"/>
  <c r="J40" i="15"/>
  <c r="X40" i="15"/>
  <c r="D40" i="15"/>
  <c r="K40" i="15"/>
  <c r="Y40" i="15"/>
  <c r="L40" i="15"/>
  <c r="Z40" i="15"/>
  <c r="P40" i="15"/>
  <c r="AA40" i="15"/>
  <c r="F68" i="15"/>
  <c r="N68" i="15"/>
  <c r="V68" i="15"/>
  <c r="AD68" i="15"/>
  <c r="I68" i="15"/>
  <c r="R68" i="15"/>
  <c r="AA68" i="15"/>
  <c r="J68" i="15"/>
  <c r="S68" i="15"/>
  <c r="AB68" i="15"/>
  <c r="K68" i="15"/>
  <c r="T68" i="15"/>
  <c r="AC68" i="15"/>
  <c r="O68" i="15"/>
  <c r="AE68" i="15"/>
  <c r="P68" i="15"/>
  <c r="AF68" i="15"/>
  <c r="D68" i="15"/>
  <c r="Q68" i="15"/>
  <c r="M68" i="15"/>
  <c r="U68" i="15"/>
  <c r="W68" i="15"/>
  <c r="X68" i="15"/>
  <c r="E68" i="15"/>
  <c r="Y68" i="15"/>
  <c r="G68" i="15"/>
  <c r="Z68" i="15"/>
  <c r="H68" i="15"/>
  <c r="L68" i="15"/>
  <c r="I43" i="15"/>
  <c r="Q43" i="15"/>
  <c r="Y43" i="15"/>
  <c r="J43" i="15"/>
  <c r="R43" i="15"/>
  <c r="Z43" i="15"/>
  <c r="K43" i="15"/>
  <c r="S43" i="15"/>
  <c r="AA43" i="15"/>
  <c r="H43" i="15"/>
  <c r="V43" i="15"/>
  <c r="L43" i="15"/>
  <c r="W43" i="15"/>
  <c r="M43" i="15"/>
  <c r="X43" i="15"/>
  <c r="N43" i="15"/>
  <c r="AB43" i="15"/>
  <c r="O43" i="15"/>
  <c r="AC43" i="15"/>
  <c r="E43" i="15"/>
  <c r="P43" i="15"/>
  <c r="AD43" i="15"/>
  <c r="F43" i="15"/>
  <c r="T43" i="15"/>
  <c r="AE43" i="15"/>
  <c r="G43" i="15"/>
  <c r="U43" i="15"/>
  <c r="AF43" i="15"/>
  <c r="D43" i="15"/>
  <c r="N66" i="15"/>
  <c r="D66" i="15"/>
  <c r="U66" i="15"/>
  <c r="I66" i="15"/>
  <c r="E62" i="15"/>
  <c r="M62" i="15"/>
  <c r="U62" i="15"/>
  <c r="AC62" i="15"/>
  <c r="K62" i="15"/>
  <c r="T62" i="15"/>
  <c r="AD62" i="15"/>
  <c r="L62" i="15"/>
  <c r="V62" i="15"/>
  <c r="AE62" i="15"/>
  <c r="N62" i="15"/>
  <c r="W62" i="15"/>
  <c r="AF62" i="15"/>
  <c r="G62" i="15"/>
  <c r="S62" i="15"/>
  <c r="H62" i="15"/>
  <c r="X62" i="15"/>
  <c r="I62" i="15"/>
  <c r="Y62" i="15"/>
  <c r="J62" i="15"/>
  <c r="Z62" i="15"/>
  <c r="O62" i="15"/>
  <c r="P62" i="15"/>
  <c r="Q62" i="15"/>
  <c r="R62" i="15"/>
  <c r="AA62" i="15"/>
  <c r="AB62" i="15"/>
  <c r="F62" i="15"/>
  <c r="D62" i="15"/>
  <c r="J45" i="15"/>
  <c r="R45" i="15"/>
  <c r="Z45" i="15"/>
  <c r="E45" i="15"/>
  <c r="N45" i="15"/>
  <c r="W45" i="15"/>
  <c r="AF45" i="15"/>
  <c r="F45" i="15"/>
  <c r="O45" i="15"/>
  <c r="X45" i="15"/>
  <c r="D45" i="15"/>
  <c r="G45" i="15"/>
  <c r="P45" i="15"/>
  <c r="Y45" i="15"/>
  <c r="H45" i="15"/>
  <c r="Q45" i="15"/>
  <c r="AA45" i="15"/>
  <c r="I45" i="15"/>
  <c r="S45" i="15"/>
  <c r="AB45" i="15"/>
  <c r="K45" i="15"/>
  <c r="T45" i="15"/>
  <c r="AC45" i="15"/>
  <c r="L45" i="15"/>
  <c r="U45" i="15"/>
  <c r="AD45" i="15"/>
  <c r="M45" i="15"/>
  <c r="V45" i="15"/>
  <c r="AE45" i="15"/>
  <c r="H52" i="15"/>
  <c r="P52" i="15"/>
  <c r="X52" i="15"/>
  <c r="AF52" i="15"/>
  <c r="D52" i="15"/>
  <c r="I52" i="15"/>
  <c r="Q52" i="15"/>
  <c r="Y52" i="15"/>
  <c r="J52" i="15"/>
  <c r="R52" i="15"/>
  <c r="Z52" i="15"/>
  <c r="K52" i="15"/>
  <c r="S52" i="15"/>
  <c r="AA52" i="15"/>
  <c r="L52" i="15"/>
  <c r="T52" i="15"/>
  <c r="AB52" i="15"/>
  <c r="E52" i="15"/>
  <c r="M52" i="15"/>
  <c r="U52" i="15"/>
  <c r="AC52" i="15"/>
  <c r="F52" i="15"/>
  <c r="N52" i="15"/>
  <c r="V52" i="15"/>
  <c r="AD52" i="15"/>
  <c r="G52" i="15"/>
  <c r="O52" i="15"/>
  <c r="W52" i="15"/>
  <c r="AE52" i="15"/>
  <c r="L53" i="15"/>
  <c r="T53" i="15"/>
  <c r="AB53" i="15"/>
  <c r="E53" i="15"/>
  <c r="M53" i="15"/>
  <c r="U53" i="15"/>
  <c r="AC53" i="15"/>
  <c r="D53" i="15"/>
  <c r="F53" i="15"/>
  <c r="N53" i="15"/>
  <c r="V53" i="15"/>
  <c r="AD53" i="15"/>
  <c r="G53" i="15"/>
  <c r="O53" i="15"/>
  <c r="W53" i="15"/>
  <c r="AE53" i="15"/>
  <c r="H53" i="15"/>
  <c r="P53" i="15"/>
  <c r="X53" i="15"/>
  <c r="AF53" i="15"/>
  <c r="I53" i="15"/>
  <c r="Q53" i="15"/>
  <c r="Y53" i="15"/>
  <c r="J53" i="15"/>
  <c r="R53" i="15"/>
  <c r="Z53" i="15"/>
  <c r="K53" i="15"/>
  <c r="S53" i="15"/>
  <c r="AA53" i="15"/>
  <c r="J69" i="15"/>
  <c r="R69" i="15"/>
  <c r="Z69" i="15"/>
  <c r="H69" i="15"/>
  <c r="Q69" i="15"/>
  <c r="AA69" i="15"/>
  <c r="S69" i="15"/>
  <c r="AB69" i="15"/>
  <c r="K69" i="15"/>
  <c r="T69" i="15"/>
  <c r="AC69" i="15"/>
  <c r="O69" i="15"/>
  <c r="AE69" i="15"/>
  <c r="AF69" i="15"/>
  <c r="E69" i="15"/>
  <c r="U69" i="15"/>
  <c r="D69" i="15"/>
  <c r="L69" i="15"/>
  <c r="M69" i="15"/>
  <c r="N69" i="15"/>
  <c r="W69" i="15"/>
  <c r="X69" i="15"/>
  <c r="F69" i="15"/>
  <c r="Y69" i="15"/>
  <c r="G69" i="15"/>
  <c r="AD69" i="15"/>
  <c r="L49" i="15"/>
  <c r="T49" i="15"/>
  <c r="AB49" i="15"/>
  <c r="E49" i="15"/>
  <c r="M49" i="15"/>
  <c r="U49" i="15"/>
  <c r="AC49" i="15"/>
  <c r="F49" i="15"/>
  <c r="N49" i="15"/>
  <c r="V49" i="15"/>
  <c r="AD49" i="15"/>
  <c r="G49" i="15"/>
  <c r="O49" i="15"/>
  <c r="W49" i="15"/>
  <c r="AE49" i="15"/>
  <c r="H49" i="15"/>
  <c r="P49" i="15"/>
  <c r="X49" i="15"/>
  <c r="AF49" i="15"/>
  <c r="I49" i="15"/>
  <c r="Q49" i="15"/>
  <c r="Y49" i="15"/>
  <c r="D49" i="15"/>
  <c r="J49" i="15"/>
  <c r="R49" i="15"/>
  <c r="Z49" i="15"/>
  <c r="K49" i="15"/>
  <c r="S49" i="15"/>
  <c r="AA49" i="15"/>
  <c r="E35" i="15"/>
  <c r="M35" i="15"/>
  <c r="U35" i="15"/>
  <c r="AC35" i="15"/>
  <c r="F35" i="15"/>
  <c r="N35" i="15"/>
  <c r="G35" i="15"/>
  <c r="Q35" i="15"/>
  <c r="Z35" i="15"/>
  <c r="H35" i="15"/>
  <c r="R35" i="15"/>
  <c r="AA35" i="15"/>
  <c r="I35" i="15"/>
  <c r="S35" i="15"/>
  <c r="AB35" i="15"/>
  <c r="K35" i="15"/>
  <c r="Y35" i="15"/>
  <c r="L35" i="15"/>
  <c r="AD35" i="15"/>
  <c r="O35" i="15"/>
  <c r="AE35" i="15"/>
  <c r="P35" i="15"/>
  <c r="AF35" i="15"/>
  <c r="T35" i="15"/>
  <c r="V35" i="15"/>
  <c r="W35" i="15"/>
  <c r="J35" i="15"/>
  <c r="X35" i="15"/>
  <c r="D35" i="15"/>
  <c r="F39" i="15"/>
  <c r="N39" i="15"/>
  <c r="V39" i="15"/>
  <c r="G39" i="15"/>
  <c r="P39" i="15"/>
  <c r="Y39" i="15"/>
  <c r="H39" i="15"/>
  <c r="Q39" i="15"/>
  <c r="Z39" i="15"/>
  <c r="I39" i="15"/>
  <c r="R39" i="15"/>
  <c r="AA39" i="15"/>
  <c r="S39" i="15"/>
  <c r="AE39" i="15"/>
  <c r="T39" i="15"/>
  <c r="AF39" i="15"/>
  <c r="E39" i="15"/>
  <c r="U39" i="15"/>
  <c r="J39" i="15"/>
  <c r="W39" i="15"/>
  <c r="D39" i="15"/>
  <c r="K39" i="15"/>
  <c r="X39" i="15"/>
  <c r="L39" i="15"/>
  <c r="AB39" i="15"/>
  <c r="M39" i="15"/>
  <c r="AC39" i="15"/>
  <c r="O39" i="15"/>
  <c r="AD39" i="15"/>
  <c r="AA73" i="15"/>
  <c r="E58" i="15"/>
  <c r="M58" i="15"/>
  <c r="U58" i="15"/>
  <c r="AC58" i="15"/>
  <c r="D58" i="15"/>
  <c r="F58" i="15"/>
  <c r="N58" i="15"/>
  <c r="V58" i="15"/>
  <c r="AD58" i="15"/>
  <c r="G58" i="15"/>
  <c r="Q58" i="15"/>
  <c r="AA58" i="15"/>
  <c r="H58" i="15"/>
  <c r="R58" i="15"/>
  <c r="AB58" i="15"/>
  <c r="I58" i="15"/>
  <c r="S58" i="15"/>
  <c r="AE58" i="15"/>
  <c r="J58" i="15"/>
  <c r="Y58" i="15"/>
  <c r="K58" i="15"/>
  <c r="Z58" i="15"/>
  <c r="L58" i="15"/>
  <c r="AF58" i="15"/>
  <c r="O58" i="15"/>
  <c r="P58" i="15"/>
  <c r="T58" i="15"/>
  <c r="W58" i="15"/>
  <c r="X58" i="15"/>
  <c r="Z77" i="15"/>
  <c r="M77" i="15"/>
  <c r="AE77" i="15"/>
  <c r="F77" i="15"/>
  <c r="O77" i="15"/>
  <c r="K77" i="15"/>
  <c r="AC77" i="15"/>
  <c r="T77" i="15"/>
  <c r="Y77" i="15"/>
  <c r="I77" i="15"/>
  <c r="Q77" i="15"/>
  <c r="I41" i="15"/>
  <c r="Q41" i="15"/>
  <c r="Y41" i="15"/>
  <c r="J41" i="15"/>
  <c r="R41" i="15"/>
  <c r="Z41" i="15"/>
  <c r="K41" i="15"/>
  <c r="S41" i="15"/>
  <c r="AA41" i="15"/>
  <c r="N41" i="15"/>
  <c r="AB41" i="15"/>
  <c r="O41" i="15"/>
  <c r="AC41" i="15"/>
  <c r="E41" i="15"/>
  <c r="P41" i="15"/>
  <c r="AD41" i="15"/>
  <c r="F41" i="15"/>
  <c r="T41" i="15"/>
  <c r="AE41" i="15"/>
  <c r="G41" i="15"/>
  <c r="U41" i="15"/>
  <c r="AF41" i="15"/>
  <c r="H41" i="15"/>
  <c r="V41" i="15"/>
  <c r="D41" i="15"/>
  <c r="L41" i="15"/>
  <c r="W41" i="15"/>
  <c r="M41" i="15"/>
  <c r="X41" i="15"/>
  <c r="L47" i="15"/>
  <c r="T47" i="15"/>
  <c r="AB47" i="15"/>
  <c r="E47" i="15"/>
  <c r="M47" i="15"/>
  <c r="U47" i="15"/>
  <c r="AC47" i="15"/>
  <c r="F47" i="15"/>
  <c r="N47" i="15"/>
  <c r="V47" i="15"/>
  <c r="AD47" i="15"/>
  <c r="G47" i="15"/>
  <c r="O47" i="15"/>
  <c r="W47" i="15"/>
  <c r="AE47" i="15"/>
  <c r="D47" i="15"/>
  <c r="H47" i="15"/>
  <c r="P47" i="15"/>
  <c r="X47" i="15"/>
  <c r="AF47" i="15"/>
  <c r="I47" i="15"/>
  <c r="Q47" i="15"/>
  <c r="Y47" i="15"/>
  <c r="J47" i="15"/>
  <c r="R47" i="15"/>
  <c r="Z47" i="15"/>
  <c r="K47" i="15"/>
  <c r="S47" i="15"/>
  <c r="AA47" i="15"/>
  <c r="F46" i="15"/>
  <c r="N46" i="15"/>
  <c r="V46" i="15"/>
  <c r="AD46" i="15"/>
  <c r="M46" i="15"/>
  <c r="W46" i="15"/>
  <c r="AF46" i="15"/>
  <c r="E46" i="15"/>
  <c r="O46" i="15"/>
  <c r="X46" i="15"/>
  <c r="G46" i="15"/>
  <c r="P46" i="15"/>
  <c r="Y46" i="15"/>
  <c r="D46" i="15"/>
  <c r="H46" i="15"/>
  <c r="Q46" i="15"/>
  <c r="Z46" i="15"/>
  <c r="I46" i="15"/>
  <c r="R46" i="15"/>
  <c r="AA46" i="15"/>
  <c r="J46" i="15"/>
  <c r="S46" i="15"/>
  <c r="AB46" i="15"/>
  <c r="K46" i="15"/>
  <c r="T46" i="15"/>
  <c r="AC46" i="15"/>
  <c r="L46" i="15"/>
  <c r="U46" i="15"/>
  <c r="AE46" i="15"/>
  <c r="F37" i="15"/>
  <c r="N37" i="15"/>
  <c r="V37" i="15"/>
  <c r="AD37" i="15"/>
  <c r="H37" i="15"/>
  <c r="Q37" i="15"/>
  <c r="Z37" i="15"/>
  <c r="I37" i="15"/>
  <c r="R37" i="15"/>
  <c r="AA37" i="15"/>
  <c r="J37" i="15"/>
  <c r="S37" i="15"/>
  <c r="AB37" i="15"/>
  <c r="O37" i="15"/>
  <c r="AE37" i="15"/>
  <c r="P37" i="15"/>
  <c r="AF37" i="15"/>
  <c r="D37" i="15"/>
  <c r="T37" i="15"/>
  <c r="E37" i="15"/>
  <c r="U37" i="15"/>
  <c r="G37" i="15"/>
  <c r="W37" i="15"/>
  <c r="K37" i="15"/>
  <c r="X37" i="15"/>
  <c r="L37" i="15"/>
  <c r="Y37" i="15"/>
  <c r="M37" i="15"/>
  <c r="AC37" i="15"/>
  <c r="H48" i="15"/>
  <c r="P48" i="15"/>
  <c r="X48" i="15"/>
  <c r="AF48" i="15"/>
  <c r="I48" i="15"/>
  <c r="Q48" i="15"/>
  <c r="Y48" i="15"/>
  <c r="J48" i="15"/>
  <c r="R48" i="15"/>
  <c r="Z48" i="15"/>
  <c r="K48" i="15"/>
  <c r="S48" i="15"/>
  <c r="AA48" i="15"/>
  <c r="L48" i="15"/>
  <c r="T48" i="15"/>
  <c r="AB48" i="15"/>
  <c r="D48" i="15"/>
  <c r="E48" i="15"/>
  <c r="M48" i="15"/>
  <c r="U48" i="15"/>
  <c r="AC48" i="15"/>
  <c r="F48" i="15"/>
  <c r="N48" i="15"/>
  <c r="V48" i="15"/>
  <c r="AD48" i="15"/>
  <c r="G48" i="15"/>
  <c r="O48" i="15"/>
  <c r="W48" i="15"/>
  <c r="AE48" i="15"/>
  <c r="H59" i="15"/>
  <c r="AC59" i="15"/>
  <c r="J67" i="15"/>
  <c r="Z67" i="15"/>
  <c r="AC67" i="15"/>
  <c r="AD67" i="15"/>
  <c r="AE67" i="15"/>
  <c r="AF67" i="15"/>
  <c r="Q67" i="15"/>
  <c r="G67" i="15"/>
  <c r="H67" i="15"/>
  <c r="M67" i="15"/>
  <c r="AE60" i="15"/>
  <c r="W60" i="15"/>
  <c r="F60" i="15"/>
  <c r="S60" i="15"/>
  <c r="H60" i="15"/>
  <c r="I60" i="15"/>
  <c r="Z60" i="15"/>
  <c r="AB60" i="15"/>
  <c r="AD60" i="15"/>
  <c r="C33" i="14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4" i="16"/>
  <c r="C24" i="15"/>
  <c r="B24" i="15"/>
  <c r="C101" i="15" s="1"/>
  <c r="C23" i="15"/>
  <c r="B23" i="15"/>
  <c r="C100" i="15" s="1"/>
  <c r="C22" i="15"/>
  <c r="B22" i="15"/>
  <c r="C99" i="15" s="1"/>
  <c r="C21" i="15"/>
  <c r="B21" i="15"/>
  <c r="C98" i="15" s="1"/>
  <c r="C20" i="15"/>
  <c r="B20" i="15"/>
  <c r="C97" i="15" s="1"/>
  <c r="C19" i="15"/>
  <c r="B19" i="15"/>
  <c r="C96" i="15" s="1"/>
  <c r="C18" i="15"/>
  <c r="B18" i="15"/>
  <c r="C95" i="15" s="1"/>
  <c r="C17" i="15"/>
  <c r="B17" i="15"/>
  <c r="C94" i="15" s="1"/>
  <c r="C16" i="15"/>
  <c r="B16" i="15"/>
  <c r="C93" i="15" s="1"/>
  <c r="C15" i="15"/>
  <c r="B15" i="15"/>
  <c r="C92" i="15" s="1"/>
  <c r="C14" i="15"/>
  <c r="B14" i="15"/>
  <c r="C91" i="15" s="1"/>
  <c r="C13" i="15"/>
  <c r="B13" i="15"/>
  <c r="C90" i="15" s="1"/>
  <c r="C12" i="15"/>
  <c r="B12" i="15"/>
  <c r="C89" i="15" s="1"/>
  <c r="C11" i="15"/>
  <c r="B11" i="15"/>
  <c r="C88" i="15" s="1"/>
  <c r="C10" i="15"/>
  <c r="B10" i="15"/>
  <c r="C87" i="15" s="1"/>
  <c r="C9" i="15"/>
  <c r="B9" i="15"/>
  <c r="C86" i="15" s="1"/>
  <c r="C8" i="15"/>
  <c r="B8" i="15"/>
  <c r="C85" i="15" s="1"/>
  <c r="C7" i="15"/>
  <c r="B7" i="15"/>
  <c r="C84" i="15" s="1"/>
  <c r="C6" i="15"/>
  <c r="B6" i="15"/>
  <c r="C83" i="15" s="1"/>
  <c r="C5" i="15"/>
  <c r="B5" i="15"/>
  <c r="C82" i="15" s="1"/>
  <c r="C4" i="15"/>
  <c r="B4" i="15"/>
  <c r="C81" i="15" s="1"/>
  <c r="C3" i="15"/>
  <c r="B3" i="15"/>
  <c r="C80" i="15" s="1"/>
  <c r="B26" i="14"/>
  <c r="E33" i="14" s="1"/>
  <c r="F12" i="14"/>
  <c r="G12" i="14" s="1"/>
  <c r="H12" i="14" s="1"/>
  <c r="I12" i="14" s="1"/>
  <c r="J12" i="14" s="1"/>
  <c r="E12" i="14"/>
  <c r="F80" i="17" l="1"/>
  <c r="F3" i="17"/>
  <c r="F81" i="17"/>
  <c r="F4" i="17"/>
  <c r="F82" i="17"/>
  <c r="F5" i="17"/>
  <c r="F83" i="17"/>
  <c r="F6" i="17"/>
  <c r="F84" i="17"/>
  <c r="F7" i="17"/>
  <c r="F85" i="17"/>
  <c r="F8" i="17"/>
  <c r="F86" i="17"/>
  <c r="F9" i="17"/>
  <c r="F87" i="17"/>
  <c r="F10" i="17"/>
  <c r="F88" i="17"/>
  <c r="F11" i="17"/>
  <c r="F89" i="17"/>
  <c r="F12" i="17"/>
  <c r="F90" i="17"/>
  <c r="F13" i="17"/>
  <c r="F91" i="17"/>
  <c r="F14" i="17"/>
  <c r="F92" i="17"/>
  <c r="F15" i="17"/>
  <c r="F93" i="17"/>
  <c r="F16" i="17"/>
  <c r="F94" i="17"/>
  <c r="F17" i="17"/>
  <c r="F95" i="17"/>
  <c r="F18" i="17"/>
  <c r="F96" i="17"/>
  <c r="F19" i="17"/>
  <c r="F97" i="17"/>
  <c r="F20" i="17"/>
  <c r="F98" i="17"/>
  <c r="F21" i="17"/>
  <c r="F99" i="17"/>
  <c r="F22" i="17"/>
  <c r="F100" i="17"/>
  <c r="F23" i="17"/>
  <c r="F101" i="17"/>
  <c r="F24" i="17"/>
  <c r="AF71" i="15"/>
  <c r="J66" i="15"/>
  <c r="Y60" i="15"/>
  <c r="E60" i="15"/>
  <c r="P67" i="15"/>
  <c r="R67" i="15"/>
  <c r="AE74" i="15"/>
  <c r="U67" i="15"/>
  <c r="F67" i="15"/>
  <c r="L67" i="15"/>
  <c r="D60" i="15"/>
  <c r="N60" i="15"/>
  <c r="E67" i="15"/>
  <c r="T67" i="15"/>
  <c r="AD57" i="15"/>
  <c r="AD75" i="15"/>
  <c r="K59" i="15"/>
  <c r="AB75" i="15"/>
  <c r="M59" i="15"/>
  <c r="R59" i="15"/>
  <c r="Q64" i="15"/>
  <c r="AB57" i="15"/>
  <c r="D63" i="15"/>
  <c r="D10" i="15" s="1"/>
  <c r="M66" i="15"/>
  <c r="AD56" i="15"/>
  <c r="V75" i="15"/>
  <c r="Q71" i="15"/>
  <c r="E66" i="15"/>
  <c r="Y75" i="15"/>
  <c r="H71" i="15"/>
  <c r="X66" i="15"/>
  <c r="Z66" i="15"/>
  <c r="AB64" i="15"/>
  <c r="S70" i="15"/>
  <c r="T64" i="15"/>
  <c r="AA66" i="15"/>
  <c r="M76" i="15"/>
  <c r="D64" i="15"/>
  <c r="D11" i="15" s="1"/>
  <c r="M64" i="15"/>
  <c r="Y71" i="15"/>
  <c r="E64" i="15"/>
  <c r="Q73" i="15"/>
  <c r="Z73" i="15"/>
  <c r="M73" i="15"/>
  <c r="R76" i="15"/>
  <c r="AC73" i="15"/>
  <c r="U73" i="15"/>
  <c r="AE66" i="15"/>
  <c r="V76" i="15"/>
  <c r="D57" i="15"/>
  <c r="D4" i="15" s="1"/>
  <c r="Q60" i="15"/>
  <c r="F75" i="15"/>
  <c r="J60" i="15"/>
  <c r="O60" i="15"/>
  <c r="U60" i="15"/>
  <c r="V67" i="15"/>
  <c r="D67" i="15"/>
  <c r="D14" i="15" s="1"/>
  <c r="I67" i="15"/>
  <c r="O59" i="15"/>
  <c r="M75" i="15"/>
  <c r="V71" i="15"/>
  <c r="Q66" i="15"/>
  <c r="S66" i="15"/>
  <c r="D70" i="15"/>
  <c r="D17" i="15" s="1"/>
  <c r="E94" i="15" s="1"/>
  <c r="Y76" i="15"/>
  <c r="I64" i="15"/>
  <c r="AF70" i="15"/>
  <c r="AB70" i="15"/>
  <c r="AA61" i="15"/>
  <c r="Z70" i="15"/>
  <c r="G60" i="15"/>
  <c r="L71" i="15"/>
  <c r="U76" i="15"/>
  <c r="R60" i="15"/>
  <c r="O67" i="15"/>
  <c r="F59" i="15"/>
  <c r="N75" i="15"/>
  <c r="AD71" i="15"/>
  <c r="W66" i="15"/>
  <c r="T66" i="15"/>
  <c r="Y70" i="15"/>
  <c r="AB76" i="15"/>
  <c r="P64" i="15"/>
  <c r="V60" i="15"/>
  <c r="R71" i="15"/>
  <c r="AD70" i="15"/>
  <c r="P60" i="15"/>
  <c r="L60" i="15"/>
  <c r="Y67" i="15"/>
  <c r="AB67" i="15"/>
  <c r="K60" i="15"/>
  <c r="X60" i="15"/>
  <c r="AC60" i="15"/>
  <c r="X67" i="15"/>
  <c r="N67" i="15"/>
  <c r="S67" i="15"/>
  <c r="T59" i="15"/>
  <c r="E75" i="15"/>
  <c r="K71" i="15"/>
  <c r="R66" i="15"/>
  <c r="AB66" i="15"/>
  <c r="X70" i="15"/>
  <c r="AA76" i="15"/>
  <c r="Y64" i="15"/>
  <c r="AA57" i="15"/>
  <c r="E73" i="15"/>
  <c r="H75" i="15"/>
  <c r="W75" i="15"/>
  <c r="M71" i="15"/>
  <c r="I71" i="15"/>
  <c r="Y66" i="15"/>
  <c r="O66" i="15"/>
  <c r="K66" i="15"/>
  <c r="F66" i="15"/>
  <c r="AC70" i="15"/>
  <c r="Q76" i="15"/>
  <c r="AD76" i="15"/>
  <c r="R64" i="15"/>
  <c r="K64" i="15"/>
  <c r="U72" i="15"/>
  <c r="AB73" i="15"/>
  <c r="P73" i="15"/>
  <c r="Y72" i="15"/>
  <c r="J61" i="15"/>
  <c r="AE61" i="15"/>
  <c r="T73" i="15"/>
  <c r="S73" i="15"/>
  <c r="O73" i="15"/>
  <c r="AC75" i="15"/>
  <c r="P75" i="15"/>
  <c r="U71" i="15"/>
  <c r="H66" i="15"/>
  <c r="AF66" i="15"/>
  <c r="L66" i="15"/>
  <c r="AD66" i="15"/>
  <c r="AE70" i="15"/>
  <c r="Q70" i="15"/>
  <c r="G76" i="15"/>
  <c r="Y61" i="15"/>
  <c r="X64" i="15"/>
  <c r="X73" i="15"/>
  <c r="AA60" i="15"/>
  <c r="T60" i="15"/>
  <c r="AF60" i="15"/>
  <c r="W67" i="15"/>
  <c r="AA67" i="15"/>
  <c r="AB59" i="15"/>
  <c r="J59" i="15"/>
  <c r="W73" i="15"/>
  <c r="F73" i="15"/>
  <c r="P56" i="15"/>
  <c r="U75" i="15"/>
  <c r="G75" i="15"/>
  <c r="E71" i="15"/>
  <c r="G66" i="15"/>
  <c r="P66" i="15"/>
  <c r="AC66" i="15"/>
  <c r="K70" i="15"/>
  <c r="H70" i="15"/>
  <c r="T76" i="15"/>
  <c r="X76" i="15"/>
  <c r="Q61" i="15"/>
  <c r="H64" i="15"/>
  <c r="R63" i="15"/>
  <c r="AD73" i="15"/>
  <c r="I73" i="15"/>
  <c r="D73" i="15"/>
  <c r="D20" i="15" s="1"/>
  <c r="G56" i="15"/>
  <c r="J72" i="15"/>
  <c r="Y56" i="15"/>
  <c r="AE72" i="15"/>
  <c r="F72" i="15"/>
  <c r="AC63" i="15"/>
  <c r="P72" i="15"/>
  <c r="AF59" i="15"/>
  <c r="AF73" i="15"/>
  <c r="N73" i="15"/>
  <c r="H73" i="15"/>
  <c r="J73" i="15"/>
  <c r="Q56" i="15"/>
  <c r="K72" i="15"/>
  <c r="X61" i="15"/>
  <c r="AC72" i="15"/>
  <c r="AE73" i="15"/>
  <c r="V73" i="15"/>
  <c r="G73" i="15"/>
  <c r="H56" i="15"/>
  <c r="D72" i="15"/>
  <c r="D19" i="15" s="1"/>
  <c r="AB63" i="15"/>
  <c r="X63" i="15"/>
  <c r="U63" i="15"/>
  <c r="Q65" i="15"/>
  <c r="I65" i="15"/>
  <c r="AC65" i="15"/>
  <c r="G59" i="15"/>
  <c r="W59" i="15"/>
  <c r="Z59" i="15"/>
  <c r="S63" i="15"/>
  <c r="H63" i="15"/>
  <c r="L63" i="15"/>
  <c r="S77" i="15"/>
  <c r="U77" i="15"/>
  <c r="X77" i="15"/>
  <c r="V77" i="15"/>
  <c r="R56" i="15"/>
  <c r="L56" i="15"/>
  <c r="AE75" i="15"/>
  <c r="I75" i="15"/>
  <c r="AF75" i="15"/>
  <c r="AE71" i="15"/>
  <c r="F71" i="15"/>
  <c r="AA71" i="15"/>
  <c r="J71" i="15"/>
  <c r="AF65" i="15"/>
  <c r="AE65" i="15"/>
  <c r="T65" i="15"/>
  <c r="R61" i="15"/>
  <c r="L61" i="15"/>
  <c r="W63" i="15"/>
  <c r="AB65" i="15"/>
  <c r="E59" i="15"/>
  <c r="O63" i="15"/>
  <c r="K63" i="15"/>
  <c r="P77" i="15"/>
  <c r="U56" i="15"/>
  <c r="F65" i="15"/>
  <c r="R65" i="15"/>
  <c r="I61" i="15"/>
  <c r="R74" i="15"/>
  <c r="S59" i="15"/>
  <c r="AE63" i="15"/>
  <c r="Q63" i="15"/>
  <c r="D77" i="15"/>
  <c r="D24" i="15" s="1"/>
  <c r="E24" i="15" s="1"/>
  <c r="F24" i="15" s="1"/>
  <c r="AB77" i="15"/>
  <c r="W77" i="15"/>
  <c r="J77" i="15"/>
  <c r="K56" i="15"/>
  <c r="M56" i="15"/>
  <c r="T75" i="15"/>
  <c r="L75" i="15"/>
  <c r="D75" i="15"/>
  <c r="D22" i="15" s="1"/>
  <c r="Z75" i="15"/>
  <c r="W71" i="15"/>
  <c r="D71" i="15"/>
  <c r="T71" i="15"/>
  <c r="P71" i="15"/>
  <c r="Q72" i="15"/>
  <c r="X65" i="15"/>
  <c r="AA65" i="15"/>
  <c r="AD65" i="15"/>
  <c r="J65" i="15"/>
  <c r="T61" i="15"/>
  <c r="I74" i="15"/>
  <c r="P63" i="15"/>
  <c r="M65" i="15"/>
  <c r="V59" i="15"/>
  <c r="G63" i="15"/>
  <c r="H77" i="15"/>
  <c r="R77" i="15"/>
  <c r="O56" i="15"/>
  <c r="O65" i="15"/>
  <c r="D65" i="15"/>
  <c r="D12" i="15" s="1"/>
  <c r="H61" i="15"/>
  <c r="D59" i="15"/>
  <c r="D6" i="15" s="1"/>
  <c r="L59" i="15"/>
  <c r="Q59" i="15"/>
  <c r="AA63" i="15"/>
  <c r="X59" i="15"/>
  <c r="P59" i="15"/>
  <c r="AE59" i="15"/>
  <c r="I59" i="15"/>
  <c r="F63" i="15"/>
  <c r="N63" i="15"/>
  <c r="M63" i="15"/>
  <c r="I63" i="15"/>
  <c r="AD77" i="15"/>
  <c r="L77" i="15"/>
  <c r="N77" i="15"/>
  <c r="L73" i="15"/>
  <c r="K73" i="15"/>
  <c r="Y73" i="15"/>
  <c r="AA56" i="15"/>
  <c r="W56" i="15"/>
  <c r="S75" i="15"/>
  <c r="AA75" i="15"/>
  <c r="X75" i="15"/>
  <c r="R75" i="15"/>
  <c r="O71" i="15"/>
  <c r="AC71" i="15"/>
  <c r="AB71" i="15"/>
  <c r="G71" i="15"/>
  <c r="H72" i="15"/>
  <c r="W65" i="15"/>
  <c r="N65" i="15"/>
  <c r="U65" i="15"/>
  <c r="E65" i="15"/>
  <c r="L76" i="15"/>
  <c r="N76" i="15"/>
  <c r="W61" i="15"/>
  <c r="Q74" i="15"/>
  <c r="H65" i="15"/>
  <c r="P65" i="15"/>
  <c r="V65" i="15"/>
  <c r="K65" i="15"/>
  <c r="T63" i="15"/>
  <c r="G65" i="15"/>
  <c r="Z65" i="15"/>
  <c r="AA59" i="15"/>
  <c r="Y59" i="15"/>
  <c r="AF77" i="15"/>
  <c r="N59" i="15"/>
  <c r="AD59" i="15"/>
  <c r="E63" i="15"/>
  <c r="J63" i="15"/>
  <c r="AD63" i="15"/>
  <c r="G77" i="15"/>
  <c r="AA77" i="15"/>
  <c r="Z56" i="15"/>
  <c r="J56" i="15"/>
  <c r="Q75" i="15"/>
  <c r="K75" i="15"/>
  <c r="O75" i="15"/>
  <c r="N71" i="15"/>
  <c r="X71" i="15"/>
  <c r="S71" i="15"/>
  <c r="S65" i="15"/>
  <c r="Y65" i="15"/>
  <c r="AC61" i="15"/>
  <c r="E61" i="15"/>
  <c r="X74" i="15"/>
  <c r="AC57" i="15"/>
  <c r="Y57" i="15"/>
  <c r="Q57" i="15"/>
  <c r="T57" i="15"/>
  <c r="E57" i="15"/>
  <c r="V69" i="15"/>
  <c r="P69" i="15"/>
  <c r="S76" i="15"/>
  <c r="P76" i="15"/>
  <c r="AB61" i="15"/>
  <c r="N61" i="15"/>
  <c r="Z74" i="15"/>
  <c r="AE57" i="15"/>
  <c r="Z57" i="15"/>
  <c r="AC76" i="15"/>
  <c r="D76" i="15"/>
  <c r="D23" i="15" s="1"/>
  <c r="W76" i="15"/>
  <c r="AF64" i="15"/>
  <c r="N64" i="15"/>
  <c r="AD64" i="15"/>
  <c r="U64" i="15"/>
  <c r="U74" i="15"/>
  <c r="AF57" i="15"/>
  <c r="F57" i="15"/>
  <c r="M57" i="15"/>
  <c r="I76" i="15"/>
  <c r="K76" i="15"/>
  <c r="O76" i="15"/>
  <c r="F76" i="15"/>
  <c r="AA64" i="15"/>
  <c r="AE64" i="15"/>
  <c r="S64" i="15"/>
  <c r="M74" i="15"/>
  <c r="O74" i="15"/>
  <c r="S57" i="15"/>
  <c r="V57" i="15"/>
  <c r="X57" i="15"/>
  <c r="I57" i="15"/>
  <c r="AE76" i="15"/>
  <c r="Z76" i="15"/>
  <c r="E76" i="15"/>
  <c r="G64" i="15"/>
  <c r="O64" i="15"/>
  <c r="V64" i="15"/>
  <c r="J64" i="15"/>
  <c r="AF74" i="15"/>
  <c r="E74" i="15"/>
  <c r="L57" i="15"/>
  <c r="G57" i="15"/>
  <c r="N57" i="15"/>
  <c r="P70" i="15"/>
  <c r="H76" i="15"/>
  <c r="J76" i="15"/>
  <c r="F64" i="15"/>
  <c r="Z64" i="15"/>
  <c r="L64" i="15"/>
  <c r="L74" i="15"/>
  <c r="D74" i="15"/>
  <c r="D21" i="15" s="1"/>
  <c r="K57" i="15"/>
  <c r="U57" i="15"/>
  <c r="W57" i="15"/>
  <c r="E56" i="15"/>
  <c r="E72" i="15"/>
  <c r="AF63" i="15"/>
  <c r="Z63" i="15"/>
  <c r="V63" i="15"/>
  <c r="X56" i="15"/>
  <c r="AF56" i="15"/>
  <c r="T72" i="15"/>
  <c r="S56" i="15"/>
  <c r="AC56" i="15"/>
  <c r="L72" i="15"/>
  <c r="W72" i="15"/>
  <c r="Z72" i="15"/>
  <c r="N72" i="15"/>
  <c r="S74" i="15"/>
  <c r="J74" i="15"/>
  <c r="G74" i="15"/>
  <c r="F74" i="15"/>
  <c r="T56" i="15"/>
  <c r="V56" i="15"/>
  <c r="O72" i="15"/>
  <c r="AB72" i="15"/>
  <c r="AA72" i="15"/>
  <c r="G72" i="15"/>
  <c r="AC74" i="15"/>
  <c r="AA74" i="15"/>
  <c r="H74" i="15"/>
  <c r="AD74" i="15"/>
  <c r="I56" i="15"/>
  <c r="N56" i="15"/>
  <c r="M72" i="15"/>
  <c r="X72" i="15"/>
  <c r="R72" i="15"/>
  <c r="AD72" i="15"/>
  <c r="AB74" i="15"/>
  <c r="K74" i="15"/>
  <c r="Y74" i="15"/>
  <c r="V74" i="15"/>
  <c r="D56" i="15"/>
  <c r="D3" i="15" s="1"/>
  <c r="AB56" i="15"/>
  <c r="AE56" i="15"/>
  <c r="AF72" i="15"/>
  <c r="S72" i="15"/>
  <c r="I72" i="15"/>
  <c r="T74" i="15"/>
  <c r="W74" i="15"/>
  <c r="P74" i="15"/>
  <c r="P57" i="15"/>
  <c r="H57" i="15"/>
  <c r="O57" i="15"/>
  <c r="L70" i="15"/>
  <c r="T70" i="15"/>
  <c r="I70" i="15"/>
  <c r="D61" i="15"/>
  <c r="D8" i="15" s="1"/>
  <c r="Z61" i="15"/>
  <c r="AF61" i="15"/>
  <c r="U61" i="15"/>
  <c r="W70" i="15"/>
  <c r="G70" i="15"/>
  <c r="J70" i="15"/>
  <c r="V70" i="15"/>
  <c r="P61" i="15"/>
  <c r="G61" i="15"/>
  <c r="V61" i="15"/>
  <c r="O70" i="15"/>
  <c r="U70" i="15"/>
  <c r="AA70" i="15"/>
  <c r="N70" i="15"/>
  <c r="O61" i="15"/>
  <c r="S61" i="15"/>
  <c r="M61" i="15"/>
  <c r="M70" i="15"/>
  <c r="E70" i="15"/>
  <c r="R70" i="15"/>
  <c r="K61" i="15"/>
  <c r="F61" i="15"/>
  <c r="D18" i="15"/>
  <c r="D98" i="15"/>
  <c r="D99" i="15"/>
  <c r="C104" i="15"/>
  <c r="D80" i="15"/>
  <c r="D84" i="15"/>
  <c r="D7" i="15"/>
  <c r="D88" i="15"/>
  <c r="D92" i="15"/>
  <c r="D15" i="15"/>
  <c r="E15" i="15" s="1"/>
  <c r="F15" i="15" s="1"/>
  <c r="G15" i="15" s="1"/>
  <c r="H15" i="15" s="1"/>
  <c r="I15" i="15" s="1"/>
  <c r="J15" i="15" s="1"/>
  <c r="K15" i="15" s="1"/>
  <c r="L15" i="15" s="1"/>
  <c r="M15" i="15" s="1"/>
  <c r="N15" i="15" s="1"/>
  <c r="O15" i="15" s="1"/>
  <c r="P15" i="15" s="1"/>
  <c r="Q15" i="15" s="1"/>
  <c r="R15" i="15" s="1"/>
  <c r="S15" i="15" s="1"/>
  <c r="T15" i="15" s="1"/>
  <c r="U15" i="15" s="1"/>
  <c r="V15" i="15" s="1"/>
  <c r="W15" i="15" s="1"/>
  <c r="X15" i="15" s="1"/>
  <c r="Y15" i="15" s="1"/>
  <c r="Z15" i="15" s="1"/>
  <c r="AA15" i="15" s="1"/>
  <c r="AB15" i="15" s="1"/>
  <c r="AC15" i="15" s="1"/>
  <c r="AD15" i="15" s="1"/>
  <c r="AE15" i="15" s="1"/>
  <c r="AF15" i="15" s="1"/>
  <c r="D96" i="15"/>
  <c r="D100" i="15"/>
  <c r="D82" i="15"/>
  <c r="D5" i="15"/>
  <c r="E5" i="15" s="1"/>
  <c r="F5" i="15" s="1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D86" i="15"/>
  <c r="D9" i="15"/>
  <c r="E9" i="15" s="1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D90" i="15"/>
  <c r="D13" i="15"/>
  <c r="D94" i="15"/>
  <c r="D83" i="15"/>
  <c r="D87" i="15"/>
  <c r="D91" i="15"/>
  <c r="D81" i="15"/>
  <c r="D85" i="15"/>
  <c r="D89" i="15"/>
  <c r="D93" i="15"/>
  <c r="D16" i="15"/>
  <c r="E16" i="15" s="1"/>
  <c r="F16" i="15" s="1"/>
  <c r="G16" i="15" s="1"/>
  <c r="H16" i="15" s="1"/>
  <c r="I16" i="15" s="1"/>
  <c r="J16" i="15" s="1"/>
  <c r="K16" i="15" s="1"/>
  <c r="L16" i="15" s="1"/>
  <c r="M16" i="15" s="1"/>
  <c r="N16" i="15" s="1"/>
  <c r="O16" i="15" s="1"/>
  <c r="D97" i="15"/>
  <c r="D101" i="15"/>
  <c r="D95" i="15"/>
  <c r="F33" i="14"/>
  <c r="G33" i="14"/>
  <c r="H33" i="14"/>
  <c r="I33" i="14"/>
  <c r="J33" i="14" s="1"/>
  <c r="K33" i="14" s="1"/>
  <c r="L33" i="14" s="1"/>
  <c r="M33" i="14" s="1"/>
  <c r="N33" i="14" s="1"/>
  <c r="O33" i="14" s="1"/>
  <c r="P33" i="14" s="1"/>
  <c r="Q33" i="14" s="1"/>
  <c r="R33" i="14" s="1"/>
  <c r="S33" i="14" s="1"/>
  <c r="T33" i="14" s="1"/>
  <c r="U33" i="14" s="1"/>
  <c r="V33" i="14" s="1"/>
  <c r="W33" i="14" s="1"/>
  <c r="X33" i="14" s="1"/>
  <c r="Y33" i="14" s="1"/>
  <c r="Z33" i="14" s="1"/>
  <c r="AA33" i="14" s="1"/>
  <c r="AB33" i="14" s="1"/>
  <c r="AC33" i="14" s="1"/>
  <c r="AD33" i="14" s="1"/>
  <c r="AE33" i="14" s="1"/>
  <c r="AF33" i="14" s="1"/>
  <c r="AG33" i="14" s="1"/>
  <c r="D33" i="14"/>
  <c r="G101" i="17" l="1"/>
  <c r="G24" i="17"/>
  <c r="G100" i="17"/>
  <c r="G23" i="17"/>
  <c r="G99" i="17"/>
  <c r="G22" i="17"/>
  <c r="G98" i="17"/>
  <c r="G21" i="17"/>
  <c r="G97" i="17"/>
  <c r="G20" i="17"/>
  <c r="G96" i="17"/>
  <c r="G19" i="17"/>
  <c r="G95" i="17"/>
  <c r="G18" i="17"/>
  <c r="G94" i="17"/>
  <c r="G17" i="17"/>
  <c r="G93" i="17"/>
  <c r="G16" i="17"/>
  <c r="G92" i="17"/>
  <c r="G15" i="17"/>
  <c r="G91" i="17"/>
  <c r="G14" i="17"/>
  <c r="G90" i="17"/>
  <c r="G13" i="17"/>
  <c r="G89" i="17"/>
  <c r="G12" i="17"/>
  <c r="G88" i="17"/>
  <c r="G11" i="17"/>
  <c r="G87" i="17"/>
  <c r="G10" i="17"/>
  <c r="G86" i="17"/>
  <c r="G9" i="17"/>
  <c r="G85" i="17"/>
  <c r="G8" i="17"/>
  <c r="G84" i="17"/>
  <c r="G7" i="17"/>
  <c r="G83" i="17"/>
  <c r="G6" i="17"/>
  <c r="G82" i="17"/>
  <c r="G5" i="17"/>
  <c r="G81" i="17"/>
  <c r="G4" i="17"/>
  <c r="G80" i="17"/>
  <c r="G3" i="17"/>
  <c r="E7" i="15"/>
  <c r="F7" i="15" s="1"/>
  <c r="E14" i="15"/>
  <c r="F14" i="15" s="1"/>
  <c r="G14" i="15" s="1"/>
  <c r="H14" i="15" s="1"/>
  <c r="E13" i="15"/>
  <c r="I14" i="15"/>
  <c r="J14" i="15" s="1"/>
  <c r="K14" i="15" s="1"/>
  <c r="L14" i="15" s="1"/>
  <c r="M14" i="15" s="1"/>
  <c r="F13" i="15"/>
  <c r="G13" i="15" s="1"/>
  <c r="E20" i="15"/>
  <c r="F20" i="15" s="1"/>
  <c r="G20" i="15" s="1"/>
  <c r="H20" i="15" s="1"/>
  <c r="I20" i="15" s="1"/>
  <c r="J20" i="15" s="1"/>
  <c r="K20" i="15" s="1"/>
  <c r="L20" i="15" s="1"/>
  <c r="M20" i="15" s="1"/>
  <c r="N20" i="15" s="1"/>
  <c r="O20" i="15" s="1"/>
  <c r="P20" i="15" s="1"/>
  <c r="Q20" i="15" s="1"/>
  <c r="R20" i="15" s="1"/>
  <c r="S20" i="15" s="1"/>
  <c r="T20" i="15" s="1"/>
  <c r="U20" i="15" s="1"/>
  <c r="V20" i="15" s="1"/>
  <c r="W20" i="15" s="1"/>
  <c r="X20" i="15" s="1"/>
  <c r="Y20" i="15" s="1"/>
  <c r="Z20" i="15" s="1"/>
  <c r="AA20" i="15" s="1"/>
  <c r="AB20" i="15" s="1"/>
  <c r="AC20" i="15" s="1"/>
  <c r="AD20" i="15" s="1"/>
  <c r="AE20" i="15" s="1"/>
  <c r="AF20" i="15" s="1"/>
  <c r="E11" i="15"/>
  <c r="F11" i="15" s="1"/>
  <c r="G11" i="15" s="1"/>
  <c r="H11" i="15" s="1"/>
  <c r="I11" i="15" s="1"/>
  <c r="J11" i="15" s="1"/>
  <c r="K11" i="15" s="1"/>
  <c r="L11" i="15" s="1"/>
  <c r="M11" i="15" s="1"/>
  <c r="N11" i="15" s="1"/>
  <c r="O11" i="15" s="1"/>
  <c r="P11" i="15" s="1"/>
  <c r="Q11" i="15" s="1"/>
  <c r="R11" i="15" s="1"/>
  <c r="S11" i="15" s="1"/>
  <c r="T11" i="15" s="1"/>
  <c r="U11" i="15" s="1"/>
  <c r="V11" i="15" s="1"/>
  <c r="W11" i="15" s="1"/>
  <c r="X11" i="15" s="1"/>
  <c r="Y11" i="15" s="1"/>
  <c r="Z11" i="15" s="1"/>
  <c r="AA11" i="15" s="1"/>
  <c r="AB11" i="15" s="1"/>
  <c r="AC11" i="15" s="1"/>
  <c r="AD11" i="15" s="1"/>
  <c r="AE11" i="15" s="1"/>
  <c r="AF11" i="15" s="1"/>
  <c r="E23" i="15"/>
  <c r="F23" i="15" s="1"/>
  <c r="G23" i="15" s="1"/>
  <c r="H23" i="15" s="1"/>
  <c r="I23" i="15" s="1"/>
  <c r="J23" i="15" s="1"/>
  <c r="K23" i="15" s="1"/>
  <c r="L23" i="15" s="1"/>
  <c r="M23" i="15" s="1"/>
  <c r="N23" i="15" s="1"/>
  <c r="O23" i="15" s="1"/>
  <c r="P23" i="15" s="1"/>
  <c r="Q23" i="15" s="1"/>
  <c r="R23" i="15" s="1"/>
  <c r="S23" i="15" s="1"/>
  <c r="T23" i="15" s="1"/>
  <c r="U23" i="15" s="1"/>
  <c r="V23" i="15" s="1"/>
  <c r="W23" i="15" s="1"/>
  <c r="X23" i="15" s="1"/>
  <c r="Y23" i="15" s="1"/>
  <c r="Z23" i="15" s="1"/>
  <c r="AA23" i="15" s="1"/>
  <c r="AB23" i="15" s="1"/>
  <c r="AC23" i="15" s="1"/>
  <c r="AD23" i="15" s="1"/>
  <c r="AE23" i="15" s="1"/>
  <c r="AF23" i="15" s="1"/>
  <c r="G7" i="15"/>
  <c r="H7" i="15" s="1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E22" i="15"/>
  <c r="F22" i="15" s="1"/>
  <c r="G22" i="15" s="1"/>
  <c r="H22" i="15" s="1"/>
  <c r="I22" i="15" s="1"/>
  <c r="J22" i="15" s="1"/>
  <c r="K22" i="15" s="1"/>
  <c r="L22" i="15" s="1"/>
  <c r="M22" i="15" s="1"/>
  <c r="N22" i="15" s="1"/>
  <c r="O22" i="15" s="1"/>
  <c r="P22" i="15" s="1"/>
  <c r="Q22" i="15" s="1"/>
  <c r="R22" i="15" s="1"/>
  <c r="S22" i="15" s="1"/>
  <c r="T22" i="15" s="1"/>
  <c r="U22" i="15" s="1"/>
  <c r="V22" i="15" s="1"/>
  <c r="W22" i="15" s="1"/>
  <c r="X22" i="15" s="1"/>
  <c r="Y22" i="15" s="1"/>
  <c r="Z22" i="15" s="1"/>
  <c r="AA22" i="15" s="1"/>
  <c r="AB22" i="15" s="1"/>
  <c r="AC22" i="15" s="1"/>
  <c r="AD22" i="15" s="1"/>
  <c r="AE22" i="15" s="1"/>
  <c r="AF22" i="15" s="1"/>
  <c r="G24" i="15"/>
  <c r="H24" i="15" s="1"/>
  <c r="I24" i="15" s="1"/>
  <c r="J24" i="15" s="1"/>
  <c r="K24" i="15" s="1"/>
  <c r="L24" i="15" s="1"/>
  <c r="M24" i="15" s="1"/>
  <c r="N24" i="15" s="1"/>
  <c r="O24" i="15" s="1"/>
  <c r="P24" i="15" s="1"/>
  <c r="Q24" i="15" s="1"/>
  <c r="R24" i="15" s="1"/>
  <c r="S24" i="15" s="1"/>
  <c r="T24" i="15" s="1"/>
  <c r="U24" i="15" s="1"/>
  <c r="V24" i="15" s="1"/>
  <c r="W24" i="15" s="1"/>
  <c r="X24" i="15" s="1"/>
  <c r="Y24" i="15" s="1"/>
  <c r="Z24" i="15" s="1"/>
  <c r="AA24" i="15" s="1"/>
  <c r="AB24" i="15" s="1"/>
  <c r="AC24" i="15" s="1"/>
  <c r="AD24" i="15" s="1"/>
  <c r="AE24" i="15" s="1"/>
  <c r="AF24" i="15" s="1"/>
  <c r="E18" i="15"/>
  <c r="F18" i="15" s="1"/>
  <c r="G18" i="15" s="1"/>
  <c r="H18" i="15" s="1"/>
  <c r="I18" i="15" s="1"/>
  <c r="J18" i="15" s="1"/>
  <c r="K18" i="15" s="1"/>
  <c r="L18" i="15" s="1"/>
  <c r="M18" i="15" s="1"/>
  <c r="N18" i="15" s="1"/>
  <c r="O18" i="15" s="1"/>
  <c r="P18" i="15" s="1"/>
  <c r="Q18" i="15" s="1"/>
  <c r="R18" i="15" s="1"/>
  <c r="S18" i="15" s="1"/>
  <c r="T18" i="15" s="1"/>
  <c r="U18" i="15" s="1"/>
  <c r="V18" i="15" s="1"/>
  <c r="W18" i="15" s="1"/>
  <c r="X18" i="15" s="1"/>
  <c r="Y18" i="15" s="1"/>
  <c r="Z18" i="15" s="1"/>
  <c r="AA18" i="15" s="1"/>
  <c r="AB18" i="15" s="1"/>
  <c r="AC18" i="15" s="1"/>
  <c r="AD18" i="15" s="1"/>
  <c r="AE18" i="15" s="1"/>
  <c r="AF18" i="15" s="1"/>
  <c r="N14" i="15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H13" i="15"/>
  <c r="I13" i="15" s="1"/>
  <c r="J13" i="15" s="1"/>
  <c r="K13" i="15" s="1"/>
  <c r="L13" i="15" s="1"/>
  <c r="M13" i="15" s="1"/>
  <c r="N13" i="15" s="1"/>
  <c r="O13" i="15" s="1"/>
  <c r="P13" i="15" s="1"/>
  <c r="Q13" i="15" s="1"/>
  <c r="R13" i="15" s="1"/>
  <c r="S13" i="15" s="1"/>
  <c r="T13" i="15" s="1"/>
  <c r="U13" i="15" s="1"/>
  <c r="V13" i="15" s="1"/>
  <c r="W13" i="15" s="1"/>
  <c r="X13" i="15" s="1"/>
  <c r="Y13" i="15" s="1"/>
  <c r="Z13" i="15" s="1"/>
  <c r="AA13" i="15" s="1"/>
  <c r="AB13" i="15" s="1"/>
  <c r="AC13" i="15" s="1"/>
  <c r="AD13" i="15" s="1"/>
  <c r="AE13" i="15" s="1"/>
  <c r="AF13" i="15" s="1"/>
  <c r="E6" i="15"/>
  <c r="F6" i="15" s="1"/>
  <c r="G6" i="15" s="1"/>
  <c r="H6" i="15" s="1"/>
  <c r="I6" i="15" s="1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E12" i="15"/>
  <c r="F12" i="15" s="1"/>
  <c r="G12" i="15" s="1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U12" i="15" s="1"/>
  <c r="V12" i="15" s="1"/>
  <c r="W12" i="15" s="1"/>
  <c r="X12" i="15" s="1"/>
  <c r="Y12" i="15" s="1"/>
  <c r="Z12" i="15" s="1"/>
  <c r="AA12" i="15" s="1"/>
  <c r="AB12" i="15" s="1"/>
  <c r="AC12" i="15" s="1"/>
  <c r="AD12" i="15" s="1"/>
  <c r="AE12" i="15" s="1"/>
  <c r="AF12" i="15" s="1"/>
  <c r="E10" i="15"/>
  <c r="F10" i="15" s="1"/>
  <c r="G10" i="15" s="1"/>
  <c r="H10" i="15" s="1"/>
  <c r="I10" i="15" s="1"/>
  <c r="J10" i="15" s="1"/>
  <c r="K10" i="15" s="1"/>
  <c r="L10" i="15" s="1"/>
  <c r="M10" i="15" s="1"/>
  <c r="N10" i="15" s="1"/>
  <c r="O10" i="15" s="1"/>
  <c r="P10" i="15" s="1"/>
  <c r="Q10" i="15" s="1"/>
  <c r="R10" i="15" s="1"/>
  <c r="S10" i="15" s="1"/>
  <c r="T10" i="15" s="1"/>
  <c r="U10" i="15" s="1"/>
  <c r="V10" i="15" s="1"/>
  <c r="W10" i="15" s="1"/>
  <c r="X10" i="15" s="1"/>
  <c r="Y10" i="15" s="1"/>
  <c r="Z10" i="15" s="1"/>
  <c r="AA10" i="15" s="1"/>
  <c r="AB10" i="15" s="1"/>
  <c r="AC10" i="15" s="1"/>
  <c r="AD10" i="15" s="1"/>
  <c r="AE10" i="15" s="1"/>
  <c r="AF10" i="15" s="1"/>
  <c r="E8" i="15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U8" i="15" s="1"/>
  <c r="V8" i="15" s="1"/>
  <c r="W8" i="15" s="1"/>
  <c r="X8" i="15" s="1"/>
  <c r="Y8" i="15" s="1"/>
  <c r="Z8" i="15" s="1"/>
  <c r="AA8" i="15" s="1"/>
  <c r="AB8" i="15" s="1"/>
  <c r="AC8" i="15" s="1"/>
  <c r="AD8" i="15" s="1"/>
  <c r="AE8" i="15" s="1"/>
  <c r="AF8" i="15" s="1"/>
  <c r="P16" i="15"/>
  <c r="Q16" i="15" s="1"/>
  <c r="R16" i="15" s="1"/>
  <c r="S16" i="15" s="1"/>
  <c r="T16" i="15" s="1"/>
  <c r="U16" i="15" s="1"/>
  <c r="V16" i="15" s="1"/>
  <c r="W16" i="15" s="1"/>
  <c r="X16" i="15" s="1"/>
  <c r="Y16" i="15" s="1"/>
  <c r="Z16" i="15" s="1"/>
  <c r="AA16" i="15" s="1"/>
  <c r="AB16" i="15" s="1"/>
  <c r="AC16" i="15" s="1"/>
  <c r="AD16" i="15" s="1"/>
  <c r="AE16" i="15" s="1"/>
  <c r="AF16" i="15" s="1"/>
  <c r="E19" i="15"/>
  <c r="F19" i="15" s="1"/>
  <c r="G19" i="15" s="1"/>
  <c r="H19" i="15" s="1"/>
  <c r="I19" i="15" s="1"/>
  <c r="J19" i="15" s="1"/>
  <c r="K19" i="15" s="1"/>
  <c r="L19" i="15" s="1"/>
  <c r="M19" i="15" s="1"/>
  <c r="N19" i="15" s="1"/>
  <c r="O19" i="15" s="1"/>
  <c r="P19" i="15" s="1"/>
  <c r="Q19" i="15" s="1"/>
  <c r="R19" i="15" s="1"/>
  <c r="S19" i="15" s="1"/>
  <c r="T19" i="15" s="1"/>
  <c r="U19" i="15" s="1"/>
  <c r="V19" i="15" s="1"/>
  <c r="W19" i="15" s="1"/>
  <c r="X19" i="15" s="1"/>
  <c r="Y19" i="15" s="1"/>
  <c r="Z19" i="15" s="1"/>
  <c r="AA19" i="15" s="1"/>
  <c r="AB19" i="15" s="1"/>
  <c r="AC19" i="15" s="1"/>
  <c r="AD19" i="15" s="1"/>
  <c r="AE19" i="15" s="1"/>
  <c r="AF19" i="15" s="1"/>
  <c r="E90" i="15"/>
  <c r="E21" i="15"/>
  <c r="F21" i="15" s="1"/>
  <c r="G21" i="15" s="1"/>
  <c r="H21" i="15" s="1"/>
  <c r="I21" i="15" s="1"/>
  <c r="J21" i="15" s="1"/>
  <c r="K21" i="15" s="1"/>
  <c r="L21" i="15" s="1"/>
  <c r="M21" i="15" s="1"/>
  <c r="N21" i="15" s="1"/>
  <c r="O21" i="15" s="1"/>
  <c r="P21" i="15" s="1"/>
  <c r="Q21" i="15" s="1"/>
  <c r="R21" i="15" s="1"/>
  <c r="S21" i="15" s="1"/>
  <c r="T21" i="15" s="1"/>
  <c r="U21" i="15" s="1"/>
  <c r="V21" i="15" s="1"/>
  <c r="W21" i="15" s="1"/>
  <c r="X21" i="15" s="1"/>
  <c r="Y21" i="15" s="1"/>
  <c r="Z21" i="15" s="1"/>
  <c r="AA21" i="15" s="1"/>
  <c r="AB21" i="15" s="1"/>
  <c r="AC21" i="15" s="1"/>
  <c r="AD21" i="15" s="1"/>
  <c r="AE21" i="15" s="1"/>
  <c r="AF21" i="15" s="1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E3" i="15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E100" i="15"/>
  <c r="F84" i="15"/>
  <c r="E98" i="15"/>
  <c r="E95" i="15"/>
  <c r="E84" i="15"/>
  <c r="E17" i="15"/>
  <c r="F17" i="15" s="1"/>
  <c r="G17" i="15" s="1"/>
  <c r="H17" i="15" s="1"/>
  <c r="I17" i="15" s="1"/>
  <c r="J17" i="15" s="1"/>
  <c r="K17" i="15" s="1"/>
  <c r="L17" i="15" s="1"/>
  <c r="M17" i="15" s="1"/>
  <c r="N17" i="15" s="1"/>
  <c r="O17" i="15" s="1"/>
  <c r="P17" i="15" s="1"/>
  <c r="Q17" i="15" s="1"/>
  <c r="R17" i="15" s="1"/>
  <c r="S17" i="15" s="1"/>
  <c r="T17" i="15" s="1"/>
  <c r="U17" i="15" s="1"/>
  <c r="V17" i="15" s="1"/>
  <c r="W17" i="15" s="1"/>
  <c r="X17" i="15" s="1"/>
  <c r="Y17" i="15" s="1"/>
  <c r="Z17" i="15" s="1"/>
  <c r="AA17" i="15" s="1"/>
  <c r="AB17" i="15" s="1"/>
  <c r="AC17" i="15" s="1"/>
  <c r="AD17" i="15" s="1"/>
  <c r="AE17" i="15" s="1"/>
  <c r="AF17" i="15" s="1"/>
  <c r="E85" i="15"/>
  <c r="E81" i="15"/>
  <c r="E82" i="15"/>
  <c r="D104" i="15"/>
  <c r="B3" i="14" s="1"/>
  <c r="D37" i="14" s="1"/>
  <c r="D44" i="14" s="1"/>
  <c r="C2" i="3" s="1"/>
  <c r="E83" i="15"/>
  <c r="E92" i="15"/>
  <c r="F82" i="15"/>
  <c r="E101" i="15"/>
  <c r="E88" i="15"/>
  <c r="E91" i="15"/>
  <c r="E86" i="15"/>
  <c r="E87" i="15"/>
  <c r="E80" i="15"/>
  <c r="E93" i="15"/>
  <c r="E96" i="15"/>
  <c r="E97" i="15"/>
  <c r="E89" i="15"/>
  <c r="E99" i="15"/>
  <c r="A3" i="14"/>
  <c r="C37" i="14" s="1"/>
  <c r="C44" i="14" s="1"/>
  <c r="F101" i="15"/>
  <c r="G82" i="15"/>
  <c r="F90" i="15"/>
  <c r="F86" i="15"/>
  <c r="F92" i="15"/>
  <c r="G84" i="15"/>
  <c r="F93" i="15"/>
  <c r="F91" i="15"/>
  <c r="H80" i="17" l="1"/>
  <c r="H3" i="17"/>
  <c r="H81" i="17"/>
  <c r="H4" i="17"/>
  <c r="H82" i="17"/>
  <c r="H5" i="17"/>
  <c r="H83" i="17"/>
  <c r="H6" i="17"/>
  <c r="H84" i="17"/>
  <c r="H7" i="17"/>
  <c r="H85" i="17"/>
  <c r="H8" i="17"/>
  <c r="H86" i="17"/>
  <c r="H9" i="17"/>
  <c r="H87" i="17"/>
  <c r="H10" i="17"/>
  <c r="H88" i="17"/>
  <c r="H11" i="17"/>
  <c r="H89" i="17"/>
  <c r="H12" i="17"/>
  <c r="H90" i="17"/>
  <c r="H13" i="17"/>
  <c r="H91" i="17"/>
  <c r="H14" i="17"/>
  <c r="H92" i="17"/>
  <c r="H15" i="17"/>
  <c r="H93" i="17"/>
  <c r="H16" i="17"/>
  <c r="H94" i="17"/>
  <c r="H17" i="17"/>
  <c r="H95" i="17"/>
  <c r="H18" i="17"/>
  <c r="H96" i="17"/>
  <c r="H19" i="17"/>
  <c r="H97" i="17"/>
  <c r="H20" i="17"/>
  <c r="H98" i="17"/>
  <c r="H21" i="17"/>
  <c r="H99" i="17"/>
  <c r="H22" i="17"/>
  <c r="H100" i="17"/>
  <c r="H23" i="17"/>
  <c r="H101" i="17"/>
  <c r="H24" i="17"/>
  <c r="F88" i="15"/>
  <c r="F83" i="15"/>
  <c r="F100" i="15"/>
  <c r="F95" i="15"/>
  <c r="F85" i="15"/>
  <c r="F87" i="15"/>
  <c r="F99" i="15"/>
  <c r="F96" i="15"/>
  <c r="F89" i="15"/>
  <c r="F98" i="15"/>
  <c r="F81" i="15"/>
  <c r="F94" i="15"/>
  <c r="G89" i="15"/>
  <c r="G99" i="15"/>
  <c r="G97" i="15"/>
  <c r="F97" i="15"/>
  <c r="G80" i="15"/>
  <c r="F80" i="15"/>
  <c r="G85" i="15"/>
  <c r="G81" i="15"/>
  <c r="E104" i="15"/>
  <c r="G83" i="15"/>
  <c r="G90" i="15"/>
  <c r="G92" i="15"/>
  <c r="G95" i="15"/>
  <c r="G100" i="15"/>
  <c r="G98" i="15"/>
  <c r="G101" i="15"/>
  <c r="H82" i="15"/>
  <c r="G93" i="15"/>
  <c r="G86" i="15"/>
  <c r="H89" i="15"/>
  <c r="H97" i="15"/>
  <c r="G94" i="15"/>
  <c r="H84" i="15"/>
  <c r="G87" i="15"/>
  <c r="G91" i="15"/>
  <c r="G96" i="15"/>
  <c r="G88" i="15"/>
  <c r="H99" i="15"/>
  <c r="I101" i="17" l="1"/>
  <c r="I24" i="17"/>
  <c r="I100" i="17"/>
  <c r="I23" i="17"/>
  <c r="I99" i="17"/>
  <c r="I22" i="17"/>
  <c r="I98" i="17"/>
  <c r="I21" i="17"/>
  <c r="I97" i="17"/>
  <c r="I20" i="17"/>
  <c r="I96" i="17"/>
  <c r="I19" i="17"/>
  <c r="I95" i="17"/>
  <c r="I18" i="17"/>
  <c r="I94" i="17"/>
  <c r="I17" i="17"/>
  <c r="I93" i="17"/>
  <c r="I16" i="17"/>
  <c r="I92" i="17"/>
  <c r="I15" i="17"/>
  <c r="I91" i="17"/>
  <c r="I14" i="17"/>
  <c r="I90" i="17"/>
  <c r="I13" i="17"/>
  <c r="I89" i="17"/>
  <c r="I12" i="17"/>
  <c r="I88" i="17"/>
  <c r="I11" i="17"/>
  <c r="I87" i="17"/>
  <c r="I10" i="17"/>
  <c r="I86" i="17"/>
  <c r="I9" i="17"/>
  <c r="I85" i="17"/>
  <c r="I8" i="17"/>
  <c r="I84" i="17"/>
  <c r="I7" i="17"/>
  <c r="I83" i="17"/>
  <c r="I6" i="17"/>
  <c r="I82" i="17"/>
  <c r="I5" i="17"/>
  <c r="I81" i="17"/>
  <c r="I4" i="17"/>
  <c r="I80" i="17"/>
  <c r="I3" i="17"/>
  <c r="H80" i="15"/>
  <c r="C3" i="14"/>
  <c r="E37" i="14" s="1"/>
  <c r="E44" i="14" s="1"/>
  <c r="D2" i="3" s="1"/>
  <c r="H85" i="15"/>
  <c r="F104" i="15"/>
  <c r="I97" i="15"/>
  <c r="H100" i="15"/>
  <c r="H83" i="15"/>
  <c r="H93" i="15"/>
  <c r="I99" i="15"/>
  <c r="H87" i="15"/>
  <c r="I89" i="15"/>
  <c r="I82" i="15"/>
  <c r="H95" i="15"/>
  <c r="H91" i="15"/>
  <c r="H88" i="15"/>
  <c r="I84" i="15"/>
  <c r="H86" i="15"/>
  <c r="H92" i="15"/>
  <c r="H101" i="15"/>
  <c r="H81" i="15"/>
  <c r="H96" i="15"/>
  <c r="H94" i="15"/>
  <c r="H98" i="15"/>
  <c r="H90" i="15"/>
  <c r="J80" i="17" l="1"/>
  <c r="J3" i="17"/>
  <c r="J81" i="17"/>
  <c r="J4" i="17"/>
  <c r="J82" i="17"/>
  <c r="J5" i="17"/>
  <c r="J83" i="17"/>
  <c r="J6" i="17"/>
  <c r="J84" i="17"/>
  <c r="J7" i="17"/>
  <c r="J85" i="17"/>
  <c r="J8" i="17"/>
  <c r="J86" i="17"/>
  <c r="J9" i="17"/>
  <c r="J87" i="17"/>
  <c r="J10" i="17"/>
  <c r="J88" i="17"/>
  <c r="J11" i="17"/>
  <c r="J89" i="17"/>
  <c r="J12" i="17"/>
  <c r="J90" i="17"/>
  <c r="J13" i="17"/>
  <c r="J91" i="17"/>
  <c r="J14" i="17"/>
  <c r="J92" i="17"/>
  <c r="J15" i="17"/>
  <c r="J93" i="17"/>
  <c r="J16" i="17"/>
  <c r="J94" i="17"/>
  <c r="J17" i="17"/>
  <c r="J95" i="17"/>
  <c r="J18" i="17"/>
  <c r="J96" i="17"/>
  <c r="J19" i="17"/>
  <c r="J97" i="17"/>
  <c r="J20" i="17"/>
  <c r="J98" i="17"/>
  <c r="J21" i="17"/>
  <c r="J99" i="17"/>
  <c r="J22" i="17"/>
  <c r="J100" i="17"/>
  <c r="J23" i="17"/>
  <c r="J101" i="17"/>
  <c r="J24" i="17"/>
  <c r="I80" i="15"/>
  <c r="D3" i="14"/>
  <c r="F37" i="14" s="1"/>
  <c r="F44" i="14" s="1"/>
  <c r="E2" i="3" s="1"/>
  <c r="I85" i="15"/>
  <c r="G104" i="15"/>
  <c r="I81" i="15"/>
  <c r="J82" i="15"/>
  <c r="I93" i="15"/>
  <c r="I92" i="15"/>
  <c r="I91" i="15"/>
  <c r="I94" i="15"/>
  <c r="J89" i="15"/>
  <c r="I83" i="15"/>
  <c r="I98" i="15"/>
  <c r="I101" i="15"/>
  <c r="J84" i="15"/>
  <c r="I88" i="15"/>
  <c r="I90" i="15"/>
  <c r="I96" i="15"/>
  <c r="I86" i="15"/>
  <c r="J80" i="15"/>
  <c r="I87" i="15"/>
  <c r="I100" i="15"/>
  <c r="I95" i="15"/>
  <c r="J99" i="15"/>
  <c r="J97" i="15"/>
  <c r="K101" i="17" l="1"/>
  <c r="K24" i="17"/>
  <c r="K100" i="17"/>
  <c r="K23" i="17"/>
  <c r="K99" i="17"/>
  <c r="K22" i="17"/>
  <c r="K98" i="17"/>
  <c r="K21" i="17"/>
  <c r="K97" i="17"/>
  <c r="K20" i="17"/>
  <c r="K96" i="17"/>
  <c r="K19" i="17"/>
  <c r="K95" i="17"/>
  <c r="K18" i="17"/>
  <c r="K94" i="17"/>
  <c r="K17" i="17"/>
  <c r="K93" i="17"/>
  <c r="K16" i="17"/>
  <c r="K92" i="17"/>
  <c r="K15" i="17"/>
  <c r="K91" i="17"/>
  <c r="K14" i="17"/>
  <c r="K90" i="17"/>
  <c r="K13" i="17"/>
  <c r="K89" i="17"/>
  <c r="K12" i="17"/>
  <c r="K88" i="17"/>
  <c r="K11" i="17"/>
  <c r="K87" i="17"/>
  <c r="K10" i="17"/>
  <c r="K86" i="17"/>
  <c r="K9" i="17"/>
  <c r="K85" i="17"/>
  <c r="K8" i="17"/>
  <c r="K84" i="17"/>
  <c r="K7" i="17"/>
  <c r="K83" i="17"/>
  <c r="K6" i="17"/>
  <c r="K82" i="17"/>
  <c r="K5" i="17"/>
  <c r="K81" i="17"/>
  <c r="K4" i="17"/>
  <c r="K80" i="17"/>
  <c r="K3" i="17"/>
  <c r="E3" i="14"/>
  <c r="G37" i="14" s="1"/>
  <c r="G44" i="14" s="1"/>
  <c r="F2" i="3" s="1"/>
  <c r="H104" i="15"/>
  <c r="J85" i="15"/>
  <c r="J86" i="15"/>
  <c r="J93" i="15"/>
  <c r="J100" i="15"/>
  <c r="J96" i="15"/>
  <c r="J101" i="15"/>
  <c r="J94" i="15"/>
  <c r="K82" i="15"/>
  <c r="K97" i="15"/>
  <c r="K89" i="15"/>
  <c r="J87" i="15"/>
  <c r="J91" i="15"/>
  <c r="J95" i="15"/>
  <c r="K84" i="15"/>
  <c r="J90" i="15"/>
  <c r="J98" i="15"/>
  <c r="K99" i="15"/>
  <c r="K80" i="15"/>
  <c r="J88" i="15"/>
  <c r="J83" i="15"/>
  <c r="J92" i="15"/>
  <c r="J81" i="15"/>
  <c r="L80" i="17" l="1"/>
  <c r="L3" i="17"/>
  <c r="L81" i="17"/>
  <c r="L4" i="17"/>
  <c r="L82" i="17"/>
  <c r="L5" i="17"/>
  <c r="L83" i="17"/>
  <c r="L6" i="17"/>
  <c r="L84" i="17"/>
  <c r="L7" i="17"/>
  <c r="L85" i="17"/>
  <c r="L8" i="17"/>
  <c r="L86" i="17"/>
  <c r="L9" i="17"/>
  <c r="L87" i="17"/>
  <c r="L10" i="17"/>
  <c r="L88" i="17"/>
  <c r="L11" i="17"/>
  <c r="L89" i="17"/>
  <c r="L12" i="17"/>
  <c r="L90" i="17"/>
  <c r="L13" i="17"/>
  <c r="L91" i="17"/>
  <c r="L14" i="17"/>
  <c r="L92" i="17"/>
  <c r="L15" i="17"/>
  <c r="L93" i="17"/>
  <c r="L16" i="17"/>
  <c r="L94" i="17"/>
  <c r="L17" i="17"/>
  <c r="L95" i="17"/>
  <c r="L18" i="17"/>
  <c r="L96" i="17"/>
  <c r="L19" i="17"/>
  <c r="L97" i="17"/>
  <c r="L20" i="17"/>
  <c r="L98" i="17"/>
  <c r="L21" i="17"/>
  <c r="L99" i="17"/>
  <c r="L22" i="17"/>
  <c r="L100" i="17"/>
  <c r="L23" i="17"/>
  <c r="L101" i="17"/>
  <c r="L24" i="17"/>
  <c r="F3" i="14"/>
  <c r="H37" i="14" s="1"/>
  <c r="H44" i="14" s="1"/>
  <c r="G2" i="3" s="1"/>
  <c r="I104" i="15"/>
  <c r="K85" i="15"/>
  <c r="K83" i="15"/>
  <c r="K95" i="15"/>
  <c r="L97" i="15"/>
  <c r="K96" i="15"/>
  <c r="K88" i="15"/>
  <c r="K98" i="15"/>
  <c r="K91" i="15"/>
  <c r="L82" i="15"/>
  <c r="K100" i="15"/>
  <c r="K81" i="15"/>
  <c r="K90" i="15"/>
  <c r="K87" i="15"/>
  <c r="K93" i="15"/>
  <c r="K92" i="15"/>
  <c r="L99" i="15"/>
  <c r="L84" i="15"/>
  <c r="L89" i="15"/>
  <c r="K101" i="15"/>
  <c r="K86" i="15"/>
  <c r="L80" i="15"/>
  <c r="K94" i="15"/>
  <c r="M101" i="17" l="1"/>
  <c r="M24" i="17"/>
  <c r="M100" i="17"/>
  <c r="M23" i="17"/>
  <c r="M99" i="17"/>
  <c r="M22" i="17"/>
  <c r="M98" i="17"/>
  <c r="M21" i="17"/>
  <c r="M97" i="17"/>
  <c r="M20" i="17"/>
  <c r="M96" i="17"/>
  <c r="M19" i="17"/>
  <c r="M95" i="17"/>
  <c r="M18" i="17"/>
  <c r="M94" i="17"/>
  <c r="M17" i="17"/>
  <c r="M93" i="17"/>
  <c r="M16" i="17"/>
  <c r="M92" i="17"/>
  <c r="M15" i="17"/>
  <c r="M91" i="17"/>
  <c r="M14" i="17"/>
  <c r="M90" i="17"/>
  <c r="M13" i="17"/>
  <c r="M89" i="17"/>
  <c r="M12" i="17"/>
  <c r="M88" i="17"/>
  <c r="M11" i="17"/>
  <c r="M87" i="17"/>
  <c r="M10" i="17"/>
  <c r="M86" i="17"/>
  <c r="M9" i="17"/>
  <c r="M85" i="17"/>
  <c r="M8" i="17"/>
  <c r="M84" i="17"/>
  <c r="M7" i="17"/>
  <c r="M83" i="17"/>
  <c r="M6" i="17"/>
  <c r="M82" i="17"/>
  <c r="M5" i="17"/>
  <c r="M81" i="17"/>
  <c r="M4" i="17"/>
  <c r="M80" i="17"/>
  <c r="M3" i="17"/>
  <c r="G3" i="14"/>
  <c r="I37" i="14" s="1"/>
  <c r="I44" i="14" s="1"/>
  <c r="H2" i="3" s="1"/>
  <c r="J104" i="15"/>
  <c r="L85" i="15"/>
  <c r="L96" i="15"/>
  <c r="L101" i="15"/>
  <c r="L92" i="15"/>
  <c r="L81" i="15"/>
  <c r="L91" i="15"/>
  <c r="M97" i="15"/>
  <c r="M82" i="15"/>
  <c r="M89" i="15"/>
  <c r="L98" i="15"/>
  <c r="L87" i="15"/>
  <c r="L100" i="15"/>
  <c r="L88" i="15"/>
  <c r="L83" i="15"/>
  <c r="L94" i="15"/>
  <c r="L93" i="15"/>
  <c r="L95" i="15"/>
  <c r="M80" i="15"/>
  <c r="M84" i="15"/>
  <c r="L86" i="15"/>
  <c r="M99" i="15"/>
  <c r="L90" i="15"/>
  <c r="N80" i="17" l="1"/>
  <c r="N3" i="17"/>
  <c r="N81" i="17"/>
  <c r="N4" i="17"/>
  <c r="N82" i="17"/>
  <c r="N5" i="17"/>
  <c r="N83" i="17"/>
  <c r="N6" i="17"/>
  <c r="N84" i="17"/>
  <c r="N7" i="17"/>
  <c r="N85" i="17"/>
  <c r="N8" i="17"/>
  <c r="N86" i="17"/>
  <c r="N9" i="17"/>
  <c r="N87" i="17"/>
  <c r="N10" i="17"/>
  <c r="N88" i="17"/>
  <c r="N11" i="17"/>
  <c r="N89" i="17"/>
  <c r="N12" i="17"/>
  <c r="N90" i="17"/>
  <c r="N13" i="17"/>
  <c r="N91" i="17"/>
  <c r="N14" i="17"/>
  <c r="N92" i="17"/>
  <c r="N15" i="17"/>
  <c r="N93" i="17"/>
  <c r="N16" i="17"/>
  <c r="N94" i="17"/>
  <c r="N17" i="17"/>
  <c r="N95" i="17"/>
  <c r="N18" i="17"/>
  <c r="N96" i="17"/>
  <c r="N19" i="17"/>
  <c r="N97" i="17"/>
  <c r="N20" i="17"/>
  <c r="N98" i="17"/>
  <c r="N21" i="17"/>
  <c r="N99" i="17"/>
  <c r="N22" i="17"/>
  <c r="N100" i="17"/>
  <c r="N23" i="17"/>
  <c r="N101" i="17"/>
  <c r="N24" i="17"/>
  <c r="H3" i="14"/>
  <c r="J37" i="14" s="1"/>
  <c r="J44" i="14" s="1"/>
  <c r="I2" i="3" s="1"/>
  <c r="K104" i="15"/>
  <c r="M85" i="15"/>
  <c r="N84" i="15"/>
  <c r="M100" i="15"/>
  <c r="N82" i="15"/>
  <c r="M92" i="15"/>
  <c r="M94" i="15"/>
  <c r="M95" i="15"/>
  <c r="N97" i="15"/>
  <c r="M91" i="15"/>
  <c r="M96" i="15"/>
  <c r="N89" i="15"/>
  <c r="M93" i="15"/>
  <c r="M81" i="15"/>
  <c r="M90" i="15"/>
  <c r="N80" i="15"/>
  <c r="M87" i="15"/>
  <c r="M101" i="15"/>
  <c r="M83" i="15"/>
  <c r="N99" i="15"/>
  <c r="M86" i="15"/>
  <c r="M88" i="15"/>
  <c r="M98" i="15"/>
  <c r="O101" i="17" l="1"/>
  <c r="O24" i="17"/>
  <c r="O100" i="17"/>
  <c r="O23" i="17"/>
  <c r="O99" i="17"/>
  <c r="O22" i="17"/>
  <c r="O98" i="17"/>
  <c r="O21" i="17"/>
  <c r="O97" i="17"/>
  <c r="O20" i="17"/>
  <c r="O96" i="17"/>
  <c r="O19" i="17"/>
  <c r="O95" i="17"/>
  <c r="O18" i="17"/>
  <c r="O94" i="17"/>
  <c r="O17" i="17"/>
  <c r="O93" i="17"/>
  <c r="O16" i="17"/>
  <c r="O92" i="17"/>
  <c r="O15" i="17"/>
  <c r="O91" i="17"/>
  <c r="O14" i="17"/>
  <c r="O90" i="17"/>
  <c r="O13" i="17"/>
  <c r="O89" i="17"/>
  <c r="O12" i="17"/>
  <c r="O88" i="17"/>
  <c r="O11" i="17"/>
  <c r="O87" i="17"/>
  <c r="O10" i="17"/>
  <c r="O86" i="17"/>
  <c r="O9" i="17"/>
  <c r="O85" i="17"/>
  <c r="O8" i="17"/>
  <c r="O84" i="17"/>
  <c r="O7" i="17"/>
  <c r="O83" i="17"/>
  <c r="O6" i="17"/>
  <c r="O82" i="17"/>
  <c r="O5" i="17"/>
  <c r="O81" i="17"/>
  <c r="O4" i="17"/>
  <c r="O80" i="17"/>
  <c r="O3" i="17"/>
  <c r="I3" i="14"/>
  <c r="K37" i="14" s="1"/>
  <c r="K44" i="14" s="1"/>
  <c r="J2" i="3" s="1"/>
  <c r="L104" i="15"/>
  <c r="N85" i="15"/>
  <c r="N93" i="15"/>
  <c r="O82" i="15"/>
  <c r="N87" i="15"/>
  <c r="O97" i="15"/>
  <c r="N98" i="15"/>
  <c r="O99" i="15"/>
  <c r="O80" i="15"/>
  <c r="O89" i="15"/>
  <c r="N95" i="15"/>
  <c r="N100" i="15"/>
  <c r="N92" i="15"/>
  <c r="N86" i="15"/>
  <c r="N88" i="15"/>
  <c r="N83" i="15"/>
  <c r="N96" i="15"/>
  <c r="N94" i="15"/>
  <c r="N90" i="15"/>
  <c r="N101" i="15"/>
  <c r="N81" i="15"/>
  <c r="N91" i="15"/>
  <c r="O84" i="15"/>
  <c r="P80" i="17" l="1"/>
  <c r="P3" i="17"/>
  <c r="P81" i="17"/>
  <c r="P4" i="17"/>
  <c r="P82" i="17"/>
  <c r="P5" i="17"/>
  <c r="P83" i="17"/>
  <c r="P6" i="17"/>
  <c r="P84" i="17"/>
  <c r="P7" i="17"/>
  <c r="P85" i="17"/>
  <c r="P8" i="17"/>
  <c r="P86" i="17"/>
  <c r="P9" i="17"/>
  <c r="P87" i="17"/>
  <c r="P10" i="17"/>
  <c r="P88" i="17"/>
  <c r="P11" i="17"/>
  <c r="P89" i="17"/>
  <c r="P12" i="17"/>
  <c r="P90" i="17"/>
  <c r="P13" i="17"/>
  <c r="P91" i="17"/>
  <c r="P14" i="17"/>
  <c r="P92" i="17"/>
  <c r="P15" i="17"/>
  <c r="P93" i="17"/>
  <c r="P16" i="17"/>
  <c r="P94" i="17"/>
  <c r="P17" i="17"/>
  <c r="P95" i="17"/>
  <c r="P18" i="17"/>
  <c r="P96" i="17"/>
  <c r="P19" i="17"/>
  <c r="P97" i="17"/>
  <c r="P20" i="17"/>
  <c r="P98" i="17"/>
  <c r="P21" i="17"/>
  <c r="P99" i="17"/>
  <c r="P22" i="17"/>
  <c r="P100" i="17"/>
  <c r="P23" i="17"/>
  <c r="P101" i="17"/>
  <c r="P24" i="17"/>
  <c r="J3" i="14"/>
  <c r="L37" i="14" s="1"/>
  <c r="L44" i="14" s="1"/>
  <c r="K2" i="3" s="1"/>
  <c r="M104" i="15"/>
  <c r="O85" i="15"/>
  <c r="O81" i="15"/>
  <c r="O94" i="15"/>
  <c r="O96" i="15"/>
  <c r="O92" i="15"/>
  <c r="P80" i="15"/>
  <c r="O87" i="15"/>
  <c r="O86" i="15"/>
  <c r="O83" i="15"/>
  <c r="P99" i="15"/>
  <c r="P82" i="15"/>
  <c r="P89" i="15"/>
  <c r="O90" i="15"/>
  <c r="P97" i="15"/>
  <c r="O101" i="15"/>
  <c r="P84" i="15"/>
  <c r="O91" i="15"/>
  <c r="O100" i="15"/>
  <c r="O88" i="15"/>
  <c r="O95" i="15"/>
  <c r="O98" i="15"/>
  <c r="O93" i="15"/>
  <c r="Q101" i="17" l="1"/>
  <c r="Q24" i="17"/>
  <c r="Q100" i="17"/>
  <c r="Q23" i="17"/>
  <c r="Q99" i="17"/>
  <c r="Q22" i="17"/>
  <c r="Q98" i="17"/>
  <c r="Q21" i="17"/>
  <c r="Q97" i="17"/>
  <c r="Q20" i="17"/>
  <c r="Q96" i="17"/>
  <c r="Q19" i="17"/>
  <c r="Q95" i="17"/>
  <c r="Q18" i="17"/>
  <c r="Q94" i="17"/>
  <c r="Q17" i="17"/>
  <c r="Q93" i="17"/>
  <c r="Q16" i="17"/>
  <c r="Q92" i="17"/>
  <c r="Q15" i="17"/>
  <c r="Q91" i="17"/>
  <c r="Q14" i="17"/>
  <c r="Q90" i="17"/>
  <c r="Q13" i="17"/>
  <c r="Q89" i="17"/>
  <c r="Q12" i="17"/>
  <c r="Q88" i="17"/>
  <c r="Q11" i="17"/>
  <c r="Q87" i="17"/>
  <c r="Q10" i="17"/>
  <c r="Q86" i="17"/>
  <c r="Q9" i="17"/>
  <c r="Q85" i="17"/>
  <c r="Q8" i="17"/>
  <c r="Q84" i="17"/>
  <c r="Q7" i="17"/>
  <c r="Q83" i="17"/>
  <c r="Q6" i="17"/>
  <c r="Q82" i="17"/>
  <c r="Q5" i="17"/>
  <c r="Q81" i="17"/>
  <c r="Q4" i="17"/>
  <c r="Q80" i="17"/>
  <c r="Q3" i="17"/>
  <c r="K3" i="14"/>
  <c r="M37" i="14" s="1"/>
  <c r="M44" i="14" s="1"/>
  <c r="L2" i="3" s="1"/>
  <c r="P85" i="15"/>
  <c r="N104" i="15"/>
  <c r="P95" i="15"/>
  <c r="P96" i="15"/>
  <c r="P88" i="15"/>
  <c r="P86" i="15"/>
  <c r="P93" i="15"/>
  <c r="Q82" i="15"/>
  <c r="P101" i="15"/>
  <c r="P87" i="15"/>
  <c r="P91" i="15"/>
  <c r="Q97" i="15"/>
  <c r="Q99" i="15"/>
  <c r="P92" i="15"/>
  <c r="Q84" i="15"/>
  <c r="Q89" i="15"/>
  <c r="P100" i="15"/>
  <c r="P94" i="15"/>
  <c r="P98" i="15"/>
  <c r="Q80" i="15"/>
  <c r="P81" i="15"/>
  <c r="P90" i="15"/>
  <c r="P83" i="15"/>
  <c r="R80" i="17" l="1"/>
  <c r="R3" i="17"/>
  <c r="R81" i="17"/>
  <c r="R4" i="17"/>
  <c r="R82" i="17"/>
  <c r="R5" i="17"/>
  <c r="R83" i="17"/>
  <c r="R6" i="17"/>
  <c r="R84" i="17"/>
  <c r="R7" i="17"/>
  <c r="R85" i="17"/>
  <c r="R8" i="17"/>
  <c r="R86" i="17"/>
  <c r="R9" i="17"/>
  <c r="R87" i="17"/>
  <c r="R10" i="17"/>
  <c r="R88" i="17"/>
  <c r="R11" i="17"/>
  <c r="R89" i="17"/>
  <c r="R12" i="17"/>
  <c r="R90" i="17"/>
  <c r="R13" i="17"/>
  <c r="R91" i="17"/>
  <c r="R14" i="17"/>
  <c r="R92" i="17"/>
  <c r="R15" i="17"/>
  <c r="R93" i="17"/>
  <c r="R16" i="17"/>
  <c r="R94" i="17"/>
  <c r="R17" i="17"/>
  <c r="R95" i="17"/>
  <c r="R18" i="17"/>
  <c r="R96" i="17"/>
  <c r="R19" i="17"/>
  <c r="R97" i="17"/>
  <c r="R20" i="17"/>
  <c r="R98" i="17"/>
  <c r="R21" i="17"/>
  <c r="R99" i="17"/>
  <c r="R22" i="17"/>
  <c r="R100" i="17"/>
  <c r="R23" i="17"/>
  <c r="R101" i="17"/>
  <c r="R24" i="17"/>
  <c r="L3" i="14"/>
  <c r="N37" i="14" s="1"/>
  <c r="N44" i="14" s="1"/>
  <c r="M2" i="3" s="1"/>
  <c r="Q85" i="15"/>
  <c r="O104" i="15"/>
  <c r="Q100" i="15"/>
  <c r="R80" i="15"/>
  <c r="R89" i="15"/>
  <c r="R97" i="15"/>
  <c r="R99" i="15"/>
  <c r="Q88" i="15"/>
  <c r="R82" i="15"/>
  <c r="Q91" i="15"/>
  <c r="Q83" i="15"/>
  <c r="R84" i="15"/>
  <c r="Q93" i="15"/>
  <c r="Q90" i="15"/>
  <c r="Q94" i="15"/>
  <c r="Q92" i="15"/>
  <c r="Q87" i="15"/>
  <c r="Q86" i="15"/>
  <c r="Q95" i="15"/>
  <c r="Q81" i="15"/>
  <c r="Q101" i="15"/>
  <c r="Q98" i="15"/>
  <c r="Q96" i="15"/>
  <c r="S101" i="17" l="1"/>
  <c r="S24" i="17"/>
  <c r="S100" i="17"/>
  <c r="S23" i="17"/>
  <c r="S99" i="17"/>
  <c r="S22" i="17"/>
  <c r="S98" i="17"/>
  <c r="S21" i="17"/>
  <c r="S97" i="17"/>
  <c r="S20" i="17"/>
  <c r="S96" i="17"/>
  <c r="S19" i="17"/>
  <c r="S95" i="17"/>
  <c r="S18" i="17"/>
  <c r="S94" i="17"/>
  <c r="S17" i="17"/>
  <c r="S93" i="17"/>
  <c r="S16" i="17"/>
  <c r="S92" i="17"/>
  <c r="S15" i="17"/>
  <c r="S91" i="17"/>
  <c r="S14" i="17"/>
  <c r="S90" i="17"/>
  <c r="S13" i="17"/>
  <c r="S89" i="17"/>
  <c r="S12" i="17"/>
  <c r="S88" i="17"/>
  <c r="S11" i="17"/>
  <c r="S87" i="17"/>
  <c r="S10" i="17"/>
  <c r="S86" i="17"/>
  <c r="S9" i="17"/>
  <c r="S85" i="17"/>
  <c r="S8" i="17"/>
  <c r="S84" i="17"/>
  <c r="S7" i="17"/>
  <c r="S83" i="17"/>
  <c r="S6" i="17"/>
  <c r="S82" i="17"/>
  <c r="S5" i="17"/>
  <c r="S81" i="17"/>
  <c r="S4" i="17"/>
  <c r="S80" i="17"/>
  <c r="S3" i="17"/>
  <c r="M3" i="14"/>
  <c r="O37" i="14" s="1"/>
  <c r="O44" i="14" s="1"/>
  <c r="N2" i="3" s="1"/>
  <c r="P104" i="15"/>
  <c r="R85" i="15"/>
  <c r="R86" i="15"/>
  <c r="R87" i="15"/>
  <c r="S97" i="15"/>
  <c r="R92" i="15"/>
  <c r="S84" i="15"/>
  <c r="R88" i="15"/>
  <c r="S89" i="15"/>
  <c r="S82" i="15"/>
  <c r="R96" i="15"/>
  <c r="R95" i="15"/>
  <c r="R94" i="15"/>
  <c r="R83" i="15"/>
  <c r="R98" i="15"/>
  <c r="R90" i="15"/>
  <c r="R91" i="15"/>
  <c r="R101" i="15"/>
  <c r="R93" i="15"/>
  <c r="Q104" i="15"/>
  <c r="R81" i="15"/>
  <c r="S99" i="15"/>
  <c r="S80" i="15"/>
  <c r="R100" i="15"/>
  <c r="T80" i="17" l="1"/>
  <c r="T3" i="17"/>
  <c r="T81" i="17"/>
  <c r="T4" i="17"/>
  <c r="T82" i="17"/>
  <c r="T5" i="17"/>
  <c r="T83" i="17"/>
  <c r="T6" i="17"/>
  <c r="T84" i="17"/>
  <c r="T7" i="17"/>
  <c r="T85" i="17"/>
  <c r="T8" i="17"/>
  <c r="T86" i="17"/>
  <c r="T9" i="17"/>
  <c r="T87" i="17"/>
  <c r="T10" i="17"/>
  <c r="T88" i="17"/>
  <c r="T11" i="17"/>
  <c r="T89" i="17"/>
  <c r="T12" i="17"/>
  <c r="T90" i="17"/>
  <c r="T13" i="17"/>
  <c r="T91" i="17"/>
  <c r="T14" i="17"/>
  <c r="T92" i="17"/>
  <c r="T15" i="17"/>
  <c r="T93" i="17"/>
  <c r="T16" i="17"/>
  <c r="T94" i="17"/>
  <c r="T17" i="17"/>
  <c r="T95" i="17"/>
  <c r="T18" i="17"/>
  <c r="T96" i="17"/>
  <c r="T19" i="17"/>
  <c r="T97" i="17"/>
  <c r="T20" i="17"/>
  <c r="T98" i="17"/>
  <c r="T21" i="17"/>
  <c r="T99" i="17"/>
  <c r="T22" i="17"/>
  <c r="T100" i="17"/>
  <c r="T23" i="17"/>
  <c r="T101" i="17"/>
  <c r="T24" i="17"/>
  <c r="O3" i="14"/>
  <c r="Q37" i="14" s="1"/>
  <c r="Q44" i="14" s="1"/>
  <c r="P2" i="3" s="1"/>
  <c r="N3" i="14"/>
  <c r="P37" i="14" s="1"/>
  <c r="P44" i="14" s="1"/>
  <c r="O2" i="3" s="1"/>
  <c r="S85" i="15"/>
  <c r="T84" i="15"/>
  <c r="T80" i="15"/>
  <c r="S83" i="15"/>
  <c r="S92" i="15"/>
  <c r="T99" i="15"/>
  <c r="S91" i="15"/>
  <c r="S94" i="15"/>
  <c r="T97" i="15"/>
  <c r="S100" i="15"/>
  <c r="T89" i="15"/>
  <c r="S101" i="15"/>
  <c r="T82" i="15"/>
  <c r="S81" i="15"/>
  <c r="S90" i="15"/>
  <c r="S95" i="15"/>
  <c r="S87" i="15"/>
  <c r="S88" i="15"/>
  <c r="S93" i="15"/>
  <c r="S98" i="15"/>
  <c r="S96" i="15"/>
  <c r="S86" i="15"/>
  <c r="U101" i="17" l="1"/>
  <c r="U24" i="17"/>
  <c r="U100" i="17"/>
  <c r="U23" i="17"/>
  <c r="U99" i="17"/>
  <c r="U22" i="17"/>
  <c r="U98" i="17"/>
  <c r="U21" i="17"/>
  <c r="U97" i="17"/>
  <c r="U20" i="17"/>
  <c r="U96" i="17"/>
  <c r="U19" i="17"/>
  <c r="U95" i="17"/>
  <c r="U18" i="17"/>
  <c r="U94" i="17"/>
  <c r="U17" i="17"/>
  <c r="U93" i="17"/>
  <c r="U16" i="17"/>
  <c r="U92" i="17"/>
  <c r="U15" i="17"/>
  <c r="U91" i="17"/>
  <c r="U14" i="17"/>
  <c r="U90" i="17"/>
  <c r="U13" i="17"/>
  <c r="U89" i="17"/>
  <c r="U12" i="17"/>
  <c r="U88" i="17"/>
  <c r="U11" i="17"/>
  <c r="U87" i="17"/>
  <c r="U10" i="17"/>
  <c r="U86" i="17"/>
  <c r="U9" i="17"/>
  <c r="U85" i="17"/>
  <c r="U8" i="17"/>
  <c r="U84" i="17"/>
  <c r="U7" i="17"/>
  <c r="U83" i="17"/>
  <c r="U6" i="17"/>
  <c r="U82" i="17"/>
  <c r="U5" i="17"/>
  <c r="U81" i="17"/>
  <c r="U4" i="17"/>
  <c r="U80" i="17"/>
  <c r="U3" i="17"/>
  <c r="T85" i="15"/>
  <c r="R104" i="15"/>
  <c r="U97" i="15"/>
  <c r="T101" i="15"/>
  <c r="T94" i="15"/>
  <c r="T83" i="15"/>
  <c r="T88" i="15"/>
  <c r="T87" i="15"/>
  <c r="T95" i="15"/>
  <c r="T86" i="15"/>
  <c r="T90" i="15"/>
  <c r="U89" i="15"/>
  <c r="T96" i="15"/>
  <c r="T81" i="15"/>
  <c r="T100" i="15"/>
  <c r="T98" i="15"/>
  <c r="U82" i="15"/>
  <c r="T92" i="15"/>
  <c r="T93" i="15"/>
  <c r="T91" i="15"/>
  <c r="U80" i="15"/>
  <c r="U99" i="15"/>
  <c r="U84" i="15"/>
  <c r="V80" i="17" l="1"/>
  <c r="V3" i="17"/>
  <c r="V81" i="17"/>
  <c r="V4" i="17"/>
  <c r="V82" i="17"/>
  <c r="V5" i="17"/>
  <c r="V83" i="17"/>
  <c r="V6" i="17"/>
  <c r="V84" i="17"/>
  <c r="V7" i="17"/>
  <c r="V85" i="17"/>
  <c r="V8" i="17"/>
  <c r="V86" i="17"/>
  <c r="V9" i="17"/>
  <c r="V87" i="17"/>
  <c r="V10" i="17"/>
  <c r="V88" i="17"/>
  <c r="V11" i="17"/>
  <c r="V89" i="17"/>
  <c r="V12" i="17"/>
  <c r="V90" i="17"/>
  <c r="V13" i="17"/>
  <c r="V91" i="17"/>
  <c r="V14" i="17"/>
  <c r="V92" i="17"/>
  <c r="V15" i="17"/>
  <c r="V93" i="17"/>
  <c r="V16" i="17"/>
  <c r="V94" i="17"/>
  <c r="V17" i="17"/>
  <c r="V95" i="17"/>
  <c r="V18" i="17"/>
  <c r="V96" i="17"/>
  <c r="V19" i="17"/>
  <c r="V97" i="17"/>
  <c r="V20" i="17"/>
  <c r="V98" i="17"/>
  <c r="V21" i="17"/>
  <c r="V99" i="17"/>
  <c r="V22" i="17"/>
  <c r="V100" i="17"/>
  <c r="V23" i="17"/>
  <c r="V101" i="17"/>
  <c r="V24" i="17"/>
  <c r="P3" i="14"/>
  <c r="R37" i="14" s="1"/>
  <c r="R44" i="14" s="1"/>
  <c r="Q2" i="3" s="1"/>
  <c r="S104" i="15"/>
  <c r="U85" i="15"/>
  <c r="U91" i="15"/>
  <c r="U98" i="15"/>
  <c r="V89" i="15"/>
  <c r="U95" i="15"/>
  <c r="U94" i="15"/>
  <c r="U96" i="15"/>
  <c r="V84" i="15"/>
  <c r="V80" i="15"/>
  <c r="U83" i="15"/>
  <c r="U100" i="15"/>
  <c r="U90" i="15"/>
  <c r="V82" i="15"/>
  <c r="U86" i="15"/>
  <c r="U93" i="15"/>
  <c r="U87" i="15"/>
  <c r="U101" i="15"/>
  <c r="V99" i="15"/>
  <c r="U92" i="15"/>
  <c r="U81" i="15"/>
  <c r="U88" i="15"/>
  <c r="V97" i="15"/>
  <c r="W101" i="17" l="1"/>
  <c r="W24" i="17"/>
  <c r="W100" i="17"/>
  <c r="W23" i="17"/>
  <c r="W99" i="17"/>
  <c r="W22" i="17"/>
  <c r="W98" i="17"/>
  <c r="W21" i="17"/>
  <c r="W97" i="17"/>
  <c r="W20" i="17"/>
  <c r="W96" i="17"/>
  <c r="W19" i="17"/>
  <c r="W95" i="17"/>
  <c r="W18" i="17"/>
  <c r="W94" i="17"/>
  <c r="W17" i="17"/>
  <c r="W93" i="17"/>
  <c r="W16" i="17"/>
  <c r="W92" i="17"/>
  <c r="W15" i="17"/>
  <c r="W91" i="17"/>
  <c r="W14" i="17"/>
  <c r="W90" i="17"/>
  <c r="W13" i="17"/>
  <c r="W89" i="17"/>
  <c r="W12" i="17"/>
  <c r="W88" i="17"/>
  <c r="W11" i="17"/>
  <c r="W87" i="17"/>
  <c r="W10" i="17"/>
  <c r="W86" i="17"/>
  <c r="W9" i="17"/>
  <c r="W85" i="17"/>
  <c r="W8" i="17"/>
  <c r="W84" i="17"/>
  <c r="W7" i="17"/>
  <c r="W83" i="17"/>
  <c r="W6" i="17"/>
  <c r="W82" i="17"/>
  <c r="W5" i="17"/>
  <c r="W81" i="17"/>
  <c r="W4" i="17"/>
  <c r="W80" i="17"/>
  <c r="W3" i="17"/>
  <c r="Q3" i="14"/>
  <c r="S37" i="14" s="1"/>
  <c r="S44" i="14" s="1"/>
  <c r="R2" i="3" s="1"/>
  <c r="T104" i="15"/>
  <c r="V85" i="15"/>
  <c r="V87" i="15"/>
  <c r="W97" i="15"/>
  <c r="V92" i="15"/>
  <c r="V93" i="15"/>
  <c r="V100" i="15"/>
  <c r="V96" i="15"/>
  <c r="V98" i="15"/>
  <c r="W84" i="15"/>
  <c r="V90" i="15"/>
  <c r="V88" i="15"/>
  <c r="V83" i="15"/>
  <c r="V94" i="15"/>
  <c r="V81" i="15"/>
  <c r="W99" i="15"/>
  <c r="V86" i="15"/>
  <c r="V91" i="15"/>
  <c r="W89" i="15"/>
  <c r="V101" i="15"/>
  <c r="W82" i="15"/>
  <c r="W80" i="15"/>
  <c r="V95" i="15"/>
  <c r="X80" i="17" l="1"/>
  <c r="X3" i="17"/>
  <c r="X81" i="17"/>
  <c r="X4" i="17"/>
  <c r="X82" i="17"/>
  <c r="X5" i="17"/>
  <c r="X83" i="17"/>
  <c r="X6" i="17"/>
  <c r="X84" i="17"/>
  <c r="X7" i="17"/>
  <c r="X85" i="17"/>
  <c r="X8" i="17"/>
  <c r="X86" i="17"/>
  <c r="X9" i="17"/>
  <c r="X87" i="17"/>
  <c r="X10" i="17"/>
  <c r="X88" i="17"/>
  <c r="X11" i="17"/>
  <c r="X89" i="17"/>
  <c r="X12" i="17"/>
  <c r="X90" i="17"/>
  <c r="X13" i="17"/>
  <c r="X91" i="17"/>
  <c r="X14" i="17"/>
  <c r="X92" i="17"/>
  <c r="X15" i="17"/>
  <c r="X93" i="17"/>
  <c r="X16" i="17"/>
  <c r="X94" i="17"/>
  <c r="X17" i="17"/>
  <c r="X95" i="17"/>
  <c r="X18" i="17"/>
  <c r="X96" i="17"/>
  <c r="X19" i="17"/>
  <c r="X97" i="17"/>
  <c r="X20" i="17"/>
  <c r="X98" i="17"/>
  <c r="X21" i="17"/>
  <c r="X99" i="17"/>
  <c r="X22" i="17"/>
  <c r="X100" i="17"/>
  <c r="X23" i="17"/>
  <c r="X101" i="17"/>
  <c r="X24" i="17"/>
  <c r="R3" i="14"/>
  <c r="T37" i="14" s="1"/>
  <c r="T44" i="14" s="1"/>
  <c r="S2" i="3" s="1"/>
  <c r="W85" i="15"/>
  <c r="U104" i="15"/>
  <c r="W86" i="15"/>
  <c r="W83" i="15"/>
  <c r="W95" i="15"/>
  <c r="X99" i="15"/>
  <c r="X97" i="15"/>
  <c r="W101" i="15"/>
  <c r="W98" i="15"/>
  <c r="W92" i="15"/>
  <c r="W88" i="15"/>
  <c r="W96" i="15"/>
  <c r="X80" i="15"/>
  <c r="X89" i="15"/>
  <c r="W81" i="15"/>
  <c r="W90" i="15"/>
  <c r="W100" i="15"/>
  <c r="W87" i="15"/>
  <c r="X82" i="15"/>
  <c r="W91" i="15"/>
  <c r="W94" i="15"/>
  <c r="X84" i="15"/>
  <c r="W93" i="15"/>
  <c r="Y101" i="17" l="1"/>
  <c r="Y24" i="17"/>
  <c r="Y100" i="17"/>
  <c r="Y23" i="17"/>
  <c r="Y99" i="17"/>
  <c r="Y22" i="17"/>
  <c r="Y98" i="17"/>
  <c r="Y21" i="17"/>
  <c r="Y97" i="17"/>
  <c r="Y20" i="17"/>
  <c r="Y96" i="17"/>
  <c r="Y19" i="17"/>
  <c r="Y95" i="17"/>
  <c r="Y18" i="17"/>
  <c r="Y94" i="17"/>
  <c r="Y17" i="17"/>
  <c r="Y93" i="17"/>
  <c r="Y16" i="17"/>
  <c r="Y92" i="17"/>
  <c r="Y15" i="17"/>
  <c r="Y91" i="17"/>
  <c r="Y14" i="17"/>
  <c r="Y90" i="17"/>
  <c r="Y13" i="17"/>
  <c r="Y89" i="17"/>
  <c r="Y12" i="17"/>
  <c r="Y88" i="17"/>
  <c r="Y11" i="17"/>
  <c r="Y87" i="17"/>
  <c r="Y10" i="17"/>
  <c r="Y86" i="17"/>
  <c r="Y9" i="17"/>
  <c r="Y85" i="17"/>
  <c r="Y8" i="17"/>
  <c r="Y84" i="17"/>
  <c r="Y7" i="17"/>
  <c r="Y83" i="17"/>
  <c r="Y6" i="17"/>
  <c r="Y82" i="17"/>
  <c r="Y5" i="17"/>
  <c r="Y81" i="17"/>
  <c r="Y4" i="17"/>
  <c r="Y80" i="17"/>
  <c r="Y3" i="17"/>
  <c r="S3" i="14"/>
  <c r="U37" i="14" s="1"/>
  <c r="U44" i="14" s="1"/>
  <c r="T2" i="3" s="1"/>
  <c r="X85" i="15"/>
  <c r="V104" i="15"/>
  <c r="X92" i="15"/>
  <c r="X90" i="15"/>
  <c r="X96" i="15"/>
  <c r="X98" i="15"/>
  <c r="X95" i="15"/>
  <c r="X100" i="15"/>
  <c r="Y80" i="15"/>
  <c r="Y82" i="15"/>
  <c r="Y99" i="15"/>
  <c r="X91" i="15"/>
  <c r="X93" i="15"/>
  <c r="X101" i="15"/>
  <c r="X87" i="15"/>
  <c r="X81" i="15"/>
  <c r="X88" i="15"/>
  <c r="X83" i="15"/>
  <c r="Y84" i="15"/>
  <c r="Y97" i="15"/>
  <c r="X86" i="15"/>
  <c r="X94" i="15"/>
  <c r="Y89" i="15"/>
  <c r="Z80" i="17" l="1"/>
  <c r="Z3" i="17"/>
  <c r="Z81" i="17"/>
  <c r="Z4" i="17"/>
  <c r="Z82" i="17"/>
  <c r="Z5" i="17"/>
  <c r="Z83" i="17"/>
  <c r="Z6" i="17"/>
  <c r="Z84" i="17"/>
  <c r="Z7" i="17"/>
  <c r="Z85" i="17"/>
  <c r="Z8" i="17"/>
  <c r="Z86" i="17"/>
  <c r="Z9" i="17"/>
  <c r="Z87" i="17"/>
  <c r="Z10" i="17"/>
  <c r="Z88" i="17"/>
  <c r="Z11" i="17"/>
  <c r="Z89" i="17"/>
  <c r="Z12" i="17"/>
  <c r="Z90" i="17"/>
  <c r="Z13" i="17"/>
  <c r="Z91" i="17"/>
  <c r="Z14" i="17"/>
  <c r="Z92" i="17"/>
  <c r="Z15" i="17"/>
  <c r="Z93" i="17"/>
  <c r="Z16" i="17"/>
  <c r="Z94" i="17"/>
  <c r="Z17" i="17"/>
  <c r="Z95" i="17"/>
  <c r="Z18" i="17"/>
  <c r="Z96" i="17"/>
  <c r="Z19" i="17"/>
  <c r="Z97" i="17"/>
  <c r="Z20" i="17"/>
  <c r="Z98" i="17"/>
  <c r="Z21" i="17"/>
  <c r="Z99" i="17"/>
  <c r="Z22" i="17"/>
  <c r="Z100" i="17"/>
  <c r="Z23" i="17"/>
  <c r="Z101" i="17"/>
  <c r="Z24" i="17"/>
  <c r="T3" i="14"/>
  <c r="V37" i="14" s="1"/>
  <c r="V44" i="14" s="1"/>
  <c r="U2" i="3" s="1"/>
  <c r="W104" i="15"/>
  <c r="Y85" i="15"/>
  <c r="Y98" i="15"/>
  <c r="Y93" i="15"/>
  <c r="Y96" i="15"/>
  <c r="Y91" i="15"/>
  <c r="Y100" i="15"/>
  <c r="Y90" i="15"/>
  <c r="Y101" i="15"/>
  <c r="Z97" i="15"/>
  <c r="Z80" i="15"/>
  <c r="Z89" i="15"/>
  <c r="Y81" i="15"/>
  <c r="Z84" i="15"/>
  <c r="Y94" i="15"/>
  <c r="Y87" i="15"/>
  <c r="Z99" i="15"/>
  <c r="Y95" i="15"/>
  <c r="Y92" i="15"/>
  <c r="Y86" i="15"/>
  <c r="Z82" i="15"/>
  <c r="Y88" i="15"/>
  <c r="Y83" i="15"/>
  <c r="AA101" i="17" l="1"/>
  <c r="AA24" i="17"/>
  <c r="AA100" i="17"/>
  <c r="AA23" i="17"/>
  <c r="AA99" i="17"/>
  <c r="AA22" i="17"/>
  <c r="AA98" i="17"/>
  <c r="AA21" i="17"/>
  <c r="AA97" i="17"/>
  <c r="AA20" i="17"/>
  <c r="AA96" i="17"/>
  <c r="AA19" i="17"/>
  <c r="AA95" i="17"/>
  <c r="AA18" i="17"/>
  <c r="AA94" i="17"/>
  <c r="AA17" i="17"/>
  <c r="AA93" i="17"/>
  <c r="AA16" i="17"/>
  <c r="AA92" i="17"/>
  <c r="AA15" i="17"/>
  <c r="AA91" i="17"/>
  <c r="AA14" i="17"/>
  <c r="AA90" i="17"/>
  <c r="AA13" i="17"/>
  <c r="AA89" i="17"/>
  <c r="AA12" i="17"/>
  <c r="AA88" i="17"/>
  <c r="AA11" i="17"/>
  <c r="AA87" i="17"/>
  <c r="AA10" i="17"/>
  <c r="AA86" i="17"/>
  <c r="AA9" i="17"/>
  <c r="AA85" i="17"/>
  <c r="AA8" i="17"/>
  <c r="AA84" i="17"/>
  <c r="AA7" i="17"/>
  <c r="AA83" i="17"/>
  <c r="AA6" i="17"/>
  <c r="AA82" i="17"/>
  <c r="AA5" i="17"/>
  <c r="AA81" i="17"/>
  <c r="AA4" i="17"/>
  <c r="AA80" i="17"/>
  <c r="AA3" i="17"/>
  <c r="U3" i="14"/>
  <c r="W37" i="14" s="1"/>
  <c r="W44" i="14" s="1"/>
  <c r="V2" i="3" s="1"/>
  <c r="Z85" i="15"/>
  <c r="X104" i="15"/>
  <c r="Z96" i="15"/>
  <c r="Z87" i="15"/>
  <c r="Z86" i="15"/>
  <c r="Z101" i="15"/>
  <c r="Z83" i="15"/>
  <c r="Z92" i="15"/>
  <c r="Z94" i="15"/>
  <c r="AA89" i="15"/>
  <c r="Z93" i="15"/>
  <c r="Z90" i="15"/>
  <c r="Z88" i="15"/>
  <c r="AA84" i="15"/>
  <c r="AA80" i="15"/>
  <c r="Z100" i="15"/>
  <c r="Z98" i="15"/>
  <c r="Z95" i="15"/>
  <c r="AA82" i="15"/>
  <c r="AA99" i="15"/>
  <c r="Y104" i="15"/>
  <c r="Z81" i="15"/>
  <c r="AA97" i="15"/>
  <c r="Z91" i="15"/>
  <c r="AB80" i="17" l="1"/>
  <c r="AB3" i="17"/>
  <c r="AB81" i="17"/>
  <c r="AB4" i="17"/>
  <c r="AB82" i="17"/>
  <c r="AB5" i="17"/>
  <c r="AB83" i="17"/>
  <c r="AB6" i="17"/>
  <c r="AB84" i="17"/>
  <c r="AB7" i="17"/>
  <c r="AB85" i="17"/>
  <c r="AB8" i="17"/>
  <c r="AB86" i="17"/>
  <c r="AB9" i="17"/>
  <c r="AB87" i="17"/>
  <c r="AB10" i="17"/>
  <c r="AB88" i="17"/>
  <c r="AB11" i="17"/>
  <c r="AB89" i="17"/>
  <c r="AB12" i="17"/>
  <c r="AB90" i="17"/>
  <c r="AB13" i="17"/>
  <c r="AB91" i="17"/>
  <c r="AB14" i="17"/>
  <c r="AB92" i="17"/>
  <c r="AB15" i="17"/>
  <c r="AB93" i="17"/>
  <c r="AB16" i="17"/>
  <c r="AB94" i="17"/>
  <c r="AB17" i="17"/>
  <c r="AB95" i="17"/>
  <c r="AB18" i="17"/>
  <c r="AB96" i="17"/>
  <c r="AB19" i="17"/>
  <c r="AB97" i="17"/>
  <c r="AB20" i="17"/>
  <c r="AB98" i="17"/>
  <c r="AB21" i="17"/>
  <c r="AB99" i="17"/>
  <c r="AB22" i="17"/>
  <c r="AB100" i="17"/>
  <c r="AB23" i="17"/>
  <c r="AB101" i="17"/>
  <c r="AB24" i="17"/>
  <c r="V3" i="14"/>
  <c r="X37" i="14" s="1"/>
  <c r="X44" i="14" s="1"/>
  <c r="W2" i="3" s="1"/>
  <c r="W3" i="14"/>
  <c r="Y37" i="14" s="1"/>
  <c r="Y44" i="14" s="1"/>
  <c r="X2" i="3" s="1"/>
  <c r="AA85" i="15"/>
  <c r="AA86" i="15"/>
  <c r="AA88" i="15"/>
  <c r="AA100" i="15"/>
  <c r="AA90" i="15"/>
  <c r="AA92" i="15"/>
  <c r="AA87" i="15"/>
  <c r="AA98" i="15"/>
  <c r="AA94" i="15"/>
  <c r="AB99" i="15"/>
  <c r="AB82" i="15"/>
  <c r="AA91" i="15"/>
  <c r="AB80" i="15"/>
  <c r="AA93" i="15"/>
  <c r="AA83" i="15"/>
  <c r="AA96" i="15"/>
  <c r="AB97" i="15"/>
  <c r="AA95" i="15"/>
  <c r="AB84" i="15"/>
  <c r="AA101" i="15"/>
  <c r="AA81" i="15"/>
  <c r="AB89" i="15"/>
  <c r="AC101" i="17" l="1"/>
  <c r="AC24" i="17"/>
  <c r="AC100" i="17"/>
  <c r="AC23" i="17"/>
  <c r="AC99" i="17"/>
  <c r="AC22" i="17"/>
  <c r="AC98" i="17"/>
  <c r="AC21" i="17"/>
  <c r="AC97" i="17"/>
  <c r="AC20" i="17"/>
  <c r="AC96" i="17"/>
  <c r="AC19" i="17"/>
  <c r="AC95" i="17"/>
  <c r="AC18" i="17"/>
  <c r="AC94" i="17"/>
  <c r="AC17" i="17"/>
  <c r="AC93" i="17"/>
  <c r="AC16" i="17"/>
  <c r="AC92" i="17"/>
  <c r="AC15" i="17"/>
  <c r="AC91" i="17"/>
  <c r="AC14" i="17"/>
  <c r="AC90" i="17"/>
  <c r="AC13" i="17"/>
  <c r="AC89" i="17"/>
  <c r="AC12" i="17"/>
  <c r="AC88" i="17"/>
  <c r="AC11" i="17"/>
  <c r="AC87" i="17"/>
  <c r="AC10" i="17"/>
  <c r="AC86" i="17"/>
  <c r="AC9" i="17"/>
  <c r="AC85" i="17"/>
  <c r="AC8" i="17"/>
  <c r="AC84" i="17"/>
  <c r="AC7" i="17"/>
  <c r="AC83" i="17"/>
  <c r="AC6" i="17"/>
  <c r="AC82" i="17"/>
  <c r="AC5" i="17"/>
  <c r="AC81" i="17"/>
  <c r="AC4" i="17"/>
  <c r="AC80" i="17"/>
  <c r="AC3" i="17"/>
  <c r="AB85" i="15"/>
  <c r="Z104" i="15"/>
  <c r="AB101" i="15"/>
  <c r="AB96" i="15"/>
  <c r="AB91" i="15"/>
  <c r="AB98" i="15"/>
  <c r="AB100" i="15"/>
  <c r="AB90" i="15"/>
  <c r="AC89" i="15"/>
  <c r="AC80" i="15"/>
  <c r="AC82" i="15"/>
  <c r="AB94" i="15"/>
  <c r="AC84" i="15"/>
  <c r="AB87" i="15"/>
  <c r="AB81" i="15"/>
  <c r="AB95" i="15"/>
  <c r="AB93" i="15"/>
  <c r="AC99" i="15"/>
  <c r="AB86" i="15"/>
  <c r="AC97" i="15"/>
  <c r="AB83" i="15"/>
  <c r="AB88" i="15"/>
  <c r="AB92" i="15"/>
  <c r="AD80" i="17" l="1"/>
  <c r="AD3" i="17"/>
  <c r="AD81" i="17"/>
  <c r="AD4" i="17"/>
  <c r="AD82" i="17"/>
  <c r="AD5" i="17"/>
  <c r="AD83" i="17"/>
  <c r="AD6" i="17"/>
  <c r="AD84" i="17"/>
  <c r="AD7" i="17"/>
  <c r="AD85" i="17"/>
  <c r="AD8" i="17"/>
  <c r="AD86" i="17"/>
  <c r="AD9" i="17"/>
  <c r="AD87" i="17"/>
  <c r="AD10" i="17"/>
  <c r="AD88" i="17"/>
  <c r="AD11" i="17"/>
  <c r="AD89" i="17"/>
  <c r="AD12" i="17"/>
  <c r="AD90" i="17"/>
  <c r="AD13" i="17"/>
  <c r="AD91" i="17"/>
  <c r="AD14" i="17"/>
  <c r="AD92" i="17"/>
  <c r="AD15" i="17"/>
  <c r="AD93" i="17"/>
  <c r="AD16" i="17"/>
  <c r="AD94" i="17"/>
  <c r="AD17" i="17"/>
  <c r="AD95" i="17"/>
  <c r="AD18" i="17"/>
  <c r="AD96" i="17"/>
  <c r="AD19" i="17"/>
  <c r="AD97" i="17"/>
  <c r="AD20" i="17"/>
  <c r="AD98" i="17"/>
  <c r="AD21" i="17"/>
  <c r="AD99" i="17"/>
  <c r="AD22" i="17"/>
  <c r="AD100" i="17"/>
  <c r="AD23" i="17"/>
  <c r="AD101" i="17"/>
  <c r="AD24" i="17"/>
  <c r="X3" i="14"/>
  <c r="Z37" i="14" s="1"/>
  <c r="Z44" i="14" s="1"/>
  <c r="Y2" i="3" s="1"/>
  <c r="AC85" i="15"/>
  <c r="AA104" i="15"/>
  <c r="AC98" i="15"/>
  <c r="AC92" i="15"/>
  <c r="AC86" i="15"/>
  <c r="AC81" i="15"/>
  <c r="AD82" i="15"/>
  <c r="AC96" i="15"/>
  <c r="AC93" i="15"/>
  <c r="AD97" i="15"/>
  <c r="AC90" i="15"/>
  <c r="AC95" i="15"/>
  <c r="AC91" i="15"/>
  <c r="AC88" i="15"/>
  <c r="AC87" i="15"/>
  <c r="AD80" i="15"/>
  <c r="AC100" i="15"/>
  <c r="AC101" i="15"/>
  <c r="AC94" i="15"/>
  <c r="AD99" i="15"/>
  <c r="AC83" i="15"/>
  <c r="AD84" i="15"/>
  <c r="AD89" i="15"/>
  <c r="AE101" i="17" l="1"/>
  <c r="AE24" i="17"/>
  <c r="AE100" i="17"/>
  <c r="AE23" i="17"/>
  <c r="AE99" i="17"/>
  <c r="AE22" i="17"/>
  <c r="AE98" i="17"/>
  <c r="AE21" i="17"/>
  <c r="AE97" i="17"/>
  <c r="AE20" i="17"/>
  <c r="AE96" i="17"/>
  <c r="AE19" i="17"/>
  <c r="AE95" i="17"/>
  <c r="AE18" i="17"/>
  <c r="AE94" i="17"/>
  <c r="AE17" i="17"/>
  <c r="AE93" i="17"/>
  <c r="AE16" i="17"/>
  <c r="AE92" i="17"/>
  <c r="AE15" i="17"/>
  <c r="AE91" i="17"/>
  <c r="AE14" i="17"/>
  <c r="AE90" i="17"/>
  <c r="AE13" i="17"/>
  <c r="AE89" i="17"/>
  <c r="AE12" i="17"/>
  <c r="AE88" i="17"/>
  <c r="AE11" i="17"/>
  <c r="AE87" i="17"/>
  <c r="AE10" i="17"/>
  <c r="AE86" i="17"/>
  <c r="AE9" i="17"/>
  <c r="AE85" i="17"/>
  <c r="AE8" i="17"/>
  <c r="AE84" i="17"/>
  <c r="AE7" i="17"/>
  <c r="AE83" i="17"/>
  <c r="AE6" i="17"/>
  <c r="AE82" i="17"/>
  <c r="AE5" i="17"/>
  <c r="AE81" i="17"/>
  <c r="AE4" i="17"/>
  <c r="AE80" i="17"/>
  <c r="AE3" i="17"/>
  <c r="AB104" i="15"/>
  <c r="Z3" i="14" s="1"/>
  <c r="AB37" i="14" s="1"/>
  <c r="AB44" i="14" s="1"/>
  <c r="AA2" i="3" s="1"/>
  <c r="Y3" i="14"/>
  <c r="AA37" i="14" s="1"/>
  <c r="AA44" i="14" s="1"/>
  <c r="Z2" i="3" s="1"/>
  <c r="AD85" i="15"/>
  <c r="AE99" i="15"/>
  <c r="AD91" i="15"/>
  <c r="AE80" i="15"/>
  <c r="AD95" i="15"/>
  <c r="AD96" i="15"/>
  <c r="AD86" i="15"/>
  <c r="AD93" i="15"/>
  <c r="AE89" i="15"/>
  <c r="AE84" i="15"/>
  <c r="AD90" i="15"/>
  <c r="AD101" i="15"/>
  <c r="AD88" i="15"/>
  <c r="AE97" i="15"/>
  <c r="AE82" i="15"/>
  <c r="AD98" i="15"/>
  <c r="AD100" i="15"/>
  <c r="AD81" i="15"/>
  <c r="AD87" i="15"/>
  <c r="AD92" i="15"/>
  <c r="AD94" i="15"/>
  <c r="AD83" i="15"/>
  <c r="AF80" i="17" l="1"/>
  <c r="AF3" i="17"/>
  <c r="AG80" i="17" s="1"/>
  <c r="AF81" i="17"/>
  <c r="AF4" i="17"/>
  <c r="AG81" i="17" s="1"/>
  <c r="AF82" i="17"/>
  <c r="AF5" i="17"/>
  <c r="AG82" i="17" s="1"/>
  <c r="AF83" i="17"/>
  <c r="AF6" i="17"/>
  <c r="AG83" i="17" s="1"/>
  <c r="AF84" i="17"/>
  <c r="AF7" i="17"/>
  <c r="AG84" i="17" s="1"/>
  <c r="AF85" i="17"/>
  <c r="AF8" i="17"/>
  <c r="AG85" i="17" s="1"/>
  <c r="AF86" i="17"/>
  <c r="AF9" i="17"/>
  <c r="AG86" i="17" s="1"/>
  <c r="AF87" i="17"/>
  <c r="AF10" i="17"/>
  <c r="AG87" i="17" s="1"/>
  <c r="AF88" i="17"/>
  <c r="AF11" i="17"/>
  <c r="AG88" i="17" s="1"/>
  <c r="AF89" i="17"/>
  <c r="AF12" i="17"/>
  <c r="AG89" i="17" s="1"/>
  <c r="AF90" i="17"/>
  <c r="AF13" i="17"/>
  <c r="AG90" i="17" s="1"/>
  <c r="AF91" i="17"/>
  <c r="AF14" i="17"/>
  <c r="AG91" i="17" s="1"/>
  <c r="AF92" i="17"/>
  <c r="AF15" i="17"/>
  <c r="AG92" i="17" s="1"/>
  <c r="AF93" i="17"/>
  <c r="AF16" i="17"/>
  <c r="AG93" i="17" s="1"/>
  <c r="AF94" i="17"/>
  <c r="AF17" i="17"/>
  <c r="AG94" i="17" s="1"/>
  <c r="AF95" i="17"/>
  <c r="AF18" i="17"/>
  <c r="AG95" i="17" s="1"/>
  <c r="AF96" i="17"/>
  <c r="AF19" i="17"/>
  <c r="AG96" i="17" s="1"/>
  <c r="AF97" i="17"/>
  <c r="AF20" i="17"/>
  <c r="AG97" i="17" s="1"/>
  <c r="AF98" i="17"/>
  <c r="AF21" i="17"/>
  <c r="AG98" i="17" s="1"/>
  <c r="AF99" i="17"/>
  <c r="AF22" i="17"/>
  <c r="AG99" i="17" s="1"/>
  <c r="AF100" i="17"/>
  <c r="AF23" i="17"/>
  <c r="AG100" i="17" s="1"/>
  <c r="AF101" i="17"/>
  <c r="AF24" i="17"/>
  <c r="AG101" i="17" s="1"/>
  <c r="AC104" i="15"/>
  <c r="AE85" i="15"/>
  <c r="AE100" i="15"/>
  <c r="AE98" i="15"/>
  <c r="AE95" i="15"/>
  <c r="AF80" i="15"/>
  <c r="AE92" i="15"/>
  <c r="AE93" i="15"/>
  <c r="AE87" i="15"/>
  <c r="AE90" i="15"/>
  <c r="AE94" i="15"/>
  <c r="AE81" i="15"/>
  <c r="AF97" i="15"/>
  <c r="AF84" i="15"/>
  <c r="AE101" i="15"/>
  <c r="AE83" i="15"/>
  <c r="AF82" i="15"/>
  <c r="AE86" i="15"/>
  <c r="AE96" i="15"/>
  <c r="AF99" i="15"/>
  <c r="AE91" i="15"/>
  <c r="AE88" i="15"/>
  <c r="AF89" i="15"/>
  <c r="AA3" i="14" l="1"/>
  <c r="AC37" i="14" s="1"/>
  <c r="AC44" i="14" s="1"/>
  <c r="AB2" i="3" s="1"/>
  <c r="AD104" i="15"/>
  <c r="AF85" i="15"/>
  <c r="AG99" i="15"/>
  <c r="AF93" i="15"/>
  <c r="AF95" i="15"/>
  <c r="AG80" i="15"/>
  <c r="AG97" i="15"/>
  <c r="AF81" i="15"/>
  <c r="AF96" i="15"/>
  <c r="AF98" i="15"/>
  <c r="AF88" i="15"/>
  <c r="AF86" i="15"/>
  <c r="AG84" i="15"/>
  <c r="AF90" i="15"/>
  <c r="AF92" i="15"/>
  <c r="AF83" i="15"/>
  <c r="AG89" i="15"/>
  <c r="AF94" i="15"/>
  <c r="AF101" i="15"/>
  <c r="AF100" i="15"/>
  <c r="AF91" i="15"/>
  <c r="AG82" i="15"/>
  <c r="AF87" i="15"/>
  <c r="AB3" i="14" l="1"/>
  <c r="AD37" i="14" s="1"/>
  <c r="AD44" i="14" s="1"/>
  <c r="AC2" i="3" s="1"/>
  <c r="AE104" i="15"/>
  <c r="AG85" i="15"/>
  <c r="AG98" i="15"/>
  <c r="AG91" i="15"/>
  <c r="AG94" i="15"/>
  <c r="AG96" i="15"/>
  <c r="AG95" i="15"/>
  <c r="AG90" i="15"/>
  <c r="AG100" i="15"/>
  <c r="AG81" i="15"/>
  <c r="AG87" i="15"/>
  <c r="AG93" i="15"/>
  <c r="AG92" i="15"/>
  <c r="AG88" i="15"/>
  <c r="AG83" i="15"/>
  <c r="AG86" i="15"/>
  <c r="AG101" i="15"/>
  <c r="AC3" i="14" l="1"/>
  <c r="AE37" i="14" s="1"/>
  <c r="AE44" i="14" s="1"/>
  <c r="AD2" i="3" s="1"/>
  <c r="AG104" i="15"/>
  <c r="AF104" i="15"/>
  <c r="AD3" i="14" l="1"/>
  <c r="AF37" i="14" s="1"/>
  <c r="AF44" i="14" s="1"/>
  <c r="AE2" i="3" s="1"/>
  <c r="AE3" i="14"/>
  <c r="AG37" i="14" s="1"/>
  <c r="AG44" i="14" s="1"/>
  <c r="AF2" i="3" s="1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F9CE82-1281-3849-B9EA-D2248A192C5F}" keepAlive="1" name="Query - tabula-2101 (1)" description="Connection to the 'tabula-2101 (1)' query in the workbook." type="5" refreshedVersion="0" background="1" saveData="1">
    <dbPr connection="Provider=Microsoft.Mashup.OleDb.1;Data Source=$Workbook$;Location=&quot;tabula-2101 (1)&quot;;Extended Properties=&quot;&quot;" command="SELECT * FROM [tabula-2101 (1)]"/>
  </connection>
</connections>
</file>

<file path=xl/sharedStrings.xml><?xml version="1.0" encoding="utf-8"?>
<sst xmlns="http://schemas.openxmlformats.org/spreadsheetml/2006/main" count="553" uniqueCount="133">
  <si>
    <t>BESP BAU EV Subsidy Percentage</t>
  </si>
  <si>
    <t>Sources:</t>
  </si>
  <si>
    <t>Federal Tax Credit Methodology</t>
  </si>
  <si>
    <t>Ernst and Young</t>
  </si>
  <si>
    <t>Federal revenue estimates for potential changes to the plug-in electric drive vehicle tax credit</t>
  </si>
  <si>
    <t>https://www.afpm.org/sites/default/files/issue_resources/EV-Tax-May2019.pdf</t>
  </si>
  <si>
    <t>Historial Sales by Manufacturer</t>
  </si>
  <si>
    <t>Argonne National Laboratory</t>
  </si>
  <si>
    <t>Data provided on request</t>
  </si>
  <si>
    <t>State Rebate Amounts</t>
  </si>
  <si>
    <t>EnergySage</t>
  </si>
  <si>
    <t>Electric car tax credits and incentives</t>
  </si>
  <si>
    <t>https://www.energysage.com/electric-vehicles/costs-and-benefits-evs/ev-tax-credits/</t>
  </si>
  <si>
    <t>Tesla</t>
  </si>
  <si>
    <t>Electric Vehicle &amp; Solar Incentives</t>
  </si>
  <si>
    <t>https://www.tesla.com/support/incentives</t>
  </si>
  <si>
    <t>Notes</t>
  </si>
  <si>
    <t>The U.S. only has BAU subsidies for passenger LDVs, not other vehicle types.</t>
  </si>
  <si>
    <t>We account for both federal and state-level subsidies for EVs but not for</t>
  </si>
  <si>
    <t>charging equipment.</t>
  </si>
  <si>
    <t>For assumptions governing EV tax credit phase-out, see the "Data" tab.</t>
  </si>
  <si>
    <t>2020 to 2012 USD (see cpi.xlsx)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</si>
  <si>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</si>
  <si>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</si>
  <si>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</si>
  <si>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</si>
  <si>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State Rebates + Tax Credits Updated 8/11/2021</t>
  </si>
  <si>
    <t>TC</t>
  </si>
  <si>
    <t>Rebates</t>
  </si>
  <si>
    <t>Note: Could be an optimistic estimate</t>
  </si>
  <si>
    <t>State</t>
  </si>
  <si>
    <t>Population, millions (June 2022)</t>
  </si>
  <si>
    <t>Category</t>
  </si>
  <si>
    <t>CO</t>
  </si>
  <si>
    <t>LDV</t>
  </si>
  <si>
    <t>Note: average of cars and truck subsidies, which are different</t>
  </si>
  <si>
    <t>CT</t>
  </si>
  <si>
    <t>https://afdc.energy.gov/laws/11609</t>
  </si>
  <si>
    <t>DE</t>
  </si>
  <si>
    <t>NY</t>
  </si>
  <si>
    <t>Subsidy goes up to 2000 based on battery</t>
  </si>
  <si>
    <t>TX</t>
  </si>
  <si>
    <t>Note: only 1 year program</t>
  </si>
  <si>
    <t>CA</t>
  </si>
  <si>
    <t>LA</t>
  </si>
  <si>
    <t>ME</t>
  </si>
  <si>
    <t>MD</t>
  </si>
  <si>
    <t>MA</t>
  </si>
  <si>
    <t>NJ</t>
  </si>
  <si>
    <t>OR</t>
  </si>
  <si>
    <t>VT</t>
  </si>
  <si>
    <t>Note: Up to 4000</t>
  </si>
  <si>
    <t>Rest of country</t>
  </si>
  <si>
    <t>USA</t>
  </si>
  <si>
    <t>Note: Pennsylvania offers a $1750 rebate, but only to the first 250 qualified applicants.</t>
  </si>
  <si>
    <t>Pop-Weighted State Avg Tax Credit</t>
  </si>
  <si>
    <t>Total Tax Credit (2012$)</t>
  </si>
  <si>
    <t>Time (Year)</t>
  </si>
  <si>
    <t>New Vehicle Price after RnD[LDVs,passenger,battery electric vehicle] : MostRecentRun</t>
  </si>
  <si>
    <t>Approximate EV Subsidy Percentage</t>
  </si>
  <si>
    <t xml:space="preserve">Government EV Subsidy (First Registration Tax Scheme) </t>
  </si>
  <si>
    <t xml:space="preserve">$97,500 </t>
  </si>
  <si>
    <t xml:space="preserve">Government EV Subsidy (One-for-One Replacement Scheme) </t>
  </si>
  <si>
    <t>allows old PCs to be scrapped and de-registered and registered with a new EV for a higher FRT concession)</t>
  </si>
  <si>
    <t>$287,500</t>
  </si>
  <si>
    <t xml:space="preserve">Approximate EV Subsidy Percentage </t>
  </si>
  <si>
    <t>Projected Cumulative Sales</t>
  </si>
  <si>
    <t>GM (Cadillac and Chevrolet)</t>
  </si>
  <si>
    <t>Nissan</t>
  </si>
  <si>
    <t>Toyota</t>
  </si>
  <si>
    <t>Ford</t>
  </si>
  <si>
    <t>BMW N. America</t>
  </si>
  <si>
    <t>FCA (Chrysler and Fiat)</t>
  </si>
  <si>
    <t>Honda</t>
  </si>
  <si>
    <t>Audi</t>
  </si>
  <si>
    <t>Hyundai</t>
  </si>
  <si>
    <t>Kia</t>
  </si>
  <si>
    <t>Volvo</t>
  </si>
  <si>
    <t>Porsche</t>
  </si>
  <si>
    <t>Volkswagon</t>
  </si>
  <si>
    <t>Merdeces-Benz</t>
  </si>
  <si>
    <t>Mitsubishi</t>
  </si>
  <si>
    <t>Smart USA</t>
  </si>
  <si>
    <t>Jaguar Land Rover</t>
  </si>
  <si>
    <t>Subaru</t>
  </si>
  <si>
    <t>Rivian</t>
  </si>
  <si>
    <t>Lucid</t>
  </si>
  <si>
    <t>Mazda</t>
  </si>
  <si>
    <t>BAU Projected Sales in EPS</t>
  </si>
  <si>
    <t>New Vehicles[LDVs,passenger,battery electric vehicle] : MostRecentRun</t>
  </si>
  <si>
    <t>New Vehicles[LDVs,passenger,plugin hybrid vehicle] : MostRecentRun</t>
  </si>
  <si>
    <t>Projected Annual BEV Sales by Manufacturer</t>
  </si>
  <si>
    <t>Projected Annual PHEV Sales by Manufacturer</t>
  </si>
  <si>
    <t>Projected BEV Credit By Manufacturer</t>
  </si>
  <si>
    <t>Weighted Average Credit</t>
  </si>
  <si>
    <t>Data summarized by Argonne National Laboratory, 6/22/2022, contact yzhou@anl.gov</t>
  </si>
  <si>
    <t>PEV</t>
  </si>
  <si>
    <t>Manufacturer</t>
  </si>
  <si>
    <t>2022*</t>
  </si>
  <si>
    <t>Total</t>
  </si>
  <si>
    <t>Percentage of Total, 2021</t>
  </si>
  <si>
    <t>BEV Only</t>
  </si>
  <si>
    <t>Percentage of 2021 Sales</t>
  </si>
  <si>
    <t>PHEV Only</t>
  </si>
  <si>
    <t>NOTE Hong Kong doesn't have the exact number so the numbers were taken by how many of the cars were registered throughout the year</t>
  </si>
  <si>
    <t>TOTAL</t>
  </si>
  <si>
    <t>% of total 2021 Sales</t>
  </si>
  <si>
    <t xml:space="preserve">Euauto </t>
  </si>
  <si>
    <t xml:space="preserve">BMW </t>
  </si>
  <si>
    <t>Renault</t>
  </si>
  <si>
    <t>Lotus</t>
  </si>
  <si>
    <t>BYD</t>
  </si>
  <si>
    <t>ORA</t>
  </si>
  <si>
    <t>Tazzari</t>
  </si>
  <si>
    <t>Maxus</t>
  </si>
  <si>
    <t>MG</t>
  </si>
  <si>
    <t>Mercedes-Benz</t>
  </si>
  <si>
    <t xml:space="preserve">Jaguar  </t>
  </si>
  <si>
    <t>KIA</t>
  </si>
  <si>
    <t>JOYLONG</t>
  </si>
  <si>
    <t>Mini</t>
  </si>
  <si>
    <t>Lexus</t>
  </si>
  <si>
    <t>Polestar</t>
  </si>
  <si>
    <t>DFSK</t>
  </si>
  <si>
    <t>Peugot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</si>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</sst>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.00_);_(&quot;$&quot;* \(#,##0.00\);_(&quot;$&quot;* &quot;-&quot;??_);_(@_)"/>
    <numFmt numFmtId="166" formatCode="0.0%"/>
    <numFmt numFmtId="167" formatCode="0.000"/>
    <numFmt numFmtId="168" formatCode="_(&quot;$&quot;* #,##0_);_(&quot;$&quot;* \(#,##0\);_(&quot;$&quot;* &quot;-&quot;??_);_(@_)"/>
    <numFmt numFmtId="169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164" fontId="2" fillId="0" borderId="0" xfId="0" applyNumberFormat="1" applyFont="1"/>
    <xf numFmtId="164" fontId="3" fillId="0" borderId="0" xfId="0" applyNumberFormat="1" applyFont="1"/>
    <xf numFmtId="9" fontId="0" fillId="0" borderId="0" xfId="1" applyFont="1"/>
    <xf numFmtId="166" fontId="0" fillId="0" borderId="0" xfId="1" applyNumberFormat="1" applyFont="1"/>
    <xf numFmtId="167" fontId="0" fillId="0" borderId="0" xfId="0" applyNumberFormat="1"/>
    <xf numFmtId="166" fontId="0" fillId="0" borderId="0" xfId="0" applyNumberFormat="1"/>
    <xf numFmtId="1" fontId="0" fillId="0" borderId="0" xfId="0" applyNumberFormat="1"/>
    <xf numFmtId="11" fontId="0" fillId="0" borderId="0" xfId="0" applyNumberFormat="1"/>
    <xf numFmtId="168" fontId="0" fillId="0" borderId="0" xfId="2" applyNumberFormat="1" applyFont="1"/>
    <xf numFmtId="0" fontId="4" fillId="0" borderId="0" xfId="3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166" fontId="5" fillId="0" borderId="0" xfId="0" applyNumberFormat="1" applyFont="1"/>
    <xf numFmtId="169" fontId="5" fillId="0" borderId="0" xfId="0" applyNumberFormat="1" applyFont="1"/>
    <xf numFmtId="9" fontId="5" fillId="0" borderId="0" xfId="0" applyNumberFormat="1" applyFont="1"/>
    <xf numFmtId="0" fontId="8" fillId="0" borderId="0" xfId="0" applyFont="1"/>
    <xf numFmtId="38" fontId="5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9" fillId="0" borderId="0" xfId="0" applyFont="1"/>
  </cellXfs>
  <cellStyles count="4">
    <cellStyle name="Currency" xfId="2" builtinId="4"/>
    <cellStyle name="Hyperlink" xfId="3" builtinId="8"/>
    <cellStyle name="Normal" xfId="0" builtinId="0"/>
    <cellStyle name="Per cent" xfId="1" builtinId="5"/>
  </cellStyles>
  <dxfs count="4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E7" sqref="E7"/>
    </sheetView>
  </sheetViews>
  <sheetFormatPr baseColWidth="10" defaultColWidth="9.1640625" defaultRowHeight="15" x14ac:dyDescent="0.2"/>
  <cols>
    <col min="2" max="2" width="70.83203125" style="3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4" t="s">
        <v>2</v>
      </c>
    </row>
    <row r="4" spans="1:2" x14ac:dyDescent="0.2">
      <c r="B4" s="3" t="s">
        <v>3</v>
      </c>
    </row>
    <row r="5" spans="1:2" x14ac:dyDescent="0.2">
      <c r="B5" s="3">
        <v>2019</v>
      </c>
    </row>
    <row r="6" spans="1:2" x14ac:dyDescent="0.2">
      <c r="B6" s="3" t="s">
        <v>4</v>
      </c>
    </row>
    <row r="7" spans="1:2" x14ac:dyDescent="0.2">
      <c r="B7" s="14" t="s">
        <v>5</v>
      </c>
    </row>
    <row r="9" spans="1:2" x14ac:dyDescent="0.2">
      <c r="B9" s="4" t="s">
        <v>6</v>
      </c>
    </row>
    <row r="10" spans="1:2" x14ac:dyDescent="0.2">
      <c r="B10" s="3" t="s">
        <v>7</v>
      </c>
    </row>
    <row r="11" spans="1:2" x14ac:dyDescent="0.2">
      <c r="B11" s="3">
        <v>2022</v>
      </c>
    </row>
    <row r="12" spans="1:2" x14ac:dyDescent="0.2">
      <c r="B12" s="3" t="s">
        <v>8</v>
      </c>
    </row>
    <row r="14" spans="1:2" x14ac:dyDescent="0.2">
      <c r="B14" s="4" t="s">
        <v>9</v>
      </c>
    </row>
    <row r="15" spans="1:2" x14ac:dyDescent="0.2">
      <c r="B15" s="3" t="s">
        <v>10</v>
      </c>
    </row>
    <row r="16" spans="1:2" x14ac:dyDescent="0.2">
      <c r="B16" s="3">
        <v>2021</v>
      </c>
    </row>
    <row r="17" spans="1:2" x14ac:dyDescent="0.2">
      <c r="B17" s="3" t="s">
        <v>11</v>
      </c>
    </row>
    <row r="18" spans="1:2" x14ac:dyDescent="0.2">
      <c r="B18" s="3" t="s">
        <v>12</v>
      </c>
    </row>
    <row r="20" spans="1:2" x14ac:dyDescent="0.2">
      <c r="B20" s="3" t="s">
        <v>13</v>
      </c>
    </row>
    <row r="21" spans="1:2" x14ac:dyDescent="0.2">
      <c r="B21" s="3">
        <v>2022</v>
      </c>
    </row>
    <row r="22" spans="1:2" x14ac:dyDescent="0.2">
      <c r="B22" s="3" t="s">
        <v>14</v>
      </c>
    </row>
    <row r="23" spans="1:2" x14ac:dyDescent="0.2">
      <c r="B23" s="3" t="s">
        <v>15</v>
      </c>
    </row>
    <row r="26" spans="1:2" x14ac:dyDescent="0.2">
      <c r="A26" s="1" t="s">
        <v>16</v>
      </c>
    </row>
    <row r="27" spans="1:2" x14ac:dyDescent="0.2">
      <c r="A27" t="s">
        <v>17</v>
      </c>
    </row>
    <row r="28" spans="1:2" x14ac:dyDescent="0.2">
      <c r="A28" t="s">
        <v>18</v>
      </c>
    </row>
    <row r="29" spans="1:2" x14ac:dyDescent="0.2">
      <c r="A29" t="s">
        <v>19</v>
      </c>
    </row>
    <row r="31" spans="1:2" x14ac:dyDescent="0.2">
      <c r="A31" t="s">
        <v>20</v>
      </c>
    </row>
    <row r="33" spans="1:7" ht="64" x14ac:dyDescent="0.2">
      <c r="A33" s="16" t="s">
        <v>21</v>
      </c>
      <c r="B33">
        <v>0.88711067149387013</v>
      </c>
      <c r="G33" s="9"/>
    </row>
  </sheetData>
  <hyperlinks>
    <hyperlink ref="B7" r:id="rId1" xr:uid="{46B1652F-1293-4993-B22D-4C9CA98A8E4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9777-6736-4DB7-8B53-A8DD7BE296D6}">
  <dimension ref="A1:AG63"/>
  <sheetViews>
    <sheetView workbookViewId="0">
      <selection activeCell="C3" sqref="C3"/>
    </sheetView>
  </sheetViews>
  <sheetFormatPr baseColWidth="10" defaultColWidth="8.6640625" defaultRowHeight="15" x14ac:dyDescent="0.2"/>
  <cols>
    <col min="1" max="1" width="50.5" customWidth="1"/>
    <col min="2" max="2" width="15.6640625" customWidth="1"/>
    <col min="3" max="3" width="19.1640625" customWidth="1"/>
  </cols>
  <sheetData>
    <row r="1" spans="1:31" x14ac:dyDescent="0.2">
      <c r="A1" s="1" t="s">
        <v>22</v>
      </c>
    </row>
    <row r="2" spans="1:31" x14ac:dyDescent="0.2">
      <c r="A2">
        <v>2020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">
      <c r="A3" s="2">
        <f>'Baseline Calculations'!C104</f>
        <v>1066.1676835021071</v>
      </c>
      <c r="B3" s="2">
        <f>'Baseline Calculations'!D104</f>
        <v>1856.0233411543468</v>
      </c>
      <c r="C3" s="2">
        <f>'Baseline Calculations'!E104</f>
        <v>1578.300959198687</v>
      </c>
      <c r="D3" s="2">
        <f>'Baseline Calculations'!F104</f>
        <v>1230.8383357347759</v>
      </c>
      <c r="E3" s="2">
        <f>'Baseline Calculations'!G104</f>
        <v>626.81536567953572</v>
      </c>
      <c r="F3" s="2">
        <f>'Baseline Calculations'!H104</f>
        <v>144.46746734110212</v>
      </c>
      <c r="G3" s="2">
        <f>'Baseline Calculations'!I104</f>
        <v>33.447891591177203</v>
      </c>
      <c r="H3" s="2">
        <f>'Baseline Calculations'!J104</f>
        <v>33.447891591177196</v>
      </c>
      <c r="I3" s="2">
        <f>'Baseline Calculations'!K104</f>
        <v>33.447891591177196</v>
      </c>
      <c r="J3" s="2">
        <f>'Baseline Calculations'!L104</f>
        <v>33.447891591177182</v>
      </c>
      <c r="K3" s="2">
        <f>'Baseline Calculations'!M104</f>
        <v>33.447891591177203</v>
      </c>
      <c r="L3" s="2">
        <f>'Baseline Calculations'!N104</f>
        <v>33.447891591177196</v>
      </c>
      <c r="M3" s="2">
        <f>'Baseline Calculations'!O104</f>
        <v>33.437689086421472</v>
      </c>
      <c r="N3" s="2">
        <f>'Baseline Calculations'!P104</f>
        <v>33.431567583568039</v>
      </c>
      <c r="O3" s="2">
        <f>'Baseline Calculations'!Q104</f>
        <v>33.431567583568032</v>
      </c>
      <c r="P3" s="2">
        <f>'Baseline Calculations'!R104</f>
        <v>22.596507532985374</v>
      </c>
      <c r="Q3" s="2">
        <f>'Baseline Calculations'!S104</f>
        <v>16.095471502635785</v>
      </c>
      <c r="R3" s="2">
        <f>'Baseline Calculations'!T104</f>
        <v>16.095471502635785</v>
      </c>
      <c r="S3" s="2">
        <f>'Baseline Calculations'!U104</f>
        <v>16.095471502635782</v>
      </c>
      <c r="T3" s="2">
        <f>'Baseline Calculations'!V104</f>
        <v>16.095471502635782</v>
      </c>
      <c r="U3" s="2">
        <f>'Baseline Calculations'!W104</f>
        <v>16.095471502635789</v>
      </c>
      <c r="V3" s="2">
        <f>'Baseline Calculations'!X104</f>
        <v>16.095471502635782</v>
      </c>
      <c r="W3" s="2">
        <f>'Baseline Calculations'!Y104</f>
        <v>16.095471502635782</v>
      </c>
      <c r="X3" s="2">
        <f>'Baseline Calculations'!Z104</f>
        <v>16.095471502635782</v>
      </c>
      <c r="Y3" s="2">
        <f>'Baseline Calculations'!AA104</f>
        <v>16.095471502635782</v>
      </c>
      <c r="Z3" s="2">
        <f>'Baseline Calculations'!AB104</f>
        <v>16.095471502635782</v>
      </c>
      <c r="AA3" s="2">
        <f>'Baseline Calculations'!AC104</f>
        <v>16.095471502635782</v>
      </c>
      <c r="AB3" s="2">
        <f>'Baseline Calculations'!AD104</f>
        <v>16.095471502635778</v>
      </c>
      <c r="AC3" s="2">
        <f>'Baseline Calculations'!AE104</f>
        <v>11.718596962428663</v>
      </c>
      <c r="AD3" s="2">
        <f>'Baseline Calculations'!AF104</f>
        <v>9.0924722383043886</v>
      </c>
      <c r="AE3" s="2">
        <f>'Baseline Calculations'!AG104</f>
        <v>9.0924722383043903</v>
      </c>
    </row>
    <row r="4" spans="1:31" x14ac:dyDescent="0.2">
      <c r="A4" s="2"/>
    </row>
    <row r="5" spans="1:31" x14ac:dyDescent="0.2">
      <c r="A5" s="5" t="s">
        <v>23</v>
      </c>
    </row>
    <row r="6" spans="1:31" x14ac:dyDescent="0.2">
      <c r="A6" s="2" t="s">
        <v>24</v>
      </c>
    </row>
    <row r="7" spans="1:31" x14ac:dyDescent="0.2">
      <c r="A7" s="2" t="s">
        <v>25</v>
      </c>
    </row>
    <row r="8" spans="1:31" x14ac:dyDescent="0.2">
      <c r="A8" s="18" t="s">
        <v>26</v>
      </c>
      <c r="B8" s="18"/>
    </row>
    <row r="9" spans="1:31" x14ac:dyDescent="0.2">
      <c r="A9" s="17" t="s">
        <v>27</v>
      </c>
      <c r="B9" s="17"/>
      <c r="C9" s="19" t="s">
        <v>12</v>
      </c>
    </row>
    <row r="10" spans="1:31" x14ac:dyDescent="0.2">
      <c r="A10" s="17" t="s">
        <v>28</v>
      </c>
      <c r="B10" s="17"/>
      <c r="C10" s="19" t="s">
        <v>15</v>
      </c>
    </row>
    <row r="11" spans="1:31" x14ac:dyDescent="0.2">
      <c r="A11" s="17" t="s">
        <v>29</v>
      </c>
      <c r="B11" s="17"/>
    </row>
    <row r="12" spans="1:31" x14ac:dyDescent="0.2">
      <c r="A12" s="17" t="s">
        <v>30</v>
      </c>
      <c r="B12" s="17" t="s">
        <v>31</v>
      </c>
      <c r="C12" s="17" t="s">
        <v>32</v>
      </c>
      <c r="D12" s="17">
        <v>2020</v>
      </c>
      <c r="E12" s="17">
        <f t="shared" ref="E12:J12" si="0">D12+1</f>
        <v>2021</v>
      </c>
      <c r="F12" s="17">
        <f t="shared" si="0"/>
        <v>2022</v>
      </c>
      <c r="G12" s="17">
        <f t="shared" si="0"/>
        <v>2023</v>
      </c>
      <c r="H12" s="17">
        <f t="shared" si="0"/>
        <v>2024</v>
      </c>
      <c r="I12" s="17">
        <f t="shared" si="0"/>
        <v>2025</v>
      </c>
      <c r="J12" s="17">
        <f t="shared" si="0"/>
        <v>2026</v>
      </c>
    </row>
    <row r="13" spans="1:31" x14ac:dyDescent="0.2">
      <c r="A13" s="17" t="s">
        <v>33</v>
      </c>
      <c r="B13" s="17">
        <v>5.6849999999999996</v>
      </c>
      <c r="C13" s="17" t="s">
        <v>34</v>
      </c>
      <c r="D13" s="17">
        <v>4750</v>
      </c>
      <c r="E13" s="17">
        <v>4750</v>
      </c>
      <c r="F13" s="17">
        <v>3000</v>
      </c>
      <c r="G13" s="17">
        <v>3000</v>
      </c>
      <c r="H13" s="17">
        <v>2400</v>
      </c>
      <c r="I13" s="17">
        <v>2400</v>
      </c>
      <c r="J13" s="17">
        <v>2400</v>
      </c>
      <c r="K13" s="18" t="s">
        <v>35</v>
      </c>
    </row>
    <row r="14" spans="1:31" x14ac:dyDescent="0.2">
      <c r="A14" s="17" t="s">
        <v>36</v>
      </c>
      <c r="B14" s="17">
        <v>3.5710000000000002</v>
      </c>
      <c r="C14" s="17" t="s">
        <v>34</v>
      </c>
      <c r="D14" s="17">
        <v>2250</v>
      </c>
      <c r="E14" s="17">
        <v>2250</v>
      </c>
      <c r="F14" s="17">
        <v>2250</v>
      </c>
      <c r="G14" s="17">
        <v>2250</v>
      </c>
      <c r="H14" s="17">
        <v>2250</v>
      </c>
      <c r="I14" s="17">
        <v>2250</v>
      </c>
      <c r="J14" s="17">
        <v>2250</v>
      </c>
      <c r="K14" s="17"/>
      <c r="R14" s="19" t="s">
        <v>37</v>
      </c>
    </row>
    <row r="15" spans="1:31" x14ac:dyDescent="0.2">
      <c r="A15" s="17" t="s">
        <v>38</v>
      </c>
      <c r="B15" s="17">
        <v>0.96799999999999997</v>
      </c>
      <c r="C15" s="17" t="s">
        <v>34</v>
      </c>
      <c r="D15" s="17">
        <v>2500</v>
      </c>
      <c r="E15" s="17">
        <v>2500</v>
      </c>
      <c r="F15" s="17">
        <v>2500</v>
      </c>
      <c r="G15" s="17">
        <v>2500</v>
      </c>
      <c r="H15" s="17">
        <v>2500</v>
      </c>
      <c r="I15" s="17">
        <v>2500</v>
      </c>
      <c r="J15" s="17">
        <v>2500</v>
      </c>
    </row>
    <row r="16" spans="1:31" ht="15.75" customHeight="1" x14ac:dyDescent="0.2">
      <c r="A16" s="17" t="s">
        <v>39</v>
      </c>
      <c r="B16" s="17">
        <v>8.3800000000000008</v>
      </c>
      <c r="C16" s="20" t="s">
        <v>34</v>
      </c>
      <c r="D16" s="21">
        <v>2000</v>
      </c>
      <c r="E16" s="21">
        <v>2000</v>
      </c>
      <c r="F16" s="21">
        <v>2000</v>
      </c>
      <c r="G16" s="21">
        <v>2000</v>
      </c>
      <c r="H16" s="21">
        <v>2000</v>
      </c>
      <c r="I16" s="21">
        <v>2000</v>
      </c>
      <c r="J16" s="21">
        <v>2000</v>
      </c>
      <c r="K16" s="20" t="s">
        <v>40</v>
      </c>
      <c r="L16" s="20"/>
      <c r="M16" s="22"/>
    </row>
    <row r="17" spans="1:33" ht="15.75" customHeight="1" x14ac:dyDescent="0.2">
      <c r="A17" s="17" t="s">
        <v>41</v>
      </c>
      <c r="B17" s="17">
        <v>28.64</v>
      </c>
      <c r="C17" s="17" t="s">
        <v>34</v>
      </c>
      <c r="D17" s="17">
        <v>2500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 t="s">
        <v>42</v>
      </c>
      <c r="R17" s="23"/>
    </row>
    <row r="18" spans="1:33" ht="15.75" customHeight="1" x14ac:dyDescent="0.2">
      <c r="A18" s="17" t="s">
        <v>43</v>
      </c>
      <c r="B18" s="17">
        <v>39.35</v>
      </c>
      <c r="C18" s="17" t="s">
        <v>34</v>
      </c>
      <c r="D18" s="17">
        <v>2500</v>
      </c>
      <c r="E18" s="17">
        <v>2500</v>
      </c>
      <c r="F18" s="17">
        <v>2500</v>
      </c>
      <c r="G18" s="17">
        <v>2500</v>
      </c>
      <c r="H18" s="17">
        <v>2500</v>
      </c>
      <c r="I18" s="17">
        <v>2500</v>
      </c>
      <c r="J18" s="17">
        <v>2500</v>
      </c>
    </row>
    <row r="19" spans="1:33" ht="15.75" customHeight="1" x14ac:dyDescent="0.2">
      <c r="A19" s="17" t="s">
        <v>44</v>
      </c>
      <c r="B19" s="17">
        <v>4.665</v>
      </c>
      <c r="C19" s="17" t="s">
        <v>34</v>
      </c>
      <c r="D19" s="24">
        <v>1500</v>
      </c>
      <c r="E19" s="24">
        <v>1500</v>
      </c>
      <c r="F19" s="24">
        <v>1500</v>
      </c>
      <c r="G19" s="24">
        <v>1500</v>
      </c>
      <c r="H19" s="24">
        <v>1500</v>
      </c>
      <c r="I19" s="24">
        <v>1500</v>
      </c>
      <c r="J19" s="24">
        <v>1500</v>
      </c>
    </row>
    <row r="20" spans="1:33" ht="15.75" customHeight="1" x14ac:dyDescent="0.2">
      <c r="A20" s="17" t="s">
        <v>45</v>
      </c>
      <c r="B20" s="17">
        <v>1.341</v>
      </c>
      <c r="C20" s="17" t="s">
        <v>34</v>
      </c>
      <c r="D20" s="17">
        <v>2000</v>
      </c>
      <c r="E20" s="17">
        <v>2000</v>
      </c>
      <c r="F20" s="17">
        <v>2000</v>
      </c>
      <c r="G20" s="17">
        <v>2000</v>
      </c>
      <c r="H20" s="17">
        <v>2000</v>
      </c>
      <c r="I20" s="17">
        <v>2000</v>
      </c>
      <c r="J20" s="17">
        <v>2000</v>
      </c>
    </row>
    <row r="21" spans="1:33" ht="15.75" customHeight="1" x14ac:dyDescent="0.2">
      <c r="A21" s="17" t="s">
        <v>46</v>
      </c>
      <c r="B21" s="17">
        <v>6.0380000000000003</v>
      </c>
      <c r="C21" s="17" t="s">
        <v>34</v>
      </c>
      <c r="D21" s="17">
        <v>2500</v>
      </c>
      <c r="E21" s="17">
        <v>2500</v>
      </c>
      <c r="F21" s="17">
        <v>2500</v>
      </c>
      <c r="G21" s="17">
        <v>2500</v>
      </c>
      <c r="H21" s="17">
        <v>2500</v>
      </c>
      <c r="I21" s="17">
        <v>2500</v>
      </c>
      <c r="J21" s="17">
        <v>2500</v>
      </c>
    </row>
    <row r="22" spans="1:33" ht="15.75" customHeight="1" x14ac:dyDescent="0.2">
      <c r="A22" s="17" t="s">
        <v>47</v>
      </c>
      <c r="B22" s="17">
        <v>6.8730000000000002</v>
      </c>
      <c r="C22" s="17" t="s">
        <v>34</v>
      </c>
      <c r="D22" s="17">
        <v>2500</v>
      </c>
      <c r="E22" s="17">
        <v>2500</v>
      </c>
      <c r="F22" s="17">
        <v>2500</v>
      </c>
      <c r="G22" s="17">
        <v>2500</v>
      </c>
      <c r="H22" s="17">
        <v>2500</v>
      </c>
      <c r="I22" s="17">
        <v>2500</v>
      </c>
      <c r="J22" s="17">
        <v>2500</v>
      </c>
    </row>
    <row r="23" spans="1:33" ht="15.75" customHeight="1" x14ac:dyDescent="0.2">
      <c r="A23" s="17" t="s">
        <v>48</v>
      </c>
      <c r="B23" s="17">
        <v>8.8849999999999998</v>
      </c>
      <c r="C23" s="17" t="s">
        <v>34</v>
      </c>
      <c r="D23" s="17">
        <v>5000</v>
      </c>
      <c r="E23" s="17">
        <v>5000</v>
      </c>
      <c r="F23" s="17">
        <v>5000</v>
      </c>
      <c r="G23" s="17">
        <v>5000</v>
      </c>
      <c r="H23" s="17">
        <v>5000</v>
      </c>
      <c r="I23" s="17">
        <v>5000</v>
      </c>
      <c r="J23" s="17">
        <v>5000</v>
      </c>
    </row>
    <row r="24" spans="1:33" ht="15.75" customHeight="1" x14ac:dyDescent="0.2">
      <c r="A24" s="17" t="s">
        <v>49</v>
      </c>
      <c r="B24" s="17">
        <v>4.1760000000000002</v>
      </c>
      <c r="C24" s="17" t="s">
        <v>34</v>
      </c>
      <c r="D24" s="17">
        <v>2500</v>
      </c>
      <c r="E24" s="17">
        <v>2500</v>
      </c>
      <c r="F24" s="17">
        <v>2500</v>
      </c>
      <c r="G24" s="17">
        <v>2500</v>
      </c>
      <c r="H24" s="17">
        <v>2500</v>
      </c>
      <c r="I24" s="17">
        <v>2500</v>
      </c>
      <c r="J24" s="17">
        <v>2500</v>
      </c>
    </row>
    <row r="25" spans="1:33" ht="15.75" customHeight="1" x14ac:dyDescent="0.2">
      <c r="A25" s="17" t="s">
        <v>50</v>
      </c>
      <c r="B25" s="17">
        <v>0.624</v>
      </c>
      <c r="C25" s="17" t="s">
        <v>34</v>
      </c>
      <c r="D25" s="17">
        <v>4000</v>
      </c>
      <c r="E25" s="17">
        <v>4000</v>
      </c>
      <c r="F25" s="17">
        <v>4000</v>
      </c>
      <c r="G25" s="17">
        <v>4000</v>
      </c>
      <c r="H25" s="17">
        <v>4000</v>
      </c>
      <c r="I25" s="17">
        <v>4000</v>
      </c>
      <c r="J25" s="17">
        <v>4000</v>
      </c>
      <c r="K25" s="17" t="s">
        <v>51</v>
      </c>
    </row>
    <row r="26" spans="1:33" ht="15.75" customHeight="1" x14ac:dyDescent="0.2">
      <c r="A26" s="17" t="s">
        <v>52</v>
      </c>
      <c r="B26" s="17">
        <f>B27-SUM(B13:B25)</f>
        <v>210.304</v>
      </c>
      <c r="C26" s="17"/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/>
    </row>
    <row r="27" spans="1:33" ht="15.75" customHeight="1" x14ac:dyDescent="0.2">
      <c r="A27" s="17" t="s">
        <v>53</v>
      </c>
      <c r="B27" s="17">
        <v>329.5</v>
      </c>
    </row>
    <row r="28" spans="1:33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8"/>
    </row>
    <row r="29" spans="1:33" x14ac:dyDescent="0.2">
      <c r="A29" s="6" t="s">
        <v>54</v>
      </c>
    </row>
    <row r="30" spans="1:33" x14ac:dyDescent="0.2">
      <c r="A30" s="2"/>
    </row>
    <row r="31" spans="1:33" x14ac:dyDescent="0.2">
      <c r="A31" s="2" t="s">
        <v>55</v>
      </c>
    </row>
    <row r="32" spans="1:33" x14ac:dyDescent="0.2">
      <c r="C32">
        <v>2020</v>
      </c>
      <c r="D32">
        <v>2021</v>
      </c>
      <c r="E32">
        <v>2022</v>
      </c>
      <c r="F32">
        <v>2023</v>
      </c>
      <c r="G32">
        <v>2024</v>
      </c>
      <c r="H32">
        <v>2025</v>
      </c>
      <c r="I32">
        <v>2026</v>
      </c>
      <c r="J32">
        <v>2027</v>
      </c>
      <c r="K32">
        <v>2028</v>
      </c>
      <c r="L32">
        <v>2029</v>
      </c>
      <c r="M32">
        <v>2030</v>
      </c>
      <c r="N32">
        <v>2031</v>
      </c>
      <c r="O32">
        <v>2032</v>
      </c>
      <c r="P32">
        <v>2033</v>
      </c>
      <c r="Q32">
        <v>2034</v>
      </c>
      <c r="R32">
        <v>2035</v>
      </c>
      <c r="S32">
        <v>2036</v>
      </c>
      <c r="T32">
        <v>2037</v>
      </c>
      <c r="U32">
        <v>2038</v>
      </c>
      <c r="V32">
        <v>2039</v>
      </c>
      <c r="W32">
        <v>2040</v>
      </c>
      <c r="X32">
        <v>2041</v>
      </c>
      <c r="Y32">
        <v>2042</v>
      </c>
      <c r="Z32">
        <v>2043</v>
      </c>
      <c r="AA32">
        <v>2044</v>
      </c>
      <c r="AB32">
        <v>2045</v>
      </c>
      <c r="AC32">
        <v>2046</v>
      </c>
      <c r="AD32">
        <v>2047</v>
      </c>
      <c r="AE32">
        <v>2048</v>
      </c>
      <c r="AF32">
        <v>2049</v>
      </c>
      <c r="AG32">
        <v>2050</v>
      </c>
    </row>
    <row r="33" spans="1:33" x14ac:dyDescent="0.2">
      <c r="C33" s="2">
        <f>SUMPRODUCT(D13:D26,$B$13:$B$26)/SUM($B$13:$B$26)</f>
        <v>981.82549317147198</v>
      </c>
      <c r="D33" s="2">
        <f t="shared" ref="D33:I33" si="1">SUMPRODUCT(E13:E26,$B$13:$B$26)/SUM($B$13:$B$26)</f>
        <v>764.52655538694989</v>
      </c>
      <c r="E33" s="2">
        <f t="shared" si="1"/>
        <v>734.33308042488625</v>
      </c>
      <c r="F33" s="2">
        <f t="shared" si="1"/>
        <v>734.33308042488625</v>
      </c>
      <c r="G33" s="2">
        <f t="shared" si="1"/>
        <v>723.98103186646438</v>
      </c>
      <c r="H33" s="2">
        <f t="shared" si="1"/>
        <v>723.98103186646438</v>
      </c>
      <c r="I33" s="2">
        <f t="shared" si="1"/>
        <v>723.98103186646438</v>
      </c>
      <c r="J33" s="2">
        <f>I33</f>
        <v>723.98103186646438</v>
      </c>
      <c r="K33" s="2">
        <f t="shared" ref="K33:AG33" si="2">J33</f>
        <v>723.98103186646438</v>
      </c>
      <c r="L33" s="2">
        <f t="shared" si="2"/>
        <v>723.98103186646438</v>
      </c>
      <c r="M33" s="2">
        <f t="shared" si="2"/>
        <v>723.98103186646438</v>
      </c>
      <c r="N33" s="2">
        <f t="shared" si="2"/>
        <v>723.98103186646438</v>
      </c>
      <c r="O33" s="2">
        <f t="shared" si="2"/>
        <v>723.98103186646438</v>
      </c>
      <c r="P33" s="2">
        <f t="shared" si="2"/>
        <v>723.98103186646438</v>
      </c>
      <c r="Q33" s="2">
        <f t="shared" si="2"/>
        <v>723.98103186646438</v>
      </c>
      <c r="R33" s="2">
        <f t="shared" si="2"/>
        <v>723.98103186646438</v>
      </c>
      <c r="S33" s="2">
        <f t="shared" si="2"/>
        <v>723.98103186646438</v>
      </c>
      <c r="T33" s="2">
        <f t="shared" si="2"/>
        <v>723.98103186646438</v>
      </c>
      <c r="U33" s="2">
        <f t="shared" si="2"/>
        <v>723.98103186646438</v>
      </c>
      <c r="V33" s="2">
        <f t="shared" si="2"/>
        <v>723.98103186646438</v>
      </c>
      <c r="W33" s="2">
        <f t="shared" si="2"/>
        <v>723.98103186646438</v>
      </c>
      <c r="X33" s="2">
        <f t="shared" si="2"/>
        <v>723.98103186646438</v>
      </c>
      <c r="Y33" s="2">
        <f t="shared" si="2"/>
        <v>723.98103186646438</v>
      </c>
      <c r="Z33" s="2">
        <f t="shared" si="2"/>
        <v>723.98103186646438</v>
      </c>
      <c r="AA33" s="2">
        <f t="shared" si="2"/>
        <v>723.98103186646438</v>
      </c>
      <c r="AB33" s="2">
        <f t="shared" si="2"/>
        <v>723.98103186646438</v>
      </c>
      <c r="AC33" s="2">
        <f t="shared" si="2"/>
        <v>723.98103186646438</v>
      </c>
      <c r="AD33" s="2">
        <f t="shared" si="2"/>
        <v>723.98103186646438</v>
      </c>
      <c r="AE33" s="2">
        <f t="shared" si="2"/>
        <v>723.98103186646438</v>
      </c>
      <c r="AF33" s="2">
        <f t="shared" si="2"/>
        <v>723.98103186646438</v>
      </c>
      <c r="AG33" s="2">
        <f t="shared" si="2"/>
        <v>723.98103186646438</v>
      </c>
    </row>
    <row r="34" spans="1:33" x14ac:dyDescent="0.2">
      <c r="A34" s="2"/>
    </row>
    <row r="35" spans="1:33" x14ac:dyDescent="0.2">
      <c r="A35" s="2" t="s">
        <v>56</v>
      </c>
    </row>
    <row r="36" spans="1:33" x14ac:dyDescent="0.2">
      <c r="C36">
        <v>2020</v>
      </c>
      <c r="D36">
        <v>2021</v>
      </c>
      <c r="E36">
        <v>2022</v>
      </c>
      <c r="F36">
        <v>2023</v>
      </c>
      <c r="G36">
        <v>2024</v>
      </c>
      <c r="H36">
        <v>2025</v>
      </c>
      <c r="I36">
        <v>2026</v>
      </c>
      <c r="J36">
        <v>2027</v>
      </c>
      <c r="K36">
        <v>2028</v>
      </c>
      <c r="L36">
        <v>2029</v>
      </c>
      <c r="M36">
        <v>2030</v>
      </c>
      <c r="N36">
        <v>2031</v>
      </c>
      <c r="O36">
        <v>2032</v>
      </c>
      <c r="P36">
        <v>2033</v>
      </c>
      <c r="Q36">
        <v>2034</v>
      </c>
      <c r="R36">
        <v>2035</v>
      </c>
      <c r="S36">
        <v>2036</v>
      </c>
      <c r="T36">
        <v>2037</v>
      </c>
      <c r="U36">
        <v>2038</v>
      </c>
      <c r="V36">
        <v>2039</v>
      </c>
      <c r="W36">
        <v>2040</v>
      </c>
      <c r="X36">
        <v>2041</v>
      </c>
      <c r="Y36">
        <v>2042</v>
      </c>
      <c r="Z36">
        <v>2043</v>
      </c>
      <c r="AA36">
        <v>2044</v>
      </c>
      <c r="AB36">
        <v>2045</v>
      </c>
      <c r="AC36">
        <v>2046</v>
      </c>
      <c r="AD36">
        <v>2047</v>
      </c>
      <c r="AE36">
        <v>2048</v>
      </c>
      <c r="AF36">
        <v>2049</v>
      </c>
      <c r="AG36">
        <v>2050</v>
      </c>
    </row>
    <row r="37" spans="1:33" x14ac:dyDescent="0.2">
      <c r="B37" s="2"/>
      <c r="C37" s="2">
        <f>(A3+$C$33)*About!$B$33</f>
        <v>1816.7966021737629</v>
      </c>
      <c r="D37" s="2">
        <f>(B3+$C$33)*About!$B$33</f>
        <v>2517.4859850168737</v>
      </c>
      <c r="E37" s="2">
        <f>(C3+$C$33)*About!$B$33</f>
        <v>2271.1154962713113</v>
      </c>
      <c r="F37" s="2">
        <f>(D3+$C$33)*About!$B$33</f>
        <v>1962.8776950512195</v>
      </c>
      <c r="G37" s="2">
        <f>(E3+$C$33)*About!$B$33</f>
        <v>1427.0424724877932</v>
      </c>
      <c r="H37" s="2">
        <f>(F3+$C$33)*About!$B$33</f>
        <v>999.14650449912858</v>
      </c>
      <c r="I37" s="2">
        <f>(G3+$C$33)*About!$B$33</f>
        <v>900.65985410664803</v>
      </c>
      <c r="J37" s="2">
        <f>(H3+$C$33)*About!$B$33</f>
        <v>900.65985410664803</v>
      </c>
      <c r="K37" s="2">
        <f>(I3+$C$33)*About!$B$33</f>
        <v>900.65985410664803</v>
      </c>
      <c r="L37" s="2">
        <f>(J3+$C$33)*About!$B$33</f>
        <v>900.65985410664803</v>
      </c>
      <c r="M37" s="2">
        <f>(K3+$C$33)*About!$B$33</f>
        <v>900.65985410664803</v>
      </c>
      <c r="N37" s="2">
        <f>(L3+$C$33)*About!$B$33</f>
        <v>900.65985410664803</v>
      </c>
      <c r="O37" s="2">
        <f>(M3+$C$33)*About!$B$33</f>
        <v>900.6508033558033</v>
      </c>
      <c r="P37" s="2">
        <f>(N3+$C$33)*About!$B$33</f>
        <v>900.64537290529643</v>
      </c>
      <c r="Q37" s="2">
        <f>(O3+$C$33)*About!$B$33</f>
        <v>900.64537290529643</v>
      </c>
      <c r="R37" s="2">
        <f>(P3+$C$33)*About!$B$33</f>
        <v>891.0334755081476</v>
      </c>
      <c r="S37" s="2">
        <f>(Q3+$C$33)*About!$B$33</f>
        <v>885.26633706985831</v>
      </c>
      <c r="T37" s="2">
        <f>(R3+$C$33)*About!$B$33</f>
        <v>885.26633706985831</v>
      </c>
      <c r="U37" s="2">
        <f>(S3+$C$33)*About!$B$33</f>
        <v>885.26633706985831</v>
      </c>
      <c r="V37" s="2">
        <f>(T3+$C$33)*About!$B$33</f>
        <v>885.26633706985831</v>
      </c>
      <c r="W37" s="2">
        <f>(U3+$C$33)*About!$B$33</f>
        <v>885.26633706985831</v>
      </c>
      <c r="X37" s="2">
        <f>(V3+$C$33)*About!$B$33</f>
        <v>885.26633706985831</v>
      </c>
      <c r="Y37" s="2">
        <f>(W3+$C$33)*About!$B$33</f>
        <v>885.26633706985831</v>
      </c>
      <c r="Z37" s="2">
        <f>(X3+$C$33)*About!$B$33</f>
        <v>885.26633706985831</v>
      </c>
      <c r="AA37" s="2">
        <f>(Y3+$C$33)*About!$B$33</f>
        <v>885.26633706985831</v>
      </c>
      <c r="AB37" s="2">
        <f>(Z3+$C$33)*About!$B$33</f>
        <v>885.26633706985831</v>
      </c>
      <c r="AC37" s="2">
        <f>(AA3+$C$33)*About!$B$33</f>
        <v>885.26633706985831</v>
      </c>
      <c r="AD37" s="2">
        <f>(AB3+$C$33)*About!$B$33</f>
        <v>885.26633706985831</v>
      </c>
      <c r="AE37" s="2">
        <f>(AC3+$C$33)*About!$B$33</f>
        <v>881.38356495745086</v>
      </c>
      <c r="AF37" s="2">
        <f>(AD3+$C$33)*About!$B$33</f>
        <v>879.05390169000623</v>
      </c>
      <c r="AG37" s="2">
        <f>(AE3+$C$33)*About!$B$33</f>
        <v>879.05390169000623</v>
      </c>
    </row>
    <row r="39" spans="1:33" x14ac:dyDescent="0.2">
      <c r="A39" t="s">
        <v>57</v>
      </c>
      <c r="C39">
        <v>2020</v>
      </c>
      <c r="D39">
        <v>2021</v>
      </c>
      <c r="E39">
        <v>2022</v>
      </c>
      <c r="F39">
        <v>2023</v>
      </c>
      <c r="G39">
        <v>2024</v>
      </c>
      <c r="H39">
        <v>2025</v>
      </c>
      <c r="I39">
        <v>2026</v>
      </c>
      <c r="J39">
        <v>2027</v>
      </c>
      <c r="K39">
        <v>2028</v>
      </c>
      <c r="L39">
        <v>2029</v>
      </c>
      <c r="M39">
        <v>2030</v>
      </c>
      <c r="N39">
        <v>2031</v>
      </c>
      <c r="O39">
        <v>2032</v>
      </c>
      <c r="P39">
        <v>2033</v>
      </c>
      <c r="Q39">
        <v>2034</v>
      </c>
      <c r="R39">
        <v>2035</v>
      </c>
      <c r="S39">
        <v>2036</v>
      </c>
      <c r="T39">
        <v>2037</v>
      </c>
      <c r="U39">
        <v>2038</v>
      </c>
      <c r="V39">
        <v>2039</v>
      </c>
      <c r="W39">
        <v>2040</v>
      </c>
      <c r="X39">
        <v>2041</v>
      </c>
      <c r="Y39">
        <v>2042</v>
      </c>
      <c r="Z39">
        <v>2043</v>
      </c>
      <c r="AA39">
        <v>2044</v>
      </c>
      <c r="AB39">
        <v>2045</v>
      </c>
      <c r="AC39">
        <v>2046</v>
      </c>
      <c r="AD39">
        <v>2047</v>
      </c>
      <c r="AE39">
        <v>2048</v>
      </c>
      <c r="AF39">
        <v>2049</v>
      </c>
      <c r="AG39">
        <v>2050</v>
      </c>
    </row>
    <row r="40" spans="1:33" x14ac:dyDescent="0.2">
      <c r="A40" t="s">
        <v>58</v>
      </c>
      <c r="C40">
        <v>49824</v>
      </c>
      <c r="D40">
        <v>46173.599999999999</v>
      </c>
      <c r="E40">
        <v>43530.5</v>
      </c>
      <c r="F40">
        <v>41513.300000000003</v>
      </c>
      <c r="G40">
        <v>39946.300000000003</v>
      </c>
      <c r="H40">
        <v>38679.5</v>
      </c>
      <c r="I40">
        <v>37326.699999999997</v>
      </c>
      <c r="J40">
        <v>36099.199999999997</v>
      </c>
      <c r="K40">
        <v>34664.5</v>
      </c>
      <c r="L40">
        <v>33628.9</v>
      </c>
      <c r="M40">
        <v>32666.3</v>
      </c>
      <c r="N40">
        <v>32118.799999999999</v>
      </c>
      <c r="O40">
        <v>31643.200000000001</v>
      </c>
      <c r="P40">
        <v>31237.200000000001</v>
      </c>
      <c r="Q40">
        <v>30885.3</v>
      </c>
      <c r="R40">
        <v>30578</v>
      </c>
      <c r="S40">
        <v>30305.7</v>
      </c>
      <c r="T40">
        <v>30065.9</v>
      </c>
      <c r="U40">
        <v>29852.9</v>
      </c>
      <c r="V40">
        <v>29660.9</v>
      </c>
      <c r="W40">
        <v>29486.9</v>
      </c>
      <c r="X40">
        <v>29330.6</v>
      </c>
      <c r="Y40">
        <v>29189.200000000001</v>
      </c>
      <c r="Z40">
        <v>29060.400000000001</v>
      </c>
      <c r="AA40">
        <v>28942.9</v>
      </c>
      <c r="AB40">
        <v>28835.1</v>
      </c>
      <c r="AC40">
        <v>28735.8</v>
      </c>
      <c r="AD40">
        <v>28643.9</v>
      </c>
      <c r="AE40">
        <v>28558.5</v>
      </c>
      <c r="AF40">
        <v>28478.6</v>
      </c>
      <c r="AG40">
        <v>28404.1</v>
      </c>
    </row>
    <row r="42" spans="1:33" x14ac:dyDescent="0.2">
      <c r="A42" t="s">
        <v>59</v>
      </c>
    </row>
    <row r="43" spans="1:33" x14ac:dyDescent="0.2">
      <c r="C43">
        <v>2020</v>
      </c>
      <c r="D43">
        <v>2021</v>
      </c>
      <c r="E43">
        <v>2022</v>
      </c>
      <c r="F43">
        <v>2023</v>
      </c>
      <c r="G43">
        <v>2024</v>
      </c>
      <c r="H43">
        <v>2025</v>
      </c>
      <c r="I43">
        <v>2026</v>
      </c>
      <c r="J43">
        <v>2027</v>
      </c>
      <c r="K43">
        <v>2028</v>
      </c>
      <c r="L43">
        <v>2029</v>
      </c>
      <c r="M43">
        <v>2030</v>
      </c>
      <c r="N43">
        <v>2031</v>
      </c>
      <c r="O43">
        <v>2032</v>
      </c>
      <c r="P43">
        <v>2033</v>
      </c>
      <c r="Q43">
        <v>2034</v>
      </c>
      <c r="R43">
        <v>2035</v>
      </c>
      <c r="S43">
        <v>2036</v>
      </c>
      <c r="T43">
        <v>2037</v>
      </c>
      <c r="U43">
        <v>2038</v>
      </c>
      <c r="V43">
        <v>2039</v>
      </c>
      <c r="W43">
        <v>2040</v>
      </c>
      <c r="X43">
        <v>2041</v>
      </c>
      <c r="Y43">
        <v>2042</v>
      </c>
      <c r="Z43">
        <v>2043</v>
      </c>
      <c r="AA43">
        <v>2044</v>
      </c>
      <c r="AB43">
        <v>2045</v>
      </c>
      <c r="AC43">
        <v>2046</v>
      </c>
      <c r="AD43">
        <v>2047</v>
      </c>
      <c r="AE43">
        <v>2048</v>
      </c>
      <c r="AF43">
        <v>2049</v>
      </c>
      <c r="AG43">
        <v>2050</v>
      </c>
    </row>
    <row r="44" spans="1:33" x14ac:dyDescent="0.2">
      <c r="A44" s="7"/>
      <c r="B44" s="7"/>
      <c r="C44" s="7">
        <f>C37/C40</f>
        <v>3.6464286331361652E-2</v>
      </c>
      <c r="D44" s="7">
        <f t="shared" ref="D44:AG44" si="3">D37/D40</f>
        <v>5.4522194176258157E-2</v>
      </c>
      <c r="E44" s="7">
        <f>E37/E40</f>
        <v>5.2172970590076181E-2</v>
      </c>
      <c r="F44" s="7">
        <f t="shared" si="3"/>
        <v>4.7283104331653211E-2</v>
      </c>
      <c r="G44" s="7">
        <f t="shared" si="3"/>
        <v>3.5724021310804585E-2</v>
      </c>
      <c r="H44" s="7">
        <f t="shared" si="3"/>
        <v>2.5831422445975995E-2</v>
      </c>
      <c r="I44" s="7">
        <f t="shared" si="3"/>
        <v>2.4129104745574833E-2</v>
      </c>
      <c r="J44" s="7">
        <f t="shared" si="3"/>
        <v>2.4949579328811942E-2</v>
      </c>
      <c r="K44" s="7">
        <f t="shared" si="3"/>
        <v>2.5982196601902464E-2</v>
      </c>
      <c r="L44" s="7">
        <f t="shared" si="3"/>
        <v>2.6782316819956881E-2</v>
      </c>
      <c r="M44" s="7">
        <f t="shared" si="3"/>
        <v>2.7571529500024429E-2</v>
      </c>
      <c r="N44" s="7">
        <f t="shared" si="3"/>
        <v>2.804151631152621E-2</v>
      </c>
      <c r="O44" s="7">
        <f t="shared" si="3"/>
        <v>2.8462696672770241E-2</v>
      </c>
      <c r="P44" s="7">
        <f t="shared" si="3"/>
        <v>2.883246170928561E-2</v>
      </c>
      <c r="Q44" s="7">
        <f t="shared" si="3"/>
        <v>2.91609721422585E-2</v>
      </c>
      <c r="R44" s="7">
        <f t="shared" si="3"/>
        <v>2.9139691134415186E-2</v>
      </c>
      <c r="S44" s="7">
        <f t="shared" si="3"/>
        <v>2.9211215615209625E-2</v>
      </c>
      <c r="T44" s="7">
        <f t="shared" si="3"/>
        <v>2.9444198812270988E-2</v>
      </c>
      <c r="U44" s="7">
        <f t="shared" si="3"/>
        <v>2.9654282735340896E-2</v>
      </c>
      <c r="V44" s="7">
        <f t="shared" si="3"/>
        <v>2.9846239900672544E-2</v>
      </c>
      <c r="W44" s="7">
        <f t="shared" si="3"/>
        <v>3.0022360338654054E-2</v>
      </c>
      <c r="X44" s="7">
        <f t="shared" si="3"/>
        <v>3.0182346664229791E-2</v>
      </c>
      <c r="Y44" s="7">
        <f t="shared" si="3"/>
        <v>3.0328557722371915E-2</v>
      </c>
      <c r="Z44" s="7">
        <f t="shared" si="3"/>
        <v>3.0462978385358021E-2</v>
      </c>
      <c r="AA44" s="7">
        <f t="shared" si="3"/>
        <v>3.0586649474304863E-2</v>
      </c>
      <c r="AB44" s="7">
        <f t="shared" si="3"/>
        <v>3.0700997640717681E-2</v>
      </c>
      <c r="AC44" s="7">
        <f t="shared" si="3"/>
        <v>3.080708861663355E-2</v>
      </c>
      <c r="AD44" s="7">
        <f t="shared" si="3"/>
        <v>3.0905928908767949E-2</v>
      </c>
      <c r="AE44" s="7">
        <f t="shared" si="3"/>
        <v>3.0862390004988038E-2</v>
      </c>
      <c r="AF44" s="7">
        <f t="shared" si="3"/>
        <v>3.0867174007500588E-2</v>
      </c>
      <c r="AG44" s="7">
        <f t="shared" si="3"/>
        <v>3.0948134307723401E-2</v>
      </c>
    </row>
    <row r="46" spans="1:33" x14ac:dyDescent="0.2">
      <c r="A46" s="1" t="s">
        <v>60</v>
      </c>
    </row>
    <row r="47" spans="1:33" x14ac:dyDescent="0.2">
      <c r="A47" s="1"/>
      <c r="C47">
        <v>2018</v>
      </c>
      <c r="D47">
        <v>2019</v>
      </c>
      <c r="E47">
        <v>2020</v>
      </c>
      <c r="F47">
        <v>2021</v>
      </c>
      <c r="G47">
        <v>2022</v>
      </c>
      <c r="H47">
        <v>2023</v>
      </c>
      <c r="I47">
        <v>2024</v>
      </c>
    </row>
    <row r="48" spans="1:33" x14ac:dyDescent="0.2">
      <c r="A48" s="1"/>
      <c r="C48" s="28" t="s">
        <v>61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 t="s">
        <v>61</v>
      </c>
    </row>
    <row r="51" spans="1:12" x14ac:dyDescent="0.2">
      <c r="A51" s="1" t="s">
        <v>62</v>
      </c>
      <c r="B51" t="s">
        <v>63</v>
      </c>
    </row>
    <row r="53" spans="1:12" x14ac:dyDescent="0.2">
      <c r="C53">
        <v>2018</v>
      </c>
      <c r="D53">
        <v>2019</v>
      </c>
      <c r="E53">
        <v>2020</v>
      </c>
      <c r="F53">
        <v>2021</v>
      </c>
      <c r="G53">
        <v>2022</v>
      </c>
      <c r="H53">
        <v>2023</v>
      </c>
      <c r="I53">
        <v>2024</v>
      </c>
    </row>
    <row r="54" spans="1:12" x14ac:dyDescent="0.2">
      <c r="C54" s="28" t="s">
        <v>64</v>
      </c>
      <c r="D54" t="s">
        <v>64</v>
      </c>
      <c r="E54" t="s">
        <v>64</v>
      </c>
      <c r="F54" t="s">
        <v>64</v>
      </c>
      <c r="G54" t="s">
        <v>64</v>
      </c>
      <c r="H54" t="s">
        <v>64</v>
      </c>
      <c r="I54" t="s">
        <v>64</v>
      </c>
    </row>
    <row r="57" spans="1:12" x14ac:dyDescent="0.2">
      <c r="A57" s="1" t="s">
        <v>58</v>
      </c>
    </row>
    <row r="61" spans="1:12" x14ac:dyDescent="0.2">
      <c r="A61" s="29" t="s">
        <v>65</v>
      </c>
      <c r="C61">
        <v>2018</v>
      </c>
      <c r="D61">
        <v>2019</v>
      </c>
      <c r="E61">
        <v>2020</v>
      </c>
      <c r="F61">
        <v>2021</v>
      </c>
      <c r="G61">
        <v>2022</v>
      </c>
      <c r="H61">
        <v>2023</v>
      </c>
      <c r="I61">
        <v>2024</v>
      </c>
    </row>
    <row r="63" spans="1:12" x14ac:dyDescent="0.2">
      <c r="B63" s="10"/>
      <c r="C63" s="8"/>
      <c r="D63" s="8"/>
      <c r="E63" s="8"/>
      <c r="F63" s="8"/>
      <c r="G63" s="8"/>
      <c r="H63" s="8"/>
      <c r="I63" s="8"/>
      <c r="J63" s="8"/>
      <c r="K63" s="8"/>
      <c r="L63" s="7"/>
    </row>
  </sheetData>
  <hyperlinks>
    <hyperlink ref="C9" r:id="rId1" xr:uid="{58EE6092-B55B-41FD-BE0C-1809457EE242}"/>
    <hyperlink ref="C10" r:id="rId2" xr:uid="{127B7D47-CF78-4C01-8F5D-00E4A675B9D0}"/>
    <hyperlink ref="R14" r:id="rId3" xr:uid="{7859E1C4-02FE-4373-B572-500B8F5647E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E61F-7942-4515-8229-A2210CA98666}">
  <dimension ref="A1:AG56"/>
  <sheetViews>
    <sheetView workbookViewId="0">
      <selection activeCell="H37" sqref="H37"/>
    </sheetView>
  </sheetViews>
  <sheetFormatPr baseColWidth="10" defaultColWidth="8.6640625" defaultRowHeight="15" x14ac:dyDescent="0.2"/>
  <cols>
    <col min="1" max="1" width="45.33203125" customWidth="1"/>
    <col min="2" max="2" width="15.6640625" customWidth="1"/>
    <col min="3" max="3" width="19.1640625" customWidth="1"/>
  </cols>
  <sheetData>
    <row r="1" spans="1:31" x14ac:dyDescent="0.2">
      <c r="A1" s="1" t="s">
        <v>22</v>
      </c>
    </row>
    <row r="2" spans="1:31" x14ac:dyDescent="0.2">
      <c r="A2">
        <v>2020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">
      <c r="A3" s="2">
        <f>'Baseline Calculations'!C104</f>
        <v>1066.1676835021071</v>
      </c>
      <c r="B3" s="2">
        <f>'Baseline Calculations'!D104</f>
        <v>1856.0233411543468</v>
      </c>
      <c r="C3" s="2">
        <f>'Baseline Calculations'!E104</f>
        <v>1578.300959198687</v>
      </c>
      <c r="D3" s="2">
        <f>'Baseline Calculations'!F104</f>
        <v>1230.8383357347759</v>
      </c>
      <c r="E3" s="2">
        <f>'Baseline Calculations'!G104</f>
        <v>626.81536567953572</v>
      </c>
      <c r="F3" s="2">
        <f>'Baseline Calculations'!H104</f>
        <v>144.46746734110212</v>
      </c>
      <c r="G3" s="2">
        <f>'Baseline Calculations'!I104</f>
        <v>33.447891591177203</v>
      </c>
      <c r="H3" s="2">
        <f>'Baseline Calculations'!J104</f>
        <v>33.447891591177196</v>
      </c>
      <c r="I3" s="2">
        <f>'Baseline Calculations'!K104</f>
        <v>33.447891591177196</v>
      </c>
      <c r="J3" s="2">
        <f>'Baseline Calculations'!L104</f>
        <v>33.447891591177182</v>
      </c>
      <c r="K3" s="2">
        <f>'Baseline Calculations'!M104</f>
        <v>33.447891591177203</v>
      </c>
      <c r="L3" s="2">
        <f>'Baseline Calculations'!N104</f>
        <v>33.447891591177196</v>
      </c>
      <c r="M3" s="2">
        <f>'Baseline Calculations'!O104</f>
        <v>33.437689086421472</v>
      </c>
      <c r="N3" s="2">
        <f>'Baseline Calculations'!P104</f>
        <v>33.431567583568039</v>
      </c>
      <c r="O3" s="2">
        <f>'Baseline Calculations'!Q104</f>
        <v>33.431567583568032</v>
      </c>
      <c r="P3" s="2">
        <f>'Baseline Calculations'!R104</f>
        <v>22.596507532985374</v>
      </c>
      <c r="Q3" s="2">
        <f>'Baseline Calculations'!S104</f>
        <v>16.095471502635785</v>
      </c>
      <c r="R3" s="2">
        <f>'Baseline Calculations'!T104</f>
        <v>16.095471502635785</v>
      </c>
      <c r="S3" s="2">
        <f>'Baseline Calculations'!U104</f>
        <v>16.095471502635782</v>
      </c>
      <c r="T3" s="2">
        <f>'Baseline Calculations'!V104</f>
        <v>16.095471502635782</v>
      </c>
      <c r="U3" s="2">
        <f>'Baseline Calculations'!W104</f>
        <v>16.095471502635789</v>
      </c>
      <c r="V3" s="2">
        <f>'Baseline Calculations'!X104</f>
        <v>16.095471502635782</v>
      </c>
      <c r="W3" s="2">
        <f>'Baseline Calculations'!Y104</f>
        <v>16.095471502635782</v>
      </c>
      <c r="X3" s="2">
        <f>'Baseline Calculations'!Z104</f>
        <v>16.095471502635782</v>
      </c>
      <c r="Y3" s="2">
        <f>'Baseline Calculations'!AA104</f>
        <v>16.095471502635782</v>
      </c>
      <c r="Z3" s="2">
        <f>'Baseline Calculations'!AB104</f>
        <v>16.095471502635782</v>
      </c>
      <c r="AA3" s="2">
        <f>'Baseline Calculations'!AC104</f>
        <v>16.095471502635782</v>
      </c>
      <c r="AB3" s="2">
        <f>'Baseline Calculations'!AD104</f>
        <v>16.095471502635778</v>
      </c>
      <c r="AC3" s="2">
        <f>'Baseline Calculations'!AE104</f>
        <v>11.718596962428663</v>
      </c>
      <c r="AD3" s="2">
        <f>'Baseline Calculations'!AF104</f>
        <v>9.0924722383043886</v>
      </c>
      <c r="AE3" s="2">
        <f>'Baseline Calculations'!AG104</f>
        <v>9.0924722383043903</v>
      </c>
    </row>
    <row r="4" spans="1:31" x14ac:dyDescent="0.2">
      <c r="A4" s="2"/>
    </row>
    <row r="5" spans="1:31" x14ac:dyDescent="0.2">
      <c r="A5" s="5" t="s">
        <v>23</v>
      </c>
    </row>
    <row r="6" spans="1:31" x14ac:dyDescent="0.2">
      <c r="A6" s="2" t="s">
        <v>24</v>
      </c>
    </row>
    <row r="7" spans="1:31" x14ac:dyDescent="0.2">
      <c r="A7" s="2" t="s">
        <v>25</v>
      </c>
    </row>
    <row r="8" spans="1:31" x14ac:dyDescent="0.2">
      <c r="A8" s="18" t="s">
        <v>26</v>
      </c>
      <c r="B8" s="18"/>
    </row>
    <row r="9" spans="1:31" x14ac:dyDescent="0.2">
      <c r="A9" s="17" t="s">
        <v>27</v>
      </c>
      <c r="B9" s="17"/>
      <c r="C9" s="19" t="s">
        <v>12</v>
      </c>
    </row>
    <row r="10" spans="1:31" x14ac:dyDescent="0.2">
      <c r="A10" s="17" t="s">
        <v>28</v>
      </c>
      <c r="B10" s="17"/>
      <c r="C10" s="19" t="s">
        <v>15</v>
      </c>
    </row>
    <row r="11" spans="1:31" x14ac:dyDescent="0.2">
      <c r="A11" s="17" t="s">
        <v>29</v>
      </c>
      <c r="B11" s="17"/>
    </row>
    <row r="12" spans="1:31" x14ac:dyDescent="0.2">
      <c r="A12" s="17" t="s">
        <v>30</v>
      </c>
      <c r="B12" s="17" t="s">
        <v>31</v>
      </c>
      <c r="C12" s="17" t="s">
        <v>32</v>
      </c>
      <c r="D12" s="17">
        <v>2020</v>
      </c>
      <c r="E12" s="17">
        <f t="shared" ref="E12:J12" si="0">D12+1</f>
        <v>2021</v>
      </c>
      <c r="F12" s="17">
        <f t="shared" si="0"/>
        <v>2022</v>
      </c>
      <c r="G12" s="17">
        <f t="shared" si="0"/>
        <v>2023</v>
      </c>
      <c r="H12" s="17">
        <f t="shared" si="0"/>
        <v>2024</v>
      </c>
      <c r="I12" s="17">
        <f t="shared" si="0"/>
        <v>2025</v>
      </c>
      <c r="J12" s="17">
        <f t="shared" si="0"/>
        <v>2026</v>
      </c>
    </row>
    <row r="13" spans="1:31" x14ac:dyDescent="0.2">
      <c r="A13" s="17" t="s">
        <v>33</v>
      </c>
      <c r="B13" s="17">
        <v>5.6849999999999996</v>
      </c>
      <c r="C13" s="17" t="s">
        <v>34</v>
      </c>
      <c r="D13" s="17">
        <v>4750</v>
      </c>
      <c r="E13" s="17">
        <v>4750</v>
      </c>
      <c r="F13" s="17">
        <v>3000</v>
      </c>
      <c r="G13" s="17">
        <v>3000</v>
      </c>
      <c r="H13" s="17">
        <v>2400</v>
      </c>
      <c r="I13" s="17">
        <v>2400</v>
      </c>
      <c r="J13" s="17">
        <v>2400</v>
      </c>
      <c r="K13" s="18" t="s">
        <v>35</v>
      </c>
    </row>
    <row r="14" spans="1:31" x14ac:dyDescent="0.2">
      <c r="A14" s="17" t="s">
        <v>36</v>
      </c>
      <c r="B14" s="17">
        <v>3.5710000000000002</v>
      </c>
      <c r="C14" s="17" t="s">
        <v>34</v>
      </c>
      <c r="D14" s="17">
        <v>2250</v>
      </c>
      <c r="E14" s="17">
        <v>2250</v>
      </c>
      <c r="F14" s="17">
        <v>2250</v>
      </c>
      <c r="G14" s="17">
        <v>2250</v>
      </c>
      <c r="H14" s="17">
        <v>2250</v>
      </c>
      <c r="I14" s="17">
        <v>2250</v>
      </c>
      <c r="J14" s="17">
        <v>2250</v>
      </c>
      <c r="K14" s="17"/>
      <c r="R14" s="19" t="s">
        <v>37</v>
      </c>
    </row>
    <row r="15" spans="1:31" x14ac:dyDescent="0.2">
      <c r="A15" s="17" t="s">
        <v>38</v>
      </c>
      <c r="B15" s="17">
        <v>0.96799999999999997</v>
      </c>
      <c r="C15" s="17" t="s">
        <v>34</v>
      </c>
      <c r="D15" s="17">
        <v>2500</v>
      </c>
      <c r="E15" s="17">
        <v>2500</v>
      </c>
      <c r="F15" s="17">
        <v>2500</v>
      </c>
      <c r="G15" s="17">
        <v>2500</v>
      </c>
      <c r="H15" s="17">
        <v>2500</v>
      </c>
      <c r="I15" s="17">
        <v>2500</v>
      </c>
      <c r="J15" s="17">
        <v>2500</v>
      </c>
    </row>
    <row r="16" spans="1:31" ht="15.75" customHeight="1" x14ac:dyDescent="0.2">
      <c r="A16" s="17" t="s">
        <v>39</v>
      </c>
      <c r="B16" s="17">
        <v>8.3800000000000008</v>
      </c>
      <c r="C16" s="20" t="s">
        <v>34</v>
      </c>
      <c r="D16" s="21">
        <v>2000</v>
      </c>
      <c r="E16" s="21">
        <v>2000</v>
      </c>
      <c r="F16" s="21">
        <v>2000</v>
      </c>
      <c r="G16" s="21">
        <v>2000</v>
      </c>
      <c r="H16" s="21">
        <v>2000</v>
      </c>
      <c r="I16" s="21">
        <v>2000</v>
      </c>
      <c r="J16" s="21">
        <v>2000</v>
      </c>
      <c r="K16" s="20" t="s">
        <v>40</v>
      </c>
      <c r="L16" s="20"/>
      <c r="M16" s="22"/>
    </row>
    <row r="17" spans="1:33" ht="15.75" customHeight="1" x14ac:dyDescent="0.2">
      <c r="A17" s="17" t="s">
        <v>41</v>
      </c>
      <c r="B17" s="17">
        <v>28.64</v>
      </c>
      <c r="C17" s="17" t="s">
        <v>34</v>
      </c>
      <c r="D17" s="17">
        <v>2500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 t="s">
        <v>42</v>
      </c>
      <c r="R17" s="23"/>
    </row>
    <row r="18" spans="1:33" ht="15.75" customHeight="1" x14ac:dyDescent="0.2">
      <c r="A18" s="17" t="s">
        <v>43</v>
      </c>
      <c r="B18" s="17">
        <v>39.35</v>
      </c>
      <c r="C18" s="17" t="s">
        <v>34</v>
      </c>
      <c r="D18" s="17">
        <v>2500</v>
      </c>
      <c r="E18" s="17">
        <v>2500</v>
      </c>
      <c r="F18" s="17">
        <v>2500</v>
      </c>
      <c r="G18" s="17">
        <v>2500</v>
      </c>
      <c r="H18" s="17">
        <v>2500</v>
      </c>
      <c r="I18" s="17">
        <v>2500</v>
      </c>
      <c r="J18" s="17">
        <v>2500</v>
      </c>
    </row>
    <row r="19" spans="1:33" ht="15.75" customHeight="1" x14ac:dyDescent="0.2">
      <c r="A19" s="17" t="s">
        <v>44</v>
      </c>
      <c r="B19" s="17">
        <v>4.665</v>
      </c>
      <c r="C19" s="17" t="s">
        <v>34</v>
      </c>
      <c r="D19" s="24">
        <v>1500</v>
      </c>
      <c r="E19" s="24">
        <v>1500</v>
      </c>
      <c r="F19" s="24">
        <v>1500</v>
      </c>
      <c r="G19" s="24">
        <v>1500</v>
      </c>
      <c r="H19" s="24">
        <v>1500</v>
      </c>
      <c r="I19" s="24">
        <v>1500</v>
      </c>
      <c r="J19" s="24">
        <v>1500</v>
      </c>
    </row>
    <row r="20" spans="1:33" ht="15.75" customHeight="1" x14ac:dyDescent="0.2">
      <c r="A20" s="17" t="s">
        <v>45</v>
      </c>
      <c r="B20" s="17">
        <v>1.341</v>
      </c>
      <c r="C20" s="17" t="s">
        <v>34</v>
      </c>
      <c r="D20" s="17">
        <v>2000</v>
      </c>
      <c r="E20" s="17">
        <v>2000</v>
      </c>
      <c r="F20" s="17">
        <v>2000</v>
      </c>
      <c r="G20" s="17">
        <v>2000</v>
      </c>
      <c r="H20" s="17">
        <v>2000</v>
      </c>
      <c r="I20" s="17">
        <v>2000</v>
      </c>
      <c r="J20" s="17">
        <v>2000</v>
      </c>
    </row>
    <row r="21" spans="1:33" ht="15.75" customHeight="1" x14ac:dyDescent="0.2">
      <c r="A21" s="17" t="s">
        <v>46</v>
      </c>
      <c r="B21" s="17">
        <v>6.0380000000000003</v>
      </c>
      <c r="C21" s="17" t="s">
        <v>34</v>
      </c>
      <c r="D21" s="17">
        <v>2500</v>
      </c>
      <c r="E21" s="17">
        <v>2500</v>
      </c>
      <c r="F21" s="17">
        <v>2500</v>
      </c>
      <c r="G21" s="17">
        <v>2500</v>
      </c>
      <c r="H21" s="17">
        <v>2500</v>
      </c>
      <c r="I21" s="17">
        <v>2500</v>
      </c>
      <c r="J21" s="17">
        <v>2500</v>
      </c>
    </row>
    <row r="22" spans="1:33" ht="15.75" customHeight="1" x14ac:dyDescent="0.2">
      <c r="A22" s="17" t="s">
        <v>47</v>
      </c>
      <c r="B22" s="17">
        <v>6.8730000000000002</v>
      </c>
      <c r="C22" s="17" t="s">
        <v>34</v>
      </c>
      <c r="D22" s="17">
        <v>2500</v>
      </c>
      <c r="E22" s="17">
        <v>2500</v>
      </c>
      <c r="F22" s="17">
        <v>2500</v>
      </c>
      <c r="G22" s="17">
        <v>2500</v>
      </c>
      <c r="H22" s="17">
        <v>2500</v>
      </c>
      <c r="I22" s="17">
        <v>2500</v>
      </c>
      <c r="J22" s="17">
        <v>2500</v>
      </c>
    </row>
    <row r="23" spans="1:33" ht="15.75" customHeight="1" x14ac:dyDescent="0.2">
      <c r="A23" s="17" t="s">
        <v>48</v>
      </c>
      <c r="B23" s="17">
        <v>8.8849999999999998</v>
      </c>
      <c r="C23" s="17" t="s">
        <v>34</v>
      </c>
      <c r="D23" s="17">
        <v>5000</v>
      </c>
      <c r="E23" s="17">
        <v>5000</v>
      </c>
      <c r="F23" s="17">
        <v>5000</v>
      </c>
      <c r="G23" s="17">
        <v>5000</v>
      </c>
      <c r="H23" s="17">
        <v>5000</v>
      </c>
      <c r="I23" s="17">
        <v>5000</v>
      </c>
      <c r="J23" s="17">
        <v>5000</v>
      </c>
    </row>
    <row r="24" spans="1:33" ht="15.75" customHeight="1" x14ac:dyDescent="0.2">
      <c r="A24" s="17" t="s">
        <v>49</v>
      </c>
      <c r="B24" s="17">
        <v>4.1760000000000002</v>
      </c>
      <c r="C24" s="17" t="s">
        <v>34</v>
      </c>
      <c r="D24" s="17">
        <v>2500</v>
      </c>
      <c r="E24" s="17">
        <v>2500</v>
      </c>
      <c r="F24" s="17">
        <v>2500</v>
      </c>
      <c r="G24" s="17">
        <v>2500</v>
      </c>
      <c r="H24" s="17">
        <v>2500</v>
      </c>
      <c r="I24" s="17">
        <v>2500</v>
      </c>
      <c r="J24" s="17">
        <v>2500</v>
      </c>
    </row>
    <row r="25" spans="1:33" ht="15.75" customHeight="1" x14ac:dyDescent="0.2">
      <c r="A25" s="17" t="s">
        <v>50</v>
      </c>
      <c r="B25" s="17">
        <v>0.624</v>
      </c>
      <c r="C25" s="17" t="s">
        <v>34</v>
      </c>
      <c r="D25" s="17">
        <v>4000</v>
      </c>
      <c r="E25" s="17">
        <v>4000</v>
      </c>
      <c r="F25" s="17">
        <v>4000</v>
      </c>
      <c r="G25" s="17">
        <v>4000</v>
      </c>
      <c r="H25" s="17">
        <v>4000</v>
      </c>
      <c r="I25" s="17">
        <v>4000</v>
      </c>
      <c r="J25" s="17">
        <v>4000</v>
      </c>
      <c r="K25" s="17" t="s">
        <v>51</v>
      </c>
    </row>
    <row r="26" spans="1:33" ht="15.75" customHeight="1" x14ac:dyDescent="0.2">
      <c r="A26" s="17" t="s">
        <v>52</v>
      </c>
      <c r="B26" s="17">
        <f>B27-SUM(B13:B25)</f>
        <v>210.304</v>
      </c>
      <c r="C26" s="17"/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/>
    </row>
    <row r="27" spans="1:33" ht="15.75" customHeight="1" x14ac:dyDescent="0.2">
      <c r="A27" s="17" t="s">
        <v>53</v>
      </c>
      <c r="B27" s="17">
        <v>329.5</v>
      </c>
    </row>
    <row r="28" spans="1:33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8"/>
    </row>
    <row r="29" spans="1:33" x14ac:dyDescent="0.2">
      <c r="A29" s="6" t="s">
        <v>54</v>
      </c>
    </row>
    <row r="30" spans="1:33" x14ac:dyDescent="0.2">
      <c r="A30" s="2"/>
    </row>
    <row r="31" spans="1:33" x14ac:dyDescent="0.2">
      <c r="A31" s="2" t="s">
        <v>55</v>
      </c>
    </row>
    <row r="32" spans="1:33" x14ac:dyDescent="0.2">
      <c r="C32">
        <v>2020</v>
      </c>
      <c r="D32">
        <v>2021</v>
      </c>
      <c r="E32">
        <v>2022</v>
      </c>
      <c r="F32">
        <v>2023</v>
      </c>
      <c r="G32">
        <v>2024</v>
      </c>
      <c r="H32">
        <v>2025</v>
      </c>
      <c r="I32">
        <v>2026</v>
      </c>
      <c r="J32">
        <v>2027</v>
      </c>
      <c r="K32">
        <v>2028</v>
      </c>
      <c r="L32">
        <v>2029</v>
      </c>
      <c r="M32">
        <v>2030</v>
      </c>
      <c r="N32">
        <v>2031</v>
      </c>
      <c r="O32">
        <v>2032</v>
      </c>
      <c r="P32">
        <v>2033</v>
      </c>
      <c r="Q32">
        <v>2034</v>
      </c>
      <c r="R32">
        <v>2035</v>
      </c>
      <c r="S32">
        <v>2036</v>
      </c>
      <c r="T32">
        <v>2037</v>
      </c>
      <c r="U32">
        <v>2038</v>
      </c>
      <c r="V32">
        <v>2039</v>
      </c>
      <c r="W32">
        <v>2040</v>
      </c>
      <c r="X32">
        <v>2041</v>
      </c>
      <c r="Y32">
        <v>2042</v>
      </c>
      <c r="Z32">
        <v>2043</v>
      </c>
      <c r="AA32">
        <v>2044</v>
      </c>
      <c r="AB32">
        <v>2045</v>
      </c>
      <c r="AC32">
        <v>2046</v>
      </c>
      <c r="AD32">
        <v>2047</v>
      </c>
      <c r="AE32">
        <v>2048</v>
      </c>
      <c r="AF32">
        <v>2049</v>
      </c>
      <c r="AG32">
        <v>2050</v>
      </c>
    </row>
    <row r="33" spans="1:33" x14ac:dyDescent="0.2">
      <c r="C33" s="2">
        <f>SUMPRODUCT(D13:D26,$B$13:$B$26)/SUM($B$13:$B$26)</f>
        <v>981.82549317147198</v>
      </c>
      <c r="D33" s="2">
        <f t="shared" ref="D33:I33" si="1">SUMPRODUCT(E13:E26,$B$13:$B$26)/SUM($B$13:$B$26)</f>
        <v>764.52655538694989</v>
      </c>
      <c r="E33" s="2">
        <f t="shared" si="1"/>
        <v>734.33308042488625</v>
      </c>
      <c r="F33" s="2">
        <f t="shared" si="1"/>
        <v>734.33308042488625</v>
      </c>
      <c r="G33" s="2">
        <f t="shared" si="1"/>
        <v>723.98103186646438</v>
      </c>
      <c r="H33" s="2">
        <f t="shared" si="1"/>
        <v>723.98103186646438</v>
      </c>
      <c r="I33" s="2">
        <f t="shared" si="1"/>
        <v>723.98103186646438</v>
      </c>
      <c r="J33" s="2">
        <f>I33</f>
        <v>723.98103186646438</v>
      </c>
      <c r="K33" s="2">
        <f t="shared" ref="K33:AG33" si="2">J33</f>
        <v>723.98103186646438</v>
      </c>
      <c r="L33" s="2">
        <f t="shared" si="2"/>
        <v>723.98103186646438</v>
      </c>
      <c r="M33" s="2">
        <f t="shared" si="2"/>
        <v>723.98103186646438</v>
      </c>
      <c r="N33" s="2">
        <f t="shared" si="2"/>
        <v>723.98103186646438</v>
      </c>
      <c r="O33" s="2">
        <f t="shared" si="2"/>
        <v>723.98103186646438</v>
      </c>
      <c r="P33" s="2">
        <f t="shared" si="2"/>
        <v>723.98103186646438</v>
      </c>
      <c r="Q33" s="2">
        <f t="shared" si="2"/>
        <v>723.98103186646438</v>
      </c>
      <c r="R33" s="2">
        <f t="shared" si="2"/>
        <v>723.98103186646438</v>
      </c>
      <c r="S33" s="2">
        <f t="shared" si="2"/>
        <v>723.98103186646438</v>
      </c>
      <c r="T33" s="2">
        <f t="shared" si="2"/>
        <v>723.98103186646438</v>
      </c>
      <c r="U33" s="2">
        <f t="shared" si="2"/>
        <v>723.98103186646438</v>
      </c>
      <c r="V33" s="2">
        <f t="shared" si="2"/>
        <v>723.98103186646438</v>
      </c>
      <c r="W33" s="2">
        <f t="shared" si="2"/>
        <v>723.98103186646438</v>
      </c>
      <c r="X33" s="2">
        <f t="shared" si="2"/>
        <v>723.98103186646438</v>
      </c>
      <c r="Y33" s="2">
        <f t="shared" si="2"/>
        <v>723.98103186646438</v>
      </c>
      <c r="Z33" s="2">
        <f t="shared" si="2"/>
        <v>723.98103186646438</v>
      </c>
      <c r="AA33" s="2">
        <f t="shared" si="2"/>
        <v>723.98103186646438</v>
      </c>
      <c r="AB33" s="2">
        <f t="shared" si="2"/>
        <v>723.98103186646438</v>
      </c>
      <c r="AC33" s="2">
        <f t="shared" si="2"/>
        <v>723.98103186646438</v>
      </c>
      <c r="AD33" s="2">
        <f t="shared" si="2"/>
        <v>723.98103186646438</v>
      </c>
      <c r="AE33" s="2">
        <f t="shared" si="2"/>
        <v>723.98103186646438</v>
      </c>
      <c r="AF33" s="2">
        <f t="shared" si="2"/>
        <v>723.98103186646438</v>
      </c>
      <c r="AG33" s="2">
        <f t="shared" si="2"/>
        <v>723.98103186646438</v>
      </c>
    </row>
    <row r="34" spans="1:33" x14ac:dyDescent="0.2">
      <c r="A34" s="2"/>
    </row>
    <row r="35" spans="1:33" x14ac:dyDescent="0.2">
      <c r="A35" s="2" t="s">
        <v>56</v>
      </c>
    </row>
    <row r="36" spans="1:33" x14ac:dyDescent="0.2">
      <c r="C36">
        <v>2020</v>
      </c>
      <c r="D36">
        <v>2021</v>
      </c>
      <c r="E36">
        <v>2022</v>
      </c>
      <c r="F36">
        <v>2023</v>
      </c>
      <c r="G36">
        <v>2024</v>
      </c>
      <c r="H36">
        <v>2025</v>
      </c>
      <c r="I36">
        <v>2026</v>
      </c>
      <c r="J36">
        <v>2027</v>
      </c>
      <c r="K36">
        <v>2028</v>
      </c>
      <c r="L36">
        <v>2029</v>
      </c>
      <c r="M36">
        <v>2030</v>
      </c>
      <c r="N36">
        <v>2031</v>
      </c>
      <c r="O36">
        <v>2032</v>
      </c>
      <c r="P36">
        <v>2033</v>
      </c>
      <c r="Q36">
        <v>2034</v>
      </c>
      <c r="R36">
        <v>2035</v>
      </c>
      <c r="S36">
        <v>2036</v>
      </c>
      <c r="T36">
        <v>2037</v>
      </c>
      <c r="U36">
        <v>2038</v>
      </c>
      <c r="V36">
        <v>2039</v>
      </c>
      <c r="W36">
        <v>2040</v>
      </c>
      <c r="X36">
        <v>2041</v>
      </c>
      <c r="Y36">
        <v>2042</v>
      </c>
      <c r="Z36">
        <v>2043</v>
      </c>
      <c r="AA36">
        <v>2044</v>
      </c>
      <c r="AB36">
        <v>2045</v>
      </c>
      <c r="AC36">
        <v>2046</v>
      </c>
      <c r="AD36">
        <v>2047</v>
      </c>
      <c r="AE36">
        <v>2048</v>
      </c>
      <c r="AF36">
        <v>2049</v>
      </c>
      <c r="AG36">
        <v>2050</v>
      </c>
    </row>
    <row r="37" spans="1:33" x14ac:dyDescent="0.2">
      <c r="B37" s="2"/>
      <c r="C37" s="2">
        <f>(A3+$C$33)*About!$B$33</f>
        <v>1816.7966021737629</v>
      </c>
      <c r="D37" s="2">
        <f>(B3+$C$33)*About!$B$33</f>
        <v>2517.4859850168737</v>
      </c>
      <c r="E37" s="2">
        <f>(C3+$C$33)*About!$B$33</f>
        <v>2271.1154962713113</v>
      </c>
      <c r="F37" s="2">
        <f>(D3+$C$33)*About!$B$33</f>
        <v>1962.8776950512195</v>
      </c>
      <c r="G37" s="2">
        <f>(E3+$C$33)*About!$B$33</f>
        <v>1427.0424724877932</v>
      </c>
      <c r="H37" s="2">
        <f>(F3+$C$33)*About!$B$33</f>
        <v>999.14650449912858</v>
      </c>
      <c r="I37" s="2">
        <f>(G3+$C$33)*About!$B$33</f>
        <v>900.65985410664803</v>
      </c>
      <c r="J37" s="2">
        <f>(H3+$C$33)*About!$B$33</f>
        <v>900.65985410664803</v>
      </c>
      <c r="K37" s="2">
        <f>(I3+$C$33)*About!$B$33</f>
        <v>900.65985410664803</v>
      </c>
      <c r="L37" s="2">
        <f>(J3+$C$33)*About!$B$33</f>
        <v>900.65985410664803</v>
      </c>
      <c r="M37" s="2">
        <f>(K3+$C$33)*About!$B$33</f>
        <v>900.65985410664803</v>
      </c>
      <c r="N37" s="2">
        <f>(L3+$C$33)*About!$B$33</f>
        <v>900.65985410664803</v>
      </c>
      <c r="O37" s="2">
        <f>(M3+$C$33)*About!$B$33</f>
        <v>900.6508033558033</v>
      </c>
      <c r="P37" s="2">
        <f>(N3+$C$33)*About!$B$33</f>
        <v>900.64537290529643</v>
      </c>
      <c r="Q37" s="2">
        <f>(O3+$C$33)*About!$B$33</f>
        <v>900.64537290529643</v>
      </c>
      <c r="R37" s="2">
        <f>(P3+$C$33)*About!$B$33</f>
        <v>891.0334755081476</v>
      </c>
      <c r="S37" s="2">
        <f>(Q3+$C$33)*About!$B$33</f>
        <v>885.26633706985831</v>
      </c>
      <c r="T37" s="2">
        <f>(R3+$C$33)*About!$B$33</f>
        <v>885.26633706985831</v>
      </c>
      <c r="U37" s="2">
        <f>(S3+$C$33)*About!$B$33</f>
        <v>885.26633706985831</v>
      </c>
      <c r="V37" s="2">
        <f>(T3+$C$33)*About!$B$33</f>
        <v>885.26633706985831</v>
      </c>
      <c r="W37" s="2">
        <f>(U3+$C$33)*About!$B$33</f>
        <v>885.26633706985831</v>
      </c>
      <c r="X37" s="2">
        <f>(V3+$C$33)*About!$B$33</f>
        <v>885.26633706985831</v>
      </c>
      <c r="Y37" s="2">
        <f>(W3+$C$33)*About!$B$33</f>
        <v>885.26633706985831</v>
      </c>
      <c r="Z37" s="2">
        <f>(X3+$C$33)*About!$B$33</f>
        <v>885.26633706985831</v>
      </c>
      <c r="AA37" s="2">
        <f>(Y3+$C$33)*About!$B$33</f>
        <v>885.26633706985831</v>
      </c>
      <c r="AB37" s="2">
        <f>(Z3+$C$33)*About!$B$33</f>
        <v>885.26633706985831</v>
      </c>
      <c r="AC37" s="2">
        <f>(AA3+$C$33)*About!$B$33</f>
        <v>885.26633706985831</v>
      </c>
      <c r="AD37" s="2">
        <f>(AB3+$C$33)*About!$B$33</f>
        <v>885.26633706985831</v>
      </c>
      <c r="AE37" s="2">
        <f>(AC3+$C$33)*About!$B$33</f>
        <v>881.38356495745086</v>
      </c>
      <c r="AF37" s="2">
        <f>(AD3+$C$33)*About!$B$33</f>
        <v>879.05390169000623</v>
      </c>
      <c r="AG37" s="2">
        <f>(AE3+$C$33)*About!$B$33</f>
        <v>879.05390169000623</v>
      </c>
    </row>
    <row r="39" spans="1:33" x14ac:dyDescent="0.2">
      <c r="A39" t="s">
        <v>57</v>
      </c>
      <c r="C39">
        <v>2020</v>
      </c>
      <c r="D39">
        <v>2021</v>
      </c>
      <c r="E39">
        <v>2022</v>
      </c>
      <c r="F39">
        <v>2023</v>
      </c>
      <c r="G39">
        <v>2024</v>
      </c>
      <c r="H39">
        <v>2025</v>
      </c>
      <c r="I39">
        <v>2026</v>
      </c>
      <c r="J39">
        <v>2027</v>
      </c>
      <c r="K39">
        <v>2028</v>
      </c>
      <c r="L39">
        <v>2029</v>
      </c>
      <c r="M39">
        <v>2030</v>
      </c>
      <c r="N39">
        <v>2031</v>
      </c>
      <c r="O39">
        <v>2032</v>
      </c>
      <c r="P39">
        <v>2033</v>
      </c>
      <c r="Q39">
        <v>2034</v>
      </c>
      <c r="R39">
        <v>2035</v>
      </c>
      <c r="S39">
        <v>2036</v>
      </c>
      <c r="T39">
        <v>2037</v>
      </c>
      <c r="U39">
        <v>2038</v>
      </c>
      <c r="V39">
        <v>2039</v>
      </c>
      <c r="W39">
        <v>2040</v>
      </c>
      <c r="X39">
        <v>2041</v>
      </c>
      <c r="Y39">
        <v>2042</v>
      </c>
      <c r="Z39">
        <v>2043</v>
      </c>
      <c r="AA39">
        <v>2044</v>
      </c>
      <c r="AB39">
        <v>2045</v>
      </c>
      <c r="AC39">
        <v>2046</v>
      </c>
      <c r="AD39">
        <v>2047</v>
      </c>
      <c r="AE39">
        <v>2048</v>
      </c>
      <c r="AF39">
        <v>2049</v>
      </c>
      <c r="AG39">
        <v>2050</v>
      </c>
    </row>
    <row r="40" spans="1:33" x14ac:dyDescent="0.2">
      <c r="A40" t="s">
        <v>58</v>
      </c>
      <c r="C40">
        <v>49824</v>
      </c>
      <c r="D40">
        <v>46173.599999999999</v>
      </c>
      <c r="E40">
        <v>43530.5</v>
      </c>
      <c r="F40">
        <v>41513.300000000003</v>
      </c>
      <c r="G40">
        <v>39946.300000000003</v>
      </c>
      <c r="H40">
        <v>38679.5</v>
      </c>
      <c r="I40">
        <v>37326.699999999997</v>
      </c>
      <c r="J40">
        <v>36099.199999999997</v>
      </c>
      <c r="K40">
        <v>34664.5</v>
      </c>
      <c r="L40">
        <v>33628.9</v>
      </c>
      <c r="M40">
        <v>32666.3</v>
      </c>
      <c r="N40">
        <v>32118.799999999999</v>
      </c>
      <c r="O40">
        <v>31643.200000000001</v>
      </c>
      <c r="P40">
        <v>31237.200000000001</v>
      </c>
      <c r="Q40">
        <v>30885.3</v>
      </c>
      <c r="R40">
        <v>30578</v>
      </c>
      <c r="S40">
        <v>30305.7</v>
      </c>
      <c r="T40">
        <v>30065.9</v>
      </c>
      <c r="U40">
        <v>29852.9</v>
      </c>
      <c r="V40">
        <v>29660.9</v>
      </c>
      <c r="W40">
        <v>29486.9</v>
      </c>
      <c r="X40">
        <v>29330.6</v>
      </c>
      <c r="Y40">
        <v>29189.200000000001</v>
      </c>
      <c r="Z40">
        <v>29060.400000000001</v>
      </c>
      <c r="AA40">
        <v>28942.9</v>
      </c>
      <c r="AB40">
        <v>28835.1</v>
      </c>
      <c r="AC40">
        <v>28735.8</v>
      </c>
      <c r="AD40">
        <v>28643.9</v>
      </c>
      <c r="AE40">
        <v>28558.5</v>
      </c>
      <c r="AF40">
        <v>28478.6</v>
      </c>
      <c r="AG40">
        <v>28404.1</v>
      </c>
    </row>
    <row r="42" spans="1:33" x14ac:dyDescent="0.2">
      <c r="A42" t="s">
        <v>59</v>
      </c>
    </row>
    <row r="43" spans="1:33" x14ac:dyDescent="0.2">
      <c r="C43">
        <v>2020</v>
      </c>
      <c r="D43">
        <v>2021</v>
      </c>
      <c r="E43">
        <v>2022</v>
      </c>
      <c r="F43">
        <v>2023</v>
      </c>
      <c r="G43">
        <v>2024</v>
      </c>
      <c r="H43">
        <v>2025</v>
      </c>
      <c r="I43">
        <v>2026</v>
      </c>
      <c r="J43">
        <v>2027</v>
      </c>
      <c r="K43">
        <v>2028</v>
      </c>
      <c r="L43">
        <v>2029</v>
      </c>
      <c r="M43">
        <v>2030</v>
      </c>
      <c r="N43">
        <v>2031</v>
      </c>
      <c r="O43">
        <v>2032</v>
      </c>
      <c r="P43">
        <v>2033</v>
      </c>
      <c r="Q43">
        <v>2034</v>
      </c>
      <c r="R43">
        <v>2035</v>
      </c>
      <c r="S43">
        <v>2036</v>
      </c>
      <c r="T43">
        <v>2037</v>
      </c>
      <c r="U43">
        <v>2038</v>
      </c>
      <c r="V43">
        <v>2039</v>
      </c>
      <c r="W43">
        <v>2040</v>
      </c>
      <c r="X43">
        <v>2041</v>
      </c>
      <c r="Y43">
        <v>2042</v>
      </c>
      <c r="Z43">
        <v>2043</v>
      </c>
      <c r="AA43">
        <v>2044</v>
      </c>
      <c r="AB43">
        <v>2045</v>
      </c>
      <c r="AC43">
        <v>2046</v>
      </c>
      <c r="AD43">
        <v>2047</v>
      </c>
      <c r="AE43">
        <v>2048</v>
      </c>
      <c r="AF43">
        <v>2049</v>
      </c>
      <c r="AG43">
        <v>2050</v>
      </c>
    </row>
    <row r="44" spans="1:33" x14ac:dyDescent="0.2">
      <c r="A44" s="7"/>
      <c r="B44" s="7"/>
      <c r="C44" s="7">
        <f>C37/C40</f>
        <v>3.6464286331361652E-2</v>
      </c>
      <c r="D44" s="7">
        <f t="shared" ref="D44:AG44" si="3">D37/D40</f>
        <v>5.4522194176258157E-2</v>
      </c>
      <c r="E44" s="7">
        <f t="shared" si="3"/>
        <v>5.2172970590076181E-2</v>
      </c>
      <c r="F44" s="7">
        <f t="shared" si="3"/>
        <v>4.7283104331653211E-2</v>
      </c>
      <c r="G44" s="7">
        <f t="shared" si="3"/>
        <v>3.5724021310804585E-2</v>
      </c>
      <c r="H44" s="7">
        <f t="shared" si="3"/>
        <v>2.5831422445975995E-2</v>
      </c>
      <c r="I44" s="7">
        <f t="shared" si="3"/>
        <v>2.4129104745574833E-2</v>
      </c>
      <c r="J44" s="7">
        <f t="shared" si="3"/>
        <v>2.4949579328811942E-2</v>
      </c>
      <c r="K44" s="7">
        <f t="shared" si="3"/>
        <v>2.5982196601902464E-2</v>
      </c>
      <c r="L44" s="7">
        <f t="shared" si="3"/>
        <v>2.6782316819956881E-2</v>
      </c>
      <c r="M44" s="7">
        <f t="shared" si="3"/>
        <v>2.7571529500024429E-2</v>
      </c>
      <c r="N44" s="7">
        <f t="shared" si="3"/>
        <v>2.804151631152621E-2</v>
      </c>
      <c r="O44" s="7">
        <f t="shared" si="3"/>
        <v>2.8462696672770241E-2</v>
      </c>
      <c r="P44" s="7">
        <f t="shared" si="3"/>
        <v>2.883246170928561E-2</v>
      </c>
      <c r="Q44" s="7">
        <f t="shared" si="3"/>
        <v>2.91609721422585E-2</v>
      </c>
      <c r="R44" s="7">
        <f t="shared" si="3"/>
        <v>2.9139691134415186E-2</v>
      </c>
      <c r="S44" s="7">
        <f t="shared" si="3"/>
        <v>2.9211215615209625E-2</v>
      </c>
      <c r="T44" s="7">
        <f t="shared" si="3"/>
        <v>2.9444198812270988E-2</v>
      </c>
      <c r="U44" s="7">
        <f t="shared" si="3"/>
        <v>2.9654282735340896E-2</v>
      </c>
      <c r="V44" s="7">
        <f t="shared" si="3"/>
        <v>2.9846239900672544E-2</v>
      </c>
      <c r="W44" s="7">
        <f t="shared" si="3"/>
        <v>3.0022360338654054E-2</v>
      </c>
      <c r="X44" s="7">
        <f t="shared" si="3"/>
        <v>3.0182346664229791E-2</v>
      </c>
      <c r="Y44" s="7">
        <f t="shared" si="3"/>
        <v>3.0328557722371915E-2</v>
      </c>
      <c r="Z44" s="7">
        <f t="shared" si="3"/>
        <v>3.0462978385358021E-2</v>
      </c>
      <c r="AA44" s="7">
        <f t="shared" si="3"/>
        <v>3.0586649474304863E-2</v>
      </c>
      <c r="AB44" s="7">
        <f t="shared" si="3"/>
        <v>3.0700997640717681E-2</v>
      </c>
      <c r="AC44" s="7">
        <f t="shared" si="3"/>
        <v>3.080708861663355E-2</v>
      </c>
      <c r="AD44" s="7">
        <f t="shared" si="3"/>
        <v>3.0905928908767949E-2</v>
      </c>
      <c r="AE44" s="7">
        <f t="shared" si="3"/>
        <v>3.0862390004988038E-2</v>
      </c>
      <c r="AF44" s="7">
        <f t="shared" si="3"/>
        <v>3.0867174007500588E-2</v>
      </c>
      <c r="AG44" s="7">
        <f t="shared" si="3"/>
        <v>3.0948134307723401E-2</v>
      </c>
    </row>
    <row r="56" spans="2:12" x14ac:dyDescent="0.2">
      <c r="B56" s="10"/>
      <c r="C56" s="8"/>
      <c r="D56" s="8"/>
      <c r="E56" s="8"/>
      <c r="F56" s="8"/>
      <c r="G56" s="8"/>
      <c r="H56" s="8"/>
      <c r="I56" s="8"/>
      <c r="J56" s="8"/>
      <c r="K56" s="8"/>
      <c r="L56" s="7"/>
    </row>
  </sheetData>
  <hyperlinks>
    <hyperlink ref="C9" r:id="rId1" xr:uid="{BB4A6F4E-D205-46EA-A5D8-C59163B504EA}"/>
    <hyperlink ref="C10" r:id="rId2" xr:uid="{DE067B7F-265D-4447-A0DB-50ABB6C30395}"/>
    <hyperlink ref="R14" r:id="rId3" xr:uid="{FEEBDAAE-D1ED-493C-AED2-FA0FC8A3A15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9DB8-910A-422D-8387-227BB59B1D40}">
  <dimension ref="A1:AI104"/>
  <sheetViews>
    <sheetView workbookViewId="0">
      <selection sqref="A1:XFD1048576"/>
    </sheetView>
  </sheetViews>
  <sheetFormatPr baseColWidth="10" defaultColWidth="8.6640625" defaultRowHeight="15" x14ac:dyDescent="0.2"/>
  <cols>
    <col min="1" max="1" width="51.83203125" customWidth="1"/>
    <col min="2" max="2" width="31" customWidth="1"/>
    <col min="3" max="3" width="36.5" customWidth="1"/>
    <col min="4" max="4" width="10.6640625" customWidth="1"/>
    <col min="5" max="5" width="14.33203125" customWidth="1"/>
    <col min="6" max="6" width="11.83203125" customWidth="1"/>
    <col min="7" max="7" width="13.1640625" customWidth="1"/>
    <col min="8" max="8" width="11" customWidth="1"/>
    <col min="9" max="9" width="10.6640625" customWidth="1"/>
    <col min="10" max="10" width="11.83203125" customWidth="1"/>
  </cols>
  <sheetData>
    <row r="1" spans="1:35" x14ac:dyDescent="0.2">
      <c r="D1" t="s">
        <v>66</v>
      </c>
    </row>
    <row r="2" spans="1:35" x14ac:dyDescent="0.2">
      <c r="B2">
        <v>2020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</row>
    <row r="3" spans="1:35" x14ac:dyDescent="0.2">
      <c r="A3" t="s">
        <v>13</v>
      </c>
      <c r="B3" s="11">
        <f>SUM('PEV Sales by Manufacturer'!D4:M4)</f>
        <v>687269</v>
      </c>
      <c r="C3" s="11">
        <f>SUM('PEV Sales by Manufacturer'!D4:N4)</f>
        <v>1008187</v>
      </c>
      <c r="D3" s="11">
        <f>C3+D32+D56</f>
        <v>1775770.5866674213</v>
      </c>
      <c r="E3" s="11">
        <f t="shared" ref="E3:AF12" si="0">D3+E32+E56</f>
        <v>2893800.0994284423</v>
      </c>
      <c r="F3" s="11">
        <f t="shared" si="0"/>
        <v>4437118.6399751008</v>
      </c>
      <c r="G3" s="11">
        <f t="shared" si="0"/>
        <v>6399691.2629166432</v>
      </c>
      <c r="H3" s="11">
        <f t="shared" si="0"/>
        <v>8714085.835380001</v>
      </c>
      <c r="I3" s="11">
        <f t="shared" si="0"/>
        <v>11395466.554637542</v>
      </c>
      <c r="J3" s="11">
        <f t="shared" si="0"/>
        <v>14460254.898251373</v>
      </c>
      <c r="K3" s="11">
        <f t="shared" si="0"/>
        <v>17883738.323637601</v>
      </c>
      <c r="L3" s="11">
        <f t="shared" si="0"/>
        <v>21697586.32431668</v>
      </c>
      <c r="M3" s="11">
        <f t="shared" si="0"/>
        <v>25815905.701827858</v>
      </c>
      <c r="N3" s="11">
        <f t="shared" si="0"/>
        <v>30196493.747778852</v>
      </c>
      <c r="O3" s="11">
        <f t="shared" si="0"/>
        <v>34824053.551977821</v>
      </c>
      <c r="P3" s="11">
        <f t="shared" si="0"/>
        <v>39673236.946805507</v>
      </c>
      <c r="Q3" s="11">
        <f t="shared" si="0"/>
        <v>44754674.935600705</v>
      </c>
      <c r="R3" s="11">
        <f t="shared" si="0"/>
        <v>50040365.092354707</v>
      </c>
      <c r="S3" s="11">
        <f t="shared" si="0"/>
        <v>55535322.568445474</v>
      </c>
      <c r="T3" s="11">
        <f t="shared" si="0"/>
        <v>61246657.982400544</v>
      </c>
      <c r="U3" s="11">
        <f t="shared" si="0"/>
        <v>67156573.833229586</v>
      </c>
      <c r="V3" s="11">
        <f t="shared" si="0"/>
        <v>73273312.291720897</v>
      </c>
      <c r="W3" s="11">
        <f t="shared" si="0"/>
        <v>79601623.083413497</v>
      </c>
      <c r="X3" s="11">
        <f t="shared" si="0"/>
        <v>86130386.262633681</v>
      </c>
      <c r="Y3" s="11">
        <f t="shared" si="0"/>
        <v>92875995.367381573</v>
      </c>
      <c r="Z3" s="11">
        <f t="shared" si="0"/>
        <v>99840056.922471836</v>
      </c>
      <c r="AA3" s="11">
        <f t="shared" si="0"/>
        <v>107010466.11267047</v>
      </c>
      <c r="AB3" s="11">
        <f t="shared" si="0"/>
        <v>114398943.58423404</v>
      </c>
      <c r="AC3" s="11">
        <f t="shared" si="0"/>
        <v>122002485.83424819</v>
      </c>
      <c r="AD3" s="11">
        <f t="shared" si="0"/>
        <v>129815155.70578913</v>
      </c>
      <c r="AE3" s="11">
        <f t="shared" si="0"/>
        <v>137844776.27621526</v>
      </c>
      <c r="AF3" s="11">
        <f t="shared" si="0"/>
        <v>146099938.96083978</v>
      </c>
      <c r="AG3" s="11"/>
    </row>
    <row r="4" spans="1:35" x14ac:dyDescent="0.2">
      <c r="A4" t="s">
        <v>67</v>
      </c>
      <c r="B4" s="11">
        <f>SUM('PEV Sales by Manufacturer'!D5:M5)</f>
        <v>246675</v>
      </c>
      <c r="C4" s="11">
        <f>SUM('PEV Sales by Manufacturer'!D5:N5)</f>
        <v>271520</v>
      </c>
      <c r="D4" s="11">
        <f t="shared" ref="D4:S24" si="1">C4+D33+D57</f>
        <v>330946.81434033223</v>
      </c>
      <c r="E4" s="11">
        <f t="shared" si="1"/>
        <v>417505.80872338003</v>
      </c>
      <c r="F4" s="11">
        <f t="shared" si="1"/>
        <v>536991.85871898045</v>
      </c>
      <c r="G4" s="11">
        <f t="shared" si="1"/>
        <v>688934.14833116136</v>
      </c>
      <c r="H4" s="11">
        <f t="shared" si="1"/>
        <v>868108.01549062447</v>
      </c>
      <c r="I4" s="11">
        <f t="shared" si="1"/>
        <v>1075681.7758282784</v>
      </c>
      <c r="J4" s="11">
        <f t="shared" si="1"/>
        <v>1312920.8214731205</v>
      </c>
      <c r="K4" s="11">
        <f t="shared" si="1"/>
        <v>1577912.5296440113</v>
      </c>
      <c r="L4" s="11">
        <f t="shared" si="1"/>
        <v>1873105.3816443568</v>
      </c>
      <c r="M4" s="11">
        <f t="shared" si="1"/>
        <v>2191854.373974714</v>
      </c>
      <c r="N4" s="11">
        <f t="shared" si="1"/>
        <v>2530893.1892475267</v>
      </c>
      <c r="O4" s="11">
        <f t="shared" si="1"/>
        <v>2889038.1622078647</v>
      </c>
      <c r="P4" s="11">
        <f t="shared" si="1"/>
        <v>3264328.1801086836</v>
      </c>
      <c r="Q4" s="11">
        <f t="shared" si="1"/>
        <v>3657585.8304598834</v>
      </c>
      <c r="R4" s="11">
        <f t="shared" si="1"/>
        <v>4066644.7791736843</v>
      </c>
      <c r="S4" s="11">
        <f t="shared" si="1"/>
        <v>4491893.0492131319</v>
      </c>
      <c r="T4" s="11">
        <f t="shared" si="0"/>
        <v>4933881.0480846548</v>
      </c>
      <c r="U4" s="11">
        <f t="shared" si="0"/>
        <v>5391231.6569267483</v>
      </c>
      <c r="V4" s="11">
        <f t="shared" si="0"/>
        <v>5864582.7885830905</v>
      </c>
      <c r="W4" s="11">
        <f t="shared" si="0"/>
        <v>6354301.98276133</v>
      </c>
      <c r="X4" s="11">
        <f t="shared" si="0"/>
        <v>6859528.808425758</v>
      </c>
      <c r="Y4" s="11">
        <f t="shared" si="0"/>
        <v>7381531.8122349894</v>
      </c>
      <c r="Z4" s="11">
        <f t="shared" si="0"/>
        <v>7920435.2659051269</v>
      </c>
      <c r="AA4" s="11">
        <f t="shared" si="0"/>
        <v>8475302.5633268356</v>
      </c>
      <c r="AB4" s="11">
        <f t="shared" si="0"/>
        <v>9047040.5576343406</v>
      </c>
      <c r="AC4" s="11">
        <f t="shared" si="0"/>
        <v>9635416.8239968345</v>
      </c>
      <c r="AD4" s="11">
        <f t="shared" si="0"/>
        <v>10239971.933413945</v>
      </c>
      <c r="AE4" s="11">
        <f t="shared" si="0"/>
        <v>10861311.180092733</v>
      </c>
      <c r="AF4" s="11">
        <f t="shared" si="0"/>
        <v>11500099.263087541</v>
      </c>
      <c r="AG4" s="11"/>
    </row>
    <row r="5" spans="1:35" x14ac:dyDescent="0.2">
      <c r="A5" t="s">
        <v>68</v>
      </c>
      <c r="B5" s="11">
        <f>SUM('PEV Sales by Manufacturer'!D6:M6)</f>
        <v>151452</v>
      </c>
      <c r="C5" s="11">
        <f>SUM('PEV Sales by Manufacturer'!D6:N6)</f>
        <v>165691</v>
      </c>
      <c r="D5" s="11">
        <f t="shared" si="1"/>
        <v>199748.36883115751</v>
      </c>
      <c r="E5" s="11">
        <f t="shared" si="0"/>
        <v>249354.87962894441</v>
      </c>
      <c r="F5" s="11">
        <f t="shared" si="0"/>
        <v>317831.29011026322</v>
      </c>
      <c r="G5" s="11">
        <f t="shared" si="0"/>
        <v>404909.83222402632</v>
      </c>
      <c r="H5" s="11">
        <f t="shared" si="0"/>
        <v>507598.56989940058</v>
      </c>
      <c r="I5" s="11">
        <f t="shared" si="0"/>
        <v>626570.33234808873</v>
      </c>
      <c r="J5" s="11">
        <f t="shared" si="0"/>
        <v>762553.73379243689</v>
      </c>
      <c r="K5" s="11">
        <f t="shared" si="0"/>
        <v>914452.28885657934</v>
      </c>
      <c r="L5" s="11">
        <f t="shared" si="0"/>
        <v>1083671.1599752745</v>
      </c>
      <c r="M5" s="11">
        <f t="shared" si="0"/>
        <v>1266399.3011714106</v>
      </c>
      <c r="N5" s="11">
        <f t="shared" si="0"/>
        <v>1460764.1955877293</v>
      </c>
      <c r="O5" s="11">
        <f t="shared" si="0"/>
        <v>1666087.1255947377</v>
      </c>
      <c r="P5" s="11">
        <f t="shared" si="0"/>
        <v>1881243.4033945226</v>
      </c>
      <c r="Q5" s="11">
        <f t="shared" si="0"/>
        <v>2106704.7222437453</v>
      </c>
      <c r="R5" s="11">
        <f t="shared" si="0"/>
        <v>2341228.6259886902</v>
      </c>
      <c r="S5" s="11">
        <f t="shared" si="0"/>
        <v>2585037.6348384786</v>
      </c>
      <c r="T5" s="11">
        <f t="shared" si="0"/>
        <v>2838447.2440199712</v>
      </c>
      <c r="U5" s="11">
        <f t="shared" si="0"/>
        <v>3100667.7857158398</v>
      </c>
      <c r="V5" s="11">
        <f t="shared" si="0"/>
        <v>3372064.9616625234</v>
      </c>
      <c r="W5" s="11">
        <f t="shared" si="0"/>
        <v>3652849.5152335633</v>
      </c>
      <c r="X5" s="11">
        <f t="shared" si="0"/>
        <v>3942528.0590014923</v>
      </c>
      <c r="Y5" s="11">
        <f t="shared" si="0"/>
        <v>4241827.9675217541</v>
      </c>
      <c r="Z5" s="11">
        <f t="shared" si="0"/>
        <v>4550820.5216412805</v>
      </c>
      <c r="AA5" s="11">
        <f t="shared" si="0"/>
        <v>4868968.635674268</v>
      </c>
      <c r="AB5" s="11">
        <f t="shared" si="0"/>
        <v>5196792.3498866018</v>
      </c>
      <c r="AC5" s="11">
        <f t="shared" si="0"/>
        <v>5534158.4000861896</v>
      </c>
      <c r="AD5" s="11">
        <f t="shared" si="0"/>
        <v>5880803.3570561055</v>
      </c>
      <c r="AE5" s="11">
        <f t="shared" si="0"/>
        <v>6237074.3275292404</v>
      </c>
      <c r="AF5" s="11">
        <f t="shared" si="0"/>
        <v>6603352.5090783238</v>
      </c>
      <c r="AG5" s="11"/>
    </row>
    <row r="6" spans="1:35" x14ac:dyDescent="0.2">
      <c r="A6" t="s">
        <v>69</v>
      </c>
      <c r="B6" s="11">
        <f>SUM('PEV Sales by Manufacturer'!D7:M7)</f>
        <v>135451</v>
      </c>
      <c r="C6" s="11">
        <f>SUM('PEV Sales by Manufacturer'!D7:N7)</f>
        <v>188218</v>
      </c>
      <c r="D6" s="11">
        <f t="shared" si="1"/>
        <v>319773.87872817094</v>
      </c>
      <c r="E6" s="11">
        <f t="shared" si="0"/>
        <v>512815.07348345581</v>
      </c>
      <c r="F6" s="11">
        <f t="shared" si="0"/>
        <v>781733.98963694845</v>
      </c>
      <c r="G6" s="11">
        <f t="shared" si="0"/>
        <v>1113667.7615808821</v>
      </c>
      <c r="H6" s="11">
        <f t="shared" si="0"/>
        <v>1483791.5285271136</v>
      </c>
      <c r="I6" s="11">
        <f t="shared" si="0"/>
        <v>1875885.3791130511</v>
      </c>
      <c r="J6" s="11">
        <f t="shared" si="0"/>
        <v>2273077.695576746</v>
      </c>
      <c r="K6" s="11">
        <f t="shared" si="0"/>
        <v>2673237.5495519298</v>
      </c>
      <c r="L6" s="11">
        <f t="shared" si="0"/>
        <v>3070608.7063763784</v>
      </c>
      <c r="M6" s="11">
        <f t="shared" si="0"/>
        <v>3466640.076091452</v>
      </c>
      <c r="N6" s="11">
        <f t="shared" si="0"/>
        <v>3857539.6368106618</v>
      </c>
      <c r="O6" s="11">
        <f t="shared" si="0"/>
        <v>4242767.8362591909</v>
      </c>
      <c r="P6" s="11">
        <f t="shared" si="0"/>
        <v>4622461.0781020215</v>
      </c>
      <c r="Q6" s="11">
        <f t="shared" si="0"/>
        <v>4996886.1072840067</v>
      </c>
      <c r="R6" s="11">
        <f t="shared" si="0"/>
        <v>5366624.9127757344</v>
      </c>
      <c r="S6" s="11">
        <f t="shared" si="0"/>
        <v>5731701.7441176465</v>
      </c>
      <c r="T6" s="11">
        <f t="shared" si="0"/>
        <v>6093001.7095358446</v>
      </c>
      <c r="U6" s="11">
        <f t="shared" si="0"/>
        <v>6450030.7246438414</v>
      </c>
      <c r="V6" s="11">
        <f t="shared" si="0"/>
        <v>6803537.4940027567</v>
      </c>
      <c r="W6" s="11">
        <f t="shared" si="0"/>
        <v>7153719.0451286761</v>
      </c>
      <c r="X6" s="11">
        <f t="shared" si="0"/>
        <v>7500260.1339958636</v>
      </c>
      <c r="Y6" s="11">
        <f t="shared" si="0"/>
        <v>7843821.5605813414</v>
      </c>
      <c r="Z6" s="11">
        <f t="shared" si="0"/>
        <v>8184327.5450712312</v>
      </c>
      <c r="AA6" s="11">
        <f t="shared" si="0"/>
        <v>8521538.6232536752</v>
      </c>
      <c r="AB6" s="11">
        <f t="shared" si="0"/>
        <v>8855594.2299862113</v>
      </c>
      <c r="AC6" s="11">
        <f t="shared" si="0"/>
        <v>9186336.7432559729</v>
      </c>
      <c r="AD6" s="11">
        <f t="shared" si="0"/>
        <v>9513505.4805032164</v>
      </c>
      <c r="AE6" s="11">
        <f t="shared" si="0"/>
        <v>9837209.5646599252</v>
      </c>
      <c r="AF6" s="11">
        <f t="shared" si="0"/>
        <v>10157424.74618566</v>
      </c>
      <c r="AG6" s="11"/>
    </row>
    <row r="7" spans="1:35" x14ac:dyDescent="0.2">
      <c r="A7" t="s">
        <v>70</v>
      </c>
      <c r="B7" s="11">
        <f>SUM('PEV Sales by Manufacturer'!D8:M8)</f>
        <v>126312</v>
      </c>
      <c r="C7" s="11">
        <f>SUM('PEV Sales by Manufacturer'!D8:N8)</f>
        <v>159546</v>
      </c>
      <c r="D7" s="11">
        <f t="shared" si="1"/>
        <v>239645.49027850115</v>
      </c>
      <c r="E7" s="11">
        <f t="shared" si="0"/>
        <v>356477.09211198642</v>
      </c>
      <c r="F7" s="11">
        <f t="shared" si="0"/>
        <v>518029.23809373419</v>
      </c>
      <c r="G7" s="11">
        <f t="shared" si="0"/>
        <v>722324.25795455358</v>
      </c>
      <c r="H7" s="11">
        <f t="shared" si="0"/>
        <v>960813.51654974953</v>
      </c>
      <c r="I7" s="11">
        <f t="shared" si="0"/>
        <v>1232934.9553491022</v>
      </c>
      <c r="J7" s="11">
        <f t="shared" si="0"/>
        <v>1538158.8967984051</v>
      </c>
      <c r="K7" s="11">
        <f t="shared" si="0"/>
        <v>1874146.3390397418</v>
      </c>
      <c r="L7" s="11">
        <f t="shared" si="0"/>
        <v>2242927.6162744947</v>
      </c>
      <c r="M7" s="11">
        <f t="shared" si="0"/>
        <v>2637382.1794239432</v>
      </c>
      <c r="N7" s="11">
        <f t="shared" si="0"/>
        <v>3053498.1827818118</v>
      </c>
      <c r="O7" s="11">
        <f t="shared" si="0"/>
        <v>3489916.6233492731</v>
      </c>
      <c r="P7" s="11">
        <f t="shared" si="0"/>
        <v>3944502.9551904099</v>
      </c>
      <c r="Q7" s="11">
        <f t="shared" si="0"/>
        <v>4418189.3209638717</v>
      </c>
      <c r="R7" s="11">
        <f t="shared" si="0"/>
        <v>4908666.810593511</v>
      </c>
      <c r="S7" s="11">
        <f t="shared" si="0"/>
        <v>5416363.5840363884</v>
      </c>
      <c r="T7" s="11">
        <f t="shared" si="0"/>
        <v>5941983.6416898239</v>
      </c>
      <c r="U7" s="11">
        <f t="shared" si="0"/>
        <v>6483961.0559529895</v>
      </c>
      <c r="V7" s="11">
        <f t="shared" si="0"/>
        <v>7043080.2643628754</v>
      </c>
      <c r="W7" s="11">
        <f t="shared" si="0"/>
        <v>7619766.6015551202</v>
      </c>
      <c r="X7" s="11">
        <f t="shared" si="0"/>
        <v>8213040.9250076236</v>
      </c>
      <c r="Y7" s="11">
        <f t="shared" si="0"/>
        <v>8824369.0728383735</v>
      </c>
      <c r="Z7" s="11">
        <f t="shared" si="0"/>
        <v>9453878.6787652634</v>
      </c>
      <c r="AA7" s="11">
        <f t="shared" si="0"/>
        <v>10100515.696771219</v>
      </c>
      <c r="AB7" s="11">
        <f t="shared" si="0"/>
        <v>10765290.188055776</v>
      </c>
      <c r="AC7" s="11">
        <f t="shared" si="0"/>
        <v>11447929.426993715</v>
      </c>
      <c r="AD7" s="11">
        <f t="shared" si="0"/>
        <v>12147900.104564957</v>
      </c>
      <c r="AE7" s="11">
        <f t="shared" si="0"/>
        <v>12865878.227086551</v>
      </c>
      <c r="AF7" s="11">
        <f t="shared" si="0"/>
        <v>13602589.774761541</v>
      </c>
      <c r="AG7" s="11"/>
    </row>
    <row r="8" spans="1:35" x14ac:dyDescent="0.2">
      <c r="A8" t="s">
        <v>71</v>
      </c>
      <c r="B8" s="11">
        <f>SUM('PEV Sales by Manufacturer'!D9:M9)</f>
        <v>109611</v>
      </c>
      <c r="C8" s="11">
        <f>SUM('PEV Sales by Manufacturer'!D9:N9)</f>
        <v>132675</v>
      </c>
      <c r="D8" s="11">
        <f t="shared" si="1"/>
        <v>189823.87414850693</v>
      </c>
      <c r="E8" s="11">
        <f t="shared" si="0"/>
        <v>273592.3048659676</v>
      </c>
      <c r="F8" s="11">
        <f t="shared" si="0"/>
        <v>390133.29744183703</v>
      </c>
      <c r="G8" s="11">
        <f t="shared" si="0"/>
        <v>534608.59689245385</v>
      </c>
      <c r="H8" s="11">
        <f t="shared" si="0"/>
        <v>697074.75317568227</v>
      </c>
      <c r="I8" s="11">
        <f t="shared" si="0"/>
        <v>871678.10340257664</v>
      </c>
      <c r="J8" s="11">
        <f t="shared" si="0"/>
        <v>1052336.8248373724</v>
      </c>
      <c r="K8" s="11">
        <f t="shared" si="0"/>
        <v>1237991.8792372074</v>
      </c>
      <c r="L8" s="11">
        <f t="shared" si="0"/>
        <v>1426851.3510156162</v>
      </c>
      <c r="M8" s="11">
        <f t="shared" si="0"/>
        <v>1618520.0981051726</v>
      </c>
      <c r="N8" s="11">
        <f t="shared" si="0"/>
        <v>1811132.8056979631</v>
      </c>
      <c r="O8" s="11">
        <f t="shared" si="0"/>
        <v>2004323.1585536746</v>
      </c>
      <c r="P8" s="11">
        <f t="shared" si="0"/>
        <v>2197866.5010334905</v>
      </c>
      <c r="Q8" s="11">
        <f t="shared" si="0"/>
        <v>2391977.2549435953</v>
      </c>
      <c r="R8" s="11">
        <f t="shared" si="0"/>
        <v>2586567.273578837</v>
      </c>
      <c r="S8" s="11">
        <f t="shared" si="0"/>
        <v>2781700.0165368342</v>
      </c>
      <c r="T8" s="11">
        <f t="shared" si="0"/>
        <v>2977781.1175101218</v>
      </c>
      <c r="U8" s="11">
        <f t="shared" si="0"/>
        <v>3174433.9768545385</v>
      </c>
      <c r="V8" s="11">
        <f t="shared" si="0"/>
        <v>3372025.9042476793</v>
      </c>
      <c r="W8" s="11">
        <f t="shared" si="0"/>
        <v>3570681.5855309423</v>
      </c>
      <c r="X8" s="11">
        <f t="shared" si="0"/>
        <v>3770163.2938381899</v>
      </c>
      <c r="Y8" s="11">
        <f t="shared" si="0"/>
        <v>3970894.2417196222</v>
      </c>
      <c r="Z8" s="11">
        <f t="shared" si="0"/>
        <v>4172863.757366911</v>
      </c>
      <c r="AA8" s="11">
        <f t="shared" si="0"/>
        <v>4375851.536570007</v>
      </c>
      <c r="AB8" s="11">
        <f t="shared" si="0"/>
        <v>4580036.5961451493</v>
      </c>
      <c r="AC8" s="11">
        <f t="shared" si="0"/>
        <v>4785327.8345725285</v>
      </c>
      <c r="AD8" s="11">
        <f t="shared" si="0"/>
        <v>4991564.0521647111</v>
      </c>
      <c r="AE8" s="11">
        <f t="shared" si="0"/>
        <v>5198870.6930702915</v>
      </c>
      <c r="AF8" s="11">
        <f t="shared" si="0"/>
        <v>5407332.0578201534</v>
      </c>
      <c r="AG8" s="11"/>
    </row>
    <row r="9" spans="1:35" x14ac:dyDescent="0.2">
      <c r="A9" t="s">
        <v>72</v>
      </c>
      <c r="B9" s="11">
        <f>SUM('PEV Sales by Manufacturer'!D10:M10)</f>
        <v>37707</v>
      </c>
      <c r="C9" s="11">
        <f>SUM('PEV Sales by Manufacturer'!D10:N10)</f>
        <v>86430</v>
      </c>
      <c r="D9" s="11">
        <f t="shared" si="1"/>
        <v>207903.59295151656</v>
      </c>
      <c r="E9" s="11">
        <f t="shared" si="0"/>
        <v>386150.34057904419</v>
      </c>
      <c r="F9" s="11">
        <f t="shared" si="0"/>
        <v>634459.63145680155</v>
      </c>
      <c r="G9" s="11">
        <f t="shared" si="0"/>
        <v>940954.39466911776</v>
      </c>
      <c r="H9" s="11">
        <f t="shared" si="0"/>
        <v>1282712.3171760112</v>
      </c>
      <c r="I9" s="11">
        <f t="shared" si="0"/>
        <v>1644756.5622931987</v>
      </c>
      <c r="J9" s="11">
        <f t="shared" si="0"/>
        <v>2011508.5329388788</v>
      </c>
      <c r="K9" s="11">
        <f t="shared" si="0"/>
        <v>2381000.6125574447</v>
      </c>
      <c r="L9" s="11">
        <f t="shared" si="0"/>
        <v>2747917.7174517461</v>
      </c>
      <c r="M9" s="11">
        <f t="shared" si="0"/>
        <v>3113597.7149241725</v>
      </c>
      <c r="N9" s="11">
        <f t="shared" si="0"/>
        <v>3474539.1991268378</v>
      </c>
      <c r="O9" s="11">
        <f t="shared" si="0"/>
        <v>3830243.9684283081</v>
      </c>
      <c r="P9" s="11">
        <f t="shared" si="0"/>
        <v>4180837.9726792271</v>
      </c>
      <c r="Q9" s="11">
        <f t="shared" si="0"/>
        <v>4526567.5138097415</v>
      </c>
      <c r="R9" s="11">
        <f t="shared" si="0"/>
        <v>4867969.9778492637</v>
      </c>
      <c r="S9" s="11">
        <f t="shared" si="0"/>
        <v>5205067.7558823517</v>
      </c>
      <c r="T9" s="11">
        <f t="shared" si="0"/>
        <v>5538678.1224954035</v>
      </c>
      <c r="U9" s="11">
        <f t="shared" si="0"/>
        <v>5868344.8593405318</v>
      </c>
      <c r="V9" s="11">
        <f t="shared" si="0"/>
        <v>6194759.2911534915</v>
      </c>
      <c r="W9" s="11">
        <f t="shared" si="0"/>
        <v>6518103.345496322</v>
      </c>
      <c r="X9" s="11">
        <f t="shared" si="0"/>
        <v>6838085.9382697595</v>
      </c>
      <c r="Y9" s="11">
        <f t="shared" si="0"/>
        <v>7155317.2265280318</v>
      </c>
      <c r="Z9" s="11">
        <f t="shared" si="0"/>
        <v>7469727.2381318919</v>
      </c>
      <c r="AA9" s="11">
        <f t="shared" si="0"/>
        <v>7781094.861121322</v>
      </c>
      <c r="AB9" s="11">
        <f t="shared" si="0"/>
        <v>8089548.844232535</v>
      </c>
      <c r="AC9" s="11">
        <f t="shared" si="0"/>
        <v>8394943.6454158984</v>
      </c>
      <c r="AD9" s="11">
        <f t="shared" si="0"/>
        <v>8697038.5605124049</v>
      </c>
      <c r="AE9" s="11">
        <f t="shared" si="0"/>
        <v>8995934.3494025711</v>
      </c>
      <c r="AF9" s="11">
        <f t="shared" si="0"/>
        <v>9291608.6210018359</v>
      </c>
      <c r="AG9" s="11"/>
    </row>
    <row r="10" spans="1:35" x14ac:dyDescent="0.2">
      <c r="A10" t="s">
        <v>73</v>
      </c>
      <c r="B10" s="11">
        <f>SUM('PEV Sales by Manufacturer'!D11:M11)</f>
        <v>39002</v>
      </c>
      <c r="C10" s="11">
        <f>SUM('PEV Sales by Manufacturer'!D11:N11)</f>
        <v>41317</v>
      </c>
      <c r="D10" s="11">
        <f t="shared" si="1"/>
        <v>47088.533599533665</v>
      </c>
      <c r="E10" s="11">
        <f t="shared" si="0"/>
        <v>55557.484968152414</v>
      </c>
      <c r="F10" s="11">
        <f t="shared" si="0"/>
        <v>67355.239860574133</v>
      </c>
      <c r="G10" s="11">
        <f t="shared" si="0"/>
        <v>81917.702093325119</v>
      </c>
      <c r="H10" s="11">
        <f t="shared" si="0"/>
        <v>98156.012807566207</v>
      </c>
      <c r="I10" s="11">
        <f t="shared" si="0"/>
        <v>115358.92479354191</v>
      </c>
      <c r="J10" s="11">
        <f t="shared" si="0"/>
        <v>132786.61537047182</v>
      </c>
      <c r="K10" s="11">
        <f t="shared" si="0"/>
        <v>150345.55957760743</v>
      </c>
      <c r="L10" s="11">
        <f t="shared" si="0"/>
        <v>167783.42698596467</v>
      </c>
      <c r="M10" s="11">
        <f t="shared" si="0"/>
        <v>185163.48923939414</v>
      </c>
      <c r="N10" s="11">
        <f t="shared" si="0"/>
        <v>202319.32266716848</v>
      </c>
      <c r="O10" s="11">
        <f t="shared" si="0"/>
        <v>219227.21852781787</v>
      </c>
      <c r="P10" s="11">
        <f t="shared" si="0"/>
        <v>235893.07956744754</v>
      </c>
      <c r="Q10" s="11">
        <f t="shared" si="0"/>
        <v>252328.63652320439</v>
      </c>
      <c r="R10" s="11">
        <f t="shared" si="0"/>
        <v>268559.32419664995</v>
      </c>
      <c r="S10" s="11">
        <f t="shared" si="0"/>
        <v>284586.22163441847</v>
      </c>
      <c r="T10" s="11">
        <f t="shared" si="0"/>
        <v>300448.16579142382</v>
      </c>
      <c r="U10" s="11">
        <f t="shared" si="0"/>
        <v>316123.43404504866</v>
      </c>
      <c r="V10" s="11">
        <f t="shared" si="0"/>
        <v>331644.88514365564</v>
      </c>
      <c r="W10" s="11">
        <f t="shared" si="0"/>
        <v>347021.17416800925</v>
      </c>
      <c r="X10" s="11">
        <f t="shared" si="0"/>
        <v>362238.44201915327</v>
      </c>
      <c r="Y10" s="11">
        <f t="shared" si="0"/>
        <v>377325.71795130469</v>
      </c>
      <c r="Z10" s="11">
        <f t="shared" si="0"/>
        <v>392279.68378574995</v>
      </c>
      <c r="AA10" s="11">
        <f t="shared" si="0"/>
        <v>407089.80053936195</v>
      </c>
      <c r="AB10" s="11">
        <f t="shared" si="0"/>
        <v>421762.21939431352</v>
      </c>
      <c r="AC10" s="11">
        <f t="shared" si="0"/>
        <v>436290.01876724226</v>
      </c>
      <c r="AD10" s="11">
        <f t="shared" si="0"/>
        <v>450661.7484020915</v>
      </c>
      <c r="AE10" s="11">
        <f t="shared" si="0"/>
        <v>464882.21806207544</v>
      </c>
      <c r="AF10" s="11">
        <f t="shared" si="0"/>
        <v>478950.39109944878</v>
      </c>
      <c r="AG10" s="11"/>
    </row>
    <row r="11" spans="1:35" x14ac:dyDescent="0.2">
      <c r="A11" t="s">
        <v>74</v>
      </c>
      <c r="B11" s="11">
        <f>SUM('PEV Sales by Manufacturer'!D12:M12)</f>
        <v>26628</v>
      </c>
      <c r="C11" s="11">
        <f>SUM('PEV Sales by Manufacturer'!D12:N12)</f>
        <v>46647</v>
      </c>
      <c r="D11" s="11">
        <f t="shared" si="1"/>
        <v>95435.200095084219</v>
      </c>
      <c r="E11" s="11">
        <f t="shared" si="0"/>
        <v>166739.10022496822</v>
      </c>
      <c r="F11" s="11">
        <f t="shared" si="0"/>
        <v>265581.03517219319</v>
      </c>
      <c r="G11" s="11">
        <f t="shared" si="0"/>
        <v>389572.70754402567</v>
      </c>
      <c r="H11" s="11">
        <f t="shared" si="0"/>
        <v>532179.45875176543</v>
      </c>
      <c r="I11" s="11">
        <f t="shared" si="0"/>
        <v>691175.69256711123</v>
      </c>
      <c r="J11" s="11">
        <f t="shared" si="0"/>
        <v>864268.7540879806</v>
      </c>
      <c r="K11" s="11">
        <f t="shared" si="0"/>
        <v>1050244.5755253283</v>
      </c>
      <c r="L11" s="11">
        <f t="shared" si="0"/>
        <v>1249220.6096305368</v>
      </c>
      <c r="M11" s="11">
        <f t="shared" si="0"/>
        <v>1458477.9450215516</v>
      </c>
      <c r="N11" s="11">
        <f t="shared" si="0"/>
        <v>1675917.3435893403</v>
      </c>
      <c r="O11" s="11">
        <f t="shared" si="0"/>
        <v>1900919.4117667943</v>
      </c>
      <c r="P11" s="11">
        <f t="shared" si="0"/>
        <v>2132632.4136581803</v>
      </c>
      <c r="Q11" s="11">
        <f t="shared" si="0"/>
        <v>2371468.4704649798</v>
      </c>
      <c r="R11" s="11">
        <f t="shared" si="0"/>
        <v>2616559.7567826165</v>
      </c>
      <c r="S11" s="11">
        <f t="shared" si="0"/>
        <v>2868083.4728197088</v>
      </c>
      <c r="T11" s="11">
        <f t="shared" si="0"/>
        <v>3126435.0397950239</v>
      </c>
      <c r="U11" s="11">
        <f t="shared" si="0"/>
        <v>3390916.4659671662</v>
      </c>
      <c r="V11" s="11">
        <f t="shared" si="0"/>
        <v>3661939.1085524983</v>
      </c>
      <c r="W11" s="11">
        <f t="shared" si="0"/>
        <v>3939700.2895589839</v>
      </c>
      <c r="X11" s="11">
        <f t="shared" si="0"/>
        <v>4223762.7930099173</v>
      </c>
      <c r="Y11" s="11">
        <f t="shared" si="0"/>
        <v>4514804.4100974686</v>
      </c>
      <c r="Z11" s="11">
        <f t="shared" si="0"/>
        <v>4812867.7443658458</v>
      </c>
      <c r="AA11" s="11">
        <f t="shared" si="0"/>
        <v>5117494.4317861851</v>
      </c>
      <c r="AB11" s="11">
        <f t="shared" si="0"/>
        <v>5429112.624307855</v>
      </c>
      <c r="AC11" s="11">
        <f t="shared" si="0"/>
        <v>5747591.9466401441</v>
      </c>
      <c r="AD11" s="11">
        <f t="shared" si="0"/>
        <v>6072683.3060588287</v>
      </c>
      <c r="AE11" s="11">
        <f t="shared" si="0"/>
        <v>6404675.1985171195</v>
      </c>
      <c r="AF11" s="11">
        <f t="shared" si="0"/>
        <v>6743860.033902036</v>
      </c>
      <c r="AG11" s="11"/>
    </row>
    <row r="12" spans="1:35" x14ac:dyDescent="0.2">
      <c r="A12" t="s">
        <v>75</v>
      </c>
      <c r="B12" s="11">
        <f>SUM('PEV Sales by Manufacturer'!D13:M13)</f>
        <v>25223</v>
      </c>
      <c r="C12" s="11">
        <f>SUM('PEV Sales by Manufacturer'!D13:N13)</f>
        <v>42236</v>
      </c>
      <c r="D12" s="11">
        <f t="shared" si="1"/>
        <v>83552.190171442795</v>
      </c>
      <c r="E12" s="11">
        <f t="shared" si="0"/>
        <v>143897.60025041547</v>
      </c>
      <c r="F12" s="11">
        <f t="shared" si="0"/>
        <v>227483.4047307148</v>
      </c>
      <c r="G12" s="11">
        <f t="shared" si="0"/>
        <v>332604.35392652714</v>
      </c>
      <c r="H12" s="11">
        <f t="shared" si="0"/>
        <v>454082.46262016636</v>
      </c>
      <c r="I12" s="11">
        <f t="shared" si="0"/>
        <v>590537.76569894387</v>
      </c>
      <c r="J12" s="11">
        <f t="shared" si="0"/>
        <v>740556.77009284613</v>
      </c>
      <c r="K12" s="11">
        <f t="shared" si="0"/>
        <v>903054.89498391841</v>
      </c>
      <c r="L12" s="11">
        <f t="shared" si="0"/>
        <v>1078431.5934000853</v>
      </c>
      <c r="M12" s="11">
        <f t="shared" si="0"/>
        <v>1263950.6319504676</v>
      </c>
      <c r="N12" s="11">
        <f t="shared" si="0"/>
        <v>1457741.9752756208</v>
      </c>
      <c r="O12" s="11">
        <f t="shared" si="0"/>
        <v>1659225.241153975</v>
      </c>
      <c r="P12" s="11">
        <f t="shared" si="0"/>
        <v>1867558.9504149603</v>
      </c>
      <c r="Q12" s="11">
        <f t="shared" si="0"/>
        <v>2083133.8246410363</v>
      </c>
      <c r="R12" s="11">
        <f t="shared" si="0"/>
        <v>2305070.605370766</v>
      </c>
      <c r="S12" s="11">
        <f t="shared" si="0"/>
        <v>2533541.7592602703</v>
      </c>
      <c r="T12" s="11">
        <f t="shared" si="0"/>
        <v>2768891.095501564</v>
      </c>
      <c r="U12" s="11">
        <f t="shared" si="0"/>
        <v>3010458.9559705034</v>
      </c>
      <c r="V12" s="11">
        <f t="shared" si="0"/>
        <v>3258611.5058900644</v>
      </c>
      <c r="W12" s="11">
        <f t="shared" ref="E12:AF21" si="2">V12+W41+W65</f>
        <v>3513532.397417889</v>
      </c>
      <c r="X12" s="11">
        <f t="shared" si="2"/>
        <v>3774808.7106488049</v>
      </c>
      <c r="Y12" s="11">
        <f t="shared" si="2"/>
        <v>4043072.0708807022</v>
      </c>
      <c r="Z12" s="11">
        <f t="shared" si="2"/>
        <v>4318367.974923267</v>
      </c>
      <c r="AA12" s="11">
        <f t="shared" si="2"/>
        <v>4600259.0334511492</v>
      </c>
      <c r="AB12" s="11">
        <f t="shared" si="2"/>
        <v>4889157.9677371634</v>
      </c>
      <c r="AC12" s="11">
        <f t="shared" si="2"/>
        <v>5184944.7900147904</v>
      </c>
      <c r="AD12" s="11">
        <f t="shared" si="2"/>
        <v>5487388.2547963075</v>
      </c>
      <c r="AE12" s="11">
        <f t="shared" si="2"/>
        <v>5796765.711256152</v>
      </c>
      <c r="AF12" s="11">
        <f t="shared" si="2"/>
        <v>6113364.9326793486</v>
      </c>
      <c r="AG12" s="11"/>
    </row>
    <row r="13" spans="1:35" x14ac:dyDescent="0.2">
      <c r="A13" t="s">
        <v>76</v>
      </c>
      <c r="B13" s="11">
        <f>SUM('PEV Sales by Manufacturer'!D14:M14)</f>
        <v>24512</v>
      </c>
      <c r="C13" s="11">
        <f>SUM('PEV Sales by Manufacturer'!D14:N14)</f>
        <v>39129</v>
      </c>
      <c r="D13" s="11">
        <f t="shared" si="1"/>
        <v>74688.210515055776</v>
      </c>
      <c r="E13" s="11">
        <f t="shared" si="2"/>
        <v>126641.29431480345</v>
      </c>
      <c r="F13" s="11">
        <f t="shared" si="2"/>
        <v>198630.44031403284</v>
      </c>
      <c r="G13" s="11">
        <f t="shared" si="2"/>
        <v>289053.49641212716</v>
      </c>
      <c r="H13" s="11">
        <f t="shared" si="2"/>
        <v>393303.09872467833</v>
      </c>
      <c r="I13" s="11">
        <f t="shared" si="2"/>
        <v>509977.56211552361</v>
      </c>
      <c r="J13" s="11">
        <f t="shared" si="2"/>
        <v>637636.4837823835</v>
      </c>
      <c r="K13" s="11">
        <f t="shared" si="2"/>
        <v>775370.34027887881</v>
      </c>
      <c r="L13" s="11">
        <f t="shared" si="2"/>
        <v>923395.74274311541</v>
      </c>
      <c r="M13" s="11">
        <f t="shared" si="2"/>
        <v>1079541.6057958582</v>
      </c>
      <c r="N13" s="11">
        <f t="shared" si="2"/>
        <v>1242237.5951304389</v>
      </c>
      <c r="O13" s="11">
        <f t="shared" si="2"/>
        <v>1411007.8767492576</v>
      </c>
      <c r="P13" s="11">
        <f t="shared" si="2"/>
        <v>1585179.1775375165</v>
      </c>
      <c r="Q13" s="11">
        <f t="shared" si="2"/>
        <v>1765070.0896385009</v>
      </c>
      <c r="R13" s="11">
        <f t="shared" si="2"/>
        <v>1949985.0650287091</v>
      </c>
      <c r="S13" s="11">
        <f t="shared" si="2"/>
        <v>2140063.040167558</v>
      </c>
      <c r="T13" s="11">
        <f t="shared" si="2"/>
        <v>2335596.1246597832</v>
      </c>
      <c r="U13" s="11">
        <f t="shared" si="2"/>
        <v>2536045.6455745907</v>
      </c>
      <c r="V13" s="11">
        <f t="shared" si="2"/>
        <v>2741719.1969251167</v>
      </c>
      <c r="W13" s="11">
        <f t="shared" si="2"/>
        <v>2952767.8241918553</v>
      </c>
      <c r="X13" s="11">
        <f t="shared" si="2"/>
        <v>3168854.2314424659</v>
      </c>
      <c r="Y13" s="11">
        <f t="shared" si="2"/>
        <v>3390497.5970342024</v>
      </c>
      <c r="Z13" s="11">
        <f t="shared" si="2"/>
        <v>3617733.0854060496</v>
      </c>
      <c r="AA13" s="11">
        <f t="shared" si="2"/>
        <v>3850205.1220231024</v>
      </c>
      <c r="AB13" s="11">
        <f t="shared" si="2"/>
        <v>4088247.6618399476</v>
      </c>
      <c r="AC13" s="11">
        <f t="shared" si="2"/>
        <v>4331761.4975210885</v>
      </c>
      <c r="AD13" s="11">
        <f t="shared" si="2"/>
        <v>4580556.2123239012</v>
      </c>
      <c r="AE13" s="11">
        <f t="shared" si="2"/>
        <v>4834856.5034541497</v>
      </c>
      <c r="AF13" s="11">
        <f t="shared" si="2"/>
        <v>5094893.0255686752</v>
      </c>
      <c r="AG13" s="11"/>
    </row>
    <row r="14" spans="1:35" x14ac:dyDescent="0.2">
      <c r="A14" t="s">
        <v>77</v>
      </c>
      <c r="B14" s="11">
        <f>SUM('PEV Sales by Manufacturer'!D15:M15)</f>
        <v>19669</v>
      </c>
      <c r="C14" s="11">
        <f>SUM('PEV Sales by Manufacturer'!D15:N15)</f>
        <v>45138</v>
      </c>
      <c r="D14" s="11">
        <f t="shared" si="1"/>
        <v>107636.73898367459</v>
      </c>
      <c r="E14" s="11">
        <f t="shared" si="2"/>
        <v>199090.44897556648</v>
      </c>
      <c r="F14" s="11">
        <f t="shared" si="2"/>
        <v>326055.93344558921</v>
      </c>
      <c r="G14" s="11">
        <f t="shared" si="2"/>
        <v>484543.48470094963</v>
      </c>
      <c r="H14" s="11">
        <f t="shared" si="2"/>
        <v>665138.63554757554</v>
      </c>
      <c r="I14" s="11">
        <f t="shared" si="2"/>
        <v>863510.35010095371</v>
      </c>
      <c r="J14" s="11">
        <f t="shared" si="2"/>
        <v>1075173.4892208376</v>
      </c>
      <c r="K14" s="11">
        <f t="shared" si="2"/>
        <v>1298738.3163318958</v>
      </c>
      <c r="L14" s="11">
        <f t="shared" si="2"/>
        <v>1533475.728562111</v>
      </c>
      <c r="M14" s="11">
        <f t="shared" si="2"/>
        <v>1777174.4289898749</v>
      </c>
      <c r="N14" s="11">
        <f t="shared" si="2"/>
        <v>2027415.8699591942</v>
      </c>
      <c r="O14" s="11">
        <f t="shared" si="2"/>
        <v>2283570.3464851351</v>
      </c>
      <c r="P14" s="11">
        <f t="shared" si="2"/>
        <v>2544899.1571908374</v>
      </c>
      <c r="Q14" s="11">
        <f t="shared" si="2"/>
        <v>2811807.92285022</v>
      </c>
      <c r="R14" s="11">
        <f t="shared" si="2"/>
        <v>3083608.1500881086</v>
      </c>
      <c r="S14" s="11">
        <f t="shared" si="2"/>
        <v>3360461.1449759053</v>
      </c>
      <c r="T14" s="11">
        <f t="shared" si="2"/>
        <v>3642847.2166223316</v>
      </c>
      <c r="U14" s="11">
        <f t="shared" si="2"/>
        <v>3930073.2548814612</v>
      </c>
      <c r="V14" s="11">
        <f t="shared" si="2"/>
        <v>4222614.0038615428</v>
      </c>
      <c r="W14" s="11">
        <f t="shared" si="2"/>
        <v>4520673.7117232084</v>
      </c>
      <c r="X14" s="11">
        <f t="shared" si="2"/>
        <v>4823817.3869317491</v>
      </c>
      <c r="Y14" s="11">
        <f t="shared" si="2"/>
        <v>5132744.2972855875</v>
      </c>
      <c r="Z14" s="11">
        <f t="shared" si="2"/>
        <v>5447481.4051393773</v>
      </c>
      <c r="AA14" s="11">
        <f t="shared" si="2"/>
        <v>5767585.8623746177</v>
      </c>
      <c r="AB14" s="11">
        <f t="shared" si="2"/>
        <v>6093459.1261883844</v>
      </c>
      <c r="AC14" s="11">
        <f t="shared" si="2"/>
        <v>6424962.2706126012</v>
      </c>
      <c r="AD14" s="11">
        <f t="shared" si="2"/>
        <v>6761835.727145697</v>
      </c>
      <c r="AE14" s="11">
        <f t="shared" si="2"/>
        <v>7104352.2013978316</v>
      </c>
      <c r="AF14" s="11">
        <f t="shared" si="2"/>
        <v>7452768.5675407648</v>
      </c>
      <c r="AG14" s="11"/>
    </row>
    <row r="15" spans="1:35" x14ac:dyDescent="0.2">
      <c r="A15" t="s">
        <v>78</v>
      </c>
      <c r="B15" s="11">
        <f>SUM('PEV Sales by Manufacturer'!D16:M16)</f>
        <v>18500</v>
      </c>
      <c r="C15" s="11">
        <f>SUM('PEV Sales by Manufacturer'!D16:N16)</f>
        <v>30431</v>
      </c>
      <c r="D15" s="11">
        <f t="shared" si="1"/>
        <v>59222.498720412652</v>
      </c>
      <c r="E15" s="11">
        <f t="shared" si="2"/>
        <v>101226.68717839144</v>
      </c>
      <c r="F15" s="11">
        <f t="shared" si="2"/>
        <v>159325.38144442532</v>
      </c>
      <c r="G15" s="11">
        <f t="shared" si="2"/>
        <v>232729.11151459647</v>
      </c>
      <c r="H15" s="11">
        <f t="shared" si="2"/>
        <v>318276.93219130387</v>
      </c>
      <c r="I15" s="11">
        <f t="shared" si="2"/>
        <v>415641.75817459408</v>
      </c>
      <c r="J15" s="11">
        <f t="shared" si="2"/>
        <v>524502.3807469781</v>
      </c>
      <c r="K15" s="11">
        <f t="shared" si="2"/>
        <v>644032.03848356707</v>
      </c>
      <c r="L15" s="11">
        <f t="shared" si="2"/>
        <v>774886.20812192594</v>
      </c>
      <c r="M15" s="11">
        <f t="shared" si="2"/>
        <v>914612.88521450688</v>
      </c>
      <c r="N15" s="11">
        <f t="shared" si="2"/>
        <v>1061792.8916738888</v>
      </c>
      <c r="O15" s="11">
        <f t="shared" si="2"/>
        <v>1215951.5748215083</v>
      </c>
      <c r="P15" s="11">
        <f t="shared" si="2"/>
        <v>1376351.4550253858</v>
      </c>
      <c r="Q15" s="11">
        <f t="shared" si="2"/>
        <v>1543317.2526412196</v>
      </c>
      <c r="R15" s="11">
        <f t="shared" si="2"/>
        <v>1716054.7974005202</v>
      </c>
      <c r="S15" s="11">
        <f t="shared" si="2"/>
        <v>1894712.4392940756</v>
      </c>
      <c r="T15" s="11">
        <f t="shared" si="2"/>
        <v>2079541.0122613895</v>
      </c>
      <c r="U15" s="11">
        <f t="shared" si="2"/>
        <v>2269994.6353642158</v>
      </c>
      <c r="V15" s="11">
        <f t="shared" si="2"/>
        <v>2466350.8602346582</v>
      </c>
      <c r="W15" s="11">
        <f t="shared" si="2"/>
        <v>2668758.4717520601</v>
      </c>
      <c r="X15" s="11">
        <f t="shared" si="2"/>
        <v>2876876.0901932777</v>
      </c>
      <c r="Y15" s="11">
        <f t="shared" si="2"/>
        <v>3091216.3265156234</v>
      </c>
      <c r="Z15" s="11">
        <f t="shared" si="2"/>
        <v>3311822.7249694853</v>
      </c>
      <c r="AA15" s="11">
        <f t="shared" si="2"/>
        <v>3538328.6072728825</v>
      </c>
      <c r="AB15" s="11">
        <f t="shared" si="2"/>
        <v>3771084.6143319039</v>
      </c>
      <c r="AC15" s="11">
        <f t="shared" si="2"/>
        <v>4009995.0891288803</v>
      </c>
      <c r="AD15" s="11">
        <f t="shared" si="2"/>
        <v>4254873.3651326485</v>
      </c>
      <c r="AE15" s="11">
        <f t="shared" si="2"/>
        <v>4505954.2458988037</v>
      </c>
      <c r="AF15" s="11">
        <f t="shared" si="2"/>
        <v>4763488.7365729613</v>
      </c>
      <c r="AG15" s="11"/>
      <c r="AH15" s="11"/>
      <c r="AI15" s="11"/>
    </row>
    <row r="16" spans="1:35" x14ac:dyDescent="0.2">
      <c r="A16" t="s">
        <v>79</v>
      </c>
      <c r="B16" s="11">
        <f>SUM('PEV Sales by Manufacturer'!D17:M17)</f>
        <v>19044</v>
      </c>
      <c r="C16" s="11">
        <f>SUM('PEV Sales by Manufacturer'!D17:N17)</f>
        <v>35819</v>
      </c>
      <c r="D16" s="11">
        <f t="shared" si="1"/>
        <v>75942.067781632664</v>
      </c>
      <c r="E16" s="11">
        <f t="shared" si="2"/>
        <v>134383.61695172012</v>
      </c>
      <c r="F16" s="11">
        <f t="shared" si="2"/>
        <v>215055.84012919909</v>
      </c>
      <c r="G16" s="11">
        <f t="shared" si="2"/>
        <v>317643.27913182398</v>
      </c>
      <c r="H16" s="11">
        <f t="shared" si="2"/>
        <v>438621.12690936477</v>
      </c>
      <c r="I16" s="11">
        <f t="shared" si="2"/>
        <v>578782.04516744078</v>
      </c>
      <c r="J16" s="11">
        <f t="shared" si="2"/>
        <v>738984.41606630594</v>
      </c>
      <c r="K16" s="11">
        <f t="shared" si="2"/>
        <v>917936.46755875554</v>
      </c>
      <c r="L16" s="11">
        <f t="shared" si="2"/>
        <v>1117293.6248743052</v>
      </c>
      <c r="M16" s="11">
        <f t="shared" si="2"/>
        <v>1332566.0856205083</v>
      </c>
      <c r="N16" s="11">
        <f t="shared" si="2"/>
        <v>1561547.8332034668</v>
      </c>
      <c r="O16" s="11">
        <f t="shared" si="2"/>
        <v>1803439.2687584613</v>
      </c>
      <c r="P16" s="11">
        <f t="shared" si="2"/>
        <v>2056915.3948973329</v>
      </c>
      <c r="Q16" s="11">
        <f t="shared" si="2"/>
        <v>2322531.9145753798</v>
      </c>
      <c r="R16" s="11">
        <f t="shared" si="2"/>
        <v>2598825.0872224374</v>
      </c>
      <c r="S16" s="11">
        <f t="shared" si="2"/>
        <v>2886057.0644297698</v>
      </c>
      <c r="T16" s="11">
        <f t="shared" si="2"/>
        <v>3184599.5318796989</v>
      </c>
      <c r="U16" s="11">
        <f t="shared" si="2"/>
        <v>3493522.1800255091</v>
      </c>
      <c r="V16" s="11">
        <f t="shared" si="2"/>
        <v>3813255.8429586939</v>
      </c>
      <c r="W16" s="11">
        <f t="shared" si="2"/>
        <v>4144048.7979523167</v>
      </c>
      <c r="X16" s="11">
        <f t="shared" si="2"/>
        <v>4485319.784096499</v>
      </c>
      <c r="Y16" s="11">
        <f t="shared" si="2"/>
        <v>4837925.7230969472</v>
      </c>
      <c r="Z16" s="11">
        <f t="shared" si="2"/>
        <v>5201950.591090139</v>
      </c>
      <c r="AA16" s="11">
        <f t="shared" si="2"/>
        <v>5576761.6461433992</v>
      </c>
      <c r="AB16" s="11">
        <f t="shared" si="2"/>
        <v>5962971.5489393752</v>
      </c>
      <c r="AC16" s="11">
        <f t="shared" si="2"/>
        <v>6360423.3006142182</v>
      </c>
      <c r="AD16" s="11">
        <f t="shared" si="2"/>
        <v>6768806.554576599</v>
      </c>
      <c r="AE16" s="11">
        <f t="shared" si="2"/>
        <v>7188530.2380997986</v>
      </c>
      <c r="AF16" s="11">
        <f t="shared" si="2"/>
        <v>7620043.4409571532</v>
      </c>
      <c r="AG16" s="11"/>
      <c r="AH16" s="11"/>
      <c r="AI16" s="11"/>
    </row>
    <row r="17" spans="1:35" x14ac:dyDescent="0.2">
      <c r="A17" t="s">
        <v>80</v>
      </c>
      <c r="B17" s="11">
        <f>SUM('PEV Sales by Manufacturer'!D18:M18)</f>
        <v>16033</v>
      </c>
      <c r="C17" s="11">
        <f>SUM('PEV Sales by Manufacturer'!D18:N18)</f>
        <v>16540</v>
      </c>
      <c r="D17" s="11">
        <f t="shared" si="1"/>
        <v>17760.563579539983</v>
      </c>
      <c r="E17" s="11">
        <f t="shared" si="2"/>
        <v>19540.487182976973</v>
      </c>
      <c r="F17" s="11">
        <f t="shared" si="2"/>
        <v>22001.095131154882</v>
      </c>
      <c r="G17" s="11">
        <f t="shared" si="2"/>
        <v>25115.306124711646</v>
      </c>
      <c r="H17" s="11">
        <f t="shared" si="2"/>
        <v>28756.281532300611</v>
      </c>
      <c r="I17" s="11">
        <f t="shared" si="2"/>
        <v>32920.316484628049</v>
      </c>
      <c r="J17" s="11">
        <f t="shared" si="2"/>
        <v>37604.423482039841</v>
      </c>
      <c r="K17" s="11">
        <f t="shared" si="2"/>
        <v>42772.417111606876</v>
      </c>
      <c r="L17" s="11">
        <f t="shared" si="2"/>
        <v>48458.123991707769</v>
      </c>
      <c r="M17" s="11">
        <f t="shared" si="2"/>
        <v>54548.864720301601</v>
      </c>
      <c r="N17" s="11">
        <f t="shared" si="2"/>
        <v>60982.617781454624</v>
      </c>
      <c r="O17" s="11">
        <f t="shared" si="2"/>
        <v>67738.136852976764</v>
      </c>
      <c r="P17" s="11">
        <f t="shared" si="2"/>
        <v>74781.738387194826</v>
      </c>
      <c r="Q17" s="11">
        <f t="shared" si="2"/>
        <v>82128.028105419813</v>
      </c>
      <c r="R17" s="11">
        <f t="shared" si="2"/>
        <v>89740.432936368437</v>
      </c>
      <c r="S17" s="11">
        <f t="shared" si="2"/>
        <v>97625.692930257967</v>
      </c>
      <c r="T17" s="11">
        <f t="shared" si="2"/>
        <v>105794.62185539379</v>
      </c>
      <c r="U17" s="11">
        <f t="shared" si="2"/>
        <v>114222.69783508161</v>
      </c>
      <c r="V17" s="11">
        <f t="shared" si="2"/>
        <v>122922.04565403405</v>
      </c>
      <c r="W17" s="11">
        <f t="shared" si="2"/>
        <v>131899.3059436552</v>
      </c>
      <c r="X17" s="11">
        <f t="shared" si="2"/>
        <v>141139.14767819291</v>
      </c>
      <c r="Y17" s="11">
        <f t="shared" si="2"/>
        <v>150664.46236895776</v>
      </c>
      <c r="Z17" s="11">
        <f t="shared" si="2"/>
        <v>160477.28558492759</v>
      </c>
      <c r="AA17" s="11">
        <f t="shared" si="2"/>
        <v>170561.08175395179</v>
      </c>
      <c r="AB17" s="11">
        <f t="shared" si="2"/>
        <v>180931.72503185007</v>
      </c>
      <c r="AC17" s="11">
        <f t="shared" si="2"/>
        <v>191584.96736938739</v>
      </c>
      <c r="AD17" s="11">
        <f t="shared" si="2"/>
        <v>202512.48669399065</v>
      </c>
      <c r="AE17" s="11">
        <f t="shared" si="2"/>
        <v>213724.90212304163</v>
      </c>
      <c r="AF17" s="11">
        <f t="shared" si="2"/>
        <v>225233.66272974561</v>
      </c>
      <c r="AG17" s="11"/>
      <c r="AH17" s="11"/>
      <c r="AI17" s="11"/>
    </row>
    <row r="18" spans="1:35" x14ac:dyDescent="0.2">
      <c r="A18" t="s">
        <v>81</v>
      </c>
      <c r="B18" s="11">
        <f>SUM('PEV Sales by Manufacturer'!D19:M19)</f>
        <v>11143</v>
      </c>
      <c r="C18" s="11">
        <f>SUM('PEV Sales by Manufacturer'!D19:N19)</f>
        <v>13393</v>
      </c>
      <c r="D18" s="11">
        <f t="shared" si="1"/>
        <v>19002.580365349262</v>
      </c>
      <c r="E18" s="11">
        <f t="shared" si="2"/>
        <v>27233.912224264703</v>
      </c>
      <c r="F18" s="11">
        <f t="shared" si="2"/>
        <v>38700.691865808818</v>
      </c>
      <c r="G18" s="11">
        <f t="shared" si="2"/>
        <v>52854.443014705874</v>
      </c>
      <c r="H18" s="11">
        <f t="shared" si="2"/>
        <v>68636.626493566175</v>
      </c>
      <c r="I18" s="11">
        <f t="shared" si="2"/>
        <v>85355.620634191175</v>
      </c>
      <c r="J18" s="11">
        <f t="shared" si="2"/>
        <v>102292.01482077205</v>
      </c>
      <c r="K18" s="11">
        <f t="shared" si="2"/>
        <v>119354.94565716911</v>
      </c>
      <c r="L18" s="11">
        <f t="shared" si="2"/>
        <v>136298.96564797792</v>
      </c>
      <c r="M18" s="11">
        <f t="shared" si="2"/>
        <v>153185.85673253675</v>
      </c>
      <c r="N18" s="11">
        <f t="shared" si="2"/>
        <v>169853.9260110294</v>
      </c>
      <c r="O18" s="11">
        <f t="shared" si="2"/>
        <v>186280.16681985292</v>
      </c>
      <c r="P18" s="11">
        <f t="shared" si="2"/>
        <v>202470.39545036762</v>
      </c>
      <c r="Q18" s="11">
        <f t="shared" si="2"/>
        <v>218435.98598345584</v>
      </c>
      <c r="R18" s="11">
        <f t="shared" si="2"/>
        <v>234201.75459558819</v>
      </c>
      <c r="S18" s="11">
        <f t="shared" si="2"/>
        <v>249768.73529411759</v>
      </c>
      <c r="T18" s="11">
        <f t="shared" si="2"/>
        <v>265174.66934742639</v>
      </c>
      <c r="U18" s="11">
        <f t="shared" si="2"/>
        <v>280398.48885569844</v>
      </c>
      <c r="V18" s="11">
        <f t="shared" si="2"/>
        <v>295472.11879595579</v>
      </c>
      <c r="W18" s="11">
        <f t="shared" si="2"/>
        <v>310403.96047794109</v>
      </c>
      <c r="X18" s="11">
        <f t="shared" si="2"/>
        <v>325180.57180606609</v>
      </c>
      <c r="Y18" s="11">
        <f t="shared" si="2"/>
        <v>339830.12948069844</v>
      </c>
      <c r="Z18" s="11">
        <f t="shared" si="2"/>
        <v>354349.40222886018</v>
      </c>
      <c r="AA18" s="11">
        <f t="shared" si="2"/>
        <v>368728.17922794109</v>
      </c>
      <c r="AB18" s="11">
        <f t="shared" si="2"/>
        <v>382972.40602022049</v>
      </c>
      <c r="AC18" s="11">
        <f t="shared" si="2"/>
        <v>397075.36155790428</v>
      </c>
      <c r="AD18" s="11">
        <f t="shared" si="2"/>
        <v>411025.93026194838</v>
      </c>
      <c r="AE18" s="11">
        <f t="shared" si="2"/>
        <v>424828.76516544103</v>
      </c>
      <c r="AF18" s="11">
        <f t="shared" si="2"/>
        <v>438482.83226102928</v>
      </c>
      <c r="AG18" s="11"/>
      <c r="AH18" s="11"/>
      <c r="AI18" s="11"/>
    </row>
    <row r="19" spans="1:35" x14ac:dyDescent="0.2">
      <c r="A19" t="s">
        <v>82</v>
      </c>
      <c r="B19" s="11">
        <f>SUM('PEV Sales by Manufacturer'!D20:M20)</f>
        <v>8464</v>
      </c>
      <c r="C19" s="11">
        <f>SUM('PEV Sales by Manufacturer'!D20:N20)</f>
        <v>8464</v>
      </c>
      <c r="D19" s="11">
        <f t="shared" si="1"/>
        <v>8464</v>
      </c>
      <c r="E19" s="11">
        <f t="shared" si="2"/>
        <v>8464</v>
      </c>
      <c r="F19" s="11">
        <f t="shared" si="2"/>
        <v>8464</v>
      </c>
      <c r="G19" s="11">
        <f t="shared" si="2"/>
        <v>8464</v>
      </c>
      <c r="H19" s="11">
        <f t="shared" si="2"/>
        <v>8464</v>
      </c>
      <c r="I19" s="11">
        <f t="shared" si="2"/>
        <v>8464</v>
      </c>
      <c r="J19" s="11">
        <f t="shared" si="2"/>
        <v>8464</v>
      </c>
      <c r="K19" s="11">
        <f t="shared" si="2"/>
        <v>8464</v>
      </c>
      <c r="L19" s="11">
        <f t="shared" si="2"/>
        <v>8464</v>
      </c>
      <c r="M19" s="11">
        <f t="shared" si="2"/>
        <v>8464</v>
      </c>
      <c r="N19" s="11">
        <f t="shared" si="2"/>
        <v>8464</v>
      </c>
      <c r="O19" s="11">
        <f t="shared" si="2"/>
        <v>8464</v>
      </c>
      <c r="P19" s="11">
        <f t="shared" si="2"/>
        <v>8464</v>
      </c>
      <c r="Q19" s="11">
        <f t="shared" si="2"/>
        <v>8464</v>
      </c>
      <c r="R19" s="11">
        <f t="shared" si="2"/>
        <v>8464</v>
      </c>
      <c r="S19" s="11">
        <f t="shared" si="2"/>
        <v>8464</v>
      </c>
      <c r="T19" s="11">
        <f t="shared" si="2"/>
        <v>8464</v>
      </c>
      <c r="U19" s="11">
        <f t="shared" si="2"/>
        <v>8464</v>
      </c>
      <c r="V19" s="11">
        <f t="shared" si="2"/>
        <v>8464</v>
      </c>
      <c r="W19" s="11">
        <f t="shared" si="2"/>
        <v>8464</v>
      </c>
      <c r="X19" s="11">
        <f t="shared" si="2"/>
        <v>8464</v>
      </c>
      <c r="Y19" s="11">
        <f t="shared" si="2"/>
        <v>8464</v>
      </c>
      <c r="Z19" s="11">
        <f t="shared" si="2"/>
        <v>8464</v>
      </c>
      <c r="AA19" s="11">
        <f t="shared" si="2"/>
        <v>8464</v>
      </c>
      <c r="AB19" s="11">
        <f t="shared" si="2"/>
        <v>8464</v>
      </c>
      <c r="AC19" s="11">
        <f t="shared" si="2"/>
        <v>8464</v>
      </c>
      <c r="AD19" s="11">
        <f t="shared" si="2"/>
        <v>8464</v>
      </c>
      <c r="AE19" s="11">
        <f t="shared" si="2"/>
        <v>8464</v>
      </c>
      <c r="AF19" s="11">
        <f t="shared" si="2"/>
        <v>8464</v>
      </c>
      <c r="AG19" s="11"/>
      <c r="AH19" s="11"/>
      <c r="AI19" s="11"/>
    </row>
    <row r="20" spans="1:35" x14ac:dyDescent="0.2">
      <c r="A20" t="s">
        <v>83</v>
      </c>
      <c r="B20" s="11">
        <f>SUM('PEV Sales by Manufacturer'!D21:M21)</f>
        <v>6524</v>
      </c>
      <c r="C20" s="11">
        <f>SUM('PEV Sales by Manufacturer'!D21:N21)</f>
        <v>8189</v>
      </c>
      <c r="D20" s="11">
        <f t="shared" si="1"/>
        <v>12232.498565281345</v>
      </c>
      <c r="E20" s="11">
        <f t="shared" si="2"/>
        <v>18138.34201426847</v>
      </c>
      <c r="F20" s="11">
        <f t="shared" si="2"/>
        <v>26318.675978439707</v>
      </c>
      <c r="G20" s="11">
        <f t="shared" si="2"/>
        <v>36606.537633335931</v>
      </c>
      <c r="H20" s="11">
        <f t="shared" si="2"/>
        <v>48495.088250662935</v>
      </c>
      <c r="I20" s="11">
        <f t="shared" si="2"/>
        <v>61849.155442799121</v>
      </c>
      <c r="J20" s="11">
        <f t="shared" si="2"/>
        <v>76530.280047222754</v>
      </c>
      <c r="K20" s="11">
        <f t="shared" si="2"/>
        <v>92432.330529855943</v>
      </c>
      <c r="L20" s="11">
        <f t="shared" si="2"/>
        <v>109594.32944143823</v>
      </c>
      <c r="M20" s="11">
        <f t="shared" si="2"/>
        <v>127748.59171036929</v>
      </c>
      <c r="N20" s="11">
        <f t="shared" si="2"/>
        <v>146712.12404947041</v>
      </c>
      <c r="O20" s="11">
        <f t="shared" si="2"/>
        <v>166428.13927233967</v>
      </c>
      <c r="P20" s="11">
        <f t="shared" si="2"/>
        <v>186814.31255482472</v>
      </c>
      <c r="Q20" s="11">
        <f t="shared" si="2"/>
        <v>207908.8728682489</v>
      </c>
      <c r="R20" s="11">
        <f t="shared" si="2"/>
        <v>229625.80373565506</v>
      </c>
      <c r="S20" s="11">
        <f t="shared" si="2"/>
        <v>251981.97869366195</v>
      </c>
      <c r="T20" s="11">
        <f t="shared" si="2"/>
        <v>275011.04326327652</v>
      </c>
      <c r="U20" s="11">
        <f t="shared" si="2"/>
        <v>298648.45475026243</v>
      </c>
      <c r="V20" s="11">
        <f t="shared" si="2"/>
        <v>322930.04450629564</v>
      </c>
      <c r="W20" s="11">
        <f t="shared" si="2"/>
        <v>347873.78214283386</v>
      </c>
      <c r="X20" s="11">
        <f t="shared" si="2"/>
        <v>373439.26642497833</v>
      </c>
      <c r="Y20" s="11">
        <f t="shared" si="2"/>
        <v>399688.29913176346</v>
      </c>
      <c r="Z20" s="11">
        <f t="shared" si="2"/>
        <v>426625.33068482933</v>
      </c>
      <c r="AA20" s="11">
        <f t="shared" si="2"/>
        <v>454207.56664437213</v>
      </c>
      <c r="AB20" s="11">
        <f t="shared" si="2"/>
        <v>482475.38704135438</v>
      </c>
      <c r="AC20" s="11">
        <f t="shared" si="2"/>
        <v>511417.05127321417</v>
      </c>
      <c r="AD20" s="11">
        <f t="shared" si="2"/>
        <v>541009.9327892093</v>
      </c>
      <c r="AE20" s="11">
        <f t="shared" si="2"/>
        <v>571281.167172355</v>
      </c>
      <c r="AF20" s="11">
        <f t="shared" si="2"/>
        <v>602258.90850625338</v>
      </c>
      <c r="AG20" s="11"/>
      <c r="AH20" s="11"/>
      <c r="AI20" s="11"/>
    </row>
    <row r="21" spans="1:35" x14ac:dyDescent="0.2">
      <c r="A21" t="s">
        <v>84</v>
      </c>
      <c r="B21" s="11">
        <f>SUM('PEV Sales by Manufacturer'!D22:M22)</f>
        <v>5105</v>
      </c>
      <c r="C21" s="11">
        <f>SUM('PEV Sales by Manufacturer'!D22:N22)</f>
        <v>7723</v>
      </c>
      <c r="D21" s="11">
        <f t="shared" si="1"/>
        <v>14250.058398437501</v>
      </c>
      <c r="E21" s="11">
        <f t="shared" si="2"/>
        <v>23827.670312499999</v>
      </c>
      <c r="F21" s="11">
        <f t="shared" si="2"/>
        <v>37169.905468750003</v>
      </c>
      <c r="G21" s="11">
        <f t="shared" si="2"/>
        <v>53638.581250000003</v>
      </c>
      <c r="H21" s="11">
        <f t="shared" si="2"/>
        <v>72002.028515625003</v>
      </c>
      <c r="I21" s="11">
        <f t="shared" si="2"/>
        <v>91455.507031250003</v>
      </c>
      <c r="J21" s="11">
        <f t="shared" si="2"/>
        <v>111161.942578125</v>
      </c>
      <c r="K21" s="11">
        <f t="shared" si="2"/>
        <v>131015.610546875</v>
      </c>
      <c r="L21" s="11">
        <f t="shared" si="2"/>
        <v>150730.91914062499</v>
      </c>
      <c r="M21" s="11">
        <f t="shared" si="2"/>
        <v>170379.75507812499</v>
      </c>
      <c r="N21" s="11">
        <f t="shared" si="2"/>
        <v>189773.97968749999</v>
      </c>
      <c r="O21" s="11">
        <f t="shared" si="2"/>
        <v>208886.82343749999</v>
      </c>
      <c r="P21" s="11">
        <f t="shared" si="2"/>
        <v>227725.05390624999</v>
      </c>
      <c r="Q21" s="11">
        <f t="shared" si="2"/>
        <v>246301.90546874999</v>
      </c>
      <c r="R21" s="11">
        <f t="shared" si="2"/>
        <v>264646.25312499999</v>
      </c>
      <c r="S21" s="11">
        <f t="shared" si="2"/>
        <v>282759.3</v>
      </c>
      <c r="T21" s="11">
        <f t="shared" si="2"/>
        <v>300684.96015624999</v>
      </c>
      <c r="U21" s="11">
        <f t="shared" si="2"/>
        <v>318398.71992187499</v>
      </c>
      <c r="V21" s="11">
        <f t="shared" si="2"/>
        <v>335937.72578124999</v>
      </c>
      <c r="W21" s="11">
        <f t="shared" si="2"/>
        <v>353311.75312499999</v>
      </c>
      <c r="X21" s="11">
        <f t="shared" si="2"/>
        <v>370505.16132812499</v>
      </c>
      <c r="Y21" s="11">
        <f t="shared" si="2"/>
        <v>387550.73554687499</v>
      </c>
      <c r="Z21" s="11">
        <f t="shared" ref="E21:AF24" si="3">Y21+Z50+Z74</f>
        <v>404444.71601562499</v>
      </c>
      <c r="AA21" s="11">
        <f t="shared" si="3"/>
        <v>421175.22187499999</v>
      </c>
      <c r="AB21" s="11">
        <f t="shared" si="3"/>
        <v>437749.17109374999</v>
      </c>
      <c r="AC21" s="11">
        <f t="shared" si="3"/>
        <v>454158.74335937499</v>
      </c>
      <c r="AD21" s="11">
        <f t="shared" si="3"/>
        <v>470391.00507812499</v>
      </c>
      <c r="AE21" s="11">
        <f t="shared" si="3"/>
        <v>486451.37031249999</v>
      </c>
      <c r="AF21" s="11">
        <f t="shared" si="3"/>
        <v>502338.63593749999</v>
      </c>
      <c r="AG21" s="11"/>
      <c r="AH21" s="11"/>
      <c r="AI21" s="11"/>
    </row>
    <row r="22" spans="1:35" x14ac:dyDescent="0.2">
      <c r="A22" t="s">
        <v>85</v>
      </c>
      <c r="B22" s="11">
        <f>SUM('PEV Sales by Manufacturer'!D23:M23)</f>
        <v>0</v>
      </c>
      <c r="C22" s="11">
        <f>SUM('PEV Sales by Manufacturer'!D23:N23)</f>
        <v>376</v>
      </c>
      <c r="D22" s="11">
        <f t="shared" si="1"/>
        <v>1275.3307592187111</v>
      </c>
      <c r="E22" s="11">
        <f t="shared" si="3"/>
        <v>2585.2575841339349</v>
      </c>
      <c r="F22" s="11">
        <f t="shared" si="3"/>
        <v>4393.4695611671441</v>
      </c>
      <c r="G22" s="11">
        <f t="shared" si="3"/>
        <v>6692.895913774415</v>
      </c>
      <c r="H22" s="11">
        <f t="shared" si="3"/>
        <v>9404.5305346003661</v>
      </c>
      <c r="I22" s="11">
        <f t="shared" si="3"/>
        <v>12546.140386465438</v>
      </c>
      <c r="J22" s="11">
        <f t="shared" si="3"/>
        <v>16136.965510636723</v>
      </c>
      <c r="K22" s="11">
        <f t="shared" si="3"/>
        <v>20148.051731868378</v>
      </c>
      <c r="L22" s="11">
        <f t="shared" si="3"/>
        <v>24616.504259477715</v>
      </c>
      <c r="M22" s="11">
        <f t="shared" si="3"/>
        <v>29441.687284251027</v>
      </c>
      <c r="N22" s="11">
        <f t="shared" si="3"/>
        <v>34574.154472995731</v>
      </c>
      <c r="O22" s="11">
        <f t="shared" si="3"/>
        <v>39995.983371277573</v>
      </c>
      <c r="P22" s="11">
        <f t="shared" si="3"/>
        <v>45677.475080858239</v>
      </c>
      <c r="Q22" s="11">
        <f t="shared" si="3"/>
        <v>51631.085298381084</v>
      </c>
      <c r="R22" s="11">
        <f t="shared" si="3"/>
        <v>57824.005293331524</v>
      </c>
      <c r="S22" s="11">
        <f t="shared" si="3"/>
        <v>64262.111011957866</v>
      </c>
      <c r="T22" s="11">
        <f t="shared" si="3"/>
        <v>70953.733531252845</v>
      </c>
      <c r="U22" s="11">
        <f t="shared" si="3"/>
        <v>77878.020607427199</v>
      </c>
      <c r="V22" s="11">
        <f t="shared" si="3"/>
        <v>85044.629088075628</v>
      </c>
      <c r="W22" s="11">
        <f t="shared" si="3"/>
        <v>92459.123936218821</v>
      </c>
      <c r="X22" s="11">
        <f t="shared" si="3"/>
        <v>100108.47659137307</v>
      </c>
      <c r="Y22" s="11">
        <f t="shared" si="3"/>
        <v>108011.89435972887</v>
      </c>
      <c r="Z22" s="11">
        <f t="shared" si="3"/>
        <v>116171.25950819028</v>
      </c>
      <c r="AA22" s="11">
        <f t="shared" si="3"/>
        <v>124572.38956482371</v>
      </c>
      <c r="AB22" s="11">
        <f t="shared" si="3"/>
        <v>133229.01689425961</v>
      </c>
      <c r="AC22" s="11">
        <f t="shared" si="3"/>
        <v>142137.62247576428</v>
      </c>
      <c r="AD22" s="11">
        <f t="shared" si="3"/>
        <v>151291.25010556189</v>
      </c>
      <c r="AE22" s="11">
        <f t="shared" si="3"/>
        <v>160699.06560509829</v>
      </c>
      <c r="AF22" s="11">
        <f t="shared" si="3"/>
        <v>170371.13501042558</v>
      </c>
      <c r="AG22" s="11"/>
      <c r="AH22" s="11"/>
      <c r="AI22" s="11"/>
    </row>
    <row r="23" spans="1:35" x14ac:dyDescent="0.2">
      <c r="A23" t="s">
        <v>86</v>
      </c>
      <c r="B23" s="11">
        <f>SUM('PEV Sales by Manufacturer'!D24:M24)</f>
        <v>0</v>
      </c>
      <c r="C23" s="11">
        <f>SUM('PEV Sales by Manufacturer'!D24:N24)</f>
        <v>65</v>
      </c>
      <c r="D23" s="11">
        <f t="shared" si="1"/>
        <v>220.46941316280913</v>
      </c>
      <c r="E23" s="11">
        <f t="shared" si="3"/>
        <v>446.91952917208988</v>
      </c>
      <c r="F23" s="11">
        <f t="shared" si="3"/>
        <v>759.50936562729908</v>
      </c>
      <c r="G23" s="11">
        <f t="shared" si="3"/>
        <v>1157.0165808386623</v>
      </c>
      <c r="H23" s="11">
        <f t="shared" si="3"/>
        <v>1625.7832041197444</v>
      </c>
      <c r="I23" s="11">
        <f t="shared" si="3"/>
        <v>2168.8806519155678</v>
      </c>
      <c r="J23" s="11">
        <f t="shared" si="3"/>
        <v>2789.6349951898592</v>
      </c>
      <c r="K23" s="11">
        <f t="shared" si="3"/>
        <v>3483.040857902779</v>
      </c>
      <c r="L23" s="11">
        <f t="shared" si="3"/>
        <v>4255.5127044309893</v>
      </c>
      <c r="M23" s="11">
        <f t="shared" si="3"/>
        <v>5089.6533869050991</v>
      </c>
      <c r="N23" s="11">
        <f t="shared" si="3"/>
        <v>5976.9150019806466</v>
      </c>
      <c r="O23" s="11">
        <f t="shared" si="3"/>
        <v>6914.1992530134121</v>
      </c>
      <c r="P23" s="11">
        <f t="shared" si="3"/>
        <v>7896.3720219568786</v>
      </c>
      <c r="Q23" s="11">
        <f t="shared" si="3"/>
        <v>8925.5865542414122</v>
      </c>
      <c r="R23" s="11">
        <f t="shared" si="3"/>
        <v>9996.1711278365674</v>
      </c>
      <c r="S23" s="11">
        <f t="shared" si="3"/>
        <v>11109.141531322504</v>
      </c>
      <c r="T23" s="11">
        <f t="shared" si="3"/>
        <v>12265.937977477221</v>
      </c>
      <c r="U23" s="11">
        <f t="shared" si="3"/>
        <v>13462.955690113744</v>
      </c>
      <c r="V23" s="11">
        <f t="shared" si="3"/>
        <v>14701.864071076903</v>
      </c>
      <c r="W23" s="11">
        <f t="shared" si="3"/>
        <v>15983.625148548466</v>
      </c>
      <c r="X23" s="11">
        <f t="shared" si="3"/>
        <v>17305.98664478524</v>
      </c>
      <c r="Y23" s="11">
        <f t="shared" si="3"/>
        <v>18672.268971761641</v>
      </c>
      <c r="Z23" s="11">
        <f t="shared" si="3"/>
        <v>20082.797521362681</v>
      </c>
      <c r="AA23" s="11">
        <f t="shared" si="3"/>
        <v>21535.120536472183</v>
      </c>
      <c r="AB23" s="11">
        <f t="shared" si="3"/>
        <v>23031.611963103387</v>
      </c>
      <c r="AC23" s="11">
        <f t="shared" si="3"/>
        <v>24571.66345990606</v>
      </c>
      <c r="AD23" s="11">
        <f t="shared" si="3"/>
        <v>26154.072491652991</v>
      </c>
      <c r="AE23" s="11">
        <f t="shared" si="3"/>
        <v>27780.423575349443</v>
      </c>
      <c r="AF23" s="11">
        <f t="shared" si="3"/>
        <v>29452.456850206552</v>
      </c>
      <c r="AG23" s="11"/>
      <c r="AH23" s="11"/>
      <c r="AI23" s="11"/>
    </row>
    <row r="24" spans="1:35" x14ac:dyDescent="0.2">
      <c r="A24" t="s">
        <v>87</v>
      </c>
      <c r="B24" s="11">
        <f>SUM('PEV Sales by Manufacturer'!D25:M25)</f>
        <v>0</v>
      </c>
      <c r="C24" s="11">
        <f>SUM('PEV Sales by Manufacturer'!D25:N25)</f>
        <v>116</v>
      </c>
      <c r="D24" s="11">
        <f t="shared" si="1"/>
        <v>393.45310656747478</v>
      </c>
      <c r="E24" s="11">
        <f t="shared" si="3"/>
        <v>797.5794674455758</v>
      </c>
      <c r="F24" s="11">
        <f t="shared" si="3"/>
        <v>1355.4320986579489</v>
      </c>
      <c r="G24" s="11">
        <f t="shared" si="3"/>
        <v>2064.8295904197666</v>
      </c>
      <c r="H24" s="11">
        <f t="shared" si="3"/>
        <v>2901.39771812139</v>
      </c>
      <c r="I24" s="11">
        <f t="shared" si="3"/>
        <v>3870.6177788031678</v>
      </c>
      <c r="J24" s="11">
        <f t="shared" si="3"/>
        <v>4978.4255298772878</v>
      </c>
      <c r="K24" s="11">
        <f t="shared" si="3"/>
        <v>6215.8883002572675</v>
      </c>
      <c r="L24" s="11">
        <f t="shared" si="3"/>
        <v>7594.4534417537652</v>
      </c>
      <c r="M24" s="11">
        <f t="shared" si="3"/>
        <v>9083.0737366306385</v>
      </c>
      <c r="N24" s="11">
        <f t="shared" si="3"/>
        <v>10666.494465073154</v>
      </c>
      <c r="O24" s="11">
        <f t="shared" si="3"/>
        <v>12339.186359223935</v>
      </c>
      <c r="P24" s="11">
        <f t="shared" si="3"/>
        <v>14091.986993030738</v>
      </c>
      <c r="Q24" s="11">
        <f t="shared" si="3"/>
        <v>15928.739081415444</v>
      </c>
      <c r="R24" s="11">
        <f t="shared" si="3"/>
        <v>17839.320781985261</v>
      </c>
      <c r="S24" s="11">
        <f t="shared" si="3"/>
        <v>19825.544886667856</v>
      </c>
      <c r="T24" s="11">
        <f t="shared" si="3"/>
        <v>21889.981621343966</v>
      </c>
      <c r="U24" s="11">
        <f t="shared" si="3"/>
        <v>24026.197846972223</v>
      </c>
      <c r="V24" s="11">
        <f t="shared" si="3"/>
        <v>26237.172803768015</v>
      </c>
      <c r="W24" s="11">
        <f t="shared" si="3"/>
        <v>28524.623342024959</v>
      </c>
      <c r="X24" s="11">
        <f t="shared" si="3"/>
        <v>30884.53001223212</v>
      </c>
      <c r="Y24" s="11">
        <f t="shared" si="3"/>
        <v>33322.818472682316</v>
      </c>
      <c r="Z24" s="11">
        <f t="shared" si="3"/>
        <v>35840.069422739558</v>
      </c>
      <c r="AA24" s="11">
        <f t="shared" si="3"/>
        <v>38431.907418934978</v>
      </c>
      <c r="AB24" s="11">
        <f t="shared" si="3"/>
        <v>41102.569041846051</v>
      </c>
      <c r="AC24" s="11">
        <f t="shared" si="3"/>
        <v>43850.968636140045</v>
      </c>
      <c r="AD24" s="11">
        <f t="shared" si="3"/>
        <v>46674.960138949951</v>
      </c>
      <c r="AE24" s="11">
        <f t="shared" si="3"/>
        <v>49577.371303700544</v>
      </c>
      <c r="AF24" s="11">
        <f t="shared" si="3"/>
        <v>52561.307609599389</v>
      </c>
      <c r="AG24" s="11"/>
      <c r="AH24" s="11"/>
      <c r="AI24" s="11"/>
    </row>
    <row r="25" spans="1:35" x14ac:dyDescent="0.2">
      <c r="B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5" x14ac:dyDescent="0.2">
      <c r="A26" s="25" t="s">
        <v>88</v>
      </c>
    </row>
    <row r="27" spans="1:35" x14ac:dyDescent="0.2">
      <c r="A27" t="s">
        <v>57</v>
      </c>
      <c r="B27">
        <v>2020</v>
      </c>
      <c r="C27">
        <v>2021</v>
      </c>
      <c r="D27">
        <v>2022</v>
      </c>
      <c r="E27">
        <v>2023</v>
      </c>
      <c r="F27">
        <v>2024</v>
      </c>
      <c r="G27">
        <v>2025</v>
      </c>
      <c r="H27">
        <v>2026</v>
      </c>
      <c r="I27">
        <v>2027</v>
      </c>
      <c r="J27">
        <v>2028</v>
      </c>
      <c r="K27">
        <v>2029</v>
      </c>
      <c r="L27">
        <v>2030</v>
      </c>
      <c r="M27">
        <v>2031</v>
      </c>
      <c r="N27">
        <v>2032</v>
      </c>
      <c r="O27">
        <v>2033</v>
      </c>
      <c r="P27">
        <v>2034</v>
      </c>
      <c r="Q27">
        <v>2035</v>
      </c>
      <c r="R27">
        <v>2036</v>
      </c>
      <c r="S27">
        <v>2037</v>
      </c>
      <c r="T27">
        <v>2038</v>
      </c>
      <c r="U27">
        <v>2039</v>
      </c>
      <c r="V27">
        <v>2040</v>
      </c>
      <c r="W27">
        <v>2041</v>
      </c>
      <c r="X27">
        <v>2042</v>
      </c>
      <c r="Y27">
        <v>2043</v>
      </c>
      <c r="Z27">
        <v>2044</v>
      </c>
      <c r="AA27">
        <v>2045</v>
      </c>
      <c r="AB27">
        <v>2046</v>
      </c>
      <c r="AC27">
        <v>2047</v>
      </c>
      <c r="AD27">
        <v>2048</v>
      </c>
      <c r="AE27">
        <v>2049</v>
      </c>
      <c r="AF27">
        <v>2050</v>
      </c>
    </row>
    <row r="28" spans="1:35" x14ac:dyDescent="0.2">
      <c r="A28" t="s">
        <v>89</v>
      </c>
      <c r="B28">
        <v>349182</v>
      </c>
      <c r="C28">
        <v>603744</v>
      </c>
      <c r="D28" s="12">
        <v>1098920</v>
      </c>
      <c r="E28" s="12">
        <v>1600640</v>
      </c>
      <c r="F28" s="12">
        <v>2209510</v>
      </c>
      <c r="G28" s="12">
        <v>2809740</v>
      </c>
      <c r="H28" s="12">
        <v>3313430</v>
      </c>
      <c r="I28" s="12">
        <v>3838830</v>
      </c>
      <c r="J28" s="12">
        <v>4387740</v>
      </c>
      <c r="K28" s="12">
        <v>4901270</v>
      </c>
      <c r="L28" s="12">
        <v>5460140</v>
      </c>
      <c r="M28" s="12">
        <v>5896040</v>
      </c>
      <c r="N28" s="12">
        <v>6271520</v>
      </c>
      <c r="O28" s="12">
        <v>6625100</v>
      </c>
      <c r="P28" s="12">
        <v>6942390</v>
      </c>
      <c r="Q28" s="12">
        <v>7274900</v>
      </c>
      <c r="R28" s="12">
        <v>7567320</v>
      </c>
      <c r="S28" s="12">
        <v>7866920</v>
      </c>
      <c r="T28" s="12">
        <v>8176700</v>
      </c>
      <c r="U28" s="12">
        <v>8461000</v>
      </c>
      <c r="V28" s="12">
        <v>8757100</v>
      </c>
      <c r="W28" s="12">
        <v>9060000</v>
      </c>
      <c r="X28" s="12">
        <v>9346980</v>
      </c>
      <c r="Y28" s="12">
        <v>9657430</v>
      </c>
      <c r="Z28" s="12">
        <v>9970180</v>
      </c>
      <c r="AA28" s="12">
        <v>10265600</v>
      </c>
      <c r="AB28" s="12">
        <v>10577800</v>
      </c>
      <c r="AC28" s="12">
        <v>10885700</v>
      </c>
      <c r="AD28" s="12">
        <v>11185100</v>
      </c>
      <c r="AE28" s="12">
        <v>11495700</v>
      </c>
      <c r="AF28" s="12">
        <v>11818600</v>
      </c>
    </row>
    <row r="29" spans="1:35" x14ac:dyDescent="0.2">
      <c r="A29" t="s">
        <v>90</v>
      </c>
      <c r="B29">
        <v>86889</v>
      </c>
      <c r="C29">
        <v>248313</v>
      </c>
      <c r="D29">
        <v>434007</v>
      </c>
      <c r="E29">
        <v>636849</v>
      </c>
      <c r="F29">
        <v>887172</v>
      </c>
      <c r="G29" s="12">
        <v>1095060</v>
      </c>
      <c r="H29" s="12">
        <v>1221050</v>
      </c>
      <c r="I29" s="12">
        <v>1293530</v>
      </c>
      <c r="J29" s="12">
        <v>1310350</v>
      </c>
      <c r="K29" s="12">
        <v>1320140</v>
      </c>
      <c r="L29" s="12">
        <v>1310940</v>
      </c>
      <c r="M29" s="12">
        <v>1306520</v>
      </c>
      <c r="N29" s="12">
        <v>1289590</v>
      </c>
      <c r="O29" s="12">
        <v>1270880</v>
      </c>
      <c r="P29" s="12">
        <v>1252620</v>
      </c>
      <c r="Q29" s="12">
        <v>1235240</v>
      </c>
      <c r="R29" s="12">
        <v>1219780</v>
      </c>
      <c r="S29" s="12">
        <v>1204400</v>
      </c>
      <c r="T29" s="12">
        <v>1191940</v>
      </c>
      <c r="U29" s="12">
        <v>1177850</v>
      </c>
      <c r="V29" s="12">
        <v>1166230</v>
      </c>
      <c r="W29" s="12">
        <v>1155260</v>
      </c>
      <c r="X29" s="12">
        <v>1143250</v>
      </c>
      <c r="Y29" s="12">
        <v>1133420</v>
      </c>
      <c r="Z29" s="12">
        <v>1123340</v>
      </c>
      <c r="AA29" s="12">
        <v>1112470</v>
      </c>
      <c r="AB29" s="12">
        <v>1102060</v>
      </c>
      <c r="AC29" s="12">
        <v>1091130</v>
      </c>
      <c r="AD29" s="12">
        <v>1079340</v>
      </c>
      <c r="AE29" s="12">
        <v>1067910</v>
      </c>
      <c r="AF29" s="12">
        <v>1056400</v>
      </c>
    </row>
    <row r="31" spans="1:35" x14ac:dyDescent="0.2">
      <c r="A31" s="1" t="s">
        <v>91</v>
      </c>
      <c r="B31">
        <v>2020</v>
      </c>
      <c r="C31">
        <v>2021</v>
      </c>
      <c r="D31">
        <v>2022</v>
      </c>
      <c r="E31">
        <v>2023</v>
      </c>
      <c r="F31">
        <v>2024</v>
      </c>
      <c r="G31">
        <v>2025</v>
      </c>
      <c r="H31">
        <v>2026</v>
      </c>
      <c r="I31">
        <v>2027</v>
      </c>
      <c r="J31">
        <v>2028</v>
      </c>
      <c r="K31">
        <v>2029</v>
      </c>
      <c r="L31">
        <v>2030</v>
      </c>
      <c r="M31">
        <v>2031</v>
      </c>
      <c r="N31">
        <v>2032</v>
      </c>
      <c r="O31">
        <v>2033</v>
      </c>
      <c r="P31">
        <v>2034</v>
      </c>
      <c r="Q31">
        <v>2035</v>
      </c>
      <c r="R31">
        <v>2036</v>
      </c>
      <c r="S31">
        <v>2037</v>
      </c>
      <c r="T31">
        <v>2038</v>
      </c>
      <c r="U31">
        <v>2039</v>
      </c>
      <c r="V31">
        <v>2040</v>
      </c>
      <c r="W31">
        <v>2041</v>
      </c>
      <c r="X31">
        <v>2042</v>
      </c>
      <c r="Y31">
        <v>2043</v>
      </c>
      <c r="Z31">
        <v>2044</v>
      </c>
      <c r="AA31">
        <v>2045</v>
      </c>
      <c r="AB31">
        <v>2046</v>
      </c>
      <c r="AC31">
        <v>2047</v>
      </c>
      <c r="AD31">
        <v>2048</v>
      </c>
      <c r="AE31">
        <v>2049</v>
      </c>
      <c r="AF31">
        <v>2050</v>
      </c>
    </row>
    <row r="32" spans="1:35" x14ac:dyDescent="0.2">
      <c r="A32" t="s">
        <v>13</v>
      </c>
      <c r="B32" s="11">
        <f>'PEV Sales by Manufacturer'!M31</f>
        <v>183829</v>
      </c>
      <c r="C32" s="11">
        <f>'PEV Sales by Manufacturer'!N31</f>
        <v>320918</v>
      </c>
      <c r="D32" s="11">
        <f>D$28*'PEV Sales by Manufacturer'!$S31</f>
        <v>767583.58666742127</v>
      </c>
      <c r="E32" s="11">
        <f>E$28*'PEV Sales by Manufacturer'!$S31</f>
        <v>1118029.512761021</v>
      </c>
      <c r="F32" s="11">
        <f>F$28*'PEV Sales by Manufacturer'!$S31</f>
        <v>1543318.5405466584</v>
      </c>
      <c r="G32" s="11">
        <f>G$28*'PEV Sales by Manufacturer'!$S31</f>
        <v>1962572.6229415429</v>
      </c>
      <c r="H32" s="11">
        <f>H$28*'PEV Sales by Manufacturer'!$S31</f>
        <v>2314394.5724633583</v>
      </c>
      <c r="I32" s="11">
        <f>I$28*'PEV Sales by Manufacturer'!$S31</f>
        <v>2681380.719257541</v>
      </c>
      <c r="J32" s="11">
        <f>J$28*'PEV Sales by Manufacturer'!$S31</f>
        <v>3064788.3436138309</v>
      </c>
      <c r="K32" s="11">
        <f>K$28*'PEV Sales by Manufacturer'!$S31</f>
        <v>3423483.4253862263</v>
      </c>
      <c r="L32" s="11">
        <f>L$28*'PEV Sales by Manufacturer'!$S31</f>
        <v>3813848.000679079</v>
      </c>
      <c r="M32" s="11">
        <f>M$28*'PEV Sales by Manufacturer'!$S31</f>
        <v>4118319.3775111767</v>
      </c>
      <c r="N32" s="11">
        <f>N$28*'PEV Sales by Manufacturer'!$S31</f>
        <v>4380588.0459509939</v>
      </c>
      <c r="O32" s="11">
        <f>O$28*'PEV Sales by Manufacturer'!$S31</f>
        <v>4627559.8041989701</v>
      </c>
      <c r="P32" s="11">
        <f>P$28*'PEV Sales by Manufacturer'!$S31</f>
        <v>4849183.3948276844</v>
      </c>
      <c r="Q32" s="11">
        <f>Q$28*'PEV Sales by Manufacturer'!$S31</f>
        <v>5081437.9887952013</v>
      </c>
      <c r="R32" s="11">
        <f>R$28*'PEV Sales by Manufacturer'!$S31</f>
        <v>5285690.1567540038</v>
      </c>
      <c r="S32" s="11">
        <f>S$28*'PEV Sales by Manufacturer'!$S31</f>
        <v>5494957.4760907702</v>
      </c>
      <c r="T32" s="11">
        <f>T$28*'PEV Sales by Manufacturer'!$S31</f>
        <v>5711335.4139550682</v>
      </c>
      <c r="U32" s="11">
        <f>U$28*'PEV Sales by Manufacturer'!$S31</f>
        <v>5909915.8508290425</v>
      </c>
      <c r="V32" s="11">
        <f>V$28*'PEV Sales by Manufacturer'!$S31</f>
        <v>6116738.4584913142</v>
      </c>
      <c r="W32" s="11">
        <f>W$28*'PEV Sales by Manufacturer'!$S31</f>
        <v>6328310.7916926043</v>
      </c>
      <c r="X32" s="11">
        <f>X$28*'PEV Sales by Manufacturer'!$S31</f>
        <v>6528763.1792201921</v>
      </c>
      <c r="Y32" s="11">
        <f>Y$28*'PEV Sales by Manufacturer'!$S31</f>
        <v>6745609.1047478924</v>
      </c>
      <c r="Z32" s="11">
        <f>Z$28*'PEV Sales by Manufacturer'!$S31</f>
        <v>6964061.5550902616</v>
      </c>
      <c r="AA32" s="11">
        <f>AA$28*'PEV Sales by Manufacturer'!$S31</f>
        <v>7170409.190198631</v>
      </c>
      <c r="AB32" s="11">
        <f>AB$28*'PEV Sales by Manufacturer'!$S31</f>
        <v>7388477.4715635795</v>
      </c>
      <c r="AC32" s="11">
        <f>AC$28*'PEV Sales by Manufacturer'!$S31</f>
        <v>7603542.2500141477</v>
      </c>
      <c r="AD32" s="11">
        <f>AD$28*'PEV Sales by Manufacturer'!$S31</f>
        <v>7812669.8715409432</v>
      </c>
      <c r="AE32" s="11">
        <f>AE$28*'PEV Sales by Manufacturer'!$S31</f>
        <v>8029620.5704261223</v>
      </c>
      <c r="AF32" s="11">
        <f>AF$28*'PEV Sales by Manufacturer'!$S31</f>
        <v>8255162.6846245266</v>
      </c>
      <c r="AG32" s="11"/>
      <c r="AH32" s="11"/>
    </row>
    <row r="33" spans="1:34" x14ac:dyDescent="0.2">
      <c r="A33" t="s">
        <v>67</v>
      </c>
      <c r="B33" s="11">
        <f>'PEV Sales by Manufacturer'!M32</f>
        <v>20754</v>
      </c>
      <c r="C33" s="11">
        <f>'PEV Sales by Manufacturer'!N32</f>
        <v>24829</v>
      </c>
      <c r="D33" s="11">
        <f>D$28*'PEV Sales by Manufacturer'!$S32</f>
        <v>59386.923991067502</v>
      </c>
      <c r="E33" s="11">
        <f>E$28*'PEV Sales by Manufacturer'!$S32</f>
        <v>86500.460467606637</v>
      </c>
      <c r="F33" s="11">
        <f>F$28*'PEV Sales by Manufacturer'!$S32</f>
        <v>119404.50845148286</v>
      </c>
      <c r="G33" s="11">
        <f>G$28*'PEV Sales by Manufacturer'!$S32</f>
        <v>151841.64071512211</v>
      </c>
      <c r="H33" s="11">
        <f>H$28*'PEV Sales by Manufacturer'!$S32</f>
        <v>179061.63829916899</v>
      </c>
      <c r="I33" s="11">
        <f>I$28*'PEV Sales by Manufacturer'!$S32</f>
        <v>207454.86971265392</v>
      </c>
      <c r="J33" s="11">
        <f>J$28*'PEV Sales by Manufacturer'!$S32</f>
        <v>237118.60906395962</v>
      </c>
      <c r="K33" s="11">
        <f>K$28*'PEV Sales by Manufacturer'!$S32</f>
        <v>264870.37177383195</v>
      </c>
      <c r="L33" s="11">
        <f>L$28*'PEV Sales by Manufacturer'!$S32</f>
        <v>295072.36119152192</v>
      </c>
      <c r="M33" s="11">
        <f>M$28*'PEV Sales by Manufacturer'!$S32</f>
        <v>318628.90777153353</v>
      </c>
      <c r="N33" s="11">
        <f>N$28*'PEV Sales by Manufacturer'!$S32</f>
        <v>338920.28678016568</v>
      </c>
      <c r="O33" s="11">
        <f>O$28*'PEV Sales by Manufacturer'!$S32</f>
        <v>358028.16413680825</v>
      </c>
      <c r="P33" s="11">
        <f>P$28*'PEV Sales by Manufacturer'!$S32</f>
        <v>375174.88738611282</v>
      </c>
      <c r="Q33" s="11">
        <f>Q$28*'PEV Sales by Manufacturer'!$S32</f>
        <v>393144.11726296449</v>
      </c>
      <c r="R33" s="11">
        <f>R$28*'PEV Sales by Manufacturer'!$S32</f>
        <v>408946.83658144809</v>
      </c>
      <c r="S33" s="11">
        <f>S$28*'PEV Sales by Manufacturer'!$S32</f>
        <v>425137.57151003595</v>
      </c>
      <c r="T33" s="11">
        <f>T$28*'PEV Sales by Manufacturer'!$S32</f>
        <v>441878.4455626994</v>
      </c>
      <c r="U33" s="11">
        <f>U$28*'PEV Sales by Manufacturer'!$S32</f>
        <v>457242.35057003435</v>
      </c>
      <c r="V33" s="11">
        <f>V$28*'PEV Sales by Manufacturer'!$S32</f>
        <v>473243.94139898918</v>
      </c>
      <c r="W33" s="11">
        <f>W$28*'PEV Sales by Manufacturer'!$S32</f>
        <v>489613.0121929454</v>
      </c>
      <c r="X33" s="11">
        <f>X$28*'PEV Sales by Manufacturer'!$S32</f>
        <v>505121.74753942789</v>
      </c>
      <c r="Y33" s="11">
        <f>Y$28*'PEV Sales by Manufacturer'!$S32</f>
        <v>521898.82917687821</v>
      </c>
      <c r="Z33" s="11">
        <f>Z$28*'PEV Sales by Manufacturer'!$S32</f>
        <v>538800.2055083731</v>
      </c>
      <c r="AA33" s="11">
        <f>AA$28*'PEV Sales by Manufacturer'!$S32</f>
        <v>554765.04834082781</v>
      </c>
      <c r="AB33" s="11">
        <f>AB$28*'PEV Sales by Manufacturer'!$S32</f>
        <v>571636.70202809467</v>
      </c>
      <c r="AC33" s="11">
        <f>AC$28*'PEV Sales by Manufacturer'!$S32</f>
        <v>588275.97867866955</v>
      </c>
      <c r="AD33" s="11">
        <f>AD$28*'PEV Sales by Manufacturer'!$S32</f>
        <v>604455.90537299262</v>
      </c>
      <c r="AE33" s="11">
        <f>AE$28*'PEV Sales by Manufacturer'!$S32</f>
        <v>621241.09318614157</v>
      </c>
      <c r="AF33" s="11">
        <f>AF$28*'PEV Sales by Manufacturer'!$S32</f>
        <v>638690.98740657221</v>
      </c>
      <c r="AG33" s="11"/>
      <c r="AH33" s="11"/>
    </row>
    <row r="34" spans="1:34" x14ac:dyDescent="0.2">
      <c r="A34" t="s">
        <v>68</v>
      </c>
      <c r="B34" s="11">
        <f>'PEV Sales by Manufacturer'!M33</f>
        <v>9564</v>
      </c>
      <c r="C34" s="11">
        <f>'PEV Sales by Manufacturer'!N33</f>
        <v>14239</v>
      </c>
      <c r="D34" s="11">
        <f>D$28*'PEV Sales by Manufacturer'!$S33</f>
        <v>34057.368831157524</v>
      </c>
      <c r="E34" s="11">
        <f>E$28*'PEV Sales by Manufacturer'!$S33</f>
        <v>49606.510797786897</v>
      </c>
      <c r="F34" s="11">
        <f>F$28*'PEV Sales by Manufacturer'!$S33</f>
        <v>68476.410481318802</v>
      </c>
      <c r="G34" s="11">
        <f>G$28*'PEV Sales by Manufacturer'!$S33</f>
        <v>87078.542113763091</v>
      </c>
      <c r="H34" s="11">
        <f>H$28*'PEV Sales by Manufacturer'!$S33</f>
        <v>102688.73767537426</v>
      </c>
      <c r="I34" s="11">
        <f>I$28*'PEV Sales by Manufacturer'!$S33</f>
        <v>118971.7624486882</v>
      </c>
      <c r="J34" s="11">
        <f>J$28*'PEV Sales by Manufacturer'!$S33</f>
        <v>135983.40144434819</v>
      </c>
      <c r="K34" s="11">
        <f>K$28*'PEV Sales by Manufacturer'!$S33</f>
        <v>151898.55506414248</v>
      </c>
      <c r="L34" s="11">
        <f>L$28*'PEV Sales by Manufacturer'!$S33</f>
        <v>169218.87111869513</v>
      </c>
      <c r="M34" s="11">
        <f>M$28*'PEV Sales by Manufacturer'!$S33</f>
        <v>182728.14119613622</v>
      </c>
      <c r="N34" s="11">
        <f>N$28*'PEV Sales by Manufacturer'!$S33</f>
        <v>194364.8944163188</v>
      </c>
      <c r="O34" s="11">
        <f>O$28*'PEV Sales by Manufacturer'!$S33</f>
        <v>205322.93000700843</v>
      </c>
      <c r="P34" s="11">
        <f>P$28*'PEV Sales by Manufacturer'!$S33</f>
        <v>215156.27779978496</v>
      </c>
      <c r="Q34" s="11">
        <f>Q$28*'PEV Sales by Manufacturer'!$S33</f>
        <v>225461.31884922276</v>
      </c>
      <c r="R34" s="11">
        <f>R$28*'PEV Sales by Manufacturer'!$S33</f>
        <v>234523.90374494501</v>
      </c>
      <c r="S34" s="11">
        <f>S$28*'PEV Sales by Manufacturer'!$S33</f>
        <v>243809.00884978866</v>
      </c>
      <c r="T34" s="11">
        <f>T$28*'PEV Sales by Manufacturer'!$S33</f>
        <v>253409.6091814925</v>
      </c>
      <c r="U34" s="11">
        <f>U$28*'PEV Sales by Manufacturer'!$S33</f>
        <v>262220.54169586848</v>
      </c>
      <c r="V34" s="11">
        <f>V$28*'PEV Sales by Manufacturer'!$S33</f>
        <v>271397.17594668362</v>
      </c>
      <c r="W34" s="11">
        <f>W$28*'PEV Sales by Manufacturer'!$S33</f>
        <v>280784.55357103993</v>
      </c>
      <c r="X34" s="11">
        <f>X$28*'PEV Sales by Manufacturer'!$S33</f>
        <v>289678.54376792919</v>
      </c>
      <c r="Y34" s="11">
        <f>Y$28*'PEV Sales by Manufacturer'!$S33</f>
        <v>299299.90852026135</v>
      </c>
      <c r="Z34" s="11">
        <f>Z$28*'PEV Sales by Manufacturer'!$S33</f>
        <v>308992.55411952658</v>
      </c>
      <c r="AA34" s="11">
        <f>AA$28*'PEV Sales by Manufacturer'!$S33</f>
        <v>318148.11403298756</v>
      </c>
      <c r="AB34" s="11">
        <f>AB$28*'PEV Sales by Manufacturer'!$S33</f>
        <v>327823.71421233396</v>
      </c>
      <c r="AC34" s="11">
        <f>AC$28*'PEV Sales by Manufacturer'!$S33</f>
        <v>337366.05019958818</v>
      </c>
      <c r="AD34" s="11">
        <f>AD$28*'PEV Sales by Manufacturer'!$S33</f>
        <v>346644.95696991595</v>
      </c>
      <c r="AE34" s="11">
        <f>AE$28*'PEV Sales by Manufacturer'!$S33</f>
        <v>356270.97047313506</v>
      </c>
      <c r="AF34" s="11">
        <f>AF$28*'PEV Sales by Manufacturer'!$S33</f>
        <v>366278.18154908303</v>
      </c>
      <c r="AG34" s="11"/>
      <c r="AH34" s="11"/>
    </row>
    <row r="35" spans="1:34" x14ac:dyDescent="0.2">
      <c r="A35" t="s">
        <v>69</v>
      </c>
      <c r="B35" s="11">
        <f>'PEV Sales by Manufacturer'!M34</f>
        <v>0</v>
      </c>
      <c r="C35" s="11">
        <f>'PEV Sales by Manufacturer'!N34</f>
        <v>0</v>
      </c>
      <c r="D35" s="11">
        <f>D$28*'PEV Sales by Manufacturer'!$S34</f>
        <v>0</v>
      </c>
      <c r="E35" s="11">
        <f>E$28*'PEV Sales by Manufacturer'!$S34</f>
        <v>0</v>
      </c>
      <c r="F35" s="11">
        <f>F$28*'PEV Sales by Manufacturer'!$S34</f>
        <v>0</v>
      </c>
      <c r="G35" s="11">
        <f>G$28*'PEV Sales by Manufacturer'!$S34</f>
        <v>0</v>
      </c>
      <c r="H35" s="11">
        <f>H$28*'PEV Sales by Manufacturer'!$S34</f>
        <v>0</v>
      </c>
      <c r="I35" s="11">
        <f>I$28*'PEV Sales by Manufacturer'!$S34</f>
        <v>0</v>
      </c>
      <c r="J35" s="11">
        <f>J$28*'PEV Sales by Manufacturer'!$S34</f>
        <v>0</v>
      </c>
      <c r="K35" s="11">
        <f>K$28*'PEV Sales by Manufacturer'!$S34</f>
        <v>0</v>
      </c>
      <c r="L35" s="11">
        <f>L$28*'PEV Sales by Manufacturer'!$S34</f>
        <v>0</v>
      </c>
      <c r="M35" s="11">
        <f>M$28*'PEV Sales by Manufacturer'!$S34</f>
        <v>0</v>
      </c>
      <c r="N35" s="11">
        <f>N$28*'PEV Sales by Manufacturer'!$S34</f>
        <v>0</v>
      </c>
      <c r="O35" s="11">
        <f>O$28*'PEV Sales by Manufacturer'!$S34</f>
        <v>0</v>
      </c>
      <c r="P35" s="11">
        <f>P$28*'PEV Sales by Manufacturer'!$S34</f>
        <v>0</v>
      </c>
      <c r="Q35" s="11">
        <f>Q$28*'PEV Sales by Manufacturer'!$S34</f>
        <v>0</v>
      </c>
      <c r="R35" s="11">
        <f>R$28*'PEV Sales by Manufacturer'!$S34</f>
        <v>0</v>
      </c>
      <c r="S35" s="11">
        <f>S$28*'PEV Sales by Manufacturer'!$S34</f>
        <v>0</v>
      </c>
      <c r="T35" s="11">
        <f>T$28*'PEV Sales by Manufacturer'!$S34</f>
        <v>0</v>
      </c>
      <c r="U35" s="11">
        <f>U$28*'PEV Sales by Manufacturer'!$S34</f>
        <v>0</v>
      </c>
      <c r="V35" s="11">
        <f>V$28*'PEV Sales by Manufacturer'!$S34</f>
        <v>0</v>
      </c>
      <c r="W35" s="11">
        <f>W$28*'PEV Sales by Manufacturer'!$S34</f>
        <v>0</v>
      </c>
      <c r="X35" s="11">
        <f>X$28*'PEV Sales by Manufacturer'!$S34</f>
        <v>0</v>
      </c>
      <c r="Y35" s="11">
        <f>Y$28*'PEV Sales by Manufacturer'!$S34</f>
        <v>0</v>
      </c>
      <c r="Z35" s="11">
        <f>Z$28*'PEV Sales by Manufacturer'!$S34</f>
        <v>0</v>
      </c>
      <c r="AA35" s="11">
        <f>AA$28*'PEV Sales by Manufacturer'!$S34</f>
        <v>0</v>
      </c>
      <c r="AB35" s="11">
        <f>AB$28*'PEV Sales by Manufacturer'!$S34</f>
        <v>0</v>
      </c>
      <c r="AC35" s="11">
        <f>AC$28*'PEV Sales by Manufacturer'!$S34</f>
        <v>0</v>
      </c>
      <c r="AD35" s="11">
        <f>AD$28*'PEV Sales by Manufacturer'!$S34</f>
        <v>0</v>
      </c>
      <c r="AE35" s="11">
        <f>AE$28*'PEV Sales by Manufacturer'!$S34</f>
        <v>0</v>
      </c>
      <c r="AF35" s="11">
        <f>AF$28*'PEV Sales by Manufacturer'!$S34</f>
        <v>0</v>
      </c>
      <c r="AG35" s="11"/>
      <c r="AH35" s="11"/>
    </row>
    <row r="36" spans="1:34" x14ac:dyDescent="0.2">
      <c r="A36" t="s">
        <v>70</v>
      </c>
      <c r="B36" s="11">
        <f>'PEV Sales by Manufacturer'!M35</f>
        <v>3</v>
      </c>
      <c r="C36" s="11">
        <f>'PEV Sales by Manufacturer'!N35</f>
        <v>27221</v>
      </c>
      <c r="D36" s="11">
        <f>D$28*'PEV Sales by Manufacturer'!$S35</f>
        <v>65108.19839545888</v>
      </c>
      <c r="E36" s="11">
        <f>E$28*'PEV Sales by Manufacturer'!$S35</f>
        <v>94833.824736748167</v>
      </c>
      <c r="F36" s="11">
        <f>F$28*'PEV Sales by Manufacturer'!$S35</f>
        <v>130907.81443303457</v>
      </c>
      <c r="G36" s="11">
        <f>G$28*'PEV Sales by Manufacturer'!$S35</f>
        <v>166469.90623490029</v>
      </c>
      <c r="H36" s="11">
        <f>H$28*'PEV Sales by Manufacturer'!$S35</f>
        <v>196312.25003591282</v>
      </c>
      <c r="I36" s="11">
        <f>I$28*'PEV Sales by Manufacturer'!$S35</f>
        <v>227440.85579154023</v>
      </c>
      <c r="J36" s="11">
        <f>J$28*'PEV Sales by Manufacturer'!$S35</f>
        <v>259962.36889645355</v>
      </c>
      <c r="K36" s="11">
        <f>K$28*'PEV Sales by Manufacturer'!$S35</f>
        <v>290387.70752166741</v>
      </c>
      <c r="L36" s="11">
        <f>L$28*'PEV Sales by Manufacturer'!$S35</f>
        <v>323499.32514376007</v>
      </c>
      <c r="M36" s="11">
        <f>M$28*'PEV Sales by Manufacturer'!$S35</f>
        <v>349325.28488658078</v>
      </c>
      <c r="N36" s="11">
        <f>N$28*'PEV Sales by Manufacturer'!$S35</f>
        <v>371571.51421494584</v>
      </c>
      <c r="O36" s="11">
        <f>O$28*'PEV Sales by Manufacturer'!$S35</f>
        <v>392520.22457481403</v>
      </c>
      <c r="P36" s="11">
        <f>P$28*'PEV Sales by Manufacturer'!$S35</f>
        <v>411318.8452832324</v>
      </c>
      <c r="Q36" s="11">
        <f>Q$28*'PEV Sales by Manufacturer'!$S35</f>
        <v>431019.21205103537</v>
      </c>
      <c r="R36" s="11">
        <f>R$28*'PEV Sales by Manufacturer'!$S35</f>
        <v>448344.34888974985</v>
      </c>
      <c r="S36" s="11">
        <f>S$28*'PEV Sales by Manufacturer'!$S35</f>
        <v>466094.88235831849</v>
      </c>
      <c r="T36" s="11">
        <f>T$28*'PEV Sales by Manufacturer'!$S35</f>
        <v>484448.55478119297</v>
      </c>
      <c r="U36" s="11">
        <f>U$28*'PEV Sales by Manufacturer'!$S35</f>
        <v>501292.60239505838</v>
      </c>
      <c r="V36" s="11">
        <f>V$28*'PEV Sales by Manufacturer'!$S35</f>
        <v>518835.7698184335</v>
      </c>
      <c r="W36" s="11">
        <f>W$28*'PEV Sales by Manufacturer'!$S35</f>
        <v>536781.81984389899</v>
      </c>
      <c r="X36" s="11">
        <f>X$28*'PEV Sales by Manufacturer'!$S35</f>
        <v>553784.65060094115</v>
      </c>
      <c r="Y36" s="11">
        <f>Y$28*'PEV Sales by Manufacturer'!$S35</f>
        <v>572178.01880960981</v>
      </c>
      <c r="Z36" s="11">
        <f>Z$28*'PEV Sales by Manufacturer'!$S35</f>
        <v>590707.65613369143</v>
      </c>
      <c r="AA36" s="11">
        <f>AA$28*'PEV Sales by Manufacturer'!$S35</f>
        <v>608210.53529685747</v>
      </c>
      <c r="AB36" s="11">
        <f>AB$28*'PEV Sales by Manufacturer'!$S35</f>
        <v>626707.58652812301</v>
      </c>
      <c r="AC36" s="11">
        <f>AC$28*'PEV Sales by Manufacturer'!$S35</f>
        <v>644949.8737610078</v>
      </c>
      <c r="AD36" s="11">
        <f>AD$28*'PEV Sales by Manufacturer'!$S35</f>
        <v>662688.55774127971</v>
      </c>
      <c r="AE36" s="11">
        <f>AE$28*'PEV Sales by Manufacturer'!$S35</f>
        <v>681090.81306617102</v>
      </c>
      <c r="AF36" s="11">
        <f>AF$28*'PEV Sales by Manufacturer'!$S35</f>
        <v>700221.81192131387</v>
      </c>
      <c r="AG36" s="11"/>
      <c r="AH36" s="11"/>
    </row>
    <row r="37" spans="1:34" x14ac:dyDescent="0.2">
      <c r="A37" t="s">
        <v>71</v>
      </c>
      <c r="B37" s="11">
        <f>'PEV Sales by Manufacturer'!M36</f>
        <v>2640</v>
      </c>
      <c r="C37" s="11">
        <f>'PEV Sales by Manufacturer'!N36</f>
        <v>3485</v>
      </c>
      <c r="D37" s="11">
        <f>D$28*'PEV Sales by Manufacturer'!$S36</f>
        <v>8335.5523826521512</v>
      </c>
      <c r="E37" s="11">
        <f>E$28*'PEV Sales by Manufacturer'!$S36</f>
        <v>12141.210066036052</v>
      </c>
      <c r="F37" s="11">
        <f>F$28*'PEV Sales by Manufacturer'!$S36</f>
        <v>16759.624308406212</v>
      </c>
      <c r="G37" s="11">
        <f>G$28*'PEV Sales by Manufacturer'!$S36</f>
        <v>21312.502230947706</v>
      </c>
      <c r="H37" s="11">
        <f>H$28*'PEV Sales by Manufacturer'!$S36</f>
        <v>25133.10280207032</v>
      </c>
      <c r="I37" s="11">
        <f>I$28*'PEV Sales by Manufacturer'!$S36</f>
        <v>29118.378547206852</v>
      </c>
      <c r="J37" s="11">
        <f>J$28*'PEV Sales by Manufacturer'!$S36</f>
        <v>33281.98286632161</v>
      </c>
      <c r="K37" s="11">
        <f>K$28*'PEV Sales by Manufacturer'!$S36</f>
        <v>37177.222023915761</v>
      </c>
      <c r="L37" s="11">
        <f>L$28*'PEV Sales by Manufacturer'!$S36</f>
        <v>41416.375156166338</v>
      </c>
      <c r="M37" s="11">
        <f>M$28*'PEV Sales by Manufacturer'!$S36</f>
        <v>44722.773514188826</v>
      </c>
      <c r="N37" s="11">
        <f>N$28*'PEV Sales by Manufacturer'!$S36</f>
        <v>47570.872746742818</v>
      </c>
      <c r="O37" s="11">
        <f>O$28*'PEV Sales by Manufacturer'!$S36</f>
        <v>50252.855613064428</v>
      </c>
      <c r="P37" s="11">
        <f>P$28*'PEV Sales by Manufacturer'!$S36</f>
        <v>52659.57076566125</v>
      </c>
      <c r="Q37" s="11">
        <f>Q$28*'PEV Sales by Manufacturer'!$S36</f>
        <v>55181.733000178472</v>
      </c>
      <c r="R37" s="11">
        <f>R$28*'PEV Sales by Manufacturer'!$S36</f>
        <v>57399.803676601819</v>
      </c>
      <c r="S37" s="11">
        <f>S$28*'PEV Sales by Manufacturer'!$S36</f>
        <v>59672.336248438332</v>
      </c>
      <c r="T37" s="11">
        <f>T$28*'PEV Sales by Manufacturer'!$S36</f>
        <v>62022.086382295194</v>
      </c>
      <c r="U37" s="11">
        <f>U$28*'PEV Sales by Manufacturer'!$S36</f>
        <v>64178.565054435123</v>
      </c>
      <c r="V37" s="11">
        <f>V$28*'PEV Sales by Manufacturer'!$S36</f>
        <v>66424.549348563261</v>
      </c>
      <c r="W37" s="11">
        <f>W$28*'PEV Sales by Manufacturer'!$S36</f>
        <v>68722.113153667669</v>
      </c>
      <c r="X37" s="11">
        <f>X$28*'PEV Sales by Manufacturer'!$S36</f>
        <v>70898.920221310007</v>
      </c>
      <c r="Y37" s="11">
        <f>Y$28*'PEV Sales by Manufacturer'!$S36</f>
        <v>73253.752454042478</v>
      </c>
      <c r="Z37" s="11">
        <f>Z$28*'PEV Sales by Manufacturer'!$S36</f>
        <v>75626.030697840441</v>
      </c>
      <c r="AA37" s="11">
        <f>AA$28*'PEV Sales by Manufacturer'!$S36</f>
        <v>77866.857040870964</v>
      </c>
      <c r="AB37" s="11">
        <f>AB$28*'PEV Sales by Manufacturer'!$S36</f>
        <v>80234.963412457611</v>
      </c>
      <c r="AC37" s="11">
        <f>AC$28*'PEV Sales by Manufacturer'!$S36</f>
        <v>82570.453328573974</v>
      </c>
      <c r="AD37" s="11">
        <f>AD$28*'PEV Sales by Manufacturer'!$S36</f>
        <v>84841.468855970015</v>
      </c>
      <c r="AE37" s="11">
        <f>AE$28*'PEV Sales by Manufacturer'!$S36</f>
        <v>87197.438872032842</v>
      </c>
      <c r="AF37" s="11">
        <f>AF$28*'PEV Sales by Manufacturer'!$S36</f>
        <v>89646.707121185071</v>
      </c>
      <c r="AG37" s="11"/>
      <c r="AH37" s="11"/>
    </row>
    <row r="38" spans="1:34" x14ac:dyDescent="0.2">
      <c r="A38" t="s">
        <v>72</v>
      </c>
      <c r="B38" s="11">
        <f>'PEV Sales by Manufacturer'!M37</f>
        <v>70</v>
      </c>
      <c r="C38" s="11">
        <f>'PEV Sales by Manufacturer'!N37</f>
        <v>0</v>
      </c>
      <c r="D38" s="11">
        <f>D$28*'PEV Sales by Manufacturer'!$S37</f>
        <v>0</v>
      </c>
      <c r="E38" s="11">
        <f>E$28*'PEV Sales by Manufacturer'!$S37</f>
        <v>0</v>
      </c>
      <c r="F38" s="11">
        <f>F$28*'PEV Sales by Manufacturer'!$S37</f>
        <v>0</v>
      </c>
      <c r="G38" s="11">
        <f>G$28*'PEV Sales by Manufacturer'!$S37</f>
        <v>0</v>
      </c>
      <c r="H38" s="11">
        <f>H$28*'PEV Sales by Manufacturer'!$S37</f>
        <v>0</v>
      </c>
      <c r="I38" s="11">
        <f>I$28*'PEV Sales by Manufacturer'!$S37</f>
        <v>0</v>
      </c>
      <c r="J38" s="11">
        <f>J$28*'PEV Sales by Manufacturer'!$S37</f>
        <v>0</v>
      </c>
      <c r="K38" s="11">
        <f>K$28*'PEV Sales by Manufacturer'!$S37</f>
        <v>0</v>
      </c>
      <c r="L38" s="11">
        <f>L$28*'PEV Sales by Manufacturer'!$S37</f>
        <v>0</v>
      </c>
      <c r="M38" s="11">
        <f>M$28*'PEV Sales by Manufacturer'!$S37</f>
        <v>0</v>
      </c>
      <c r="N38" s="11">
        <f>N$28*'PEV Sales by Manufacturer'!$S37</f>
        <v>0</v>
      </c>
      <c r="O38" s="11">
        <f>O$28*'PEV Sales by Manufacturer'!$S37</f>
        <v>0</v>
      </c>
      <c r="P38" s="11">
        <f>P$28*'PEV Sales by Manufacturer'!$S37</f>
        <v>0</v>
      </c>
      <c r="Q38" s="11">
        <f>Q$28*'PEV Sales by Manufacturer'!$S37</f>
        <v>0</v>
      </c>
      <c r="R38" s="11">
        <f>R$28*'PEV Sales by Manufacturer'!$S37</f>
        <v>0</v>
      </c>
      <c r="S38" s="11">
        <f>S$28*'PEV Sales by Manufacturer'!$S37</f>
        <v>0</v>
      </c>
      <c r="T38" s="11">
        <f>T$28*'PEV Sales by Manufacturer'!$S37</f>
        <v>0</v>
      </c>
      <c r="U38" s="11">
        <f>U$28*'PEV Sales by Manufacturer'!$S37</f>
        <v>0</v>
      </c>
      <c r="V38" s="11">
        <f>V$28*'PEV Sales by Manufacturer'!$S37</f>
        <v>0</v>
      </c>
      <c r="W38" s="11">
        <f>W$28*'PEV Sales by Manufacturer'!$S37</f>
        <v>0</v>
      </c>
      <c r="X38" s="11">
        <f>X$28*'PEV Sales by Manufacturer'!$S37</f>
        <v>0</v>
      </c>
      <c r="Y38" s="11">
        <f>Y$28*'PEV Sales by Manufacturer'!$S37</f>
        <v>0</v>
      </c>
      <c r="Z38" s="11">
        <f>Z$28*'PEV Sales by Manufacturer'!$S37</f>
        <v>0</v>
      </c>
      <c r="AA38" s="11">
        <f>AA$28*'PEV Sales by Manufacturer'!$S37</f>
        <v>0</v>
      </c>
      <c r="AB38" s="11">
        <f>AB$28*'PEV Sales by Manufacturer'!$S37</f>
        <v>0</v>
      </c>
      <c r="AC38" s="11">
        <f>AC$28*'PEV Sales by Manufacturer'!$S37</f>
        <v>0</v>
      </c>
      <c r="AD38" s="11">
        <f>AD$28*'PEV Sales by Manufacturer'!$S37</f>
        <v>0</v>
      </c>
      <c r="AE38" s="11">
        <f>AE$28*'PEV Sales by Manufacturer'!$S37</f>
        <v>0</v>
      </c>
      <c r="AF38" s="11">
        <f>AF$28*'PEV Sales by Manufacturer'!$S37</f>
        <v>0</v>
      </c>
      <c r="AG38" s="11"/>
      <c r="AH38" s="11"/>
    </row>
    <row r="39" spans="1:34" x14ac:dyDescent="0.2">
      <c r="A39" t="s">
        <v>73</v>
      </c>
      <c r="B39" s="11">
        <f>'PEV Sales by Manufacturer'!M38</f>
        <v>45</v>
      </c>
      <c r="C39" s="11">
        <f>'PEV Sales by Manufacturer'!N38</f>
        <v>1</v>
      </c>
      <c r="D39" s="11">
        <f>D$28*'PEV Sales by Manufacturer'!$S38</f>
        <v>2.3918371255816786</v>
      </c>
      <c r="E39" s="11">
        <f>E$28*'PEV Sales by Manufacturer'!$S38</f>
        <v>3.4838479386043191</v>
      </c>
      <c r="F39" s="11">
        <f>F$28*'PEV Sales by Manufacturer'!$S38</f>
        <v>4.8090744070032168</v>
      </c>
      <c r="G39" s="11">
        <f>G$28*'PEV Sales by Manufacturer'!$S38</f>
        <v>6.1154956186363574</v>
      </c>
      <c r="H39" s="11">
        <f>H$28*'PEV Sales by Manufacturer'!$S38</f>
        <v>7.2117942043243382</v>
      </c>
      <c r="I39" s="11">
        <f>I$28*'PEV Sales by Manufacturer'!$S38</f>
        <v>8.3553453507049795</v>
      </c>
      <c r="J39" s="11">
        <f>J$28*'PEV Sales by Manufacturer'!$S38</f>
        <v>9.5500668196044796</v>
      </c>
      <c r="K39" s="11">
        <f>K$28*'PEV Sales by Manufacturer'!$S38</f>
        <v>10.667782503275683</v>
      </c>
      <c r="L39" s="11">
        <f>L$28*'PEV Sales by Manufacturer'!$S38</f>
        <v>11.884182254280153</v>
      </c>
      <c r="M39" s="11">
        <f>M$28*'PEV Sales by Manufacturer'!$S38</f>
        <v>12.83293357652477</v>
      </c>
      <c r="N39" s="11">
        <f>N$28*'PEV Sales by Manufacturer'!$S38</f>
        <v>13.650178693469961</v>
      </c>
      <c r="O39" s="11">
        <f>O$28*'PEV Sales by Manufacturer'!$S38</f>
        <v>14.419757708196393</v>
      </c>
      <c r="P39" s="11">
        <f>P$28*'PEV Sales by Manufacturer'!$S38</f>
        <v>15.110350291437948</v>
      </c>
      <c r="Q39" s="11">
        <f>Q$28*'PEV Sales by Manufacturer'!$S38</f>
        <v>15.834069727454368</v>
      </c>
      <c r="R39" s="11">
        <f>R$28*'PEV Sales by Manufacturer'!$S38</f>
        <v>16.470531901463936</v>
      </c>
      <c r="S39" s="11">
        <f>S$28*'PEV Sales by Manufacturer'!$S38</f>
        <v>17.122621592091345</v>
      </c>
      <c r="T39" s="11">
        <f>T$28*'PEV Sales by Manufacturer'!$S38</f>
        <v>17.796868402380259</v>
      </c>
      <c r="U39" s="11">
        <f>U$28*'PEV Sales by Manufacturer'!$S38</f>
        <v>18.415657117484969</v>
      </c>
      <c r="V39" s="11">
        <f>V$28*'PEV Sales by Manufacturer'!$S38</f>
        <v>19.060128937894767</v>
      </c>
      <c r="W39" s="11">
        <f>W$28*'PEV Sales by Manufacturer'!$S38</f>
        <v>19.719401191870208</v>
      </c>
      <c r="X39" s="11">
        <f>X$28*'PEV Sales by Manufacturer'!$S38</f>
        <v>20.344023019027262</v>
      </c>
      <c r="Y39" s="11">
        <f>Y$28*'PEV Sales by Manufacturer'!$S38</f>
        <v>21.019728107329261</v>
      </c>
      <c r="Z39" s="11">
        <f>Z$28*'PEV Sales by Manufacturer'!$S38</f>
        <v>21.700439224631403</v>
      </c>
      <c r="AA39" s="11">
        <f>AA$28*'PEV Sales by Manufacturer'!$S38</f>
        <v>22.343431001684635</v>
      </c>
      <c r="AB39" s="11">
        <f>AB$28*'PEV Sales by Manufacturer'!$S38</f>
        <v>23.022945025095439</v>
      </c>
      <c r="AC39" s="11">
        <f>AC$28*'PEV Sales by Manufacturer'!$S38</f>
        <v>23.693099950810321</v>
      </c>
      <c r="AD39" s="11">
        <f>AD$28*'PEV Sales by Manufacturer'!$S38</f>
        <v>24.344754334568151</v>
      </c>
      <c r="AE39" s="11">
        <f>AE$28*'PEV Sales by Manufacturer'!$S38</f>
        <v>25.020785903022336</v>
      </c>
      <c r="AF39" s="11">
        <f>AF$28*'PEV Sales by Manufacturer'!$S38</f>
        <v>25.723588843955547</v>
      </c>
      <c r="AG39" s="11"/>
      <c r="AH39" s="11"/>
    </row>
    <row r="40" spans="1:34" x14ac:dyDescent="0.2">
      <c r="A40" t="s">
        <v>74</v>
      </c>
      <c r="B40" s="11">
        <f>'PEV Sales by Manufacturer'!M39</f>
        <v>7202</v>
      </c>
      <c r="C40" s="11">
        <f>'PEV Sales by Manufacturer'!N39</f>
        <v>11076</v>
      </c>
      <c r="D40" s="11">
        <f>D$28*'PEV Sales by Manufacturer'!$S39</f>
        <v>26491.988002942675</v>
      </c>
      <c r="E40" s="11">
        <f>E$28*'PEV Sales by Manufacturer'!$S39</f>
        <v>38587.099767981439</v>
      </c>
      <c r="F40" s="11">
        <f>F$28*'PEV Sales by Manufacturer'!$S39</f>
        <v>53265.308131967628</v>
      </c>
      <c r="G40" s="11">
        <f>G$28*'PEV Sales by Manufacturer'!$S39</f>
        <v>67735.22947201629</v>
      </c>
      <c r="H40" s="11">
        <f>H$28*'PEV Sales by Manufacturer'!$S39</f>
        <v>79877.832607096367</v>
      </c>
      <c r="I40" s="11">
        <f>I$28*'PEV Sales by Manufacturer'!$S39</f>
        <v>92543.805104408355</v>
      </c>
      <c r="J40" s="11">
        <f>J$28*'PEV Sales by Manufacturer'!$S39</f>
        <v>105776.54009393923</v>
      </c>
      <c r="K40" s="11">
        <f>K$28*'PEV Sales by Manufacturer'!$S39</f>
        <v>118156.35900628148</v>
      </c>
      <c r="L40" s="11">
        <f>L$28*'PEV Sales by Manufacturer'!$S39</f>
        <v>131629.20264840699</v>
      </c>
      <c r="M40" s="11">
        <f>M$28*'PEV Sales by Manufacturer'!$S39</f>
        <v>142137.57229358837</v>
      </c>
      <c r="N40" s="11">
        <f>N$28*'PEV Sales by Manufacturer'!$S39</f>
        <v>151189.37920887329</v>
      </c>
      <c r="O40" s="11">
        <f>O$28*'PEV Sales by Manufacturer'!$S39</f>
        <v>159713.23637598325</v>
      </c>
      <c r="P40" s="11">
        <f>P$28*'PEV Sales by Manufacturer'!$S39</f>
        <v>167362.23982796672</v>
      </c>
      <c r="Q40" s="11">
        <f>Q$28*'PEV Sales by Manufacturer'!$S39</f>
        <v>175378.15630128459</v>
      </c>
      <c r="R40" s="11">
        <f>R$28*'PEV Sales by Manufacturer'!$S39</f>
        <v>182427.61134061456</v>
      </c>
      <c r="S40" s="11">
        <f>S$28*'PEV Sales by Manufacturer'!$S39</f>
        <v>189650.15675400372</v>
      </c>
      <c r="T40" s="11">
        <f>T$28*'PEV Sales by Manufacturer'!$S39</f>
        <v>197118.11442476374</v>
      </c>
      <c r="U40" s="11">
        <f>U$28*'PEV Sales by Manufacturer'!$S39</f>
        <v>203971.81823326353</v>
      </c>
      <c r="V40" s="11">
        <f>V$28*'PEV Sales by Manufacturer'!$S39</f>
        <v>211109.98811612246</v>
      </c>
      <c r="W40" s="11">
        <f>W$28*'PEV Sales by Manufacturer'!$S39</f>
        <v>218412.08760115443</v>
      </c>
      <c r="X40" s="11">
        <f>X$28*'PEV Sales by Manufacturer'!$S39</f>
        <v>225330.39895874597</v>
      </c>
      <c r="Y40" s="11">
        <f>Y$28*'PEV Sales by Manufacturer'!$S39</f>
        <v>232814.50851677891</v>
      </c>
      <c r="Z40" s="11">
        <f>Z$28*'PEV Sales by Manufacturer'!$S39</f>
        <v>240354.06485201741</v>
      </c>
      <c r="AA40" s="11">
        <f>AA$28*'PEV Sales by Manufacturer'!$S39</f>
        <v>247475.84177465903</v>
      </c>
      <c r="AB40" s="11">
        <f>AB$28*'PEV Sales by Manufacturer'!$S39</f>
        <v>255002.13909795709</v>
      </c>
      <c r="AC40" s="11">
        <f>AC$28*'PEV Sales by Manufacturer'!$S39</f>
        <v>262424.77505517512</v>
      </c>
      <c r="AD40" s="11">
        <f>AD$28*'PEV Sales by Manufacturer'!$S39</f>
        <v>269642.49900967686</v>
      </c>
      <c r="AE40" s="11">
        <f>AE$28*'PEV Sales by Manufacturer'!$S39</f>
        <v>277130.2246618754</v>
      </c>
      <c r="AF40" s="11">
        <f>AF$28*'PEV Sales by Manufacturer'!$S39</f>
        <v>284914.47003565164</v>
      </c>
      <c r="AG40" s="11"/>
      <c r="AH40" s="11"/>
    </row>
    <row r="41" spans="1:34" x14ac:dyDescent="0.2">
      <c r="A41" t="s">
        <v>75</v>
      </c>
      <c r="B41" s="11">
        <f>'PEV Sales by Manufacturer'!M40</f>
        <v>4556</v>
      </c>
      <c r="C41" s="11">
        <f>'PEV Sales by Manufacturer'!N40</f>
        <v>10855</v>
      </c>
      <c r="D41" s="11">
        <f>D$28*'PEV Sales by Manufacturer'!$S40</f>
        <v>25963.391998189123</v>
      </c>
      <c r="E41" s="11">
        <f>E$28*'PEV Sales by Manufacturer'!$S40</f>
        <v>37817.169373549885</v>
      </c>
      <c r="F41" s="11">
        <f>F$28*'PEV Sales by Manufacturer'!$S40</f>
        <v>52202.502688019915</v>
      </c>
      <c r="G41" s="11">
        <f>G$28*'PEV Sales by Manufacturer'!$S40</f>
        <v>66383.704940297655</v>
      </c>
      <c r="H41" s="11">
        <f>H$28*'PEV Sales by Manufacturer'!$S40</f>
        <v>78284.026087940685</v>
      </c>
      <c r="I41" s="11">
        <f>I$28*'PEV Sales by Manufacturer'!$S40</f>
        <v>90697.27378190255</v>
      </c>
      <c r="J41" s="11">
        <f>J$28*'PEV Sales by Manufacturer'!$S40</f>
        <v>103665.97532680663</v>
      </c>
      <c r="K41" s="11">
        <f>K$28*'PEV Sales by Manufacturer'!$S40</f>
        <v>115798.77907305755</v>
      </c>
      <c r="L41" s="11">
        <f>L$28*'PEV Sales by Manufacturer'!$S40</f>
        <v>129002.79837021108</v>
      </c>
      <c r="M41" s="11">
        <f>M$28*'PEV Sales by Manufacturer'!$S40</f>
        <v>139301.49397317637</v>
      </c>
      <c r="N41" s="11">
        <f>N$28*'PEV Sales by Manufacturer'!$S40</f>
        <v>148172.68971761642</v>
      </c>
      <c r="O41" s="11">
        <f>O$28*'PEV Sales by Manufacturer'!$S40</f>
        <v>156526.46992247185</v>
      </c>
      <c r="P41" s="11">
        <f>P$28*'PEV Sales by Manufacturer'!$S40</f>
        <v>164022.85241355893</v>
      </c>
      <c r="Q41" s="11">
        <f>Q$28*'PEV Sales by Manufacturer'!$S40</f>
        <v>171878.82689151718</v>
      </c>
      <c r="R41" s="11">
        <f>R$28*'PEV Sales by Manufacturer'!$S40</f>
        <v>178787.62379039102</v>
      </c>
      <c r="S41" s="11">
        <f>S$28*'PEV Sales by Manufacturer'!$S40</f>
        <v>185866.05738215154</v>
      </c>
      <c r="T41" s="11">
        <f>T$28*'PEV Sales by Manufacturer'!$S40</f>
        <v>193185.00650783768</v>
      </c>
      <c r="U41" s="11">
        <f>U$28*'PEV Sales by Manufacturer'!$S40</f>
        <v>199901.95801029936</v>
      </c>
      <c r="V41" s="11">
        <f>V$28*'PEV Sales by Manufacturer'!$S40</f>
        <v>206897.69962084771</v>
      </c>
      <c r="W41" s="11">
        <f>W$28*'PEV Sales by Manufacturer'!$S40</f>
        <v>214054.0999377511</v>
      </c>
      <c r="X41" s="11">
        <f>X$28*'PEV Sales by Manufacturer'!$S40</f>
        <v>220834.36987154093</v>
      </c>
      <c r="Y41" s="11">
        <f>Y$28*'PEV Sales by Manufacturer'!$S40</f>
        <v>228169.14860505913</v>
      </c>
      <c r="Z41" s="11">
        <f>Z$28*'PEV Sales by Manufacturer'!$S40</f>
        <v>235558.26778337389</v>
      </c>
      <c r="AA41" s="11">
        <f>AA$28*'PEV Sales by Manufacturer'!$S40</f>
        <v>242537.94352328673</v>
      </c>
      <c r="AB41" s="11">
        <f>AB$28*'PEV Sales by Manufacturer'!$S40</f>
        <v>249914.06824741099</v>
      </c>
      <c r="AC41" s="11">
        <f>AC$28*'PEV Sales by Manufacturer'!$S40</f>
        <v>257188.59996604605</v>
      </c>
      <c r="AD41" s="11">
        <f>AD$28*'PEV Sales by Manufacturer'!$S40</f>
        <v>264262.3083017373</v>
      </c>
      <c r="AE41" s="11">
        <f>AE$28*'PEV Sales by Manufacturer'!$S40</f>
        <v>271600.63097730745</v>
      </c>
      <c r="AF41" s="11">
        <f>AF$28*'PEV Sales by Manufacturer'!$S40</f>
        <v>279229.55690113746</v>
      </c>
      <c r="AG41" s="11"/>
      <c r="AH41" s="11"/>
    </row>
    <row r="42" spans="1:34" x14ac:dyDescent="0.2">
      <c r="A42" t="s">
        <v>76</v>
      </c>
      <c r="B42" s="11">
        <f>'PEV Sales by Manufacturer'!M41</f>
        <v>2848</v>
      </c>
      <c r="C42" s="11">
        <f>'PEV Sales by Manufacturer'!N41</f>
        <v>8717</v>
      </c>
      <c r="D42" s="11">
        <f>D$28*'PEV Sales by Manufacturer'!$S41</f>
        <v>20849.644223695494</v>
      </c>
      <c r="E42" s="11">
        <f>E$28*'PEV Sales by Manufacturer'!$S41</f>
        <v>30368.702480813849</v>
      </c>
      <c r="F42" s="11">
        <f>F$28*'PEV Sales by Manufacturer'!$S41</f>
        <v>41920.70160584704</v>
      </c>
      <c r="G42" s="11">
        <f>G$28*'PEV Sales by Manufacturer'!$S41</f>
        <v>53308.77530765313</v>
      </c>
      <c r="H42" s="11">
        <f>H$28*'PEV Sales by Manufacturer'!$S41</f>
        <v>62865.210079095261</v>
      </c>
      <c r="I42" s="11">
        <f>I$28*'PEV Sales by Manufacturer'!$S41</f>
        <v>72833.545422095311</v>
      </c>
      <c r="J42" s="11">
        <f>J$28*'PEV Sales by Manufacturer'!$S41</f>
        <v>83247.932466492261</v>
      </c>
      <c r="K42" s="11">
        <f>K$28*'PEV Sales by Manufacturer'!$S41</f>
        <v>92991.060081054136</v>
      </c>
      <c r="L42" s="11">
        <f>L$28*'PEV Sales by Manufacturer'!$S41</f>
        <v>103594.41671056011</v>
      </c>
      <c r="M42" s="11">
        <f>M$28*'PEV Sales by Manufacturer'!$S41</f>
        <v>111864.68198656643</v>
      </c>
      <c r="N42" s="11">
        <f>N$28*'PEV Sales by Manufacturer'!$S41</f>
        <v>118988.60767097765</v>
      </c>
      <c r="O42" s="11">
        <f>O$28*'PEV Sales by Manufacturer'!$S41</f>
        <v>125697.02794234797</v>
      </c>
      <c r="P42" s="11">
        <f>P$28*'PEV Sales by Manufacturer'!$S41</f>
        <v>131716.9234904646</v>
      </c>
      <c r="Q42" s="11">
        <f>Q$28*'PEV Sales by Manufacturer'!$S41</f>
        <v>138025.58581421972</v>
      </c>
      <c r="R42" s="11">
        <f>R$28*'PEV Sales by Manufacturer'!$S41</f>
        <v>143573.62658506114</v>
      </c>
      <c r="S42" s="11">
        <f>S$28*'PEV Sales by Manufacturer'!$S41</f>
        <v>149257.89241826025</v>
      </c>
      <c r="T42" s="11">
        <f>T$28*'PEV Sales by Manufacturer'!$S41</f>
        <v>155135.3018635487</v>
      </c>
      <c r="U42" s="11">
        <f>U$28*'PEV Sales by Manufacturer'!$S41</f>
        <v>160529.28309311648</v>
      </c>
      <c r="V42" s="11">
        <f>V$28*'PEV Sales by Manufacturer'!$S41</f>
        <v>166147.14395162871</v>
      </c>
      <c r="W42" s="11">
        <f>W$28*'PEV Sales by Manufacturer'!$S41</f>
        <v>171894.0201895326</v>
      </c>
      <c r="X42" s="11">
        <f>X$28*'PEV Sales by Manufacturer'!$S41</f>
        <v>177338.84865686065</v>
      </c>
      <c r="Y42" s="11">
        <f>Y$28*'PEV Sales by Manufacturer'!$S41</f>
        <v>183228.96991158917</v>
      </c>
      <c r="Z42" s="11">
        <f>Z$28*'PEV Sales by Manufacturer'!$S41</f>
        <v>189162.72872111195</v>
      </c>
      <c r="AA42" s="11">
        <f>AA$28*'PEV Sales by Manufacturer'!$S41</f>
        <v>194767.68804168497</v>
      </c>
      <c r="AB42" s="11">
        <f>AB$28*'PEV Sales by Manufacturer'!$S41</f>
        <v>200691.01178375696</v>
      </c>
      <c r="AC42" s="11">
        <f>AC$28*'PEV Sales by Manufacturer'!$S41</f>
        <v>206532.7522712136</v>
      </c>
      <c r="AD42" s="11">
        <f>AD$28*'PEV Sales by Manufacturer'!$S41</f>
        <v>212213.22353443061</v>
      </c>
      <c r="AE42" s="11">
        <f>AE$28*'PEV Sales by Manufacturer'!$S41</f>
        <v>218106.19071664571</v>
      </c>
      <c r="AF42" s="11">
        <f>AF$28*'PEV Sales by Manufacturer'!$S41</f>
        <v>224232.5239527605</v>
      </c>
      <c r="AG42" s="11"/>
      <c r="AH42" s="11"/>
    </row>
    <row r="43" spans="1:34" x14ac:dyDescent="0.2">
      <c r="A43" t="s">
        <v>77</v>
      </c>
      <c r="B43" s="11">
        <f>'PEV Sales by Manufacturer'!M42</f>
        <v>135</v>
      </c>
      <c r="C43" s="11">
        <f>'PEV Sales by Manufacturer'!N42</f>
        <v>9863</v>
      </c>
      <c r="D43" s="11">
        <f>D$28*'PEV Sales by Manufacturer'!$S42</f>
        <v>23590.689569612099</v>
      </c>
      <c r="E43" s="11">
        <f>E$28*'PEV Sales by Manufacturer'!$S42</f>
        <v>34361.192218454402</v>
      </c>
      <c r="F43" s="11">
        <f>F$28*'PEV Sales by Manufacturer'!$S42</f>
        <v>47431.900876272732</v>
      </c>
      <c r="G43" s="11">
        <f>G$28*'PEV Sales by Manufacturer'!$S42</f>
        <v>60317.133286610398</v>
      </c>
      <c r="H43" s="11">
        <f>H$28*'PEV Sales by Manufacturer'!$S42</f>
        <v>71129.926237250955</v>
      </c>
      <c r="I43" s="11">
        <f>I$28*'PEV Sales by Manufacturer'!$S42</f>
        <v>82408.771194003217</v>
      </c>
      <c r="J43" s="11">
        <f>J$28*'PEV Sales by Manufacturer'!$S42</f>
        <v>94192.309041758985</v>
      </c>
      <c r="K43" s="11">
        <f>K$28*'PEV Sales by Manufacturer'!$S42</f>
        <v>105216.33882980808</v>
      </c>
      <c r="L43" s="11">
        <f>L$28*'PEV Sales by Manufacturer'!$S42</f>
        <v>117213.68957396517</v>
      </c>
      <c r="M43" s="11">
        <f>M$28*'PEV Sales by Manufacturer'!$S42</f>
        <v>126571.22386526382</v>
      </c>
      <c r="N43" s="11">
        <f>N$28*'PEV Sales by Manufacturer'!$S42</f>
        <v>134631.71245369423</v>
      </c>
      <c r="O43" s="11">
        <f>O$28*'PEV Sales by Manufacturer'!$S42</f>
        <v>142222.07027594102</v>
      </c>
      <c r="P43" s="11">
        <f>P$28*'PEV Sales by Manufacturer'!$S42</f>
        <v>149033.38492445249</v>
      </c>
      <c r="Q43" s="11">
        <f>Q$28*'PEV Sales by Manufacturer'!$S42</f>
        <v>156171.42972188245</v>
      </c>
      <c r="R43" s="11">
        <f>R$28*'PEV Sales by Manufacturer'!$S42</f>
        <v>162448.85614413882</v>
      </c>
      <c r="S43" s="11">
        <f>S$28*'PEV Sales by Manufacturer'!$S42</f>
        <v>168880.41676279693</v>
      </c>
      <c r="T43" s="11">
        <f>T$28*'PEV Sales by Manufacturer'!$S42</f>
        <v>175530.51305267648</v>
      </c>
      <c r="U43" s="11">
        <f>U$28*'PEV Sales by Manufacturer'!$S42</f>
        <v>181633.62614975427</v>
      </c>
      <c r="V43" s="11">
        <f>V$28*'PEV Sales by Manufacturer'!$S42</f>
        <v>187990.05171445612</v>
      </c>
      <c r="W43" s="11">
        <f>W$28*'PEV Sales by Manufacturer'!$S42</f>
        <v>194492.45395541587</v>
      </c>
      <c r="X43" s="11">
        <f>X$28*'PEV Sales by Manufacturer'!$S42</f>
        <v>200653.0990366659</v>
      </c>
      <c r="Y43" s="11">
        <f>Y$28*'PEV Sales by Manufacturer'!$S42</f>
        <v>207317.57832258852</v>
      </c>
      <c r="Z43" s="11">
        <f>Z$28*'PEV Sales by Manufacturer'!$S42</f>
        <v>214031.43207253955</v>
      </c>
      <c r="AA43" s="11">
        <f>AA$28*'PEV Sales by Manufacturer'!$S42</f>
        <v>220373.25996961558</v>
      </c>
      <c r="AB43" s="11">
        <f>AB$28*'PEV Sales by Manufacturer'!$S42</f>
        <v>227075.30678251633</v>
      </c>
      <c r="AC43" s="11">
        <f>AC$28*'PEV Sales by Manufacturer'!$S42</f>
        <v>233685.04481484223</v>
      </c>
      <c r="AD43" s="11">
        <f>AD$28*'PEV Sales by Manufacturer'!$S42</f>
        <v>240112.31200184571</v>
      </c>
      <c r="AE43" s="11">
        <f>AE$28*'PEV Sales by Manufacturer'!$S42</f>
        <v>246780.0113615093</v>
      </c>
      <c r="AF43" s="11">
        <f>AF$28*'PEV Sales by Manufacturer'!$S42</f>
        <v>253711.75676793355</v>
      </c>
      <c r="AG43" s="11"/>
      <c r="AH43" s="11"/>
    </row>
    <row r="44" spans="1:34" x14ac:dyDescent="0.2">
      <c r="A44" t="s">
        <v>78</v>
      </c>
      <c r="B44" s="11">
        <f>'PEV Sales by Manufacturer'!M43</f>
        <v>4414</v>
      </c>
      <c r="C44" s="11">
        <f>'PEV Sales by Manufacturer'!N43</f>
        <v>9419</v>
      </c>
      <c r="D44" s="11">
        <f>D$28*'PEV Sales by Manufacturer'!$S43</f>
        <v>22528.713885853831</v>
      </c>
      <c r="E44" s="11">
        <f>E$28*'PEV Sales by Manufacturer'!$S43</f>
        <v>32814.363733714083</v>
      </c>
      <c r="F44" s="11">
        <f>F$28*'PEV Sales by Manufacturer'!$S43</f>
        <v>45296.6718395633</v>
      </c>
      <c r="G44" s="11">
        <f>G$28*'PEV Sales by Manufacturer'!$S43</f>
        <v>57601.853231935856</v>
      </c>
      <c r="H44" s="11">
        <f>H$28*'PEV Sales by Manufacturer'!$S43</f>
        <v>67927.88961053094</v>
      </c>
      <c r="I44" s="11">
        <f>I$28*'PEV Sales by Manufacturer'!$S43</f>
        <v>78698.997858290197</v>
      </c>
      <c r="J44" s="11">
        <f>J$28*'PEV Sales by Manufacturer'!$S43</f>
        <v>89952.079373854605</v>
      </c>
      <c r="K44" s="11">
        <f>K$28*'PEV Sales by Manufacturer'!$S43</f>
        <v>100479.84339835367</v>
      </c>
      <c r="L44" s="11">
        <f>L$28*'PEV Sales by Manufacturer'!$S43</f>
        <v>111937.11265306477</v>
      </c>
      <c r="M44" s="11">
        <f>M$28*'PEV Sales by Manufacturer'!$S43</f>
        <v>120873.40135728681</v>
      </c>
      <c r="N44" s="11">
        <f>N$28*'PEV Sales by Manufacturer'!$S43</f>
        <v>128571.03311379357</v>
      </c>
      <c r="O44" s="11">
        <f>O$28*'PEV Sales by Manufacturer'!$S43</f>
        <v>135819.69785350183</v>
      </c>
      <c r="P44" s="11">
        <f>P$28*'PEV Sales by Manufacturer'!$S43</f>
        <v>142324.38939505405</v>
      </c>
      <c r="Q44" s="11">
        <f>Q$28*'PEV Sales by Manufacturer'!$S43</f>
        <v>149141.1027628927</v>
      </c>
      <c r="R44" s="11">
        <f>R$28*'PEV Sales by Manufacturer'!$S43</f>
        <v>155135.93997988882</v>
      </c>
      <c r="S44" s="11">
        <f>S$28*'PEV Sales by Manufacturer'!$S43</f>
        <v>161277.97277590839</v>
      </c>
      <c r="T44" s="11">
        <f>T$28*'PEV Sales by Manufacturer'!$S43</f>
        <v>167628.70348201966</v>
      </c>
      <c r="U44" s="11">
        <f>U$28*'PEV Sales by Manufacturer'!$S43</f>
        <v>173457.07438959094</v>
      </c>
      <c r="V44" s="11">
        <f>V$28*'PEV Sales by Manufacturer'!$S43</f>
        <v>179527.35446603084</v>
      </c>
      <c r="W44" s="11">
        <f>W$28*'PEV Sales by Manufacturer'!$S43</f>
        <v>185737.03982622549</v>
      </c>
      <c r="X44" s="11">
        <f>X$28*'PEV Sales by Manufacturer'!$S43</f>
        <v>191620.35281621778</v>
      </c>
      <c r="Y44" s="11">
        <f>Y$28*'PEV Sales by Manufacturer'!$S43</f>
        <v>197984.81904293431</v>
      </c>
      <c r="Z44" s="11">
        <f>Z$28*'PEV Sales by Manufacturer'!$S43</f>
        <v>204396.4370568032</v>
      </c>
      <c r="AA44" s="11">
        <f>AA$28*'PEV Sales by Manufacturer'!$S43</f>
        <v>210452.7766048676</v>
      </c>
      <c r="AB44" s="11">
        <f>AB$28*'PEV Sales by Manufacturer'!$S43</f>
        <v>216853.11919137396</v>
      </c>
      <c r="AC44" s="11">
        <f>AC$28*'PEV Sales by Manufacturer'!$S43</f>
        <v>223165.30843668245</v>
      </c>
      <c r="AD44" s="11">
        <f>AD$28*'PEV Sales by Manufacturer'!$S43</f>
        <v>229303.24107729745</v>
      </c>
      <c r="AE44" s="11">
        <f>AE$28*'PEV Sales by Manufacturer'!$S43</f>
        <v>235670.78242056738</v>
      </c>
      <c r="AF44" s="11">
        <f>AF$28*'PEV Sales by Manufacturer'!$S43</f>
        <v>242290.4833212173</v>
      </c>
      <c r="AG44" s="11"/>
      <c r="AH44" s="11"/>
    </row>
    <row r="45" spans="1:34" x14ac:dyDescent="0.2">
      <c r="A45" t="s">
        <v>79</v>
      </c>
      <c r="B45" s="11">
        <f>'PEV Sales by Manufacturer'!M44</f>
        <v>767</v>
      </c>
      <c r="C45" s="11">
        <f>'PEV Sales by Manufacturer'!N44</f>
        <v>16775</v>
      </c>
      <c r="D45" s="11">
        <f>D$28*'PEV Sales by Manufacturer'!$S44</f>
        <v>40123.067781632664</v>
      </c>
      <c r="E45" s="11">
        <f>E$28*'PEV Sales by Manufacturer'!$S44</f>
        <v>58441.549170087455</v>
      </c>
      <c r="F45" s="11">
        <f>F$28*'PEV Sales by Manufacturer'!$S44</f>
        <v>80672.223177478969</v>
      </c>
      <c r="G45" s="11">
        <f>G$28*'PEV Sales by Manufacturer'!$S44</f>
        <v>102587.4390026249</v>
      </c>
      <c r="H45" s="11">
        <f>H$28*'PEV Sales by Manufacturer'!$S44</f>
        <v>120977.84777754078</v>
      </c>
      <c r="I45" s="11">
        <f>I$28*'PEV Sales by Manufacturer'!$S44</f>
        <v>140160.91825807604</v>
      </c>
      <c r="J45" s="11">
        <f>J$28*'PEV Sales by Manufacturer'!$S44</f>
        <v>160202.37089886516</v>
      </c>
      <c r="K45" s="11">
        <f>K$28*'PEV Sales by Manufacturer'!$S44</f>
        <v>178952.05149244962</v>
      </c>
      <c r="L45" s="11">
        <f>L$28*'PEV Sales by Manufacturer'!$S44</f>
        <v>199357.15731554962</v>
      </c>
      <c r="M45" s="11">
        <f>M$28*'PEV Sales by Manufacturer'!$S44</f>
        <v>215272.46074620305</v>
      </c>
      <c r="N45" s="11">
        <f>N$28*'PEV Sales by Manufacturer'!$S44</f>
        <v>228981.74758295863</v>
      </c>
      <c r="O45" s="11">
        <f>O$28*'PEV Sales by Manufacturer'!$S44</f>
        <v>241891.4355549945</v>
      </c>
      <c r="P45" s="11">
        <f>P$28*'PEV Sales by Manufacturer'!$S44</f>
        <v>253476.12613887162</v>
      </c>
      <c r="Q45" s="11">
        <f>Q$28*'PEV Sales by Manufacturer'!$S44</f>
        <v>265616.51967804704</v>
      </c>
      <c r="R45" s="11">
        <f>R$28*'PEV Sales by Manufacturer'!$S44</f>
        <v>276293.17264705757</v>
      </c>
      <c r="S45" s="11">
        <f>S$28*'PEV Sales by Manufacturer'!$S44</f>
        <v>287231.97720733233</v>
      </c>
      <c r="T45" s="11">
        <f>T$28*'PEV Sales by Manufacturer'!$S44</f>
        <v>298542.46744992887</v>
      </c>
      <c r="U45" s="11">
        <f>U$28*'PEV Sales by Manufacturer'!$S44</f>
        <v>308922.64814581041</v>
      </c>
      <c r="V45" s="11">
        <f>V$28*'PEV Sales by Manufacturer'!$S44</f>
        <v>319733.66293318477</v>
      </c>
      <c r="W45" s="11">
        <f>W$28*'PEV Sales by Manufacturer'!$S44</f>
        <v>330792.95499362278</v>
      </c>
      <c r="X45" s="11">
        <f>X$28*'PEV Sales by Manufacturer'!$S44</f>
        <v>341270.98614418239</v>
      </c>
      <c r="Y45" s="11">
        <f>Y$28*'PEV Sales by Manufacturer'!$S44</f>
        <v>352605.93900044839</v>
      </c>
      <c r="Z45" s="11">
        <f>Z$28*'PEV Sales by Manufacturer'!$S44</f>
        <v>364024.86799319182</v>
      </c>
      <c r="AA45" s="11">
        <f>AA$28*'PEV Sales by Manufacturer'!$S44</f>
        <v>374811.05505325983</v>
      </c>
      <c r="AB45" s="11">
        <f>AB$28*'PEV Sales by Manufacturer'!$S44</f>
        <v>386209.90279597603</v>
      </c>
      <c r="AC45" s="11">
        <f>AC$28*'PEV Sales by Manufacturer'!$S44</f>
        <v>397451.7516748432</v>
      </c>
      <c r="AD45" s="11">
        <f>AD$28*'PEV Sales by Manufacturer'!$S44</f>
        <v>408383.25396238081</v>
      </c>
      <c r="AE45" s="11">
        <f>AE$28*'PEV Sales by Manufacturer'!$S44</f>
        <v>419723.6835231997</v>
      </c>
      <c r="AF45" s="11">
        <f>AF$28*'PEV Sales by Manufacturer'!$S44</f>
        <v>431513.20285735431</v>
      </c>
      <c r="AG45" s="11"/>
      <c r="AH45" s="11"/>
    </row>
    <row r="46" spans="1:34" x14ac:dyDescent="0.2">
      <c r="A46" t="s">
        <v>80</v>
      </c>
      <c r="B46" s="11">
        <f>'PEV Sales by Manufacturer'!M45</f>
        <v>0</v>
      </c>
      <c r="C46" s="11">
        <f>'PEV Sales by Manufacturer'!N45</f>
        <v>429</v>
      </c>
      <c r="D46" s="11">
        <f>D$28*'PEV Sales by Manufacturer'!$S45</f>
        <v>1026.0981268745402</v>
      </c>
      <c r="E46" s="11">
        <f>E$28*'PEV Sales by Manufacturer'!$S45</f>
        <v>1494.5707656612528</v>
      </c>
      <c r="F46" s="11">
        <f>F$28*'PEV Sales by Manufacturer'!$S45</f>
        <v>2063.0929206043802</v>
      </c>
      <c r="G46" s="11">
        <f>G$28*'PEV Sales by Manufacturer'!$S45</f>
        <v>2623.5476203949975</v>
      </c>
      <c r="H46" s="11">
        <f>H$28*'PEV Sales by Manufacturer'!$S45</f>
        <v>3093.8597136551411</v>
      </c>
      <c r="I46" s="11">
        <f>I$28*'PEV Sales by Manufacturer'!$S45</f>
        <v>3584.4431554524363</v>
      </c>
      <c r="J46" s="11">
        <f>J$28*'PEV Sales by Manufacturer'!$S45</f>
        <v>4096.9786656103224</v>
      </c>
      <c r="K46" s="11">
        <f>K$28*'PEV Sales by Manufacturer'!$S45</f>
        <v>4576.4786939052683</v>
      </c>
      <c r="L46" s="11">
        <f>L$28*'PEV Sales by Manufacturer'!$S45</f>
        <v>5098.3141870861864</v>
      </c>
      <c r="M46" s="11">
        <f>M$28*'PEV Sales by Manufacturer'!$S45</f>
        <v>5505.3285043291271</v>
      </c>
      <c r="N46" s="11">
        <f>N$28*'PEV Sales by Manufacturer'!$S45</f>
        <v>5855.9266594986138</v>
      </c>
      <c r="O46" s="11">
        <f>O$28*'PEV Sales by Manufacturer'!$S45</f>
        <v>6186.0760568162532</v>
      </c>
      <c r="P46" s="11">
        <f>P$28*'PEV Sales by Manufacturer'!$S45</f>
        <v>6482.3402750268806</v>
      </c>
      <c r="Q46" s="11">
        <f>Q$28*'PEV Sales by Manufacturer'!$S45</f>
        <v>6792.8159130779241</v>
      </c>
      <c r="R46" s="11">
        <f>R$28*'PEV Sales by Manufacturer'!$S45</f>
        <v>7065.8581857280296</v>
      </c>
      <c r="S46" s="11">
        <f>S$28*'PEV Sales by Manufacturer'!$S45</f>
        <v>7345.6046630071869</v>
      </c>
      <c r="T46" s="11">
        <f>T$28*'PEV Sales by Manufacturer'!$S45</f>
        <v>7634.8565446211305</v>
      </c>
      <c r="U46" s="11">
        <f>U$28*'PEV Sales by Manufacturer'!$S45</f>
        <v>7900.3169034010525</v>
      </c>
      <c r="V46" s="11">
        <f>V$28*'PEV Sales by Manufacturer'!$S45</f>
        <v>8176.7953143568566</v>
      </c>
      <c r="W46" s="11">
        <f>W$28*'PEV Sales by Manufacturer'!$S45</f>
        <v>8459.6231113123195</v>
      </c>
      <c r="X46" s="11">
        <f>X$28*'PEV Sales by Manufacturer'!$S45</f>
        <v>8727.5858751626965</v>
      </c>
      <c r="Y46" s="11">
        <f>Y$28*'PEV Sales by Manufacturer'!$S45</f>
        <v>9017.4633580442533</v>
      </c>
      <c r="Z46" s="11">
        <f>Z$28*'PEV Sales by Manufacturer'!$S45</f>
        <v>9309.4884273668722</v>
      </c>
      <c r="AA46" s="11">
        <f>AA$28*'PEV Sales by Manufacturer'!$S45</f>
        <v>9585.3318997227107</v>
      </c>
      <c r="AB46" s="11">
        <f>AB$28*'PEV Sales by Manufacturer'!$S45</f>
        <v>9876.8434157659449</v>
      </c>
      <c r="AC46" s="11">
        <f>AC$28*'PEV Sales by Manufacturer'!$S45</f>
        <v>10164.33987889763</v>
      </c>
      <c r="AD46" s="11">
        <f>AD$28*'PEV Sales by Manufacturer'!$S45</f>
        <v>10443.899609529739</v>
      </c>
      <c r="AE46" s="11">
        <f>AE$28*'PEV Sales by Manufacturer'!$S45</f>
        <v>10733.917152396582</v>
      </c>
      <c r="AF46" s="11">
        <f>AF$28*'PEV Sales by Manufacturer'!$S45</f>
        <v>11035.419614056929</v>
      </c>
      <c r="AG46" s="11"/>
      <c r="AH46" s="11"/>
    </row>
    <row r="47" spans="1:34" x14ac:dyDescent="0.2">
      <c r="A47" t="s">
        <v>81</v>
      </c>
      <c r="B47" s="11">
        <f>'PEV Sales by Manufacturer'!M46</f>
        <v>0</v>
      </c>
      <c r="C47" s="11">
        <f>'PEV Sales by Manufacturer'!N46</f>
        <v>0</v>
      </c>
      <c r="D47" s="11">
        <f>D$28*'PEV Sales by Manufacturer'!$S46</f>
        <v>0</v>
      </c>
      <c r="E47" s="11">
        <f>E$28*'PEV Sales by Manufacturer'!$S46</f>
        <v>0</v>
      </c>
      <c r="F47" s="11">
        <f>F$28*'PEV Sales by Manufacturer'!$S46</f>
        <v>0</v>
      </c>
      <c r="G47" s="11">
        <f>G$28*'PEV Sales by Manufacturer'!$S46</f>
        <v>0</v>
      </c>
      <c r="H47" s="11">
        <f>H$28*'PEV Sales by Manufacturer'!$S46</f>
        <v>0</v>
      </c>
      <c r="I47" s="11">
        <f>I$28*'PEV Sales by Manufacturer'!$S46</f>
        <v>0</v>
      </c>
      <c r="J47" s="11">
        <f>J$28*'PEV Sales by Manufacturer'!$S46</f>
        <v>0</v>
      </c>
      <c r="K47" s="11">
        <f>K$28*'PEV Sales by Manufacturer'!$S46</f>
        <v>0</v>
      </c>
      <c r="L47" s="11">
        <f>L$28*'PEV Sales by Manufacturer'!$S46</f>
        <v>0</v>
      </c>
      <c r="M47" s="11">
        <f>M$28*'PEV Sales by Manufacturer'!$S46</f>
        <v>0</v>
      </c>
      <c r="N47" s="11">
        <f>N$28*'PEV Sales by Manufacturer'!$S46</f>
        <v>0</v>
      </c>
      <c r="O47" s="11">
        <f>O$28*'PEV Sales by Manufacturer'!$S46</f>
        <v>0</v>
      </c>
      <c r="P47" s="11">
        <f>P$28*'PEV Sales by Manufacturer'!$S46</f>
        <v>0</v>
      </c>
      <c r="Q47" s="11">
        <f>Q$28*'PEV Sales by Manufacturer'!$S46</f>
        <v>0</v>
      </c>
      <c r="R47" s="11">
        <f>R$28*'PEV Sales by Manufacturer'!$S46</f>
        <v>0</v>
      </c>
      <c r="S47" s="11">
        <f>S$28*'PEV Sales by Manufacturer'!$S46</f>
        <v>0</v>
      </c>
      <c r="T47" s="11">
        <f>T$28*'PEV Sales by Manufacturer'!$S46</f>
        <v>0</v>
      </c>
      <c r="U47" s="11">
        <f>U$28*'PEV Sales by Manufacturer'!$S46</f>
        <v>0</v>
      </c>
      <c r="V47" s="11">
        <f>V$28*'PEV Sales by Manufacturer'!$S46</f>
        <v>0</v>
      </c>
      <c r="W47" s="11">
        <f>W$28*'PEV Sales by Manufacturer'!$S46</f>
        <v>0</v>
      </c>
      <c r="X47" s="11">
        <f>X$28*'PEV Sales by Manufacturer'!$S46</f>
        <v>0</v>
      </c>
      <c r="Y47" s="11">
        <f>Y$28*'PEV Sales by Manufacturer'!$S46</f>
        <v>0</v>
      </c>
      <c r="Z47" s="11">
        <f>Z$28*'PEV Sales by Manufacturer'!$S46</f>
        <v>0</v>
      </c>
      <c r="AA47" s="11">
        <f>AA$28*'PEV Sales by Manufacturer'!$S46</f>
        <v>0</v>
      </c>
      <c r="AB47" s="11">
        <f>AB$28*'PEV Sales by Manufacturer'!$S46</f>
        <v>0</v>
      </c>
      <c r="AC47" s="11">
        <f>AC$28*'PEV Sales by Manufacturer'!$S46</f>
        <v>0</v>
      </c>
      <c r="AD47" s="11">
        <f>AD$28*'PEV Sales by Manufacturer'!$S46</f>
        <v>0</v>
      </c>
      <c r="AE47" s="11">
        <f>AE$28*'PEV Sales by Manufacturer'!$S46</f>
        <v>0</v>
      </c>
      <c r="AF47" s="11">
        <f>AF$28*'PEV Sales by Manufacturer'!$S46</f>
        <v>0</v>
      </c>
      <c r="AG47" s="11"/>
      <c r="AH47" s="11"/>
    </row>
    <row r="48" spans="1:34" x14ac:dyDescent="0.2">
      <c r="A48" t="s">
        <v>82</v>
      </c>
      <c r="B48" s="11">
        <f>'PEV Sales by Manufacturer'!M47</f>
        <v>0</v>
      </c>
      <c r="C48" s="11">
        <f>'PEV Sales by Manufacturer'!N47</f>
        <v>0</v>
      </c>
      <c r="D48" s="11">
        <f>D$28*'PEV Sales by Manufacturer'!$S47</f>
        <v>0</v>
      </c>
      <c r="E48" s="11">
        <f>E$28*'PEV Sales by Manufacturer'!$S47</f>
        <v>0</v>
      </c>
      <c r="F48" s="11">
        <f>F$28*'PEV Sales by Manufacturer'!$S47</f>
        <v>0</v>
      </c>
      <c r="G48" s="11">
        <f>G$28*'PEV Sales by Manufacturer'!$S47</f>
        <v>0</v>
      </c>
      <c r="H48" s="11">
        <f>H$28*'PEV Sales by Manufacturer'!$S47</f>
        <v>0</v>
      </c>
      <c r="I48" s="11">
        <f>I$28*'PEV Sales by Manufacturer'!$S47</f>
        <v>0</v>
      </c>
      <c r="J48" s="11">
        <f>J$28*'PEV Sales by Manufacturer'!$S47</f>
        <v>0</v>
      </c>
      <c r="K48" s="11">
        <f>K$28*'PEV Sales by Manufacturer'!$S47</f>
        <v>0</v>
      </c>
      <c r="L48" s="11">
        <f>L$28*'PEV Sales by Manufacturer'!$S47</f>
        <v>0</v>
      </c>
      <c r="M48" s="11">
        <f>M$28*'PEV Sales by Manufacturer'!$S47</f>
        <v>0</v>
      </c>
      <c r="N48" s="11">
        <f>N$28*'PEV Sales by Manufacturer'!$S47</f>
        <v>0</v>
      </c>
      <c r="O48" s="11">
        <f>O$28*'PEV Sales by Manufacturer'!$S47</f>
        <v>0</v>
      </c>
      <c r="P48" s="11">
        <f>P$28*'PEV Sales by Manufacturer'!$S47</f>
        <v>0</v>
      </c>
      <c r="Q48" s="11">
        <f>Q$28*'PEV Sales by Manufacturer'!$S47</f>
        <v>0</v>
      </c>
      <c r="R48" s="11">
        <f>R$28*'PEV Sales by Manufacturer'!$S47</f>
        <v>0</v>
      </c>
      <c r="S48" s="11">
        <f>S$28*'PEV Sales by Manufacturer'!$S47</f>
        <v>0</v>
      </c>
      <c r="T48" s="11">
        <f>T$28*'PEV Sales by Manufacturer'!$S47</f>
        <v>0</v>
      </c>
      <c r="U48" s="11">
        <f>U$28*'PEV Sales by Manufacturer'!$S47</f>
        <v>0</v>
      </c>
      <c r="V48" s="11">
        <f>V$28*'PEV Sales by Manufacturer'!$S47</f>
        <v>0</v>
      </c>
      <c r="W48" s="11">
        <f>W$28*'PEV Sales by Manufacturer'!$S47</f>
        <v>0</v>
      </c>
      <c r="X48" s="11">
        <f>X$28*'PEV Sales by Manufacturer'!$S47</f>
        <v>0</v>
      </c>
      <c r="Y48" s="11">
        <f>Y$28*'PEV Sales by Manufacturer'!$S47</f>
        <v>0</v>
      </c>
      <c r="Z48" s="11">
        <f>Z$28*'PEV Sales by Manufacturer'!$S47</f>
        <v>0</v>
      </c>
      <c r="AA48" s="11">
        <f>AA$28*'PEV Sales by Manufacturer'!$S47</f>
        <v>0</v>
      </c>
      <c r="AB48" s="11">
        <f>AB$28*'PEV Sales by Manufacturer'!$S47</f>
        <v>0</v>
      </c>
      <c r="AC48" s="11">
        <f>AC$28*'PEV Sales by Manufacturer'!$S47</f>
        <v>0</v>
      </c>
      <c r="AD48" s="11">
        <f>AD$28*'PEV Sales by Manufacturer'!$S47</f>
        <v>0</v>
      </c>
      <c r="AE48" s="11">
        <f>AE$28*'PEV Sales by Manufacturer'!$S47</f>
        <v>0</v>
      </c>
      <c r="AF48" s="11">
        <f>AF$28*'PEV Sales by Manufacturer'!$S47</f>
        <v>0</v>
      </c>
      <c r="AG48" s="11"/>
      <c r="AH48" s="11"/>
    </row>
    <row r="49" spans="1:34" x14ac:dyDescent="0.2">
      <c r="A49" t="s">
        <v>83</v>
      </c>
      <c r="B49" s="11">
        <f>'PEV Sales by Manufacturer'!M48</f>
        <v>1658</v>
      </c>
      <c r="C49" s="11">
        <f>'PEV Sales by Manufacturer'!N48</f>
        <v>1062</v>
      </c>
      <c r="D49" s="11">
        <f>D$28*'PEV Sales by Manufacturer'!$S48</f>
        <v>2540.1310273677427</v>
      </c>
      <c r="E49" s="11">
        <f>E$28*'PEV Sales by Manufacturer'!$S48</f>
        <v>3699.8465107977868</v>
      </c>
      <c r="F49" s="11">
        <f>F$28*'PEV Sales by Manufacturer'!$S48</f>
        <v>5107.2370202374159</v>
      </c>
      <c r="G49" s="11">
        <f>G$28*'PEV Sales by Manufacturer'!$S48</f>
        <v>6494.6563469918119</v>
      </c>
      <c r="H49" s="11">
        <f>H$28*'PEV Sales by Manufacturer'!$S48</f>
        <v>7658.9254449924474</v>
      </c>
      <c r="I49" s="11">
        <f>I$28*'PEV Sales by Manufacturer'!$S48</f>
        <v>8873.3767624486882</v>
      </c>
      <c r="J49" s="11">
        <f>J$28*'PEV Sales by Manufacturer'!$S48</f>
        <v>10142.170962419958</v>
      </c>
      <c r="K49" s="11">
        <f>K$28*'PEV Sales by Manufacturer'!$S48</f>
        <v>11329.185018478776</v>
      </c>
      <c r="L49" s="11">
        <f>L$28*'PEV Sales by Manufacturer'!$S48</f>
        <v>12621.001554045524</v>
      </c>
      <c r="M49" s="11">
        <f>M$28*'PEV Sales by Manufacturer'!$S48</f>
        <v>13628.575458269306</v>
      </c>
      <c r="N49" s="11">
        <f>N$28*'PEV Sales by Manufacturer'!$S48</f>
        <v>14496.489772465098</v>
      </c>
      <c r="O49" s="11">
        <f>O$28*'PEV Sales by Manufacturer'!$S48</f>
        <v>15313.782686104569</v>
      </c>
      <c r="P49" s="11">
        <f>P$28*'PEV Sales by Manufacturer'!$S48</f>
        <v>16047.192009507102</v>
      </c>
      <c r="Q49" s="11">
        <f>Q$28*'PEV Sales by Manufacturer'!$S48</f>
        <v>16815.78205055654</v>
      </c>
      <c r="R49" s="11">
        <f>R$28*'PEV Sales by Manufacturer'!$S48</f>
        <v>17491.7048793547</v>
      </c>
      <c r="S49" s="11">
        <f>S$28*'PEV Sales by Manufacturer'!$S48</f>
        <v>18184.224130801009</v>
      </c>
      <c r="T49" s="11">
        <f>T$28*'PEV Sales by Manufacturer'!$S48</f>
        <v>18900.274243327833</v>
      </c>
      <c r="U49" s="11">
        <f>U$28*'PEV Sales by Manufacturer'!$S48</f>
        <v>19557.427858769039</v>
      </c>
      <c r="V49" s="11">
        <f>V$28*'PEV Sales by Manufacturer'!$S48</f>
        <v>20241.856932044244</v>
      </c>
      <c r="W49" s="11">
        <f>W$28*'PEV Sales by Manufacturer'!$S48</f>
        <v>20942.004065766163</v>
      </c>
      <c r="X49" s="11">
        <f>X$28*'PEV Sales by Manufacturer'!$S48</f>
        <v>21605.352446206954</v>
      </c>
      <c r="Y49" s="11">
        <f>Y$28*'PEV Sales by Manufacturer'!$S48</f>
        <v>22322.951249983675</v>
      </c>
      <c r="Z49" s="11">
        <f>Z$28*'PEV Sales by Manufacturer'!$S48</f>
        <v>23045.86645655855</v>
      </c>
      <c r="AA49" s="11">
        <f>AA$28*'PEV Sales by Manufacturer'!$S48</f>
        <v>23728.723723789084</v>
      </c>
      <c r="AB49" s="11">
        <f>AB$28*'PEV Sales by Manufacturer'!$S48</f>
        <v>24450.367616651358</v>
      </c>
      <c r="AC49" s="11">
        <f>AC$28*'PEV Sales by Manufacturer'!$S48</f>
        <v>25162.072147760562</v>
      </c>
      <c r="AD49" s="11">
        <f>AD$28*'PEV Sales by Manufacturer'!$S48</f>
        <v>25854.129103311378</v>
      </c>
      <c r="AE49" s="11">
        <f>AE$28*'PEV Sales by Manufacturer'!$S48</f>
        <v>26572.07462900972</v>
      </c>
      <c r="AF49" s="11">
        <f>AF$28*'PEV Sales by Manufacturer'!$S48</f>
        <v>27318.45135228079</v>
      </c>
      <c r="AG49" s="11"/>
      <c r="AH49" s="11"/>
    </row>
    <row r="50" spans="1:34" x14ac:dyDescent="0.2">
      <c r="A50" t="s">
        <v>84</v>
      </c>
      <c r="B50" s="11">
        <f>'PEV Sales by Manufacturer'!M49</f>
        <v>0</v>
      </c>
      <c r="C50" s="11">
        <f>'PEV Sales by Manufacturer'!N49</f>
        <v>0</v>
      </c>
      <c r="D50" s="11">
        <f>D$28*'PEV Sales by Manufacturer'!$S49</f>
        <v>0</v>
      </c>
      <c r="E50" s="11">
        <f>E$28*'PEV Sales by Manufacturer'!$S49</f>
        <v>0</v>
      </c>
      <c r="F50" s="11">
        <f>F$28*'PEV Sales by Manufacturer'!$S49</f>
        <v>0</v>
      </c>
      <c r="G50" s="11">
        <f>G$28*'PEV Sales by Manufacturer'!$S49</f>
        <v>0</v>
      </c>
      <c r="H50" s="11">
        <f>H$28*'PEV Sales by Manufacturer'!$S49</f>
        <v>0</v>
      </c>
      <c r="I50" s="11">
        <f>I$28*'PEV Sales by Manufacturer'!$S49</f>
        <v>0</v>
      </c>
      <c r="J50" s="11">
        <f>J$28*'PEV Sales by Manufacturer'!$S49</f>
        <v>0</v>
      </c>
      <c r="K50" s="11">
        <f>K$28*'PEV Sales by Manufacturer'!$S49</f>
        <v>0</v>
      </c>
      <c r="L50" s="11">
        <f>L$28*'PEV Sales by Manufacturer'!$S49</f>
        <v>0</v>
      </c>
      <c r="M50" s="11">
        <f>M$28*'PEV Sales by Manufacturer'!$S49</f>
        <v>0</v>
      </c>
      <c r="N50" s="11">
        <f>N$28*'PEV Sales by Manufacturer'!$S49</f>
        <v>0</v>
      </c>
      <c r="O50" s="11">
        <f>O$28*'PEV Sales by Manufacturer'!$S49</f>
        <v>0</v>
      </c>
      <c r="P50" s="11">
        <f>P$28*'PEV Sales by Manufacturer'!$S49</f>
        <v>0</v>
      </c>
      <c r="Q50" s="11">
        <f>Q$28*'PEV Sales by Manufacturer'!$S49</f>
        <v>0</v>
      </c>
      <c r="R50" s="11">
        <f>R$28*'PEV Sales by Manufacturer'!$S49</f>
        <v>0</v>
      </c>
      <c r="S50" s="11">
        <f>S$28*'PEV Sales by Manufacturer'!$S49</f>
        <v>0</v>
      </c>
      <c r="T50" s="11">
        <f>T$28*'PEV Sales by Manufacturer'!$S49</f>
        <v>0</v>
      </c>
      <c r="U50" s="11">
        <f>U$28*'PEV Sales by Manufacturer'!$S49</f>
        <v>0</v>
      </c>
      <c r="V50" s="11">
        <f>V$28*'PEV Sales by Manufacturer'!$S49</f>
        <v>0</v>
      </c>
      <c r="W50" s="11">
        <f>W$28*'PEV Sales by Manufacturer'!$S49</f>
        <v>0</v>
      </c>
      <c r="X50" s="11">
        <f>X$28*'PEV Sales by Manufacturer'!$S49</f>
        <v>0</v>
      </c>
      <c r="Y50" s="11">
        <f>Y$28*'PEV Sales by Manufacturer'!$S49</f>
        <v>0</v>
      </c>
      <c r="Z50" s="11">
        <f>Z$28*'PEV Sales by Manufacturer'!$S49</f>
        <v>0</v>
      </c>
      <c r="AA50" s="11">
        <f>AA$28*'PEV Sales by Manufacturer'!$S49</f>
        <v>0</v>
      </c>
      <c r="AB50" s="11">
        <f>AB$28*'PEV Sales by Manufacturer'!$S49</f>
        <v>0</v>
      </c>
      <c r="AC50" s="11">
        <f>AC$28*'PEV Sales by Manufacturer'!$S49</f>
        <v>0</v>
      </c>
      <c r="AD50" s="11">
        <f>AD$28*'PEV Sales by Manufacturer'!$S49</f>
        <v>0</v>
      </c>
      <c r="AE50" s="11">
        <f>AE$28*'PEV Sales by Manufacturer'!$S49</f>
        <v>0</v>
      </c>
      <c r="AF50" s="11">
        <f>AF$28*'PEV Sales by Manufacturer'!$S49</f>
        <v>0</v>
      </c>
      <c r="AG50" s="11"/>
      <c r="AH50" s="11"/>
    </row>
    <row r="51" spans="1:34" x14ac:dyDescent="0.2">
      <c r="A51" t="s">
        <v>85</v>
      </c>
      <c r="B51" s="11">
        <f>'PEV Sales by Manufacturer'!M50</f>
        <v>0</v>
      </c>
      <c r="C51" s="11">
        <f>'PEV Sales by Manufacturer'!N50</f>
        <v>376</v>
      </c>
      <c r="D51" s="11">
        <f>D$28*'PEV Sales by Manufacturer'!$S50</f>
        <v>899.33075921871125</v>
      </c>
      <c r="E51" s="11">
        <f>E$28*'PEV Sales by Manufacturer'!$S50</f>
        <v>1309.926824915224</v>
      </c>
      <c r="F51" s="11">
        <f>F$28*'PEV Sales by Manufacturer'!$S50</f>
        <v>1808.2119770332095</v>
      </c>
      <c r="G51" s="11">
        <f>G$28*'PEV Sales by Manufacturer'!$S50</f>
        <v>2299.4263526072705</v>
      </c>
      <c r="H51" s="11">
        <f>H$28*'PEV Sales by Manufacturer'!$S50</f>
        <v>2711.6346208259511</v>
      </c>
      <c r="I51" s="11">
        <f>I$28*'PEV Sales by Manufacturer'!$S50</f>
        <v>3141.6098518650724</v>
      </c>
      <c r="J51" s="11">
        <f>J$28*'PEV Sales by Manufacturer'!$S50</f>
        <v>3590.8251241712846</v>
      </c>
      <c r="K51" s="11">
        <f>K$28*'PEV Sales by Manufacturer'!$S50</f>
        <v>4011.086221231657</v>
      </c>
      <c r="L51" s="11">
        <f>L$28*'PEV Sales by Manufacturer'!$S50</f>
        <v>4468.4525276093382</v>
      </c>
      <c r="M51" s="11">
        <f>M$28*'PEV Sales by Manufacturer'!$S50</f>
        <v>4825.1830247733142</v>
      </c>
      <c r="N51" s="11">
        <f>N$28*'PEV Sales by Manufacturer'!$S50</f>
        <v>5132.4671887447057</v>
      </c>
      <c r="O51" s="11">
        <f>O$28*'PEV Sales by Manufacturer'!$S50</f>
        <v>5421.828898281844</v>
      </c>
      <c r="P51" s="11">
        <f>P$28*'PEV Sales by Manufacturer'!$S50</f>
        <v>5681.4917095806686</v>
      </c>
      <c r="Q51" s="11">
        <f>Q$28*'PEV Sales by Manufacturer'!$S50</f>
        <v>5953.6102175228425</v>
      </c>
      <c r="R51" s="11">
        <f>R$28*'PEV Sales by Manufacturer'!$S50</f>
        <v>6192.91999495044</v>
      </c>
      <c r="S51" s="11">
        <f>S$28*'PEV Sales by Manufacturer'!$S50</f>
        <v>6438.1057186263452</v>
      </c>
      <c r="T51" s="11">
        <f>T$28*'PEV Sales by Manufacturer'!$S50</f>
        <v>6691.6225192949769</v>
      </c>
      <c r="U51" s="11">
        <f>U$28*'PEV Sales by Manufacturer'!$S50</f>
        <v>6924.2870761743488</v>
      </c>
      <c r="V51" s="11">
        <f>V$28*'PEV Sales by Manufacturer'!$S50</f>
        <v>7166.6084806484332</v>
      </c>
      <c r="W51" s="11">
        <f>W$28*'PEV Sales by Manufacturer'!$S50</f>
        <v>7414.4948481431984</v>
      </c>
      <c r="X51" s="11">
        <f>X$28*'PEV Sales by Manufacturer'!$S50</f>
        <v>7649.3526551542509</v>
      </c>
      <c r="Y51" s="11">
        <f>Y$28*'PEV Sales by Manufacturer'!$S50</f>
        <v>7903.4177683558019</v>
      </c>
      <c r="Z51" s="11">
        <f>Z$28*'PEV Sales by Manufacturer'!$S50</f>
        <v>8159.3651484614074</v>
      </c>
      <c r="AA51" s="11">
        <f>AA$28*'PEV Sales by Manufacturer'!$S50</f>
        <v>8401.130056633423</v>
      </c>
      <c r="AB51" s="11">
        <f>AB$28*'PEV Sales by Manufacturer'!$S50</f>
        <v>8656.6273294358853</v>
      </c>
      <c r="AC51" s="11">
        <f>AC$28*'PEV Sales by Manufacturer'!$S50</f>
        <v>8908.605581504682</v>
      </c>
      <c r="AD51" s="11">
        <f>AD$28*'PEV Sales by Manufacturer'!$S50</f>
        <v>9153.6276297976256</v>
      </c>
      <c r="AE51" s="11">
        <f>AE$28*'PEV Sales by Manufacturer'!$S50</f>
        <v>9407.8154995363984</v>
      </c>
      <c r="AF51" s="11">
        <f>AF$28*'PEV Sales by Manufacturer'!$S50</f>
        <v>9672.0694053272855</v>
      </c>
      <c r="AG51" s="11"/>
      <c r="AH51" s="11"/>
    </row>
    <row r="52" spans="1:34" x14ac:dyDescent="0.2">
      <c r="A52" t="s">
        <v>86</v>
      </c>
      <c r="B52" s="11">
        <f>'PEV Sales by Manufacturer'!M51</f>
        <v>0</v>
      </c>
      <c r="C52" s="11">
        <f>'PEV Sales by Manufacturer'!N51</f>
        <v>65</v>
      </c>
      <c r="D52" s="11">
        <f>D$28*'PEV Sales by Manufacturer'!$S51</f>
        <v>155.46941316280913</v>
      </c>
      <c r="E52" s="11">
        <f>E$28*'PEV Sales by Manufacturer'!$S51</f>
        <v>226.45011600928075</v>
      </c>
      <c r="F52" s="11">
        <f>F$28*'PEV Sales by Manufacturer'!$S51</f>
        <v>312.58983645520914</v>
      </c>
      <c r="G52" s="11">
        <f>G$28*'PEV Sales by Manufacturer'!$S51</f>
        <v>397.50721521136325</v>
      </c>
      <c r="H52" s="11">
        <f>H$28*'PEV Sales by Manufacturer'!$S51</f>
        <v>468.76662328108199</v>
      </c>
      <c r="I52" s="11">
        <f>I$28*'PEV Sales by Manufacturer'!$S51</f>
        <v>543.09744779582365</v>
      </c>
      <c r="J52" s="11">
        <f>J$28*'PEV Sales by Manufacturer'!$S51</f>
        <v>620.75434327429127</v>
      </c>
      <c r="K52" s="11">
        <f>K$28*'PEV Sales by Manufacturer'!$S51</f>
        <v>693.40586271291954</v>
      </c>
      <c r="L52" s="11">
        <f>L$28*'PEV Sales by Manufacturer'!$S51</f>
        <v>772.47184652821011</v>
      </c>
      <c r="M52" s="11">
        <f>M$28*'PEV Sales by Manufacturer'!$S51</f>
        <v>834.14068247411012</v>
      </c>
      <c r="N52" s="11">
        <f>N$28*'PEV Sales by Manufacturer'!$S51</f>
        <v>887.26161507554752</v>
      </c>
      <c r="O52" s="11">
        <f>O$28*'PEV Sales by Manufacturer'!$S51</f>
        <v>937.28425103276561</v>
      </c>
      <c r="P52" s="11">
        <f>P$28*'PEV Sales by Manufacturer'!$S51</f>
        <v>982.17276894346674</v>
      </c>
      <c r="Q52" s="11">
        <f>Q$28*'PEV Sales by Manufacturer'!$S51</f>
        <v>1029.214532284534</v>
      </c>
      <c r="R52" s="11">
        <f>R$28*'PEV Sales by Manufacturer'!$S51</f>
        <v>1070.5845735951559</v>
      </c>
      <c r="S52" s="11">
        <f>S$28*'PEV Sales by Manufacturer'!$S51</f>
        <v>1112.9704034859374</v>
      </c>
      <c r="T52" s="11">
        <f>T$28*'PEV Sales by Manufacturer'!$S51</f>
        <v>1156.7964461547167</v>
      </c>
      <c r="U52" s="11">
        <f>U$28*'PEV Sales by Manufacturer'!$S51</f>
        <v>1197.0177126365231</v>
      </c>
      <c r="V52" s="11">
        <f>V$28*'PEV Sales by Manufacturer'!$S51</f>
        <v>1238.90838096316</v>
      </c>
      <c r="W52" s="11">
        <f>W$28*'PEV Sales by Manufacturer'!$S51</f>
        <v>1281.7610774715636</v>
      </c>
      <c r="X52" s="11">
        <f>X$28*'PEV Sales by Manufacturer'!$S51</f>
        <v>1322.3614962367722</v>
      </c>
      <c r="Y52" s="11">
        <f>Y$28*'PEV Sales by Manufacturer'!$S51</f>
        <v>1366.2823269764021</v>
      </c>
      <c r="Z52" s="11">
        <f>Z$28*'PEV Sales by Manufacturer'!$S51</f>
        <v>1410.5285496010413</v>
      </c>
      <c r="AA52" s="11">
        <f>AA$28*'PEV Sales by Manufacturer'!$S51</f>
        <v>1452.3230151095015</v>
      </c>
      <c r="AB52" s="11">
        <f>AB$28*'PEV Sales by Manufacturer'!$S51</f>
        <v>1496.4914266312037</v>
      </c>
      <c r="AC52" s="11">
        <f>AC$28*'PEV Sales by Manufacturer'!$S51</f>
        <v>1540.0514968026712</v>
      </c>
      <c r="AD52" s="11">
        <f>AD$28*'PEV Sales by Manufacturer'!$S51</f>
        <v>1582.4090317469302</v>
      </c>
      <c r="AE52" s="11">
        <f>AE$28*'PEV Sales by Manufacturer'!$S51</f>
        <v>1626.351083696452</v>
      </c>
      <c r="AF52" s="11">
        <f>AF$28*'PEV Sales by Manufacturer'!$S51</f>
        <v>1672.0332748571107</v>
      </c>
      <c r="AG52" s="11"/>
      <c r="AH52" s="11"/>
    </row>
    <row r="53" spans="1:34" x14ac:dyDescent="0.2">
      <c r="A53" t="s">
        <v>87</v>
      </c>
      <c r="B53" s="11">
        <f>'PEV Sales by Manufacturer'!M52</f>
        <v>0</v>
      </c>
      <c r="C53" s="11">
        <f>'PEV Sales by Manufacturer'!N52</f>
        <v>116</v>
      </c>
      <c r="D53" s="11">
        <f>D$28*'PEV Sales by Manufacturer'!$S52</f>
        <v>277.45310656747478</v>
      </c>
      <c r="E53" s="11">
        <f>E$28*'PEV Sales by Manufacturer'!$S52</f>
        <v>404.12636087810102</v>
      </c>
      <c r="F53" s="11">
        <f>F$28*'PEV Sales by Manufacturer'!$S52</f>
        <v>557.85263121237313</v>
      </c>
      <c r="G53" s="11">
        <f>G$28*'PEV Sales by Manufacturer'!$S52</f>
        <v>709.39749176181749</v>
      </c>
      <c r="H53" s="11">
        <f>H$28*'PEV Sales by Manufacturer'!$S52</f>
        <v>836.56812770162333</v>
      </c>
      <c r="I53" s="11">
        <f>I$28*'PEV Sales by Manufacturer'!$S52</f>
        <v>969.22006068177768</v>
      </c>
      <c r="J53" s="11">
        <f>J$28*'PEV Sales by Manufacturer'!$S52</f>
        <v>1107.8077510741198</v>
      </c>
      <c r="K53" s="11">
        <f>K$28*'PEV Sales by Manufacturer'!$S52</f>
        <v>1237.4627703799795</v>
      </c>
      <c r="L53" s="11">
        <f>L$28*'PEV Sales by Manufacturer'!$S52</f>
        <v>1378.565141496498</v>
      </c>
      <c r="M53" s="11">
        <f>M$28*'PEV Sales by Manufacturer'!$S52</f>
        <v>1488.6202948768735</v>
      </c>
      <c r="N53" s="11">
        <f>N$28*'PEV Sales by Manufacturer'!$S52</f>
        <v>1583.4207284425156</v>
      </c>
      <c r="O53" s="11">
        <f>O$28*'PEV Sales by Manufacturer'!$S52</f>
        <v>1672.6918941507818</v>
      </c>
      <c r="P53" s="11">
        <f>P$28*'PEV Sales by Manufacturer'!$S52</f>
        <v>1752.8006338068021</v>
      </c>
      <c r="Q53" s="11">
        <f>Q$28*'PEV Sales by Manufacturer'!$S52</f>
        <v>1836.7520883847069</v>
      </c>
      <c r="R53" s="11">
        <f>R$28*'PEV Sales by Manufacturer'!$S52</f>
        <v>1910.5817005698168</v>
      </c>
      <c r="S53" s="11">
        <f>S$28*'PEV Sales by Manufacturer'!$S52</f>
        <v>1986.2241046825961</v>
      </c>
      <c r="T53" s="11">
        <f>T$28*'PEV Sales by Manufacturer'!$S52</f>
        <v>2064.4367346761101</v>
      </c>
      <c r="U53" s="11">
        <f>U$28*'PEV Sales by Manufacturer'!$S52</f>
        <v>2136.2162256282568</v>
      </c>
      <c r="V53" s="11">
        <f>V$28*'PEV Sales by Manufacturer'!$S52</f>
        <v>2210.9749567957933</v>
      </c>
      <c r="W53" s="11">
        <f>W$28*'PEV Sales by Manufacturer'!$S52</f>
        <v>2287.4505382569441</v>
      </c>
      <c r="X53" s="11">
        <f>X$28*'PEV Sales by Manufacturer'!$S52</f>
        <v>2359.9066702071627</v>
      </c>
      <c r="Y53" s="11">
        <f>Y$28*'PEV Sales by Manufacturer'!$S52</f>
        <v>2438.2884604501946</v>
      </c>
      <c r="Z53" s="11">
        <f>Z$28*'PEV Sales by Manufacturer'!$S52</f>
        <v>2517.2509500572428</v>
      </c>
      <c r="AA53" s="11">
        <f>AA$28*'PEV Sales by Manufacturer'!$S52</f>
        <v>2591.8379961954179</v>
      </c>
      <c r="AB53" s="11">
        <f>AB$28*'PEV Sales by Manufacturer'!$S52</f>
        <v>2670.6616229110714</v>
      </c>
      <c r="AC53" s="11">
        <f>AC$28*'PEV Sales by Manufacturer'!$S52</f>
        <v>2748.3995942939978</v>
      </c>
      <c r="AD53" s="11">
        <f>AD$28*'PEV Sales by Manufacturer'!$S52</f>
        <v>2823.9915028099058</v>
      </c>
      <c r="AE53" s="11">
        <f>AE$28*'PEV Sales by Manufacturer'!$S52</f>
        <v>2902.4111647505911</v>
      </c>
      <c r="AF53" s="11">
        <f>AF$28*'PEV Sales by Manufacturer'!$S52</f>
        <v>2983.9363058988433</v>
      </c>
      <c r="AG53" s="11"/>
      <c r="AH53" s="11"/>
    </row>
    <row r="54" spans="1:34" x14ac:dyDescent="0.2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spans="1:34" x14ac:dyDescent="0.2">
      <c r="A55" s="1" t="s">
        <v>92</v>
      </c>
      <c r="B55">
        <v>2020</v>
      </c>
      <c r="C55">
        <v>2021</v>
      </c>
      <c r="D55">
        <v>2022</v>
      </c>
      <c r="E55">
        <v>2023</v>
      </c>
      <c r="F55">
        <v>2024</v>
      </c>
      <c r="G55">
        <v>2025</v>
      </c>
      <c r="H55">
        <v>2026</v>
      </c>
      <c r="I55">
        <v>2027</v>
      </c>
      <c r="J55">
        <v>2028</v>
      </c>
      <c r="K55">
        <v>2029</v>
      </c>
      <c r="L55">
        <v>2030</v>
      </c>
      <c r="M55">
        <v>2031</v>
      </c>
      <c r="N55">
        <v>2032</v>
      </c>
      <c r="O55">
        <v>2033</v>
      </c>
      <c r="P55">
        <v>2034</v>
      </c>
      <c r="Q55">
        <v>2035</v>
      </c>
      <c r="R55">
        <v>2036</v>
      </c>
      <c r="S55">
        <v>2037</v>
      </c>
      <c r="T55">
        <v>2038</v>
      </c>
      <c r="U55">
        <v>2039</v>
      </c>
      <c r="V55">
        <v>2040</v>
      </c>
      <c r="W55">
        <v>2041</v>
      </c>
      <c r="X55">
        <v>2042</v>
      </c>
      <c r="Y55">
        <v>2043</v>
      </c>
      <c r="Z55">
        <v>2044</v>
      </c>
      <c r="AA55">
        <v>2045</v>
      </c>
      <c r="AB55">
        <v>2046</v>
      </c>
      <c r="AC55">
        <v>2047</v>
      </c>
      <c r="AD55">
        <v>2048</v>
      </c>
      <c r="AE55">
        <v>2049</v>
      </c>
      <c r="AF55">
        <v>2050</v>
      </c>
    </row>
    <row r="56" spans="1:34" x14ac:dyDescent="0.2">
      <c r="A56" t="s">
        <v>13</v>
      </c>
      <c r="B56" s="11">
        <f>'PEV Sales by Manufacturer'!M58</f>
        <v>0</v>
      </c>
      <c r="C56" s="11">
        <f>'PEV Sales by Manufacturer'!N58</f>
        <v>0</v>
      </c>
      <c r="D56" s="11">
        <f>D$29*'PEV Sales by Manufacturer'!$S58</f>
        <v>0</v>
      </c>
      <c r="E56" s="11">
        <f>E$29*'PEV Sales by Manufacturer'!$S58</f>
        <v>0</v>
      </c>
      <c r="F56" s="11">
        <f>F$29*'PEV Sales by Manufacturer'!$S58</f>
        <v>0</v>
      </c>
      <c r="G56" s="11">
        <f>G$29*'PEV Sales by Manufacturer'!$S58</f>
        <v>0</v>
      </c>
      <c r="H56" s="11">
        <f>H$29*'PEV Sales by Manufacturer'!$S58</f>
        <v>0</v>
      </c>
      <c r="I56" s="11">
        <f>I$29*'PEV Sales by Manufacturer'!$S58</f>
        <v>0</v>
      </c>
      <c r="J56" s="11">
        <f>J$29*'PEV Sales by Manufacturer'!$S58</f>
        <v>0</v>
      </c>
      <c r="K56" s="11">
        <f>K$29*'PEV Sales by Manufacturer'!$S58</f>
        <v>0</v>
      </c>
      <c r="L56" s="11">
        <f>L$29*'PEV Sales by Manufacturer'!$S58</f>
        <v>0</v>
      </c>
      <c r="M56" s="11">
        <f>M$29*'PEV Sales by Manufacturer'!$S58</f>
        <v>0</v>
      </c>
      <c r="N56" s="11">
        <f>N$29*'PEV Sales by Manufacturer'!$S58</f>
        <v>0</v>
      </c>
      <c r="O56" s="11">
        <f>O$29*'PEV Sales by Manufacturer'!$S58</f>
        <v>0</v>
      </c>
      <c r="P56" s="11">
        <f>P$29*'PEV Sales by Manufacturer'!$S58</f>
        <v>0</v>
      </c>
      <c r="Q56" s="11">
        <f>Q$29*'PEV Sales by Manufacturer'!$S58</f>
        <v>0</v>
      </c>
      <c r="R56" s="11">
        <f>R$29*'PEV Sales by Manufacturer'!$S58</f>
        <v>0</v>
      </c>
      <c r="S56" s="11">
        <f>S$29*'PEV Sales by Manufacturer'!$S58</f>
        <v>0</v>
      </c>
      <c r="T56" s="11">
        <f>T$29*'PEV Sales by Manufacturer'!$S58</f>
        <v>0</v>
      </c>
      <c r="U56" s="11">
        <f>U$29*'PEV Sales by Manufacturer'!$S58</f>
        <v>0</v>
      </c>
      <c r="V56" s="11">
        <f>V$29*'PEV Sales by Manufacturer'!$S58</f>
        <v>0</v>
      </c>
      <c r="W56" s="11">
        <f>W$29*'PEV Sales by Manufacturer'!$S58</f>
        <v>0</v>
      </c>
      <c r="X56" s="11">
        <f>X$29*'PEV Sales by Manufacturer'!$S58</f>
        <v>0</v>
      </c>
      <c r="Y56" s="11">
        <f>Y$29*'PEV Sales by Manufacturer'!$S58</f>
        <v>0</v>
      </c>
      <c r="Z56" s="11">
        <f>Z$29*'PEV Sales by Manufacturer'!$S58</f>
        <v>0</v>
      </c>
      <c r="AA56" s="11">
        <f>AA$29*'PEV Sales by Manufacturer'!$S58</f>
        <v>0</v>
      </c>
      <c r="AB56" s="11">
        <f>AB$29*'PEV Sales by Manufacturer'!$S58</f>
        <v>0</v>
      </c>
      <c r="AC56" s="11">
        <f>AC$29*'PEV Sales by Manufacturer'!$S58</f>
        <v>0</v>
      </c>
      <c r="AD56" s="11">
        <f>AD$29*'PEV Sales by Manufacturer'!$S58</f>
        <v>0</v>
      </c>
      <c r="AE56" s="11">
        <f>AE$29*'PEV Sales by Manufacturer'!$S58</f>
        <v>0</v>
      </c>
      <c r="AF56" s="11">
        <f>AF$29*'PEV Sales by Manufacturer'!$S58</f>
        <v>0</v>
      </c>
      <c r="AG56" s="11"/>
      <c r="AH56" s="11"/>
    </row>
    <row r="57" spans="1:34" x14ac:dyDescent="0.2">
      <c r="A57" t="s">
        <v>67</v>
      </c>
      <c r="B57" s="11">
        <f>'PEV Sales by Manufacturer'!M59</f>
        <v>81</v>
      </c>
      <c r="C57" s="11">
        <f>'PEV Sales by Manufacturer'!N59</f>
        <v>16</v>
      </c>
      <c r="D57" s="11">
        <f>D$29*'PEV Sales by Manufacturer'!$S59</f>
        <v>39.890349264705883</v>
      </c>
      <c r="E57" s="11">
        <f>E$29*'PEV Sales by Manufacturer'!$S59</f>
        <v>58.533915441176468</v>
      </c>
      <c r="F57" s="11">
        <f>F$29*'PEV Sales by Manufacturer'!$S59</f>
        <v>81.541544117647064</v>
      </c>
      <c r="G57" s="11">
        <f>G$29*'PEV Sales by Manufacturer'!$S59</f>
        <v>100.64889705882352</v>
      </c>
      <c r="H57" s="11">
        <f>H$29*'PEV Sales by Manufacturer'!$S59</f>
        <v>112.22886029411765</v>
      </c>
      <c r="I57" s="11">
        <f>I$29*'PEV Sales by Manufacturer'!$S59</f>
        <v>118.890625</v>
      </c>
      <c r="J57" s="11">
        <f>J$29*'PEV Sales by Manufacturer'!$S59</f>
        <v>120.43658088235294</v>
      </c>
      <c r="K57" s="11">
        <f>K$29*'PEV Sales by Manufacturer'!$S59</f>
        <v>121.33639705882352</v>
      </c>
      <c r="L57" s="11">
        <f>L$29*'PEV Sales by Manufacturer'!$S59</f>
        <v>120.49080882352941</v>
      </c>
      <c r="M57" s="11">
        <f>M$29*'PEV Sales by Manufacturer'!$S59</f>
        <v>120.08455882352941</v>
      </c>
      <c r="N57" s="11">
        <f>N$29*'PEV Sales by Manufacturer'!$S59</f>
        <v>118.52849264705883</v>
      </c>
      <c r="O57" s="11">
        <f>O$29*'PEV Sales by Manufacturer'!$S59</f>
        <v>116.80882352941177</v>
      </c>
      <c r="P57" s="11">
        <f>P$29*'PEV Sales by Manufacturer'!$S59</f>
        <v>115.13051470588235</v>
      </c>
      <c r="Q57" s="11">
        <f>Q$29*'PEV Sales by Manufacturer'!$S59</f>
        <v>113.53308823529412</v>
      </c>
      <c r="R57" s="11">
        <f>R$29*'PEV Sales by Manufacturer'!$S59</f>
        <v>112.11213235294117</v>
      </c>
      <c r="S57" s="11">
        <f>S$29*'PEV Sales by Manufacturer'!$S59</f>
        <v>110.69852941176471</v>
      </c>
      <c r="T57" s="11">
        <f>T$29*'PEV Sales by Manufacturer'!$S59</f>
        <v>109.55330882352941</v>
      </c>
      <c r="U57" s="11">
        <f>U$29*'PEV Sales by Manufacturer'!$S59</f>
        <v>108.25827205882352</v>
      </c>
      <c r="V57" s="11">
        <f>V$29*'PEV Sales by Manufacturer'!$S59</f>
        <v>107.19025735294117</v>
      </c>
      <c r="W57" s="11">
        <f>W$29*'PEV Sales by Manufacturer'!$S59</f>
        <v>106.18198529411765</v>
      </c>
      <c r="X57" s="11">
        <f>X$29*'PEV Sales by Manufacturer'!$S59</f>
        <v>105.078125</v>
      </c>
      <c r="Y57" s="11">
        <f>Y$29*'PEV Sales by Manufacturer'!$S59</f>
        <v>104.17463235294117</v>
      </c>
      <c r="Z57" s="11">
        <f>Z$29*'PEV Sales by Manufacturer'!$S59</f>
        <v>103.24816176470588</v>
      </c>
      <c r="AA57" s="11">
        <f>AA$29*'PEV Sales by Manufacturer'!$S59</f>
        <v>102.24908088235294</v>
      </c>
      <c r="AB57" s="11">
        <f>AB$29*'PEV Sales by Manufacturer'!$S59</f>
        <v>101.29227941176471</v>
      </c>
      <c r="AC57" s="11">
        <f>AC$29*'PEV Sales by Manufacturer'!$S59</f>
        <v>100.28768382352941</v>
      </c>
      <c r="AD57" s="11">
        <f>AD$29*'PEV Sales by Manufacturer'!$S59</f>
        <v>99.204044117647058</v>
      </c>
      <c r="AE57" s="11">
        <f>AE$29*'PEV Sales by Manufacturer'!$S59</f>
        <v>98.153492647058826</v>
      </c>
      <c r="AF57" s="11">
        <f>AF$29*'PEV Sales by Manufacturer'!$S59</f>
        <v>97.095588235294116</v>
      </c>
      <c r="AG57" s="11"/>
      <c r="AH57" s="11"/>
    </row>
    <row r="58" spans="1:34" x14ac:dyDescent="0.2">
      <c r="A58" t="s">
        <v>68</v>
      </c>
      <c r="B58" s="11">
        <f>'PEV Sales by Manufacturer'!M60</f>
        <v>0</v>
      </c>
      <c r="C58" s="11">
        <f>'PEV Sales by Manufacturer'!N60</f>
        <v>0</v>
      </c>
      <c r="D58" s="11">
        <f>D$29*'PEV Sales by Manufacturer'!$S60</f>
        <v>0</v>
      </c>
      <c r="E58" s="11">
        <f>E$29*'PEV Sales by Manufacturer'!$S60</f>
        <v>0</v>
      </c>
      <c r="F58" s="11">
        <f>F$29*'PEV Sales by Manufacturer'!$S60</f>
        <v>0</v>
      </c>
      <c r="G58" s="11">
        <f>G$29*'PEV Sales by Manufacturer'!$S60</f>
        <v>0</v>
      </c>
      <c r="H58" s="11">
        <f>H$29*'PEV Sales by Manufacturer'!$S60</f>
        <v>0</v>
      </c>
      <c r="I58" s="11">
        <f>I$29*'PEV Sales by Manufacturer'!$S60</f>
        <v>0</v>
      </c>
      <c r="J58" s="11">
        <f>J$29*'PEV Sales by Manufacturer'!$S60</f>
        <v>0</v>
      </c>
      <c r="K58" s="11">
        <f>K$29*'PEV Sales by Manufacturer'!$S60</f>
        <v>0</v>
      </c>
      <c r="L58" s="11">
        <f>L$29*'PEV Sales by Manufacturer'!$S60</f>
        <v>0</v>
      </c>
      <c r="M58" s="11">
        <f>M$29*'PEV Sales by Manufacturer'!$S60</f>
        <v>0</v>
      </c>
      <c r="N58" s="11">
        <f>N$29*'PEV Sales by Manufacturer'!$S60</f>
        <v>0</v>
      </c>
      <c r="O58" s="11">
        <f>O$29*'PEV Sales by Manufacturer'!$S60</f>
        <v>0</v>
      </c>
      <c r="P58" s="11">
        <f>P$29*'PEV Sales by Manufacturer'!$S60</f>
        <v>0</v>
      </c>
      <c r="Q58" s="11">
        <f>Q$29*'PEV Sales by Manufacturer'!$S60</f>
        <v>0</v>
      </c>
      <c r="R58" s="11">
        <f>R$29*'PEV Sales by Manufacturer'!$S60</f>
        <v>0</v>
      </c>
      <c r="S58" s="11">
        <f>S$29*'PEV Sales by Manufacturer'!$S60</f>
        <v>0</v>
      </c>
      <c r="T58" s="11">
        <f>T$29*'PEV Sales by Manufacturer'!$S60</f>
        <v>0</v>
      </c>
      <c r="U58" s="11">
        <f>U$29*'PEV Sales by Manufacturer'!$S60</f>
        <v>0</v>
      </c>
      <c r="V58" s="11">
        <f>V$29*'PEV Sales by Manufacturer'!$S60</f>
        <v>0</v>
      </c>
      <c r="W58" s="11">
        <f>W$29*'PEV Sales by Manufacturer'!$S60</f>
        <v>0</v>
      </c>
      <c r="X58" s="11">
        <f>X$29*'PEV Sales by Manufacturer'!$S60</f>
        <v>0</v>
      </c>
      <c r="Y58" s="11">
        <f>Y$29*'PEV Sales by Manufacturer'!$S60</f>
        <v>0</v>
      </c>
      <c r="Z58" s="11">
        <f>Z$29*'PEV Sales by Manufacturer'!$S60</f>
        <v>0</v>
      </c>
      <c r="AA58" s="11">
        <f>AA$29*'PEV Sales by Manufacturer'!$S60</f>
        <v>0</v>
      </c>
      <c r="AB58" s="11">
        <f>AB$29*'PEV Sales by Manufacturer'!$S60</f>
        <v>0</v>
      </c>
      <c r="AC58" s="11">
        <f>AC$29*'PEV Sales by Manufacturer'!$S60</f>
        <v>0</v>
      </c>
      <c r="AD58" s="11">
        <f>AD$29*'PEV Sales by Manufacturer'!$S60</f>
        <v>0</v>
      </c>
      <c r="AE58" s="11">
        <f>AE$29*'PEV Sales by Manufacturer'!$S60</f>
        <v>0</v>
      </c>
      <c r="AF58" s="11">
        <f>AF$29*'PEV Sales by Manufacturer'!$S60</f>
        <v>0</v>
      </c>
      <c r="AG58" s="11"/>
      <c r="AH58" s="11"/>
    </row>
    <row r="59" spans="1:34" x14ac:dyDescent="0.2">
      <c r="A59" t="s">
        <v>69</v>
      </c>
      <c r="B59" s="11">
        <f>'PEV Sales by Manufacturer'!M61</f>
        <v>17898</v>
      </c>
      <c r="C59" s="11">
        <f>'PEV Sales by Manufacturer'!N61</f>
        <v>52767</v>
      </c>
      <c r="D59" s="11">
        <f>D$29*'PEV Sales by Manufacturer'!$S61</f>
        <v>131555.87872817094</v>
      </c>
      <c r="E59" s="11">
        <f>E$29*'PEV Sales by Manufacturer'!$S61</f>
        <v>193041.1947552849</v>
      </c>
      <c r="F59" s="11">
        <f>F$29*'PEV Sales by Manufacturer'!$S61</f>
        <v>268918.91615349264</v>
      </c>
      <c r="G59" s="11">
        <f>G$29*'PEV Sales by Manufacturer'!$S61</f>
        <v>331933.7719439338</v>
      </c>
      <c r="H59" s="11">
        <f>H$29*'PEV Sales by Manufacturer'!$S61</f>
        <v>370123.7669462316</v>
      </c>
      <c r="I59" s="11">
        <f>I$29*'PEV Sales by Manufacturer'!$S61</f>
        <v>392093.8505859375</v>
      </c>
      <c r="J59" s="11">
        <f>J$29*'PEV Sales by Manufacturer'!$S61</f>
        <v>397192.31646369485</v>
      </c>
      <c r="K59" s="11">
        <f>K$29*'PEV Sales by Manufacturer'!$S61</f>
        <v>400159.8539751838</v>
      </c>
      <c r="L59" s="11">
        <f>L$29*'PEV Sales by Manufacturer'!$S61</f>
        <v>397371.1568244485</v>
      </c>
      <c r="M59" s="11">
        <f>M$29*'PEV Sales by Manufacturer'!$S61</f>
        <v>396031.3697150735</v>
      </c>
      <c r="N59" s="11">
        <f>N$29*'PEV Sales by Manufacturer'!$S61</f>
        <v>390899.56071920955</v>
      </c>
      <c r="O59" s="11">
        <f>O$29*'PEV Sales by Manufacturer'!$S61</f>
        <v>385228.1994485294</v>
      </c>
      <c r="P59" s="11">
        <f>P$29*'PEV Sales by Manufacturer'!$S61</f>
        <v>379693.24184283084</v>
      </c>
      <c r="Q59" s="11">
        <f>Q$29*'PEV Sales by Manufacturer'!$S61</f>
        <v>374425.0291819853</v>
      </c>
      <c r="R59" s="11">
        <f>R$29*'PEV Sales by Manufacturer'!$S61</f>
        <v>369738.80549172789</v>
      </c>
      <c r="S59" s="11">
        <f>S$29*'PEV Sales by Manufacturer'!$S61</f>
        <v>365076.83134191175</v>
      </c>
      <c r="T59" s="11">
        <f>T$29*'PEV Sales by Manufacturer'!$S61</f>
        <v>361299.9654181985</v>
      </c>
      <c r="U59" s="11">
        <f>U$29*'PEV Sales by Manufacturer'!$S61</f>
        <v>357029.0151079963</v>
      </c>
      <c r="V59" s="11">
        <f>V$29*'PEV Sales by Manufacturer'!$S61</f>
        <v>353506.76935891539</v>
      </c>
      <c r="W59" s="11">
        <f>W$29*'PEV Sales by Manufacturer'!$S61</f>
        <v>350181.5511259191</v>
      </c>
      <c r="X59" s="11">
        <f>X$29*'PEV Sales by Manufacturer'!$S61</f>
        <v>346541.0888671875</v>
      </c>
      <c r="Y59" s="11">
        <f>Y$29*'PEV Sales by Manufacturer'!$S61</f>
        <v>343561.42658547789</v>
      </c>
      <c r="Z59" s="11">
        <f>Z$29*'PEV Sales by Manufacturer'!$S61</f>
        <v>340505.9844898897</v>
      </c>
      <c r="AA59" s="11">
        <f>AA$29*'PEV Sales by Manufacturer'!$S61</f>
        <v>337211.07818244485</v>
      </c>
      <c r="AB59" s="11">
        <f>AB$29*'PEV Sales by Manufacturer'!$S61</f>
        <v>334055.60673253675</v>
      </c>
      <c r="AC59" s="11">
        <f>AC$29*'PEV Sales by Manufacturer'!$S61</f>
        <v>330742.513269761</v>
      </c>
      <c r="AD59" s="11">
        <f>AD$29*'PEV Sales by Manufacturer'!$S61</f>
        <v>327168.73724724265</v>
      </c>
      <c r="AE59" s="11">
        <f>AE$29*'PEV Sales by Manufacturer'!$S61</f>
        <v>323704.08415670955</v>
      </c>
      <c r="AF59" s="11">
        <f>AF$29*'PEV Sales by Manufacturer'!$S61</f>
        <v>320215.1815257353</v>
      </c>
      <c r="AG59" s="11"/>
      <c r="AH59" s="11"/>
    </row>
    <row r="60" spans="1:34" x14ac:dyDescent="0.2">
      <c r="A60" t="s">
        <v>70</v>
      </c>
      <c r="B60" s="11">
        <f>'PEV Sales by Manufacturer'!M62</f>
        <v>5565</v>
      </c>
      <c r="C60" s="11">
        <f>'PEV Sales by Manufacturer'!N62</f>
        <v>6013</v>
      </c>
      <c r="D60" s="11">
        <f>D$29*'PEV Sales by Manufacturer'!$S62</f>
        <v>14991.291883042279</v>
      </c>
      <c r="E60" s="11">
        <f>E$29*'PEV Sales by Manufacturer'!$S62</f>
        <v>21997.777096737129</v>
      </c>
      <c r="F60" s="11">
        <f>F$29*'PEV Sales by Manufacturer'!$S62</f>
        <v>30644.331548713231</v>
      </c>
      <c r="G60" s="11">
        <f>G$29*'PEV Sales by Manufacturer'!$S62</f>
        <v>37825.113625919112</v>
      </c>
      <c r="H60" s="11">
        <f>H$29*'PEV Sales by Manufacturer'!$S62</f>
        <v>42177.008559283087</v>
      </c>
      <c r="I60" s="11">
        <f>I$29*'PEV Sales by Manufacturer'!$S62</f>
        <v>44680.583007812493</v>
      </c>
      <c r="J60" s="11">
        <f>J$29*'PEV Sales by Manufacturer'!$S62</f>
        <v>45261.572552849262</v>
      </c>
      <c r="K60" s="11">
        <f>K$29*'PEV Sales by Manufacturer'!$S62</f>
        <v>45599.734719669112</v>
      </c>
      <c r="L60" s="11">
        <f>L$29*'PEV Sales by Manufacturer'!$S62</f>
        <v>45281.952090992643</v>
      </c>
      <c r="M60" s="11">
        <f>M$29*'PEV Sales by Manufacturer'!$S62</f>
        <v>45129.278262867643</v>
      </c>
      <c r="N60" s="11">
        <f>N$29*'PEV Sales by Manufacturer'!$S62</f>
        <v>44544.489142922794</v>
      </c>
      <c r="O60" s="11">
        <f>O$29*'PEV Sales by Manufacturer'!$S62</f>
        <v>43898.215992647056</v>
      </c>
      <c r="P60" s="11">
        <f>P$29*'PEV Sales by Manufacturer'!$S62</f>
        <v>43267.486557904405</v>
      </c>
      <c r="Q60" s="11">
        <f>Q$29*'PEV Sales by Manufacturer'!$S62</f>
        <v>42667.153722426468</v>
      </c>
      <c r="R60" s="11">
        <f>R$29*'PEV Sales by Manufacturer'!$S62</f>
        <v>42133.140739889699</v>
      </c>
      <c r="S60" s="11">
        <f>S$29*'PEV Sales by Manufacturer'!$S62</f>
        <v>41601.891084558818</v>
      </c>
      <c r="T60" s="11">
        <f>T$29*'PEV Sales by Manufacturer'!$S62</f>
        <v>41171.502872242643</v>
      </c>
      <c r="U60" s="11">
        <f>U$29*'PEV Sales by Manufacturer'!$S62</f>
        <v>40684.811868106612</v>
      </c>
      <c r="V60" s="11">
        <f>V$29*'PEV Sales by Manufacturer'!$S62</f>
        <v>40283.438591452199</v>
      </c>
      <c r="W60" s="11">
        <f>W$29*'PEV Sales by Manufacturer'!$S62</f>
        <v>39904.517348345587</v>
      </c>
      <c r="X60" s="11">
        <f>X$29*'PEV Sales by Manufacturer'!$S62</f>
        <v>39489.6728515625</v>
      </c>
      <c r="Y60" s="11">
        <f>Y$29*'PEV Sales by Manufacturer'!$S62</f>
        <v>39150.129021139699</v>
      </c>
      <c r="Z60" s="11">
        <f>Z$29*'PEV Sales by Manufacturer'!$S62</f>
        <v>38801.949793198524</v>
      </c>
      <c r="AA60" s="11">
        <f>AA$29*'PEV Sales by Manufacturer'!$S62</f>
        <v>38426.482709099262</v>
      </c>
      <c r="AB60" s="11">
        <f>AB$29*'PEV Sales by Manufacturer'!$S62</f>
        <v>38066.904756433818</v>
      </c>
      <c r="AC60" s="11">
        <f>AC$29*'PEV Sales by Manufacturer'!$S62</f>
        <v>37689.365176930143</v>
      </c>
      <c r="AD60" s="11">
        <f>AD$29*'PEV Sales by Manufacturer'!$S62</f>
        <v>37282.119829963231</v>
      </c>
      <c r="AE60" s="11">
        <f>AE$29*'PEV Sales by Manufacturer'!$S62</f>
        <v>36887.309455422794</v>
      </c>
      <c r="AF60" s="11">
        <f>AF$29*'PEV Sales by Manufacturer'!$S62</f>
        <v>36489.735753676468</v>
      </c>
      <c r="AG60" s="11"/>
      <c r="AH60" s="11"/>
    </row>
    <row r="61" spans="1:34" x14ac:dyDescent="0.2">
      <c r="A61" t="s">
        <v>71</v>
      </c>
      <c r="B61" s="11">
        <f>'PEV Sales by Manufacturer'!M63</f>
        <v>7999</v>
      </c>
      <c r="C61" s="11">
        <f>'PEV Sales by Manufacturer'!N63</f>
        <v>19579</v>
      </c>
      <c r="D61" s="11">
        <f>D$29*'PEV Sales by Manufacturer'!$S63</f>
        <v>48813.32176585478</v>
      </c>
      <c r="E61" s="11">
        <f>E$29*'PEV Sales by Manufacturer'!$S63</f>
        <v>71627.220651424635</v>
      </c>
      <c r="F61" s="11">
        <f>F$29*'PEV Sales by Manufacturer'!$S63</f>
        <v>99781.368267463229</v>
      </c>
      <c r="G61" s="11">
        <f>G$29*'PEV Sales by Manufacturer'!$S63</f>
        <v>123162.79721966911</v>
      </c>
      <c r="H61" s="11">
        <f>H$29*'PEV Sales by Manufacturer'!$S63</f>
        <v>137333.0534811581</v>
      </c>
      <c r="I61" s="11">
        <f>I$29*'PEV Sales by Manufacturer'!$S63</f>
        <v>145484.9716796875</v>
      </c>
      <c r="J61" s="11">
        <f>J$29*'PEV Sales by Manufacturer'!$S63</f>
        <v>147376.73856847428</v>
      </c>
      <c r="K61" s="11">
        <f>K$29*'PEV Sales by Manufacturer'!$S63</f>
        <v>148477.83237591913</v>
      </c>
      <c r="L61" s="11">
        <f>L$29*'PEV Sales by Manufacturer'!$S63</f>
        <v>147443.09662224265</v>
      </c>
      <c r="M61" s="11">
        <f>M$29*'PEV Sales by Manufacturer'!$S63</f>
        <v>146945.97357536765</v>
      </c>
      <c r="N61" s="11">
        <f>N$29*'PEV Sales by Manufacturer'!$S63</f>
        <v>145041.8348460478</v>
      </c>
      <c r="O61" s="11">
        <f>O$29*'PEV Sales by Manufacturer'!$S63</f>
        <v>142937.49724264705</v>
      </c>
      <c r="P61" s="11">
        <f>P$29*'PEV Sales by Manufacturer'!$S63</f>
        <v>140883.77171415443</v>
      </c>
      <c r="Q61" s="11">
        <f>Q$29*'PEV Sales by Manufacturer'!$S63</f>
        <v>138929.02090992648</v>
      </c>
      <c r="R61" s="11">
        <f>R$29*'PEV Sales by Manufacturer'!$S63</f>
        <v>137190.2149586397</v>
      </c>
      <c r="S61" s="11">
        <f>S$29*'PEV Sales by Manufacturer'!$S63</f>
        <v>135460.40670955883</v>
      </c>
      <c r="T61" s="11">
        <f>T$29*'PEV Sales by Manufacturer'!$S63</f>
        <v>134059.01459099265</v>
      </c>
      <c r="U61" s="11">
        <f>U$29*'PEV Sales by Manufacturer'!$S63</f>
        <v>132474.29428998163</v>
      </c>
      <c r="V61" s="11">
        <f>V$29*'PEV Sales by Manufacturer'!$S63</f>
        <v>131167.3780445772</v>
      </c>
      <c r="W61" s="11">
        <f>W$29*'PEV Sales by Manufacturer'!$S63</f>
        <v>129933.56812959559</v>
      </c>
      <c r="X61" s="11">
        <f>X$29*'PEV Sales by Manufacturer'!$S63</f>
        <v>128582.7880859375</v>
      </c>
      <c r="Y61" s="11">
        <f>Y$29*'PEV Sales by Manufacturer'!$S63</f>
        <v>127477.19542738971</v>
      </c>
      <c r="Z61" s="11">
        <f>Z$29*'PEV Sales by Manufacturer'!$S63</f>
        <v>126343.48494944852</v>
      </c>
      <c r="AA61" s="11">
        <f>AA$29*'PEV Sales by Manufacturer'!$S63</f>
        <v>125120.92216222426</v>
      </c>
      <c r="AB61" s="11">
        <f>AB$29*'PEV Sales by Manufacturer'!$S63</f>
        <v>123950.09616268383</v>
      </c>
      <c r="AC61" s="11">
        <f>AC$29*'PEV Sales by Manufacturer'!$S63</f>
        <v>122720.78509880515</v>
      </c>
      <c r="AD61" s="11">
        <f>AD$29*'PEV Sales by Manufacturer'!$S63</f>
        <v>121394.74873621324</v>
      </c>
      <c r="AE61" s="11">
        <f>AE$29*'PEV Sales by Manufacturer'!$S63</f>
        <v>120109.2020335478</v>
      </c>
      <c r="AF61" s="11">
        <f>AF$29*'PEV Sales by Manufacturer'!$S63</f>
        <v>118814.65762867648</v>
      </c>
      <c r="AG61" s="11"/>
      <c r="AH61" s="11"/>
    </row>
    <row r="62" spans="1:34" x14ac:dyDescent="0.2">
      <c r="A62" t="s">
        <v>72</v>
      </c>
      <c r="B62" s="11">
        <f>'PEV Sales by Manufacturer'!M64</f>
        <v>5596</v>
      </c>
      <c r="C62" s="11">
        <f>'PEV Sales by Manufacturer'!N64</f>
        <v>48723</v>
      </c>
      <c r="D62" s="11">
        <f>D$29*'PEV Sales by Manufacturer'!$S64</f>
        <v>121473.59295151655</v>
      </c>
      <c r="E62" s="11">
        <f>E$29*'PEV Sales by Manufacturer'!$S64</f>
        <v>178246.7476275276</v>
      </c>
      <c r="F62" s="11">
        <f>F$29*'PEV Sales by Manufacturer'!$S64</f>
        <v>248309.29087775736</v>
      </c>
      <c r="G62" s="11">
        <f>G$29*'PEV Sales by Manufacturer'!$S64</f>
        <v>306494.7632123162</v>
      </c>
      <c r="H62" s="11">
        <f>H$29*'PEV Sales by Manufacturer'!$S64</f>
        <v>341757.9225068934</v>
      </c>
      <c r="I62" s="11">
        <f>I$29*'PEV Sales by Manufacturer'!$S64</f>
        <v>362044.2451171875</v>
      </c>
      <c r="J62" s="11">
        <f>J$29*'PEV Sales by Manufacturer'!$S64</f>
        <v>366751.97064568015</v>
      </c>
      <c r="K62" s="11">
        <f>K$29*'PEV Sales by Manufacturer'!$S64</f>
        <v>369492.0796185662</v>
      </c>
      <c r="L62" s="11">
        <f>L$29*'PEV Sales by Manufacturer'!$S64</f>
        <v>366917.1048943015</v>
      </c>
      <c r="M62" s="11">
        <f>M$29*'PEV Sales by Manufacturer'!$S64</f>
        <v>365679.9974724265</v>
      </c>
      <c r="N62" s="11">
        <f>N$29*'PEV Sales by Manufacturer'!$S64</f>
        <v>360941.48420266545</v>
      </c>
      <c r="O62" s="11">
        <f>O$29*'PEV Sales by Manufacturer'!$S64</f>
        <v>355704.7693014706</v>
      </c>
      <c r="P62" s="11">
        <f>P$29*'PEV Sales by Manufacturer'!$S64</f>
        <v>350594.00425091916</v>
      </c>
      <c r="Q62" s="11">
        <f>Q$29*'PEV Sales by Manufacturer'!$S64</f>
        <v>345729.5411305147</v>
      </c>
      <c r="R62" s="11">
        <f>R$29*'PEV Sales by Manufacturer'!$S64</f>
        <v>341402.46403952211</v>
      </c>
      <c r="S62" s="11">
        <f>S$29*'PEV Sales by Manufacturer'!$S64</f>
        <v>337097.77803308825</v>
      </c>
      <c r="T62" s="11">
        <f>T$29*'PEV Sales by Manufacturer'!$S64</f>
        <v>333610.3666130515</v>
      </c>
      <c r="U62" s="11">
        <f>U$29*'PEV Sales by Manufacturer'!$S64</f>
        <v>329666.7368451287</v>
      </c>
      <c r="V62" s="11">
        <f>V$29*'PEV Sales by Manufacturer'!$S64</f>
        <v>326414.43181295961</v>
      </c>
      <c r="W62" s="11">
        <f>W$29*'PEV Sales by Manufacturer'!$S64</f>
        <v>323344.0543428309</v>
      </c>
      <c r="X62" s="11">
        <f>X$29*'PEV Sales by Manufacturer'!$S64</f>
        <v>319982.5927734375</v>
      </c>
      <c r="Y62" s="11">
        <f>Y$29*'PEV Sales by Manufacturer'!$S64</f>
        <v>317231.28825827211</v>
      </c>
      <c r="Z62" s="11">
        <f>Z$29*'PEV Sales by Manufacturer'!$S64</f>
        <v>314410.0116038603</v>
      </c>
      <c r="AA62" s="11">
        <f>AA$29*'PEV Sales by Manufacturer'!$S64</f>
        <v>311367.62298943015</v>
      </c>
      <c r="AB62" s="11">
        <f>AB$29*'PEV Sales by Manufacturer'!$S64</f>
        <v>308453.98311121325</v>
      </c>
      <c r="AC62" s="11">
        <f>AC$29*'PEV Sales by Manufacturer'!$S64</f>
        <v>305394.801183364</v>
      </c>
      <c r="AD62" s="11">
        <f>AD$29*'PEV Sales by Manufacturer'!$S64</f>
        <v>302094.91509650735</v>
      </c>
      <c r="AE62" s="11">
        <f>AE$29*'PEV Sales by Manufacturer'!$S64</f>
        <v>298895.78889016545</v>
      </c>
      <c r="AF62" s="11">
        <f>AF$29*'PEV Sales by Manufacturer'!$S64</f>
        <v>295674.2715992647</v>
      </c>
      <c r="AG62" s="11"/>
      <c r="AH62" s="11"/>
    </row>
    <row r="63" spans="1:34" x14ac:dyDescent="0.2">
      <c r="A63" t="s">
        <v>73</v>
      </c>
      <c r="B63" s="11">
        <f>'PEV Sales by Manufacturer'!M65</f>
        <v>3939</v>
      </c>
      <c r="C63" s="11">
        <f>'PEV Sales by Manufacturer'!N65</f>
        <v>2314</v>
      </c>
      <c r="D63" s="11">
        <f>D$29*'PEV Sales by Manufacturer'!$S65</f>
        <v>5769.1417624080877</v>
      </c>
      <c r="E63" s="11">
        <f>E$29*'PEV Sales by Manufacturer'!$S65</f>
        <v>8465.4675206801476</v>
      </c>
      <c r="F63" s="11">
        <f>F$29*'PEV Sales by Manufacturer'!$S65</f>
        <v>11792.945818014705</v>
      </c>
      <c r="G63" s="11">
        <f>G$29*'PEV Sales by Manufacturer'!$S65</f>
        <v>14556.346737132353</v>
      </c>
      <c r="H63" s="11">
        <f>H$29*'PEV Sales by Manufacturer'!$S65</f>
        <v>16231.098920036764</v>
      </c>
      <c r="I63" s="11">
        <f>I$29*'PEV Sales by Manufacturer'!$S65</f>
        <v>17194.556640625</v>
      </c>
      <c r="J63" s="11">
        <f>J$29*'PEV Sales by Manufacturer'!$S65</f>
        <v>17418.140510110294</v>
      </c>
      <c r="K63" s="11">
        <f>K$29*'PEV Sales by Manufacturer'!$S65</f>
        <v>17548.276424632353</v>
      </c>
      <c r="L63" s="11">
        <f>L$29*'PEV Sales by Manufacturer'!$S65</f>
        <v>17425.983226102941</v>
      </c>
      <c r="M63" s="11">
        <f>M$29*'PEV Sales by Manufacturer'!$S65</f>
        <v>17367.229319852941</v>
      </c>
      <c r="N63" s="11">
        <f>N$29*'PEV Sales by Manufacturer'!$S65</f>
        <v>17142.183249080881</v>
      </c>
      <c r="O63" s="11">
        <f>O$29*'PEV Sales by Manufacturer'!$S65</f>
        <v>16893.476102941175</v>
      </c>
      <c r="P63" s="11">
        <f>P$29*'PEV Sales by Manufacturer'!$S65</f>
        <v>16650.750689338234</v>
      </c>
      <c r="Q63" s="11">
        <f>Q$29*'PEV Sales by Manufacturer'!$S65</f>
        <v>16419.722886029413</v>
      </c>
      <c r="R63" s="11">
        <f>R$29*'PEV Sales by Manufacturer'!$S65</f>
        <v>16214.217141544117</v>
      </c>
      <c r="S63" s="11">
        <f>S$29*'PEV Sales by Manufacturer'!$S65</f>
        <v>16009.77481617647</v>
      </c>
      <c r="T63" s="11">
        <f>T$29*'PEV Sales by Manufacturer'!$S65</f>
        <v>15844.147288602941</v>
      </c>
      <c r="U63" s="11">
        <f>U$29*'PEV Sales by Manufacturer'!$S65</f>
        <v>15656.852596507353</v>
      </c>
      <c r="V63" s="11">
        <f>V$29*'PEV Sales by Manufacturer'!$S65</f>
        <v>15502.390969669117</v>
      </c>
      <c r="W63" s="11">
        <f>W$29*'PEV Sales by Manufacturer'!$S65</f>
        <v>15356.569623161764</v>
      </c>
      <c r="X63" s="11">
        <f>X$29*'PEV Sales by Manufacturer'!$S65</f>
        <v>15196.923828125</v>
      </c>
      <c r="Y63" s="11">
        <f>Y$29*'PEV Sales by Manufacturer'!$S65</f>
        <v>15066.256204044117</v>
      </c>
      <c r="Z63" s="11">
        <f>Z$29*'PEV Sales by Manufacturer'!$S65</f>
        <v>14932.265395220587</v>
      </c>
      <c r="AA63" s="11">
        <f>AA$29*'PEV Sales by Manufacturer'!$S65</f>
        <v>14787.773322610294</v>
      </c>
      <c r="AB63" s="11">
        <f>AB$29*'PEV Sales by Manufacturer'!$S65</f>
        <v>14649.39590992647</v>
      </c>
      <c r="AC63" s="11">
        <f>AC$29*'PEV Sales by Manufacturer'!$S65</f>
        <v>14504.106272977941</v>
      </c>
      <c r="AD63" s="11">
        <f>AD$29*'PEV Sales by Manufacturer'!$S65</f>
        <v>14347.384880514706</v>
      </c>
      <c r="AE63" s="11">
        <f>AE$29*'PEV Sales by Manufacturer'!$S65</f>
        <v>14195.448874080881</v>
      </c>
      <c r="AF63" s="11">
        <f>AF$29*'PEV Sales by Manufacturer'!$S65</f>
        <v>14042.449448529411</v>
      </c>
      <c r="AG63" s="11"/>
      <c r="AH63" s="11"/>
    </row>
    <row r="64" spans="1:34" x14ac:dyDescent="0.2">
      <c r="A64" t="s">
        <v>74</v>
      </c>
      <c r="B64" s="11">
        <f>'PEV Sales by Manufacturer'!M66</f>
        <v>4468</v>
      </c>
      <c r="C64" s="11">
        <f>'PEV Sales by Manufacturer'!N66</f>
        <v>8943</v>
      </c>
      <c r="D64" s="11">
        <f>D$29*'PEV Sales by Manufacturer'!$S66</f>
        <v>22296.212092141544</v>
      </c>
      <c r="E64" s="11">
        <f>E$29*'PEV Sales by Manufacturer'!$S66</f>
        <v>32716.800361902577</v>
      </c>
      <c r="F64" s="11">
        <f>F$29*'PEV Sales by Manufacturer'!$S66</f>
        <v>45576.626815257354</v>
      </c>
      <c r="G64" s="11">
        <f>G$29*'PEV Sales by Manufacturer'!$S66</f>
        <v>56256.442899816182</v>
      </c>
      <c r="H64" s="11">
        <f>H$29*'PEV Sales by Manufacturer'!$S66</f>
        <v>62728.918600643388</v>
      </c>
      <c r="I64" s="11">
        <f>I$29*'PEV Sales by Manufacturer'!$S66</f>
        <v>66452.4287109375</v>
      </c>
      <c r="J64" s="11">
        <f>J$29*'PEV Sales by Manufacturer'!$S66</f>
        <v>67316.52142693015</v>
      </c>
      <c r="K64" s="11">
        <f>K$29*'PEV Sales by Manufacturer'!$S66</f>
        <v>67819.462431066175</v>
      </c>
      <c r="L64" s="11">
        <f>L$29*'PEV Sales by Manufacturer'!$S66</f>
        <v>67346.831456801476</v>
      </c>
      <c r="M64" s="11">
        <f>M$29*'PEV Sales by Manufacturer'!$S66</f>
        <v>67119.763097426476</v>
      </c>
      <c r="N64" s="11">
        <f>N$29*'PEV Sales by Manufacturer'!$S66</f>
        <v>66250.019358915451</v>
      </c>
      <c r="O64" s="11">
        <f>O$29*'PEV Sales by Manufacturer'!$S66</f>
        <v>65288.831801470595</v>
      </c>
      <c r="P64" s="11">
        <f>P$29*'PEV Sales by Manufacturer'!$S66</f>
        <v>64350.762063419119</v>
      </c>
      <c r="Q64" s="11">
        <f>Q$29*'PEV Sales by Manufacturer'!$S66</f>
        <v>63457.900505514706</v>
      </c>
      <c r="R64" s="11">
        <f>R$29*'PEV Sales by Manufacturer'!$S66</f>
        <v>62663.674977022063</v>
      </c>
      <c r="S64" s="11">
        <f>S$29*'PEV Sales by Manufacturer'!$S66</f>
        <v>61873.559283088238</v>
      </c>
      <c r="T64" s="11">
        <f>T$29*'PEV Sales by Manufacturer'!$S66</f>
        <v>61233.452550551476</v>
      </c>
      <c r="U64" s="11">
        <f>U$29*'PEV Sales by Manufacturer'!$S66</f>
        <v>60509.607938878682</v>
      </c>
      <c r="V64" s="11">
        <f>V$29*'PEV Sales by Manufacturer'!$S66</f>
        <v>59912.654469209563</v>
      </c>
      <c r="W64" s="11">
        <f>W$29*'PEV Sales by Manufacturer'!$S66</f>
        <v>59349.093405330888</v>
      </c>
      <c r="X64" s="11">
        <f>X$29*'PEV Sales by Manufacturer'!$S66</f>
        <v>58732.1044921875</v>
      </c>
      <c r="Y64" s="11">
        <f>Y$29*'PEV Sales by Manufacturer'!$S66</f>
        <v>58227.108570772063</v>
      </c>
      <c r="Z64" s="11">
        <f>Z$29*'PEV Sales by Manufacturer'!$S66</f>
        <v>57709.269416360301</v>
      </c>
      <c r="AA64" s="11">
        <f>AA$29*'PEV Sales by Manufacturer'!$S66</f>
        <v>57150.84564568015</v>
      </c>
      <c r="AB64" s="11">
        <f>AB$29*'PEV Sales by Manufacturer'!$S66</f>
        <v>56616.053423713238</v>
      </c>
      <c r="AC64" s="11">
        <f>AC$29*'PEV Sales by Manufacturer'!$S66</f>
        <v>56054.547277113976</v>
      </c>
      <c r="AD64" s="11">
        <f>AD$29*'PEV Sales by Manufacturer'!$S66</f>
        <v>55448.860409007357</v>
      </c>
      <c r="AE64" s="11">
        <f>AE$29*'PEV Sales by Manufacturer'!$S66</f>
        <v>54861.667796415444</v>
      </c>
      <c r="AF64" s="11">
        <f>AF$29*'PEV Sales by Manufacturer'!$S66</f>
        <v>54270.365349264706</v>
      </c>
      <c r="AG64" s="11"/>
      <c r="AH64" s="11"/>
    </row>
    <row r="65" spans="1:34" x14ac:dyDescent="0.2">
      <c r="A65" t="s">
        <v>75</v>
      </c>
      <c r="B65" s="11">
        <f>'PEV Sales by Manufacturer'!M67</f>
        <v>4237</v>
      </c>
      <c r="C65" s="11">
        <f>'PEV Sales by Manufacturer'!N67</f>
        <v>6158</v>
      </c>
      <c r="D65" s="11">
        <f>D$29*'PEV Sales by Manufacturer'!$S67</f>
        <v>15352.798173253677</v>
      </c>
      <c r="E65" s="11">
        <f>E$29*'PEV Sales by Manufacturer'!$S67</f>
        <v>22528.240705422795</v>
      </c>
      <c r="F65" s="11">
        <f>F$29*'PEV Sales by Manufacturer'!$S67</f>
        <v>31383.301792279413</v>
      </c>
      <c r="G65" s="11">
        <f>G$29*'PEV Sales by Manufacturer'!$S67</f>
        <v>38737.244255514706</v>
      </c>
      <c r="H65" s="11">
        <f>H$29*'PEV Sales by Manufacturer'!$S67</f>
        <v>43194.082605698532</v>
      </c>
      <c r="I65" s="11">
        <f>I$29*'PEV Sales by Manufacturer'!$S67</f>
        <v>45758.029296875</v>
      </c>
      <c r="J65" s="11">
        <f>J$29*'PEV Sales by Manufacturer'!$S67</f>
        <v>46353.029067095595</v>
      </c>
      <c r="K65" s="11">
        <f>K$29*'PEV Sales by Manufacturer'!$S67</f>
        <v>46699.345818014706</v>
      </c>
      <c r="L65" s="11">
        <f>L$29*'PEV Sales by Manufacturer'!$S67</f>
        <v>46373.900045955888</v>
      </c>
      <c r="M65" s="11">
        <f>M$29*'PEV Sales by Manufacturer'!$S67</f>
        <v>46217.544577205888</v>
      </c>
      <c r="N65" s="11">
        <f>N$29*'PEV Sales by Manufacturer'!$S67</f>
        <v>45618.653607536769</v>
      </c>
      <c r="O65" s="11">
        <f>O$29*'PEV Sales by Manufacturer'!$S67</f>
        <v>44956.795955882357</v>
      </c>
      <c r="P65" s="11">
        <f>P$29*'PEV Sales by Manufacturer'!$S67</f>
        <v>44310.856847426476</v>
      </c>
      <c r="Q65" s="11">
        <f>Q$29*'PEV Sales by Manufacturer'!$S67</f>
        <v>43696.047334558825</v>
      </c>
      <c r="R65" s="11">
        <f>R$29*'PEV Sales by Manufacturer'!$S67</f>
        <v>43149.156939338238</v>
      </c>
      <c r="S65" s="11">
        <f>S$29*'PEV Sales by Manufacturer'!$S67</f>
        <v>42605.096507352944</v>
      </c>
      <c r="T65" s="11">
        <f>T$29*'PEV Sales by Manufacturer'!$S67</f>
        <v>42164.329733455888</v>
      </c>
      <c r="U65" s="11">
        <f>U$29*'PEV Sales by Manufacturer'!$S67</f>
        <v>41665.902458639706</v>
      </c>
      <c r="V65" s="11">
        <f>V$29*'PEV Sales by Manufacturer'!$S67</f>
        <v>41254.850298713238</v>
      </c>
      <c r="W65" s="11">
        <f>W$29*'PEV Sales by Manufacturer'!$S67</f>
        <v>40866.791590073532</v>
      </c>
      <c r="X65" s="11">
        <f>X$29*'PEV Sales by Manufacturer'!$S67</f>
        <v>40441.943359375</v>
      </c>
      <c r="Y65" s="11">
        <f>Y$29*'PEV Sales by Manufacturer'!$S67</f>
        <v>40094.211626838238</v>
      </c>
      <c r="Z65" s="11">
        <f>Z$29*'PEV Sales by Manufacturer'!$S67</f>
        <v>39737.636259191182</v>
      </c>
      <c r="AA65" s="11">
        <f>AA$29*'PEV Sales by Manufacturer'!$S67</f>
        <v>39353.115004595595</v>
      </c>
      <c r="AB65" s="11">
        <f>AB$29*'PEV Sales by Manufacturer'!$S67</f>
        <v>38984.866038602944</v>
      </c>
      <c r="AC65" s="11">
        <f>AC$29*'PEV Sales by Manufacturer'!$S67</f>
        <v>38598.222311580888</v>
      </c>
      <c r="AD65" s="11">
        <f>AD$29*'PEV Sales by Manufacturer'!$S67</f>
        <v>38181.156479779413</v>
      </c>
      <c r="AE65" s="11">
        <f>AE$29*'PEV Sales by Manufacturer'!$S67</f>
        <v>37776.825482536769</v>
      </c>
      <c r="AF65" s="11">
        <f>AF$29*'PEV Sales by Manufacturer'!$S67</f>
        <v>37369.664522058825</v>
      </c>
      <c r="AG65" s="11"/>
      <c r="AH65" s="11"/>
    </row>
    <row r="66" spans="1:34" x14ac:dyDescent="0.2">
      <c r="A66" t="s">
        <v>76</v>
      </c>
      <c r="B66" s="11">
        <f>'PEV Sales by Manufacturer'!M68</f>
        <v>2454</v>
      </c>
      <c r="C66" s="11">
        <f>'PEV Sales by Manufacturer'!N68</f>
        <v>5900</v>
      </c>
      <c r="D66" s="11">
        <f>D$29*'PEV Sales by Manufacturer'!$S68</f>
        <v>14709.566291360294</v>
      </c>
      <c r="E66" s="11">
        <f>E$29*'PEV Sales by Manufacturer'!$S68</f>
        <v>21584.381318933822</v>
      </c>
      <c r="F66" s="11">
        <f>F$29*'PEV Sales by Manufacturer'!$S68</f>
        <v>30068.44439338235</v>
      </c>
      <c r="G66" s="11">
        <f>G$29*'PEV Sales by Manufacturer'!$S68</f>
        <v>37114.280790441175</v>
      </c>
      <c r="H66" s="11">
        <f>H$29*'PEV Sales by Manufacturer'!$S68</f>
        <v>41384.392233455881</v>
      </c>
      <c r="I66" s="11">
        <f>I$29*'PEV Sales by Manufacturer'!$S68</f>
        <v>43840.91796875</v>
      </c>
      <c r="J66" s="11">
        <f>J$29*'PEV Sales by Manufacturer'!$S68</f>
        <v>44410.989200367643</v>
      </c>
      <c r="K66" s="11">
        <f>K$29*'PEV Sales by Manufacturer'!$S68</f>
        <v>44742.796415441175</v>
      </c>
      <c r="L66" s="11">
        <f>L$29*'PEV Sales by Manufacturer'!$S68</f>
        <v>44430.985753676468</v>
      </c>
      <c r="M66" s="11">
        <f>M$29*'PEV Sales by Manufacturer'!$S68</f>
        <v>44281.181066176468</v>
      </c>
      <c r="N66" s="11">
        <f>N$29*'PEV Sales by Manufacturer'!$S68</f>
        <v>43707.381663602937</v>
      </c>
      <c r="O66" s="11">
        <f>O$29*'PEV Sales by Manufacturer'!$S68</f>
        <v>43073.253676470587</v>
      </c>
      <c r="P66" s="11">
        <f>P$29*'PEV Sales by Manufacturer'!$S68</f>
        <v>42454.377297794112</v>
      </c>
      <c r="Q66" s="11">
        <f>Q$29*'PEV Sales by Manufacturer'!$S68</f>
        <v>41865.326286764706</v>
      </c>
      <c r="R66" s="11">
        <f>R$29*'PEV Sales by Manufacturer'!$S68</f>
        <v>41341.348805147056</v>
      </c>
      <c r="S66" s="11">
        <f>S$29*'PEV Sales by Manufacturer'!$S68</f>
        <v>40820.082720588231</v>
      </c>
      <c r="T66" s="11">
        <f>T$29*'PEV Sales by Manufacturer'!$S68</f>
        <v>40397.782628676468</v>
      </c>
      <c r="U66" s="11">
        <f>U$29*'PEV Sales by Manufacturer'!$S68</f>
        <v>39920.237821691175</v>
      </c>
      <c r="V66" s="11">
        <f>V$29*'PEV Sales by Manufacturer'!$S68</f>
        <v>39526.407398897056</v>
      </c>
      <c r="W66" s="11">
        <f>W$29*'PEV Sales by Manufacturer'!$S68</f>
        <v>39154.607077205881</v>
      </c>
      <c r="X66" s="11">
        <f>X$29*'PEV Sales by Manufacturer'!$S68</f>
        <v>38747.55859375</v>
      </c>
      <c r="Y66" s="11">
        <f>Y$29*'PEV Sales by Manufacturer'!$S68</f>
        <v>38414.395680147056</v>
      </c>
      <c r="Z66" s="11">
        <f>Z$29*'PEV Sales by Manufacturer'!$S68</f>
        <v>38072.759650735294</v>
      </c>
      <c r="AA66" s="11">
        <f>AA$29*'PEV Sales by Manufacturer'!$S68</f>
        <v>37704.348575367643</v>
      </c>
      <c r="AB66" s="11">
        <f>AB$29*'PEV Sales by Manufacturer'!$S68</f>
        <v>37351.528033088231</v>
      </c>
      <c r="AC66" s="11">
        <f>AC$29*'PEV Sales by Manufacturer'!$S68</f>
        <v>36981.083409926468</v>
      </c>
      <c r="AD66" s="11">
        <f>AD$29*'PEV Sales by Manufacturer'!$S68</f>
        <v>36581.49126838235</v>
      </c>
      <c r="AE66" s="11">
        <f>AE$29*'PEV Sales by Manufacturer'!$S68</f>
        <v>36194.100413602937</v>
      </c>
      <c r="AF66" s="11">
        <f>AF$29*'PEV Sales by Manufacturer'!$S68</f>
        <v>35803.998161764706</v>
      </c>
      <c r="AG66" s="11"/>
      <c r="AH66" s="11"/>
    </row>
    <row r="67" spans="1:34" x14ac:dyDescent="0.2">
      <c r="A67" t="s">
        <v>77</v>
      </c>
      <c r="B67" s="11">
        <f>'PEV Sales by Manufacturer'!M69</f>
        <v>7106</v>
      </c>
      <c r="C67" s="11">
        <f>'PEV Sales by Manufacturer'!N69</f>
        <v>15606</v>
      </c>
      <c r="D67" s="11">
        <f>D$29*'PEV Sales by Manufacturer'!$S69</f>
        <v>38908.049414062501</v>
      </c>
      <c r="E67" s="11">
        <f>E$29*'PEV Sales by Manufacturer'!$S69</f>
        <v>57092.517773437496</v>
      </c>
      <c r="F67" s="11">
        <f>F$29*'PEV Sales by Manufacturer'!$S69</f>
        <v>79533.583593749994</v>
      </c>
      <c r="G67" s="11">
        <f>G$29*'PEV Sales by Manufacturer'!$S69</f>
        <v>98170.41796875</v>
      </c>
      <c r="H67" s="11">
        <f>H$29*'PEV Sales by Manufacturer'!$S69</f>
        <v>109465.224609375</v>
      </c>
      <c r="I67" s="11">
        <f>I$29*'PEV Sales by Manufacturer'!$S69</f>
        <v>115962.943359375</v>
      </c>
      <c r="J67" s="11">
        <f>J$29*'PEV Sales by Manufacturer'!$S69</f>
        <v>117470.830078125</v>
      </c>
      <c r="K67" s="11">
        <f>K$29*'PEV Sales by Manufacturer'!$S69</f>
        <v>118348.48828125</v>
      </c>
      <c r="L67" s="11">
        <f>L$29*'PEV Sales by Manufacturer'!$S69</f>
        <v>117523.72265625</v>
      </c>
      <c r="M67" s="11">
        <f>M$29*'PEV Sales by Manufacturer'!$S69</f>
        <v>117127.4765625</v>
      </c>
      <c r="N67" s="11">
        <f>N$29*'PEV Sales by Manufacturer'!$S69</f>
        <v>115609.728515625</v>
      </c>
      <c r="O67" s="11">
        <f>O$29*'PEV Sales by Manufacturer'!$S69</f>
        <v>113932.40625</v>
      </c>
      <c r="P67" s="11">
        <f>P$29*'PEV Sales by Manufacturer'!$S69</f>
        <v>112295.42578125</v>
      </c>
      <c r="Q67" s="11">
        <f>Q$29*'PEV Sales by Manufacturer'!$S69</f>
        <v>110737.3359375</v>
      </c>
      <c r="R67" s="11">
        <f>R$29*'PEV Sales by Manufacturer'!$S69</f>
        <v>109351.37109375</v>
      </c>
      <c r="S67" s="11">
        <f>S$29*'PEV Sales by Manufacturer'!$S69</f>
        <v>107972.578125</v>
      </c>
      <c r="T67" s="11">
        <f>T$29*'PEV Sales by Manufacturer'!$S69</f>
        <v>106855.55859375</v>
      </c>
      <c r="U67" s="11">
        <f>U$29*'PEV Sales by Manufacturer'!$S69</f>
        <v>105592.412109375</v>
      </c>
      <c r="V67" s="11">
        <f>V$29*'PEV Sales by Manufacturer'!$S69</f>
        <v>104550.697265625</v>
      </c>
      <c r="W67" s="11">
        <f>W$29*'PEV Sales by Manufacturer'!$S69</f>
        <v>103567.25390625</v>
      </c>
      <c r="X67" s="11">
        <f>X$29*'PEV Sales by Manufacturer'!$S69</f>
        <v>102490.576171875</v>
      </c>
      <c r="Y67" s="11">
        <f>Y$29*'PEV Sales by Manufacturer'!$S69</f>
        <v>101609.33203125</v>
      </c>
      <c r="Z67" s="11">
        <f>Z$29*'PEV Sales by Manufacturer'!$S69</f>
        <v>100705.67578125</v>
      </c>
      <c r="AA67" s="11">
        <f>AA$29*'PEV Sales by Manufacturer'!$S69</f>
        <v>99731.197265625</v>
      </c>
      <c r="AB67" s="11">
        <f>AB$29*'PEV Sales by Manufacturer'!$S69</f>
        <v>98797.95703125</v>
      </c>
      <c r="AC67" s="11">
        <f>AC$29*'PEV Sales by Manufacturer'!$S69</f>
        <v>97818.099609375</v>
      </c>
      <c r="AD67" s="11">
        <f>AD$29*'PEV Sales by Manufacturer'!$S69</f>
        <v>96761.14453125</v>
      </c>
      <c r="AE67" s="11">
        <f>AE$29*'PEV Sales by Manufacturer'!$S69</f>
        <v>95736.462890625</v>
      </c>
      <c r="AF67" s="11">
        <f>AF$29*'PEV Sales by Manufacturer'!$S69</f>
        <v>94704.609375</v>
      </c>
      <c r="AG67" s="11"/>
      <c r="AH67" s="11"/>
    </row>
    <row r="68" spans="1:34" x14ac:dyDescent="0.2">
      <c r="A68" t="s">
        <v>78</v>
      </c>
      <c r="B68" s="11">
        <f>'PEV Sales by Manufacturer'!M70</f>
        <v>2521</v>
      </c>
      <c r="C68" s="11">
        <f>'PEV Sales by Manufacturer'!N70</f>
        <v>2512</v>
      </c>
      <c r="D68" s="11">
        <f>D$29*'PEV Sales by Manufacturer'!$S70</f>
        <v>6262.7848345588236</v>
      </c>
      <c r="E68" s="11">
        <f>E$29*'PEV Sales by Manufacturer'!$S70</f>
        <v>9189.8247242647067</v>
      </c>
      <c r="F68" s="11">
        <f>F$29*'PEV Sales by Manufacturer'!$S70</f>
        <v>12802.022426470588</v>
      </c>
      <c r="G68" s="11">
        <f>G$29*'PEV Sales by Manufacturer'!$S70</f>
        <v>15801.876838235296</v>
      </c>
      <c r="H68" s="11">
        <f>H$29*'PEV Sales by Manufacturer'!$S70</f>
        <v>17619.931066176472</v>
      </c>
      <c r="I68" s="11">
        <f>I$29*'PEV Sales by Manufacturer'!$S70</f>
        <v>18665.828125</v>
      </c>
      <c r="J68" s="11">
        <f>J$29*'PEV Sales by Manufacturer'!$S70</f>
        <v>18908.543198529413</v>
      </c>
      <c r="K68" s="11">
        <f>K$29*'PEV Sales by Manufacturer'!$S70</f>
        <v>19049.814338235294</v>
      </c>
      <c r="L68" s="11">
        <f>L$29*'PEV Sales by Manufacturer'!$S70</f>
        <v>18917.056985294119</v>
      </c>
      <c r="M68" s="11">
        <f>M$29*'PEV Sales by Manufacturer'!$S70</f>
        <v>18853.275735294119</v>
      </c>
      <c r="N68" s="11">
        <f>N$29*'PEV Sales by Manufacturer'!$S70</f>
        <v>18608.973345588238</v>
      </c>
      <c r="O68" s="11">
        <f>O$29*'PEV Sales by Manufacturer'!$S70</f>
        <v>18338.985294117647</v>
      </c>
      <c r="P68" s="11">
        <f>P$29*'PEV Sales by Manufacturer'!$S70</f>
        <v>18075.490808823532</v>
      </c>
      <c r="Q68" s="11">
        <f>Q$29*'PEV Sales by Manufacturer'!$S70</f>
        <v>17824.694852941178</v>
      </c>
      <c r="R68" s="11">
        <f>R$29*'PEV Sales by Manufacturer'!$S70</f>
        <v>17601.604779411766</v>
      </c>
      <c r="S68" s="11">
        <f>S$29*'PEV Sales by Manufacturer'!$S70</f>
        <v>17379.669117647059</v>
      </c>
      <c r="T68" s="11">
        <f>T$29*'PEV Sales by Manufacturer'!$S70</f>
        <v>17199.869485294119</v>
      </c>
      <c r="U68" s="11">
        <f>U$29*'PEV Sales by Manufacturer'!$S70</f>
        <v>16996.548713235294</v>
      </c>
      <c r="V68" s="11">
        <f>V$29*'PEV Sales by Manufacturer'!$S70</f>
        <v>16828.870404411766</v>
      </c>
      <c r="W68" s="11">
        <f>W$29*'PEV Sales by Manufacturer'!$S70</f>
        <v>16670.571691176472</v>
      </c>
      <c r="X68" s="11">
        <f>X$29*'PEV Sales by Manufacturer'!$S70</f>
        <v>16497.265625</v>
      </c>
      <c r="Y68" s="11">
        <f>Y$29*'PEV Sales by Manufacturer'!$S70</f>
        <v>16355.417279411766</v>
      </c>
      <c r="Z68" s="11">
        <f>Z$29*'PEV Sales by Manufacturer'!$S70</f>
        <v>16209.961397058825</v>
      </c>
      <c r="AA68" s="11">
        <f>AA$29*'PEV Sales by Manufacturer'!$S70</f>
        <v>16053.105698529413</v>
      </c>
      <c r="AB68" s="11">
        <f>AB$29*'PEV Sales by Manufacturer'!$S70</f>
        <v>15902.887867647059</v>
      </c>
      <c r="AC68" s="11">
        <f>AC$29*'PEV Sales by Manufacturer'!$S70</f>
        <v>15745.166360294119</v>
      </c>
      <c r="AD68" s="11">
        <f>AD$29*'PEV Sales by Manufacturer'!$S70</f>
        <v>15575.034926470589</v>
      </c>
      <c r="AE68" s="11">
        <f>AE$29*'PEV Sales by Manufacturer'!$S70</f>
        <v>15410.098345588236</v>
      </c>
      <c r="AF68" s="11">
        <f>AF$29*'PEV Sales by Manufacturer'!$S70</f>
        <v>15244.007352941177</v>
      </c>
      <c r="AG68" s="11"/>
      <c r="AH68" s="11"/>
    </row>
    <row r="69" spans="1:34" x14ac:dyDescent="0.2">
      <c r="A69" t="s">
        <v>79</v>
      </c>
      <c r="B69" s="11">
        <f>'PEV Sales by Manufacturer'!M71</f>
        <v>0</v>
      </c>
      <c r="C69" s="11">
        <f>'PEV Sales by Manufacturer'!N71</f>
        <v>0</v>
      </c>
      <c r="D69" s="11">
        <f>D$29*'PEV Sales by Manufacturer'!$S71</f>
        <v>0</v>
      </c>
      <c r="E69" s="11">
        <f>E$29*'PEV Sales by Manufacturer'!$S71</f>
        <v>0</v>
      </c>
      <c r="F69" s="11">
        <f>F$29*'PEV Sales by Manufacturer'!$S71</f>
        <v>0</v>
      </c>
      <c r="G69" s="11">
        <f>G$29*'PEV Sales by Manufacturer'!$S71</f>
        <v>0</v>
      </c>
      <c r="H69" s="11">
        <f>H$29*'PEV Sales by Manufacturer'!$S71</f>
        <v>0</v>
      </c>
      <c r="I69" s="11">
        <f>I$29*'PEV Sales by Manufacturer'!$S71</f>
        <v>0</v>
      </c>
      <c r="J69" s="11">
        <f>J$29*'PEV Sales by Manufacturer'!$S71</f>
        <v>0</v>
      </c>
      <c r="K69" s="11">
        <f>K$29*'PEV Sales by Manufacturer'!$S71</f>
        <v>0</v>
      </c>
      <c r="L69" s="11">
        <f>L$29*'PEV Sales by Manufacturer'!$S71</f>
        <v>0</v>
      </c>
      <c r="M69" s="11">
        <f>M$29*'PEV Sales by Manufacturer'!$S71</f>
        <v>0</v>
      </c>
      <c r="N69" s="11">
        <f>N$29*'PEV Sales by Manufacturer'!$S71</f>
        <v>0</v>
      </c>
      <c r="O69" s="11">
        <f>O$29*'PEV Sales by Manufacturer'!$S71</f>
        <v>0</v>
      </c>
      <c r="P69" s="11">
        <f>P$29*'PEV Sales by Manufacturer'!$S71</f>
        <v>0</v>
      </c>
      <c r="Q69" s="11">
        <f>Q$29*'PEV Sales by Manufacturer'!$S71</f>
        <v>0</v>
      </c>
      <c r="R69" s="11">
        <f>R$29*'PEV Sales by Manufacturer'!$S71</f>
        <v>0</v>
      </c>
      <c r="S69" s="11">
        <f>S$29*'PEV Sales by Manufacturer'!$S71</f>
        <v>0</v>
      </c>
      <c r="T69" s="11">
        <f>T$29*'PEV Sales by Manufacturer'!$S71</f>
        <v>0</v>
      </c>
      <c r="U69" s="11">
        <f>U$29*'PEV Sales by Manufacturer'!$S71</f>
        <v>0</v>
      </c>
      <c r="V69" s="11">
        <f>V$29*'PEV Sales by Manufacturer'!$S71</f>
        <v>0</v>
      </c>
      <c r="W69" s="11">
        <f>W$29*'PEV Sales by Manufacturer'!$S71</f>
        <v>0</v>
      </c>
      <c r="X69" s="11">
        <f>X$29*'PEV Sales by Manufacturer'!$S71</f>
        <v>0</v>
      </c>
      <c r="Y69" s="11">
        <f>Y$29*'PEV Sales by Manufacturer'!$S71</f>
        <v>0</v>
      </c>
      <c r="Z69" s="11">
        <f>Z$29*'PEV Sales by Manufacturer'!$S71</f>
        <v>0</v>
      </c>
      <c r="AA69" s="11">
        <f>AA$29*'PEV Sales by Manufacturer'!$S71</f>
        <v>0</v>
      </c>
      <c r="AB69" s="11">
        <f>AB$29*'PEV Sales by Manufacturer'!$S71</f>
        <v>0</v>
      </c>
      <c r="AC69" s="11">
        <f>AC$29*'PEV Sales by Manufacturer'!$S71</f>
        <v>0</v>
      </c>
      <c r="AD69" s="11">
        <f>AD$29*'PEV Sales by Manufacturer'!$S71</f>
        <v>0</v>
      </c>
      <c r="AE69" s="11">
        <f>AE$29*'PEV Sales by Manufacturer'!$S71</f>
        <v>0</v>
      </c>
      <c r="AF69" s="11">
        <f>AF$29*'PEV Sales by Manufacturer'!$S71</f>
        <v>0</v>
      </c>
      <c r="AG69" s="11"/>
      <c r="AH69" s="11"/>
    </row>
    <row r="70" spans="1:34" x14ac:dyDescent="0.2">
      <c r="A70" t="s">
        <v>80</v>
      </c>
      <c r="B70" s="11">
        <f>'PEV Sales by Manufacturer'!M72</f>
        <v>1236</v>
      </c>
      <c r="C70" s="11">
        <f>'PEV Sales by Manufacturer'!N72</f>
        <v>78</v>
      </c>
      <c r="D70" s="11">
        <f>D$29*'PEV Sales by Manufacturer'!$S72</f>
        <v>194.46545266544118</v>
      </c>
      <c r="E70" s="11">
        <f>E$29*'PEV Sales by Manufacturer'!$S72</f>
        <v>285.35283777573528</v>
      </c>
      <c r="F70" s="11">
        <f>F$29*'PEV Sales by Manufacturer'!$S72</f>
        <v>397.51502757352938</v>
      </c>
      <c r="G70" s="11">
        <f>G$29*'PEV Sales by Manufacturer'!$S72</f>
        <v>490.6633731617647</v>
      </c>
      <c r="H70" s="11">
        <f>H$29*'PEV Sales by Manufacturer'!$S72</f>
        <v>547.11569393382354</v>
      </c>
      <c r="I70" s="11">
        <f>I$29*'PEV Sales by Manufacturer'!$S72</f>
        <v>579.591796875</v>
      </c>
      <c r="J70" s="11">
        <f>J$29*'PEV Sales by Manufacturer'!$S72</f>
        <v>587.12833180147061</v>
      </c>
      <c r="K70" s="11">
        <f>K$29*'PEV Sales by Manufacturer'!$S72</f>
        <v>591.51493566176464</v>
      </c>
      <c r="L70" s="11">
        <f>L$29*'PEV Sales by Manufacturer'!$S72</f>
        <v>587.39269301470586</v>
      </c>
      <c r="M70" s="11">
        <f>M$29*'PEV Sales by Manufacturer'!$S72</f>
        <v>585.41222426470586</v>
      </c>
      <c r="N70" s="11">
        <f>N$29*'PEV Sales by Manufacturer'!$S72</f>
        <v>577.82640165441171</v>
      </c>
      <c r="O70" s="11">
        <f>O$29*'PEV Sales by Manufacturer'!$S72</f>
        <v>569.44301470588232</v>
      </c>
      <c r="P70" s="11">
        <f>P$29*'PEV Sales by Manufacturer'!$S72</f>
        <v>561.26125919117646</v>
      </c>
      <c r="Q70" s="11">
        <f>Q$29*'PEV Sales by Manufacturer'!$S72</f>
        <v>553.47380514705878</v>
      </c>
      <c r="R70" s="11">
        <f>R$29*'PEV Sales by Manufacturer'!$S72</f>
        <v>546.54664522058818</v>
      </c>
      <c r="S70" s="11">
        <f>S$29*'PEV Sales by Manufacturer'!$S72</f>
        <v>539.65533088235293</v>
      </c>
      <c r="T70" s="11">
        <f>T$29*'PEV Sales by Manufacturer'!$S72</f>
        <v>534.07238051470586</v>
      </c>
      <c r="U70" s="11">
        <f>U$29*'PEV Sales by Manufacturer'!$S72</f>
        <v>527.75907628676464</v>
      </c>
      <c r="V70" s="11">
        <f>V$29*'PEV Sales by Manufacturer'!$S72</f>
        <v>522.55250459558818</v>
      </c>
      <c r="W70" s="11">
        <f>W$29*'PEV Sales by Manufacturer'!$S72</f>
        <v>517.63717830882354</v>
      </c>
      <c r="X70" s="11">
        <f>X$29*'PEV Sales by Manufacturer'!$S72</f>
        <v>512.255859375</v>
      </c>
      <c r="Y70" s="11">
        <f>Y$29*'PEV Sales by Manufacturer'!$S72</f>
        <v>507.85133272058823</v>
      </c>
      <c r="Z70" s="11">
        <f>Z$29*'PEV Sales by Manufacturer'!$S72</f>
        <v>503.33478860294116</v>
      </c>
      <c r="AA70" s="11">
        <f>AA$29*'PEV Sales by Manufacturer'!$S72</f>
        <v>498.46426930147055</v>
      </c>
      <c r="AB70" s="11">
        <f>AB$29*'PEV Sales by Manufacturer'!$S72</f>
        <v>493.79986213235293</v>
      </c>
      <c r="AC70" s="11">
        <f>AC$29*'PEV Sales by Manufacturer'!$S72</f>
        <v>488.90245863970586</v>
      </c>
      <c r="AD70" s="11">
        <f>AD$29*'PEV Sales by Manufacturer'!$S72</f>
        <v>483.61971507352939</v>
      </c>
      <c r="AE70" s="11">
        <f>AE$29*'PEV Sales by Manufacturer'!$S72</f>
        <v>478.49827665441177</v>
      </c>
      <c r="AF70" s="11">
        <f>AF$29*'PEV Sales by Manufacturer'!$S72</f>
        <v>473.34099264705878</v>
      </c>
      <c r="AG70" s="11"/>
      <c r="AH70" s="11"/>
    </row>
    <row r="71" spans="1:34" x14ac:dyDescent="0.2">
      <c r="A71" t="s">
        <v>81</v>
      </c>
      <c r="B71" s="11">
        <f>'PEV Sales by Manufacturer'!M73</f>
        <v>1964</v>
      </c>
      <c r="C71" s="11">
        <f>'PEV Sales by Manufacturer'!N73</f>
        <v>2250</v>
      </c>
      <c r="D71" s="11">
        <f>D$29*'PEV Sales by Manufacturer'!$S73</f>
        <v>5609.580365349264</v>
      </c>
      <c r="E71" s="11">
        <f>E$29*'PEV Sales by Manufacturer'!$S73</f>
        <v>8231.3318589154405</v>
      </c>
      <c r="F71" s="11">
        <f>F$29*'PEV Sales by Manufacturer'!$S73</f>
        <v>11466.779641544117</v>
      </c>
      <c r="G71" s="11">
        <f>G$29*'PEV Sales by Manufacturer'!$S73</f>
        <v>14153.751148897058</v>
      </c>
      <c r="H71" s="11">
        <f>H$29*'PEV Sales by Manufacturer'!$S73</f>
        <v>15782.183478860294</v>
      </c>
      <c r="I71" s="11">
        <f>I$29*'PEV Sales by Manufacturer'!$S73</f>
        <v>16718.994140625</v>
      </c>
      <c r="J71" s="11">
        <f>J$29*'PEV Sales by Manufacturer'!$S73</f>
        <v>16936.394186580881</v>
      </c>
      <c r="K71" s="11">
        <f>K$29*'PEV Sales by Manufacturer'!$S73</f>
        <v>17062.930836397059</v>
      </c>
      <c r="L71" s="11">
        <f>L$29*'PEV Sales by Manufacturer'!$S73</f>
        <v>16944.019990808822</v>
      </c>
      <c r="M71" s="11">
        <f>M$29*'PEV Sales by Manufacturer'!$S73</f>
        <v>16886.891084558822</v>
      </c>
      <c r="N71" s="11">
        <f>N$29*'PEV Sales by Manufacturer'!$S73</f>
        <v>16668.069278492647</v>
      </c>
      <c r="O71" s="11">
        <f>O$29*'PEV Sales by Manufacturer'!$S73</f>
        <v>16426.240808823528</v>
      </c>
      <c r="P71" s="11">
        <f>P$29*'PEV Sales by Manufacturer'!$S73</f>
        <v>16190.228630514704</v>
      </c>
      <c r="Q71" s="11">
        <f>Q$29*'PEV Sales by Manufacturer'!$S73</f>
        <v>15965.590533088234</v>
      </c>
      <c r="R71" s="11">
        <f>R$29*'PEV Sales by Manufacturer'!$S73</f>
        <v>15765.768612132351</v>
      </c>
      <c r="S71" s="11">
        <f>S$29*'PEV Sales by Manufacturer'!$S73</f>
        <v>15566.980698529411</v>
      </c>
      <c r="T71" s="11">
        <f>T$29*'PEV Sales by Manufacturer'!$S73</f>
        <v>15405.934053308823</v>
      </c>
      <c r="U71" s="11">
        <f>U$29*'PEV Sales by Manufacturer'!$S73</f>
        <v>15223.819508272058</v>
      </c>
      <c r="V71" s="11">
        <f>V$29*'PEV Sales by Manufacturer'!$S73</f>
        <v>15073.629940257351</v>
      </c>
      <c r="W71" s="11">
        <f>W$29*'PEV Sales by Manufacturer'!$S73</f>
        <v>14931.841681985294</v>
      </c>
      <c r="X71" s="11">
        <f>X$29*'PEV Sales by Manufacturer'!$S73</f>
        <v>14776.611328124998</v>
      </c>
      <c r="Y71" s="11">
        <f>Y$29*'PEV Sales by Manufacturer'!$S73</f>
        <v>14649.557674632351</v>
      </c>
      <c r="Z71" s="11">
        <f>Z$29*'PEV Sales by Manufacturer'!$S73</f>
        <v>14519.272748161764</v>
      </c>
      <c r="AA71" s="11">
        <f>AA$29*'PEV Sales by Manufacturer'!$S73</f>
        <v>14378.776999080881</v>
      </c>
      <c r="AB71" s="11">
        <f>AB$29*'PEV Sales by Manufacturer'!$S73</f>
        <v>14244.226792279411</v>
      </c>
      <c r="AC71" s="11">
        <f>AC$29*'PEV Sales by Manufacturer'!$S73</f>
        <v>14102.955537683823</v>
      </c>
      <c r="AD71" s="11">
        <f>AD$29*'PEV Sales by Manufacturer'!$S73</f>
        <v>13950.568704044117</v>
      </c>
      <c r="AE71" s="11">
        <f>AE$29*'PEV Sales by Manufacturer'!$S73</f>
        <v>13802.834903492647</v>
      </c>
      <c r="AF71" s="11">
        <f>AF$29*'PEV Sales by Manufacturer'!$S73</f>
        <v>13654.067095588234</v>
      </c>
      <c r="AG71" s="11"/>
      <c r="AH71" s="11"/>
    </row>
    <row r="72" spans="1:34" x14ac:dyDescent="0.2">
      <c r="A72" t="s">
        <v>82</v>
      </c>
      <c r="B72" s="11">
        <f>'PEV Sales by Manufacturer'!M74</f>
        <v>0</v>
      </c>
      <c r="C72" s="11">
        <f>'PEV Sales by Manufacturer'!N74</f>
        <v>0</v>
      </c>
      <c r="D72" s="11">
        <f>D$29*'PEV Sales by Manufacturer'!$S74</f>
        <v>0</v>
      </c>
      <c r="E72" s="11">
        <f>E$29*'PEV Sales by Manufacturer'!$S74</f>
        <v>0</v>
      </c>
      <c r="F72" s="11">
        <f>F$29*'PEV Sales by Manufacturer'!$S74</f>
        <v>0</v>
      </c>
      <c r="G72" s="11">
        <f>G$29*'PEV Sales by Manufacturer'!$S74</f>
        <v>0</v>
      </c>
      <c r="H72" s="11">
        <f>H$29*'PEV Sales by Manufacturer'!$S74</f>
        <v>0</v>
      </c>
      <c r="I72" s="11">
        <f>I$29*'PEV Sales by Manufacturer'!$S74</f>
        <v>0</v>
      </c>
      <c r="J72" s="11">
        <f>J$29*'PEV Sales by Manufacturer'!$S74</f>
        <v>0</v>
      </c>
      <c r="K72" s="11">
        <f>K$29*'PEV Sales by Manufacturer'!$S74</f>
        <v>0</v>
      </c>
      <c r="L72" s="11">
        <f>L$29*'PEV Sales by Manufacturer'!$S74</f>
        <v>0</v>
      </c>
      <c r="M72" s="11">
        <f>M$29*'PEV Sales by Manufacturer'!$S74</f>
        <v>0</v>
      </c>
      <c r="N72" s="11">
        <f>N$29*'PEV Sales by Manufacturer'!$S74</f>
        <v>0</v>
      </c>
      <c r="O72" s="11">
        <f>O$29*'PEV Sales by Manufacturer'!$S74</f>
        <v>0</v>
      </c>
      <c r="P72" s="11">
        <f>P$29*'PEV Sales by Manufacturer'!$S74</f>
        <v>0</v>
      </c>
      <c r="Q72" s="11">
        <f>Q$29*'PEV Sales by Manufacturer'!$S74</f>
        <v>0</v>
      </c>
      <c r="R72" s="11">
        <f>R$29*'PEV Sales by Manufacturer'!$S74</f>
        <v>0</v>
      </c>
      <c r="S72" s="11">
        <f>S$29*'PEV Sales by Manufacturer'!$S74</f>
        <v>0</v>
      </c>
      <c r="T72" s="11">
        <f>T$29*'PEV Sales by Manufacturer'!$S74</f>
        <v>0</v>
      </c>
      <c r="U72" s="11">
        <f>U$29*'PEV Sales by Manufacturer'!$S74</f>
        <v>0</v>
      </c>
      <c r="V72" s="11">
        <f>V$29*'PEV Sales by Manufacturer'!$S74</f>
        <v>0</v>
      </c>
      <c r="W72" s="11">
        <f>W$29*'PEV Sales by Manufacturer'!$S74</f>
        <v>0</v>
      </c>
      <c r="X72" s="11">
        <f>X$29*'PEV Sales by Manufacturer'!$S74</f>
        <v>0</v>
      </c>
      <c r="Y72" s="11">
        <f>Y$29*'PEV Sales by Manufacturer'!$S74</f>
        <v>0</v>
      </c>
      <c r="Z72" s="11">
        <f>Z$29*'PEV Sales by Manufacturer'!$S74</f>
        <v>0</v>
      </c>
      <c r="AA72" s="11">
        <f>AA$29*'PEV Sales by Manufacturer'!$S74</f>
        <v>0</v>
      </c>
      <c r="AB72" s="11">
        <f>AB$29*'PEV Sales by Manufacturer'!$S74</f>
        <v>0</v>
      </c>
      <c r="AC72" s="11">
        <f>AC$29*'PEV Sales by Manufacturer'!$S74</f>
        <v>0</v>
      </c>
      <c r="AD72" s="11">
        <f>AD$29*'PEV Sales by Manufacturer'!$S74</f>
        <v>0</v>
      </c>
      <c r="AE72" s="11">
        <f>AE$29*'PEV Sales by Manufacturer'!$S74</f>
        <v>0</v>
      </c>
      <c r="AF72" s="11">
        <f>AF$29*'PEV Sales by Manufacturer'!$S74</f>
        <v>0</v>
      </c>
      <c r="AG72" s="11"/>
      <c r="AH72" s="11"/>
    </row>
    <row r="73" spans="1:34" x14ac:dyDescent="0.2">
      <c r="A73" t="s">
        <v>83</v>
      </c>
      <c r="B73" s="11">
        <f>'PEV Sales by Manufacturer'!M75</f>
        <v>1471</v>
      </c>
      <c r="C73" s="11">
        <f>'PEV Sales by Manufacturer'!N75</f>
        <v>603</v>
      </c>
      <c r="D73" s="11">
        <f>D$29*'PEV Sales by Manufacturer'!$S75</f>
        <v>1503.367537913603</v>
      </c>
      <c r="E73" s="11">
        <f>E$29*'PEV Sales by Manufacturer'!$S75</f>
        <v>2205.9969381893379</v>
      </c>
      <c r="F73" s="11">
        <f>F$29*'PEV Sales by Manufacturer'!$S75</f>
        <v>3073.0969439338232</v>
      </c>
      <c r="G73" s="11">
        <f>G$29*'PEV Sales by Manufacturer'!$S75</f>
        <v>3793.2053079044117</v>
      </c>
      <c r="H73" s="11">
        <f>H$29*'PEV Sales by Manufacturer'!$S75</f>
        <v>4229.6251723345586</v>
      </c>
      <c r="I73" s="11">
        <f>I$29*'PEV Sales by Manufacturer'!$S75</f>
        <v>4480.6904296875</v>
      </c>
      <c r="J73" s="11">
        <f>J$29*'PEV Sales by Manufacturer'!$S75</f>
        <v>4538.9536420036766</v>
      </c>
      <c r="K73" s="11">
        <f>K$29*'PEV Sales by Manufacturer'!$S75</f>
        <v>4572.8654641544117</v>
      </c>
      <c r="L73" s="11">
        <f>L$29*'PEV Sales by Manufacturer'!$S75</f>
        <v>4540.9973575367649</v>
      </c>
      <c r="M73" s="11">
        <f>M$29*'PEV Sales by Manufacturer'!$S75</f>
        <v>4525.6868106617649</v>
      </c>
      <c r="N73" s="11">
        <f>N$29*'PEV Sales by Manufacturer'!$S75</f>
        <v>4467.0425666360288</v>
      </c>
      <c r="O73" s="11">
        <f>O$29*'PEV Sales by Manufacturer'!$S75</f>
        <v>4402.2325367647054</v>
      </c>
      <c r="P73" s="11">
        <f>P$29*'PEV Sales by Manufacturer'!$S75</f>
        <v>4338.9812729779405</v>
      </c>
      <c r="Q73" s="11">
        <f>Q$29*'PEV Sales by Manufacturer'!$S75</f>
        <v>4278.7782628676468</v>
      </c>
      <c r="R73" s="11">
        <f>R$29*'PEV Sales by Manufacturer'!$S75</f>
        <v>4225.2259880514703</v>
      </c>
      <c r="S73" s="11">
        <f>S$29*'PEV Sales by Manufacturer'!$S75</f>
        <v>4171.950827205882</v>
      </c>
      <c r="T73" s="11">
        <f>T$29*'PEV Sales by Manufacturer'!$S75</f>
        <v>4128.7903262867649</v>
      </c>
      <c r="U73" s="11">
        <f>U$29*'PEV Sales by Manufacturer'!$S75</f>
        <v>4079.9836282169117</v>
      </c>
      <c r="V73" s="11">
        <f>V$29*'PEV Sales by Manufacturer'!$S75</f>
        <v>4039.7328239889703</v>
      </c>
      <c r="W73" s="11">
        <f>W$29*'PEV Sales by Manufacturer'!$S75</f>
        <v>4001.7335707720586</v>
      </c>
      <c r="X73" s="11">
        <f>X$29*'PEV Sales by Manufacturer'!$S75</f>
        <v>3960.1318359375</v>
      </c>
      <c r="Y73" s="11">
        <f>Y$29*'PEV Sales by Manufacturer'!$S75</f>
        <v>3926.0814568014703</v>
      </c>
      <c r="Z73" s="11">
        <f>Z$29*'PEV Sales by Manufacturer'!$S75</f>
        <v>3891.1650965073527</v>
      </c>
      <c r="AA73" s="11">
        <f>AA$29*'PEV Sales by Manufacturer'!$S75</f>
        <v>3853.5122357536761</v>
      </c>
      <c r="AB73" s="11">
        <f>AB$29*'PEV Sales by Manufacturer'!$S75</f>
        <v>3817.452780330882</v>
      </c>
      <c r="AC73" s="11">
        <f>AC$29*'PEV Sales by Manufacturer'!$S75</f>
        <v>3779.5920840992644</v>
      </c>
      <c r="AD73" s="11">
        <f>AD$29*'PEV Sales by Manufacturer'!$S75</f>
        <v>3738.7524126838234</v>
      </c>
      <c r="AE73" s="11">
        <f>AE$29*'PEV Sales by Manufacturer'!$S75</f>
        <v>3699.1597541360293</v>
      </c>
      <c r="AF73" s="11">
        <f>AF$29*'PEV Sales by Manufacturer'!$S75</f>
        <v>3659.2899816176468</v>
      </c>
      <c r="AG73" s="11"/>
      <c r="AH73" s="11"/>
    </row>
    <row r="74" spans="1:34" x14ac:dyDescent="0.2">
      <c r="A74" t="s">
        <v>84</v>
      </c>
      <c r="B74" s="11">
        <f>'PEV Sales by Manufacturer'!M76</f>
        <v>2514</v>
      </c>
      <c r="C74" s="11">
        <f>'PEV Sales by Manufacturer'!N76</f>
        <v>2618</v>
      </c>
      <c r="D74" s="11">
        <f>D$29*'PEV Sales by Manufacturer'!$S76</f>
        <v>6527.0583984374998</v>
      </c>
      <c r="E74" s="11">
        <f>E$29*'PEV Sales by Manufacturer'!$S76</f>
        <v>9577.6119140624996</v>
      </c>
      <c r="F74" s="11">
        <f>F$29*'PEV Sales by Manufacturer'!$S76</f>
        <v>13342.235156250001</v>
      </c>
      <c r="G74" s="11">
        <f>G$29*'PEV Sales by Manufacturer'!$S76</f>
        <v>16468.67578125</v>
      </c>
      <c r="H74" s="11">
        <f>H$29*'PEV Sales by Manufacturer'!$S76</f>
        <v>18363.447265625</v>
      </c>
      <c r="I74" s="11">
        <f>I$29*'PEV Sales by Manufacturer'!$S76</f>
        <v>19453.478515625</v>
      </c>
      <c r="J74" s="11">
        <f>J$29*'PEV Sales by Manufacturer'!$S76</f>
        <v>19706.435546875</v>
      </c>
      <c r="K74" s="11">
        <f>K$29*'PEV Sales by Manufacturer'!$S76</f>
        <v>19853.66796875</v>
      </c>
      <c r="L74" s="11">
        <f>L$29*'PEV Sales by Manufacturer'!$S76</f>
        <v>19715.30859375</v>
      </c>
      <c r="M74" s="11">
        <f>M$29*'PEV Sales by Manufacturer'!$S76</f>
        <v>19648.8359375</v>
      </c>
      <c r="N74" s="11">
        <f>N$29*'PEV Sales by Manufacturer'!$S76</f>
        <v>19394.224609375</v>
      </c>
      <c r="O74" s="11">
        <f>O$29*'PEV Sales by Manufacturer'!$S76</f>
        <v>19112.84375</v>
      </c>
      <c r="P74" s="11">
        <f>P$29*'PEV Sales by Manufacturer'!$S76</f>
        <v>18838.23046875</v>
      </c>
      <c r="Q74" s="11">
        <f>Q$29*'PEV Sales by Manufacturer'!$S76</f>
        <v>18576.8515625</v>
      </c>
      <c r="R74" s="11">
        <f>R$29*'PEV Sales by Manufacturer'!$S76</f>
        <v>18344.34765625</v>
      </c>
      <c r="S74" s="11">
        <f>S$29*'PEV Sales by Manufacturer'!$S76</f>
        <v>18113.046875</v>
      </c>
      <c r="T74" s="11">
        <f>T$29*'PEV Sales by Manufacturer'!$S76</f>
        <v>17925.66015625</v>
      </c>
      <c r="U74" s="11">
        <f>U$29*'PEV Sales by Manufacturer'!$S76</f>
        <v>17713.759765625</v>
      </c>
      <c r="V74" s="11">
        <f>V$29*'PEV Sales by Manufacturer'!$S76</f>
        <v>17539.005859375</v>
      </c>
      <c r="W74" s="11">
        <f>W$29*'PEV Sales by Manufacturer'!$S76</f>
        <v>17374.02734375</v>
      </c>
      <c r="X74" s="11">
        <f>X$29*'PEV Sales by Manufacturer'!$S76</f>
        <v>17193.408203125</v>
      </c>
      <c r="Y74" s="11">
        <f>Y$29*'PEV Sales by Manufacturer'!$S76</f>
        <v>17045.57421875</v>
      </c>
      <c r="Z74" s="11">
        <f>Z$29*'PEV Sales by Manufacturer'!$S76</f>
        <v>16893.98046875</v>
      </c>
      <c r="AA74" s="11">
        <f>AA$29*'PEV Sales by Manufacturer'!$S76</f>
        <v>16730.505859375</v>
      </c>
      <c r="AB74" s="11">
        <f>AB$29*'PEV Sales by Manufacturer'!$S76</f>
        <v>16573.94921875</v>
      </c>
      <c r="AC74" s="11">
        <f>AC$29*'PEV Sales by Manufacturer'!$S76</f>
        <v>16409.572265625</v>
      </c>
      <c r="AD74" s="11">
        <f>AD$29*'PEV Sales by Manufacturer'!$S76</f>
        <v>16232.26171875</v>
      </c>
      <c r="AE74" s="11">
        <f>AE$29*'PEV Sales by Manufacturer'!$S76</f>
        <v>16060.365234375</v>
      </c>
      <c r="AF74" s="11">
        <f>AF$29*'PEV Sales by Manufacturer'!$S76</f>
        <v>15887.265625</v>
      </c>
      <c r="AG74" s="11"/>
      <c r="AH74" s="11"/>
    </row>
    <row r="75" spans="1:34" x14ac:dyDescent="0.2">
      <c r="A75" t="s">
        <v>85</v>
      </c>
      <c r="B75" s="11">
        <f>'PEV Sales by Manufacturer'!M77</f>
        <v>0</v>
      </c>
      <c r="C75" s="11">
        <f>'PEV Sales by Manufacturer'!N77</f>
        <v>0</v>
      </c>
      <c r="D75" s="11">
        <f>D$29*'PEV Sales by Manufacturer'!$S77</f>
        <v>0</v>
      </c>
      <c r="E75" s="11">
        <f>E$29*'PEV Sales by Manufacturer'!$S77</f>
        <v>0</v>
      </c>
      <c r="F75" s="11">
        <f>F$29*'PEV Sales by Manufacturer'!$S77</f>
        <v>0</v>
      </c>
      <c r="G75" s="11">
        <f>G$29*'PEV Sales by Manufacturer'!$S77</f>
        <v>0</v>
      </c>
      <c r="H75" s="11">
        <f>H$29*'PEV Sales by Manufacturer'!$S77</f>
        <v>0</v>
      </c>
      <c r="I75" s="11">
        <f>I$29*'PEV Sales by Manufacturer'!$S77</f>
        <v>0</v>
      </c>
      <c r="J75" s="11">
        <f>J$29*'PEV Sales by Manufacturer'!$S77</f>
        <v>0</v>
      </c>
      <c r="K75" s="11">
        <f>K$29*'PEV Sales by Manufacturer'!$S77</f>
        <v>0</v>
      </c>
      <c r="L75" s="11">
        <f>L$29*'PEV Sales by Manufacturer'!$S77</f>
        <v>0</v>
      </c>
      <c r="M75" s="11">
        <f>M$29*'PEV Sales by Manufacturer'!$S77</f>
        <v>0</v>
      </c>
      <c r="N75" s="11">
        <f>N$29*'PEV Sales by Manufacturer'!$S77</f>
        <v>0</v>
      </c>
      <c r="O75" s="11">
        <f>O$29*'PEV Sales by Manufacturer'!$S77</f>
        <v>0</v>
      </c>
      <c r="P75" s="11">
        <f>P$29*'PEV Sales by Manufacturer'!$S77</f>
        <v>0</v>
      </c>
      <c r="Q75" s="11">
        <f>Q$29*'PEV Sales by Manufacturer'!$S77</f>
        <v>0</v>
      </c>
      <c r="R75" s="11">
        <f>R$29*'PEV Sales by Manufacturer'!$S77</f>
        <v>0</v>
      </c>
      <c r="S75" s="11">
        <f>S$29*'PEV Sales by Manufacturer'!$S77</f>
        <v>0</v>
      </c>
      <c r="T75" s="11">
        <f>T$29*'PEV Sales by Manufacturer'!$S77</f>
        <v>0</v>
      </c>
      <c r="U75" s="11">
        <f>U$29*'PEV Sales by Manufacturer'!$S77</f>
        <v>0</v>
      </c>
      <c r="V75" s="11">
        <f>V$29*'PEV Sales by Manufacturer'!$S77</f>
        <v>0</v>
      </c>
      <c r="W75" s="11">
        <f>W$29*'PEV Sales by Manufacturer'!$S77</f>
        <v>0</v>
      </c>
      <c r="X75" s="11">
        <f>X$29*'PEV Sales by Manufacturer'!$S77</f>
        <v>0</v>
      </c>
      <c r="Y75" s="11">
        <f>Y$29*'PEV Sales by Manufacturer'!$S77</f>
        <v>0</v>
      </c>
      <c r="Z75" s="11">
        <f>Z$29*'PEV Sales by Manufacturer'!$S77</f>
        <v>0</v>
      </c>
      <c r="AA75" s="11">
        <f>AA$29*'PEV Sales by Manufacturer'!$S77</f>
        <v>0</v>
      </c>
      <c r="AB75" s="11">
        <f>AB$29*'PEV Sales by Manufacturer'!$S77</f>
        <v>0</v>
      </c>
      <c r="AC75" s="11">
        <f>AC$29*'PEV Sales by Manufacturer'!$S77</f>
        <v>0</v>
      </c>
      <c r="AD75" s="11">
        <f>AD$29*'PEV Sales by Manufacturer'!$S77</f>
        <v>0</v>
      </c>
      <c r="AE75" s="11">
        <f>AE$29*'PEV Sales by Manufacturer'!$S77</f>
        <v>0</v>
      </c>
      <c r="AF75" s="11">
        <f>AF$29*'PEV Sales by Manufacturer'!$S77</f>
        <v>0</v>
      </c>
      <c r="AG75" s="11"/>
      <c r="AH75" s="11"/>
    </row>
    <row r="76" spans="1:34" x14ac:dyDescent="0.2">
      <c r="A76" t="s">
        <v>86</v>
      </c>
      <c r="B76" s="11">
        <f>'PEV Sales by Manufacturer'!M78</f>
        <v>0</v>
      </c>
      <c r="C76" s="11">
        <f>'PEV Sales by Manufacturer'!N78</f>
        <v>0</v>
      </c>
      <c r="D76" s="11">
        <f>D$29*'PEV Sales by Manufacturer'!$S78</f>
        <v>0</v>
      </c>
      <c r="E76" s="11">
        <f>E$29*'PEV Sales by Manufacturer'!$S78</f>
        <v>0</v>
      </c>
      <c r="F76" s="11">
        <f>F$29*'PEV Sales by Manufacturer'!$S78</f>
        <v>0</v>
      </c>
      <c r="G76" s="11">
        <f>G$29*'PEV Sales by Manufacturer'!$S78</f>
        <v>0</v>
      </c>
      <c r="H76" s="11">
        <f>H$29*'PEV Sales by Manufacturer'!$S78</f>
        <v>0</v>
      </c>
      <c r="I76" s="11">
        <f>I$29*'PEV Sales by Manufacturer'!$S78</f>
        <v>0</v>
      </c>
      <c r="J76" s="11">
        <f>J$29*'PEV Sales by Manufacturer'!$S78</f>
        <v>0</v>
      </c>
      <c r="K76" s="11">
        <f>K$29*'PEV Sales by Manufacturer'!$S78</f>
        <v>0</v>
      </c>
      <c r="L76" s="11">
        <f>L$29*'PEV Sales by Manufacturer'!$S78</f>
        <v>0</v>
      </c>
      <c r="M76" s="11">
        <f>M$29*'PEV Sales by Manufacturer'!$S78</f>
        <v>0</v>
      </c>
      <c r="N76" s="11">
        <f>N$29*'PEV Sales by Manufacturer'!$S78</f>
        <v>0</v>
      </c>
      <c r="O76" s="11">
        <f>O$29*'PEV Sales by Manufacturer'!$S78</f>
        <v>0</v>
      </c>
      <c r="P76" s="11">
        <f>P$29*'PEV Sales by Manufacturer'!$S78</f>
        <v>0</v>
      </c>
      <c r="Q76" s="11">
        <f>Q$29*'PEV Sales by Manufacturer'!$S78</f>
        <v>0</v>
      </c>
      <c r="R76" s="11">
        <f>R$29*'PEV Sales by Manufacturer'!$S78</f>
        <v>0</v>
      </c>
      <c r="S76" s="11">
        <f>S$29*'PEV Sales by Manufacturer'!$S78</f>
        <v>0</v>
      </c>
      <c r="T76" s="11">
        <f>T$29*'PEV Sales by Manufacturer'!$S78</f>
        <v>0</v>
      </c>
      <c r="U76" s="11">
        <f>U$29*'PEV Sales by Manufacturer'!$S78</f>
        <v>0</v>
      </c>
      <c r="V76" s="11">
        <f>V$29*'PEV Sales by Manufacturer'!$S78</f>
        <v>0</v>
      </c>
      <c r="W76" s="11">
        <f>W$29*'PEV Sales by Manufacturer'!$S78</f>
        <v>0</v>
      </c>
      <c r="X76" s="11">
        <f>X$29*'PEV Sales by Manufacturer'!$S78</f>
        <v>0</v>
      </c>
      <c r="Y76" s="11">
        <f>Y$29*'PEV Sales by Manufacturer'!$S78</f>
        <v>0</v>
      </c>
      <c r="Z76" s="11">
        <f>Z$29*'PEV Sales by Manufacturer'!$S78</f>
        <v>0</v>
      </c>
      <c r="AA76" s="11">
        <f>AA$29*'PEV Sales by Manufacturer'!$S78</f>
        <v>0</v>
      </c>
      <c r="AB76" s="11">
        <f>AB$29*'PEV Sales by Manufacturer'!$S78</f>
        <v>0</v>
      </c>
      <c r="AC76" s="11">
        <f>AC$29*'PEV Sales by Manufacturer'!$S78</f>
        <v>0</v>
      </c>
      <c r="AD76" s="11">
        <f>AD$29*'PEV Sales by Manufacturer'!$S78</f>
        <v>0</v>
      </c>
      <c r="AE76" s="11">
        <f>AE$29*'PEV Sales by Manufacturer'!$S78</f>
        <v>0</v>
      </c>
      <c r="AF76" s="11">
        <f>AF$29*'PEV Sales by Manufacturer'!$S78</f>
        <v>0</v>
      </c>
      <c r="AG76" s="11"/>
      <c r="AH76" s="11"/>
    </row>
    <row r="77" spans="1:34" x14ac:dyDescent="0.2">
      <c r="A77" t="s">
        <v>87</v>
      </c>
      <c r="B77" s="11">
        <f>'PEV Sales by Manufacturer'!M79</f>
        <v>0</v>
      </c>
      <c r="C77" s="11">
        <f>'PEV Sales by Manufacturer'!N79</f>
        <v>0</v>
      </c>
      <c r="D77" s="11">
        <f>D$29*'PEV Sales by Manufacturer'!$S79</f>
        <v>0</v>
      </c>
      <c r="E77" s="11">
        <f>E$29*'PEV Sales by Manufacturer'!$S79</f>
        <v>0</v>
      </c>
      <c r="F77" s="11">
        <f>F$29*'PEV Sales by Manufacturer'!$S79</f>
        <v>0</v>
      </c>
      <c r="G77" s="11">
        <f>G$29*'PEV Sales by Manufacturer'!$S79</f>
        <v>0</v>
      </c>
      <c r="H77" s="11">
        <f>H$29*'PEV Sales by Manufacturer'!$S79</f>
        <v>0</v>
      </c>
      <c r="I77" s="11">
        <f>I$29*'PEV Sales by Manufacturer'!$S79</f>
        <v>0</v>
      </c>
      <c r="J77" s="11">
        <f>J$29*'PEV Sales by Manufacturer'!$S79</f>
        <v>0</v>
      </c>
      <c r="K77" s="11">
        <f>K$29*'PEV Sales by Manufacturer'!$S79</f>
        <v>0</v>
      </c>
      <c r="L77" s="11">
        <f>L$29*'PEV Sales by Manufacturer'!$S79</f>
        <v>0</v>
      </c>
      <c r="M77" s="11">
        <f>M$29*'PEV Sales by Manufacturer'!$S79</f>
        <v>0</v>
      </c>
      <c r="N77" s="11">
        <f>N$29*'PEV Sales by Manufacturer'!$S79</f>
        <v>0</v>
      </c>
      <c r="O77" s="11">
        <f>O$29*'PEV Sales by Manufacturer'!$S79</f>
        <v>0</v>
      </c>
      <c r="P77" s="11">
        <f>P$29*'PEV Sales by Manufacturer'!$S79</f>
        <v>0</v>
      </c>
      <c r="Q77" s="11">
        <f>Q$29*'PEV Sales by Manufacturer'!$S79</f>
        <v>0</v>
      </c>
      <c r="R77" s="11">
        <f>R$29*'PEV Sales by Manufacturer'!$S79</f>
        <v>0</v>
      </c>
      <c r="S77" s="11">
        <f>S$29*'PEV Sales by Manufacturer'!$S79</f>
        <v>0</v>
      </c>
      <c r="T77" s="11">
        <f>T$29*'PEV Sales by Manufacturer'!$S79</f>
        <v>0</v>
      </c>
      <c r="U77" s="11">
        <f>U$29*'PEV Sales by Manufacturer'!$S79</f>
        <v>0</v>
      </c>
      <c r="V77" s="11">
        <f>V$29*'PEV Sales by Manufacturer'!$S79</f>
        <v>0</v>
      </c>
      <c r="W77" s="11">
        <f>W$29*'PEV Sales by Manufacturer'!$S79</f>
        <v>0</v>
      </c>
      <c r="X77" s="11">
        <f>X$29*'PEV Sales by Manufacturer'!$S79</f>
        <v>0</v>
      </c>
      <c r="Y77" s="11">
        <f>Y$29*'PEV Sales by Manufacturer'!$S79</f>
        <v>0</v>
      </c>
      <c r="Z77" s="11">
        <f>Z$29*'PEV Sales by Manufacturer'!$S79</f>
        <v>0</v>
      </c>
      <c r="AA77" s="11">
        <f>AA$29*'PEV Sales by Manufacturer'!$S79</f>
        <v>0</v>
      </c>
      <c r="AB77" s="11">
        <f>AB$29*'PEV Sales by Manufacturer'!$S79</f>
        <v>0</v>
      </c>
      <c r="AC77" s="11">
        <f>AC$29*'PEV Sales by Manufacturer'!$S79</f>
        <v>0</v>
      </c>
      <c r="AD77" s="11">
        <f>AD$29*'PEV Sales by Manufacturer'!$S79</f>
        <v>0</v>
      </c>
      <c r="AE77" s="11">
        <f>AE$29*'PEV Sales by Manufacturer'!$S79</f>
        <v>0</v>
      </c>
      <c r="AF77" s="11">
        <f>AF$29*'PEV Sales by Manufacturer'!$S79</f>
        <v>0</v>
      </c>
      <c r="AG77" s="11"/>
      <c r="AH77" s="11"/>
    </row>
    <row r="79" spans="1:34" x14ac:dyDescent="0.2">
      <c r="A79" s="1" t="s">
        <v>93</v>
      </c>
      <c r="C79">
        <v>2020</v>
      </c>
      <c r="D79">
        <v>2021</v>
      </c>
      <c r="E79">
        <v>2022</v>
      </c>
      <c r="F79">
        <v>2023</v>
      </c>
      <c r="G79">
        <v>2024</v>
      </c>
      <c r="H79">
        <v>2025</v>
      </c>
      <c r="I79">
        <v>2026</v>
      </c>
      <c r="J79">
        <v>2027</v>
      </c>
      <c r="K79">
        <v>2028</v>
      </c>
      <c r="L79">
        <v>2029</v>
      </c>
      <c r="M79">
        <v>2030</v>
      </c>
      <c r="N79">
        <v>2031</v>
      </c>
      <c r="O79">
        <v>2032</v>
      </c>
      <c r="P79">
        <v>2033</v>
      </c>
      <c r="Q79">
        <v>2034</v>
      </c>
      <c r="R79">
        <v>2035</v>
      </c>
      <c r="S79">
        <v>2036</v>
      </c>
      <c r="T79">
        <v>2037</v>
      </c>
      <c r="U79">
        <v>2038</v>
      </c>
      <c r="V79">
        <v>2039</v>
      </c>
      <c r="W79">
        <v>2040</v>
      </c>
      <c r="X79">
        <v>2041</v>
      </c>
      <c r="Y79">
        <v>2042</v>
      </c>
      <c r="Z79">
        <v>2043</v>
      </c>
      <c r="AA79">
        <v>2044</v>
      </c>
      <c r="AB79">
        <v>2045</v>
      </c>
      <c r="AC79">
        <v>2046</v>
      </c>
      <c r="AD79">
        <v>2047</v>
      </c>
      <c r="AE79">
        <v>2048</v>
      </c>
      <c r="AF79">
        <v>2049</v>
      </c>
      <c r="AG79">
        <v>2050</v>
      </c>
    </row>
    <row r="80" spans="1:34" x14ac:dyDescent="0.2">
      <c r="A80" t="s">
        <v>13</v>
      </c>
      <c r="C80">
        <f t="shared" ref="C80:C101" si="4">IF(B3&lt;200000,7500,0)</f>
        <v>0</v>
      </c>
      <c r="D80">
        <f t="shared" ref="D80:D101" si="5">IF(C3&lt;200000,7500,IF(B3&lt;200000,7500*0.375,0))</f>
        <v>0</v>
      </c>
      <c r="E80">
        <f t="shared" ref="E80:E101" si="6">IF(D3&lt;200000,7500,IF(C3&lt;200000,7500*0.375,0))</f>
        <v>0</v>
      </c>
      <c r="F80">
        <f t="shared" ref="F80:F101" si="7">IF(E3&lt;200000,7500,IF(D3&lt;200000,7500*0.375,0))</f>
        <v>0</v>
      </c>
      <c r="G80">
        <f t="shared" ref="G80:G101" si="8">IF(F3&lt;200000,7500,IF(E3&lt;200000,7500*0.375,0))</f>
        <v>0</v>
      </c>
      <c r="H80">
        <f t="shared" ref="H80:H101" si="9">IF(G3&lt;200000,7500,IF(F3&lt;200000,7500*0.375,0))</f>
        <v>0</v>
      </c>
      <c r="I80">
        <f t="shared" ref="I80:I101" si="10">IF(H3&lt;200000,7500,IF(G3&lt;200000,7500*0.375,0))</f>
        <v>0</v>
      </c>
      <c r="J80">
        <f t="shared" ref="J80:J101" si="11">IF(I3&lt;200000,7500,IF(H3&lt;200000,7500*0.375,0))</f>
        <v>0</v>
      </c>
      <c r="K80">
        <f t="shared" ref="K80:K101" si="12">IF(J3&lt;200000,7500,IF(I3&lt;200000,7500*0.375,0))</f>
        <v>0</v>
      </c>
      <c r="L80">
        <f t="shared" ref="L80:L101" si="13">IF(K3&lt;200000,7500,IF(J3&lt;200000,7500*0.375,0))</f>
        <v>0</v>
      </c>
      <c r="M80">
        <f t="shared" ref="M80:M101" si="14">IF(L3&lt;200000,7500,IF(K3&lt;200000,7500*0.375,0))</f>
        <v>0</v>
      </c>
      <c r="N80">
        <f t="shared" ref="N80:N101" si="15">IF(M3&lt;200000,7500,IF(L3&lt;200000,7500*0.375,0))</f>
        <v>0</v>
      </c>
      <c r="O80">
        <f t="shared" ref="O80:O101" si="16">IF(N3&lt;200000,7500,IF(M3&lt;200000,7500*0.375,0))</f>
        <v>0</v>
      </c>
      <c r="P80">
        <f t="shared" ref="P80:P101" si="17">IF(O3&lt;200000,7500,IF(N3&lt;200000,7500*0.375,0))</f>
        <v>0</v>
      </c>
      <c r="Q80">
        <f t="shared" ref="Q80:Q101" si="18">IF(P3&lt;200000,7500,IF(O3&lt;200000,7500*0.375,0))</f>
        <v>0</v>
      </c>
      <c r="R80">
        <f t="shared" ref="R80:R101" si="19">IF(Q3&lt;200000,7500,IF(P3&lt;200000,7500*0.375,0))</f>
        <v>0</v>
      </c>
      <c r="S80">
        <f t="shared" ref="S80:S101" si="20">IF(R3&lt;200000,7500,IF(Q3&lt;200000,7500*0.375,0))</f>
        <v>0</v>
      </c>
      <c r="T80">
        <f t="shared" ref="T80:T101" si="21">IF(S3&lt;200000,7500,IF(R3&lt;200000,7500*0.375,0))</f>
        <v>0</v>
      </c>
      <c r="U80">
        <f t="shared" ref="U80:U101" si="22">IF(T3&lt;200000,7500,IF(S3&lt;200000,7500*0.375,0))</f>
        <v>0</v>
      </c>
      <c r="V80">
        <f t="shared" ref="V80:V101" si="23">IF(U3&lt;200000,7500,IF(T3&lt;200000,7500*0.375,0))</f>
        <v>0</v>
      </c>
      <c r="W80">
        <f t="shared" ref="W80:W101" si="24">IF(V3&lt;200000,7500,IF(U3&lt;200000,7500*0.375,0))</f>
        <v>0</v>
      </c>
      <c r="X80">
        <f t="shared" ref="X80:X101" si="25">IF(W3&lt;200000,7500,IF(V3&lt;200000,7500*0.375,0))</f>
        <v>0</v>
      </c>
      <c r="Y80">
        <f t="shared" ref="Y80:Y101" si="26">IF(X3&lt;200000,7500,IF(W3&lt;200000,7500*0.375,0))</f>
        <v>0</v>
      </c>
      <c r="Z80">
        <f t="shared" ref="Z80:Z101" si="27">IF(Y3&lt;200000,7500,IF(X3&lt;200000,7500*0.375,0))</f>
        <v>0</v>
      </c>
      <c r="AA80">
        <f t="shared" ref="AA80:AA101" si="28">IF(Z3&lt;200000,7500,IF(Y3&lt;200000,7500*0.375,0))</f>
        <v>0</v>
      </c>
      <c r="AB80">
        <f t="shared" ref="AB80:AB101" si="29">IF(AA3&lt;200000,7500,IF(Z3&lt;200000,7500*0.375,0))</f>
        <v>0</v>
      </c>
      <c r="AC80">
        <f t="shared" ref="AC80:AC101" si="30">IF(AB3&lt;200000,7500,IF(AA3&lt;200000,7500*0.375,0))</f>
        <v>0</v>
      </c>
      <c r="AD80">
        <f t="shared" ref="AD80:AD101" si="31">IF(AC3&lt;200000,7500,IF(AB3&lt;200000,7500*0.375,0))</f>
        <v>0</v>
      </c>
      <c r="AE80">
        <f t="shared" ref="AE80:AE101" si="32">IF(AD3&lt;200000,7500,IF(AC3&lt;200000,7500*0.375,0))</f>
        <v>0</v>
      </c>
      <c r="AF80">
        <f t="shared" ref="AF80:AF101" si="33">IF(AE3&lt;200000,7500,IF(AD3&lt;200000,7500*0.375,0))</f>
        <v>0</v>
      </c>
      <c r="AG80">
        <f t="shared" ref="AG80:AG101" si="34">IF(AF3&lt;200000,7500,IF(AE3&lt;200000,7500*0.375,0))</f>
        <v>0</v>
      </c>
    </row>
    <row r="81" spans="1:33" x14ac:dyDescent="0.2">
      <c r="A81" t="s">
        <v>67</v>
      </c>
      <c r="C81">
        <f t="shared" si="4"/>
        <v>0</v>
      </c>
      <c r="D81">
        <f t="shared" si="5"/>
        <v>0</v>
      </c>
      <c r="E81">
        <f t="shared" si="6"/>
        <v>0</v>
      </c>
      <c r="F81">
        <f t="shared" si="7"/>
        <v>0</v>
      </c>
      <c r="G81">
        <f t="shared" si="8"/>
        <v>0</v>
      </c>
      <c r="H81">
        <f t="shared" si="9"/>
        <v>0</v>
      </c>
      <c r="I81">
        <f t="shared" si="10"/>
        <v>0</v>
      </c>
      <c r="J81">
        <f t="shared" si="11"/>
        <v>0</v>
      </c>
      <c r="K81">
        <f t="shared" si="12"/>
        <v>0</v>
      </c>
      <c r="L81">
        <f t="shared" si="13"/>
        <v>0</v>
      </c>
      <c r="M81">
        <f t="shared" si="14"/>
        <v>0</v>
      </c>
      <c r="N81">
        <f t="shared" si="15"/>
        <v>0</v>
      </c>
      <c r="O81">
        <f t="shared" si="16"/>
        <v>0</v>
      </c>
      <c r="P81">
        <f t="shared" si="17"/>
        <v>0</v>
      </c>
      <c r="Q81">
        <f t="shared" si="18"/>
        <v>0</v>
      </c>
      <c r="R81">
        <f t="shared" si="19"/>
        <v>0</v>
      </c>
      <c r="S81">
        <f t="shared" si="20"/>
        <v>0</v>
      </c>
      <c r="T81">
        <f t="shared" si="21"/>
        <v>0</v>
      </c>
      <c r="U81">
        <f t="shared" si="22"/>
        <v>0</v>
      </c>
      <c r="V81">
        <f t="shared" si="23"/>
        <v>0</v>
      </c>
      <c r="W81">
        <f t="shared" si="24"/>
        <v>0</v>
      </c>
      <c r="X81">
        <f t="shared" si="25"/>
        <v>0</v>
      </c>
      <c r="Y81">
        <f t="shared" si="26"/>
        <v>0</v>
      </c>
      <c r="Z81">
        <f t="shared" si="27"/>
        <v>0</v>
      </c>
      <c r="AA81">
        <f t="shared" si="28"/>
        <v>0</v>
      </c>
      <c r="AB81">
        <f t="shared" si="29"/>
        <v>0</v>
      </c>
      <c r="AC81">
        <f t="shared" si="30"/>
        <v>0</v>
      </c>
      <c r="AD81">
        <f t="shared" si="31"/>
        <v>0</v>
      </c>
      <c r="AE81">
        <f t="shared" si="32"/>
        <v>0</v>
      </c>
      <c r="AF81">
        <f t="shared" si="33"/>
        <v>0</v>
      </c>
      <c r="AG81">
        <f t="shared" si="34"/>
        <v>0</v>
      </c>
    </row>
    <row r="82" spans="1:33" x14ac:dyDescent="0.2">
      <c r="A82" t="s">
        <v>68</v>
      </c>
      <c r="C82">
        <f t="shared" si="4"/>
        <v>7500</v>
      </c>
      <c r="D82">
        <f t="shared" si="5"/>
        <v>7500</v>
      </c>
      <c r="E82">
        <f t="shared" si="6"/>
        <v>7500</v>
      </c>
      <c r="F82">
        <f t="shared" si="7"/>
        <v>2812.5</v>
      </c>
      <c r="G82">
        <f t="shared" si="8"/>
        <v>0</v>
      </c>
      <c r="H82">
        <f t="shared" si="9"/>
        <v>0</v>
      </c>
      <c r="I82">
        <f t="shared" si="10"/>
        <v>0</v>
      </c>
      <c r="J82">
        <f t="shared" si="11"/>
        <v>0</v>
      </c>
      <c r="K82">
        <f t="shared" si="12"/>
        <v>0</v>
      </c>
      <c r="L82">
        <f t="shared" si="13"/>
        <v>0</v>
      </c>
      <c r="M82">
        <f t="shared" si="14"/>
        <v>0</v>
      </c>
      <c r="N82">
        <f t="shared" si="15"/>
        <v>0</v>
      </c>
      <c r="O82">
        <f t="shared" si="16"/>
        <v>0</v>
      </c>
      <c r="P82">
        <f t="shared" si="17"/>
        <v>0</v>
      </c>
      <c r="Q82">
        <f t="shared" si="18"/>
        <v>0</v>
      </c>
      <c r="R82">
        <f t="shared" si="19"/>
        <v>0</v>
      </c>
      <c r="S82">
        <f t="shared" si="20"/>
        <v>0</v>
      </c>
      <c r="T82">
        <f t="shared" si="21"/>
        <v>0</v>
      </c>
      <c r="U82">
        <f t="shared" si="22"/>
        <v>0</v>
      </c>
      <c r="V82">
        <f t="shared" si="23"/>
        <v>0</v>
      </c>
      <c r="W82">
        <f t="shared" si="24"/>
        <v>0</v>
      </c>
      <c r="X82">
        <f t="shared" si="25"/>
        <v>0</v>
      </c>
      <c r="Y82">
        <f t="shared" si="26"/>
        <v>0</v>
      </c>
      <c r="Z82">
        <f t="shared" si="27"/>
        <v>0</v>
      </c>
      <c r="AA82">
        <f t="shared" si="28"/>
        <v>0</v>
      </c>
      <c r="AB82">
        <f t="shared" si="29"/>
        <v>0</v>
      </c>
      <c r="AC82">
        <f t="shared" si="30"/>
        <v>0</v>
      </c>
      <c r="AD82">
        <f t="shared" si="31"/>
        <v>0</v>
      </c>
      <c r="AE82">
        <f t="shared" si="32"/>
        <v>0</v>
      </c>
      <c r="AF82">
        <f t="shared" si="33"/>
        <v>0</v>
      </c>
      <c r="AG82">
        <f t="shared" si="34"/>
        <v>0</v>
      </c>
    </row>
    <row r="83" spans="1:33" x14ac:dyDescent="0.2">
      <c r="A83" t="s">
        <v>69</v>
      </c>
      <c r="C83">
        <f t="shared" si="4"/>
        <v>7500</v>
      </c>
      <c r="D83">
        <f t="shared" si="5"/>
        <v>7500</v>
      </c>
      <c r="E83">
        <f t="shared" si="6"/>
        <v>2812.5</v>
      </c>
      <c r="F83">
        <f t="shared" si="7"/>
        <v>0</v>
      </c>
      <c r="G83">
        <f t="shared" si="8"/>
        <v>0</v>
      </c>
      <c r="H83">
        <f t="shared" si="9"/>
        <v>0</v>
      </c>
      <c r="I83">
        <f t="shared" si="10"/>
        <v>0</v>
      </c>
      <c r="J83">
        <f t="shared" si="11"/>
        <v>0</v>
      </c>
      <c r="K83">
        <f t="shared" si="12"/>
        <v>0</v>
      </c>
      <c r="L83">
        <f t="shared" si="13"/>
        <v>0</v>
      </c>
      <c r="M83">
        <f t="shared" si="14"/>
        <v>0</v>
      </c>
      <c r="N83">
        <f t="shared" si="15"/>
        <v>0</v>
      </c>
      <c r="O83">
        <f t="shared" si="16"/>
        <v>0</v>
      </c>
      <c r="P83">
        <f t="shared" si="17"/>
        <v>0</v>
      </c>
      <c r="Q83">
        <f t="shared" si="18"/>
        <v>0</v>
      </c>
      <c r="R83">
        <f t="shared" si="19"/>
        <v>0</v>
      </c>
      <c r="S83">
        <f t="shared" si="20"/>
        <v>0</v>
      </c>
      <c r="T83">
        <f t="shared" si="21"/>
        <v>0</v>
      </c>
      <c r="U83">
        <f t="shared" si="22"/>
        <v>0</v>
      </c>
      <c r="V83">
        <f t="shared" si="23"/>
        <v>0</v>
      </c>
      <c r="W83">
        <f t="shared" si="24"/>
        <v>0</v>
      </c>
      <c r="X83">
        <f t="shared" si="25"/>
        <v>0</v>
      </c>
      <c r="Y83">
        <f t="shared" si="26"/>
        <v>0</v>
      </c>
      <c r="Z83">
        <f t="shared" si="27"/>
        <v>0</v>
      </c>
      <c r="AA83">
        <f t="shared" si="28"/>
        <v>0</v>
      </c>
      <c r="AB83">
        <f t="shared" si="29"/>
        <v>0</v>
      </c>
      <c r="AC83">
        <f t="shared" si="30"/>
        <v>0</v>
      </c>
      <c r="AD83">
        <f t="shared" si="31"/>
        <v>0</v>
      </c>
      <c r="AE83">
        <f t="shared" si="32"/>
        <v>0</v>
      </c>
      <c r="AF83">
        <f t="shared" si="33"/>
        <v>0</v>
      </c>
      <c r="AG83">
        <f t="shared" si="34"/>
        <v>0</v>
      </c>
    </row>
    <row r="84" spans="1:33" x14ac:dyDescent="0.2">
      <c r="A84" t="s">
        <v>70</v>
      </c>
      <c r="C84">
        <f t="shared" si="4"/>
        <v>7500</v>
      </c>
      <c r="D84">
        <f t="shared" si="5"/>
        <v>7500</v>
      </c>
      <c r="E84">
        <f t="shared" si="6"/>
        <v>2812.5</v>
      </c>
      <c r="F84">
        <f t="shared" si="7"/>
        <v>0</v>
      </c>
      <c r="G84">
        <f t="shared" si="8"/>
        <v>0</v>
      </c>
      <c r="H84">
        <f t="shared" si="9"/>
        <v>0</v>
      </c>
      <c r="I84">
        <f t="shared" si="10"/>
        <v>0</v>
      </c>
      <c r="J84">
        <f t="shared" si="11"/>
        <v>0</v>
      </c>
      <c r="K84">
        <f t="shared" si="12"/>
        <v>0</v>
      </c>
      <c r="L84">
        <f t="shared" si="13"/>
        <v>0</v>
      </c>
      <c r="M84">
        <f t="shared" si="14"/>
        <v>0</v>
      </c>
      <c r="N84">
        <f t="shared" si="15"/>
        <v>0</v>
      </c>
      <c r="O84">
        <f t="shared" si="16"/>
        <v>0</v>
      </c>
      <c r="P84">
        <f t="shared" si="17"/>
        <v>0</v>
      </c>
      <c r="Q84">
        <f t="shared" si="18"/>
        <v>0</v>
      </c>
      <c r="R84">
        <f t="shared" si="19"/>
        <v>0</v>
      </c>
      <c r="S84">
        <f t="shared" si="20"/>
        <v>0</v>
      </c>
      <c r="T84">
        <f t="shared" si="21"/>
        <v>0</v>
      </c>
      <c r="U84">
        <f t="shared" si="22"/>
        <v>0</v>
      </c>
      <c r="V84">
        <f t="shared" si="23"/>
        <v>0</v>
      </c>
      <c r="W84">
        <f t="shared" si="24"/>
        <v>0</v>
      </c>
      <c r="X84">
        <f t="shared" si="25"/>
        <v>0</v>
      </c>
      <c r="Y84">
        <f t="shared" si="26"/>
        <v>0</v>
      </c>
      <c r="Z84">
        <f t="shared" si="27"/>
        <v>0</v>
      </c>
      <c r="AA84">
        <f t="shared" si="28"/>
        <v>0</v>
      </c>
      <c r="AB84">
        <f t="shared" si="29"/>
        <v>0</v>
      </c>
      <c r="AC84">
        <f t="shared" si="30"/>
        <v>0</v>
      </c>
      <c r="AD84">
        <f t="shared" si="31"/>
        <v>0</v>
      </c>
      <c r="AE84">
        <f t="shared" si="32"/>
        <v>0</v>
      </c>
      <c r="AF84">
        <f t="shared" si="33"/>
        <v>0</v>
      </c>
      <c r="AG84">
        <f t="shared" si="34"/>
        <v>0</v>
      </c>
    </row>
    <row r="85" spans="1:33" x14ac:dyDescent="0.2">
      <c r="A85" t="s">
        <v>71</v>
      </c>
      <c r="C85">
        <f t="shared" si="4"/>
        <v>7500</v>
      </c>
      <c r="D85">
        <f t="shared" si="5"/>
        <v>7500</v>
      </c>
      <c r="E85">
        <f t="shared" si="6"/>
        <v>7500</v>
      </c>
      <c r="F85">
        <f t="shared" si="7"/>
        <v>2812.5</v>
      </c>
      <c r="G85">
        <f t="shared" si="8"/>
        <v>0</v>
      </c>
      <c r="H85">
        <f t="shared" si="9"/>
        <v>0</v>
      </c>
      <c r="I85">
        <f t="shared" si="10"/>
        <v>0</v>
      </c>
      <c r="J85">
        <f t="shared" si="11"/>
        <v>0</v>
      </c>
      <c r="K85">
        <f t="shared" si="12"/>
        <v>0</v>
      </c>
      <c r="L85">
        <f t="shared" si="13"/>
        <v>0</v>
      </c>
      <c r="M85">
        <f t="shared" si="14"/>
        <v>0</v>
      </c>
      <c r="N85">
        <f t="shared" si="15"/>
        <v>0</v>
      </c>
      <c r="O85">
        <f t="shared" si="16"/>
        <v>0</v>
      </c>
      <c r="P85">
        <f t="shared" si="17"/>
        <v>0</v>
      </c>
      <c r="Q85">
        <f t="shared" si="18"/>
        <v>0</v>
      </c>
      <c r="R85">
        <f t="shared" si="19"/>
        <v>0</v>
      </c>
      <c r="S85">
        <f t="shared" si="20"/>
        <v>0</v>
      </c>
      <c r="T85">
        <f t="shared" si="21"/>
        <v>0</v>
      </c>
      <c r="U85">
        <f t="shared" si="22"/>
        <v>0</v>
      </c>
      <c r="V85">
        <f t="shared" si="23"/>
        <v>0</v>
      </c>
      <c r="W85">
        <f t="shared" si="24"/>
        <v>0</v>
      </c>
      <c r="X85">
        <f t="shared" si="25"/>
        <v>0</v>
      </c>
      <c r="Y85">
        <f t="shared" si="26"/>
        <v>0</v>
      </c>
      <c r="Z85">
        <f t="shared" si="27"/>
        <v>0</v>
      </c>
      <c r="AA85">
        <f t="shared" si="28"/>
        <v>0</v>
      </c>
      <c r="AB85">
        <f t="shared" si="29"/>
        <v>0</v>
      </c>
      <c r="AC85">
        <f t="shared" si="30"/>
        <v>0</v>
      </c>
      <c r="AD85">
        <f t="shared" si="31"/>
        <v>0</v>
      </c>
      <c r="AE85">
        <f t="shared" si="32"/>
        <v>0</v>
      </c>
      <c r="AF85">
        <f t="shared" si="33"/>
        <v>0</v>
      </c>
      <c r="AG85">
        <f t="shared" si="34"/>
        <v>0</v>
      </c>
    </row>
    <row r="86" spans="1:33" x14ac:dyDescent="0.2">
      <c r="A86" t="s">
        <v>72</v>
      </c>
      <c r="C86">
        <f t="shared" si="4"/>
        <v>7500</v>
      </c>
      <c r="D86">
        <f t="shared" si="5"/>
        <v>7500</v>
      </c>
      <c r="E86">
        <f t="shared" si="6"/>
        <v>2812.5</v>
      </c>
      <c r="F86">
        <f t="shared" si="7"/>
        <v>0</v>
      </c>
      <c r="G86">
        <f t="shared" si="8"/>
        <v>0</v>
      </c>
      <c r="H86">
        <f t="shared" si="9"/>
        <v>0</v>
      </c>
      <c r="I86">
        <f t="shared" si="10"/>
        <v>0</v>
      </c>
      <c r="J86">
        <f t="shared" si="11"/>
        <v>0</v>
      </c>
      <c r="K86">
        <f t="shared" si="12"/>
        <v>0</v>
      </c>
      <c r="L86">
        <f t="shared" si="13"/>
        <v>0</v>
      </c>
      <c r="M86">
        <f t="shared" si="14"/>
        <v>0</v>
      </c>
      <c r="N86">
        <f t="shared" si="15"/>
        <v>0</v>
      </c>
      <c r="O86">
        <f t="shared" si="16"/>
        <v>0</v>
      </c>
      <c r="P86">
        <f t="shared" si="17"/>
        <v>0</v>
      </c>
      <c r="Q86">
        <f t="shared" si="18"/>
        <v>0</v>
      </c>
      <c r="R86">
        <f t="shared" si="19"/>
        <v>0</v>
      </c>
      <c r="S86">
        <f t="shared" si="20"/>
        <v>0</v>
      </c>
      <c r="T86">
        <f t="shared" si="21"/>
        <v>0</v>
      </c>
      <c r="U86">
        <f t="shared" si="22"/>
        <v>0</v>
      </c>
      <c r="V86">
        <f t="shared" si="23"/>
        <v>0</v>
      </c>
      <c r="W86">
        <f t="shared" si="24"/>
        <v>0</v>
      </c>
      <c r="X86">
        <f t="shared" si="25"/>
        <v>0</v>
      </c>
      <c r="Y86">
        <f t="shared" si="26"/>
        <v>0</v>
      </c>
      <c r="Z86">
        <f t="shared" si="27"/>
        <v>0</v>
      </c>
      <c r="AA86">
        <f t="shared" si="28"/>
        <v>0</v>
      </c>
      <c r="AB86">
        <f t="shared" si="29"/>
        <v>0</v>
      </c>
      <c r="AC86">
        <f t="shared" si="30"/>
        <v>0</v>
      </c>
      <c r="AD86">
        <f t="shared" si="31"/>
        <v>0</v>
      </c>
      <c r="AE86">
        <f t="shared" si="32"/>
        <v>0</v>
      </c>
      <c r="AF86">
        <f t="shared" si="33"/>
        <v>0</v>
      </c>
      <c r="AG86">
        <f t="shared" si="34"/>
        <v>0</v>
      </c>
    </row>
    <row r="87" spans="1:33" x14ac:dyDescent="0.2">
      <c r="A87" t="s">
        <v>73</v>
      </c>
      <c r="C87">
        <f t="shared" si="4"/>
        <v>7500</v>
      </c>
      <c r="D87">
        <f t="shared" si="5"/>
        <v>7500</v>
      </c>
      <c r="E87">
        <f t="shared" si="6"/>
        <v>7500</v>
      </c>
      <c r="F87">
        <f t="shared" si="7"/>
        <v>7500</v>
      </c>
      <c r="G87">
        <f t="shared" si="8"/>
        <v>7500</v>
      </c>
      <c r="H87">
        <f t="shared" si="9"/>
        <v>7500</v>
      </c>
      <c r="I87">
        <f t="shared" si="10"/>
        <v>7500</v>
      </c>
      <c r="J87">
        <f t="shared" si="11"/>
        <v>7500</v>
      </c>
      <c r="K87">
        <f t="shared" si="12"/>
        <v>7500</v>
      </c>
      <c r="L87">
        <f t="shared" si="13"/>
        <v>7500</v>
      </c>
      <c r="M87">
        <f t="shared" si="14"/>
        <v>7500</v>
      </c>
      <c r="N87">
        <f t="shared" si="15"/>
        <v>7500</v>
      </c>
      <c r="O87">
        <f t="shared" si="16"/>
        <v>2812.5</v>
      </c>
      <c r="P87">
        <f t="shared" si="17"/>
        <v>0</v>
      </c>
      <c r="Q87">
        <f t="shared" si="18"/>
        <v>0</v>
      </c>
      <c r="R87">
        <f t="shared" si="19"/>
        <v>0</v>
      </c>
      <c r="S87">
        <f t="shared" si="20"/>
        <v>0</v>
      </c>
      <c r="T87">
        <f t="shared" si="21"/>
        <v>0</v>
      </c>
      <c r="U87">
        <f t="shared" si="22"/>
        <v>0</v>
      </c>
      <c r="V87">
        <f t="shared" si="23"/>
        <v>0</v>
      </c>
      <c r="W87">
        <f t="shared" si="24"/>
        <v>0</v>
      </c>
      <c r="X87">
        <f t="shared" si="25"/>
        <v>0</v>
      </c>
      <c r="Y87">
        <f t="shared" si="26"/>
        <v>0</v>
      </c>
      <c r="Z87">
        <f t="shared" si="27"/>
        <v>0</v>
      </c>
      <c r="AA87">
        <f t="shared" si="28"/>
        <v>0</v>
      </c>
      <c r="AB87">
        <f t="shared" si="29"/>
        <v>0</v>
      </c>
      <c r="AC87">
        <f t="shared" si="30"/>
        <v>0</v>
      </c>
      <c r="AD87">
        <f t="shared" si="31"/>
        <v>0</v>
      </c>
      <c r="AE87">
        <f t="shared" si="32"/>
        <v>0</v>
      </c>
      <c r="AF87">
        <f t="shared" si="33"/>
        <v>0</v>
      </c>
      <c r="AG87">
        <f t="shared" si="34"/>
        <v>0</v>
      </c>
    </row>
    <row r="88" spans="1:33" x14ac:dyDescent="0.2">
      <c r="A88" t="s">
        <v>74</v>
      </c>
      <c r="C88">
        <f t="shared" si="4"/>
        <v>7500</v>
      </c>
      <c r="D88">
        <f t="shared" si="5"/>
        <v>7500</v>
      </c>
      <c r="E88">
        <f t="shared" si="6"/>
        <v>7500</v>
      </c>
      <c r="F88">
        <f t="shared" si="7"/>
        <v>7500</v>
      </c>
      <c r="G88">
        <f t="shared" si="8"/>
        <v>2812.5</v>
      </c>
      <c r="H88">
        <f t="shared" si="9"/>
        <v>0</v>
      </c>
      <c r="I88">
        <f t="shared" si="10"/>
        <v>0</v>
      </c>
      <c r="J88">
        <f t="shared" si="11"/>
        <v>0</v>
      </c>
      <c r="K88">
        <f t="shared" si="12"/>
        <v>0</v>
      </c>
      <c r="L88">
        <f t="shared" si="13"/>
        <v>0</v>
      </c>
      <c r="M88">
        <f t="shared" si="14"/>
        <v>0</v>
      </c>
      <c r="N88">
        <f t="shared" si="15"/>
        <v>0</v>
      </c>
      <c r="O88">
        <f t="shared" si="16"/>
        <v>0</v>
      </c>
      <c r="P88">
        <f t="shared" si="17"/>
        <v>0</v>
      </c>
      <c r="Q88">
        <f t="shared" si="18"/>
        <v>0</v>
      </c>
      <c r="R88">
        <f t="shared" si="19"/>
        <v>0</v>
      </c>
      <c r="S88">
        <f t="shared" si="20"/>
        <v>0</v>
      </c>
      <c r="T88">
        <f t="shared" si="21"/>
        <v>0</v>
      </c>
      <c r="U88">
        <f t="shared" si="22"/>
        <v>0</v>
      </c>
      <c r="V88">
        <f t="shared" si="23"/>
        <v>0</v>
      </c>
      <c r="W88">
        <f t="shared" si="24"/>
        <v>0</v>
      </c>
      <c r="X88">
        <f t="shared" si="25"/>
        <v>0</v>
      </c>
      <c r="Y88">
        <f t="shared" si="26"/>
        <v>0</v>
      </c>
      <c r="Z88">
        <f t="shared" si="27"/>
        <v>0</v>
      </c>
      <c r="AA88">
        <f t="shared" si="28"/>
        <v>0</v>
      </c>
      <c r="AB88">
        <f t="shared" si="29"/>
        <v>0</v>
      </c>
      <c r="AC88">
        <f t="shared" si="30"/>
        <v>0</v>
      </c>
      <c r="AD88">
        <f t="shared" si="31"/>
        <v>0</v>
      </c>
      <c r="AE88">
        <f t="shared" si="32"/>
        <v>0</v>
      </c>
      <c r="AF88">
        <f t="shared" si="33"/>
        <v>0</v>
      </c>
      <c r="AG88">
        <f t="shared" si="34"/>
        <v>0</v>
      </c>
    </row>
    <row r="89" spans="1:33" x14ac:dyDescent="0.2">
      <c r="A89" t="s">
        <v>75</v>
      </c>
      <c r="C89">
        <f t="shared" si="4"/>
        <v>7500</v>
      </c>
      <c r="D89">
        <f t="shared" si="5"/>
        <v>7500</v>
      </c>
      <c r="E89">
        <f t="shared" si="6"/>
        <v>7500</v>
      </c>
      <c r="F89">
        <f t="shared" si="7"/>
        <v>7500</v>
      </c>
      <c r="G89">
        <f t="shared" si="8"/>
        <v>2812.5</v>
      </c>
      <c r="H89">
        <f t="shared" si="9"/>
        <v>0</v>
      </c>
      <c r="I89">
        <f t="shared" si="10"/>
        <v>0</v>
      </c>
      <c r="J89">
        <f t="shared" si="11"/>
        <v>0</v>
      </c>
      <c r="K89">
        <f t="shared" si="12"/>
        <v>0</v>
      </c>
      <c r="L89">
        <f t="shared" si="13"/>
        <v>0</v>
      </c>
      <c r="M89">
        <f t="shared" si="14"/>
        <v>0</v>
      </c>
      <c r="N89">
        <f t="shared" si="15"/>
        <v>0</v>
      </c>
      <c r="O89">
        <f t="shared" si="16"/>
        <v>0</v>
      </c>
      <c r="P89">
        <f t="shared" si="17"/>
        <v>0</v>
      </c>
      <c r="Q89">
        <f t="shared" si="18"/>
        <v>0</v>
      </c>
      <c r="R89">
        <f t="shared" si="19"/>
        <v>0</v>
      </c>
      <c r="S89">
        <f t="shared" si="20"/>
        <v>0</v>
      </c>
      <c r="T89">
        <f t="shared" si="21"/>
        <v>0</v>
      </c>
      <c r="U89">
        <f t="shared" si="22"/>
        <v>0</v>
      </c>
      <c r="V89">
        <f t="shared" si="23"/>
        <v>0</v>
      </c>
      <c r="W89">
        <f t="shared" si="24"/>
        <v>0</v>
      </c>
      <c r="X89">
        <f t="shared" si="25"/>
        <v>0</v>
      </c>
      <c r="Y89">
        <f t="shared" si="26"/>
        <v>0</v>
      </c>
      <c r="Z89">
        <f t="shared" si="27"/>
        <v>0</v>
      </c>
      <c r="AA89">
        <f t="shared" si="28"/>
        <v>0</v>
      </c>
      <c r="AB89">
        <f t="shared" si="29"/>
        <v>0</v>
      </c>
      <c r="AC89">
        <f t="shared" si="30"/>
        <v>0</v>
      </c>
      <c r="AD89">
        <f t="shared" si="31"/>
        <v>0</v>
      </c>
      <c r="AE89">
        <f t="shared" si="32"/>
        <v>0</v>
      </c>
      <c r="AF89">
        <f t="shared" si="33"/>
        <v>0</v>
      </c>
      <c r="AG89">
        <f t="shared" si="34"/>
        <v>0</v>
      </c>
    </row>
    <row r="90" spans="1:33" x14ac:dyDescent="0.2">
      <c r="A90" t="s">
        <v>76</v>
      </c>
      <c r="C90">
        <f t="shared" si="4"/>
        <v>7500</v>
      </c>
      <c r="D90">
        <f t="shared" si="5"/>
        <v>7500</v>
      </c>
      <c r="E90">
        <f t="shared" si="6"/>
        <v>7500</v>
      </c>
      <c r="F90">
        <f t="shared" si="7"/>
        <v>7500</v>
      </c>
      <c r="G90">
        <f t="shared" si="8"/>
        <v>7500</v>
      </c>
      <c r="H90">
        <f t="shared" si="9"/>
        <v>2812.5</v>
      </c>
      <c r="I90">
        <f t="shared" si="10"/>
        <v>0</v>
      </c>
      <c r="J90">
        <f t="shared" si="11"/>
        <v>0</v>
      </c>
      <c r="K90">
        <f t="shared" si="12"/>
        <v>0</v>
      </c>
      <c r="L90">
        <f t="shared" si="13"/>
        <v>0</v>
      </c>
      <c r="M90">
        <f t="shared" si="14"/>
        <v>0</v>
      </c>
      <c r="N90">
        <f t="shared" si="15"/>
        <v>0</v>
      </c>
      <c r="O90">
        <f t="shared" si="16"/>
        <v>0</v>
      </c>
      <c r="P90">
        <f t="shared" si="17"/>
        <v>0</v>
      </c>
      <c r="Q90">
        <f t="shared" si="18"/>
        <v>0</v>
      </c>
      <c r="R90">
        <f t="shared" si="19"/>
        <v>0</v>
      </c>
      <c r="S90">
        <f t="shared" si="20"/>
        <v>0</v>
      </c>
      <c r="T90">
        <f t="shared" si="21"/>
        <v>0</v>
      </c>
      <c r="U90">
        <f t="shared" si="22"/>
        <v>0</v>
      </c>
      <c r="V90">
        <f t="shared" si="23"/>
        <v>0</v>
      </c>
      <c r="W90">
        <f t="shared" si="24"/>
        <v>0</v>
      </c>
      <c r="X90">
        <f t="shared" si="25"/>
        <v>0</v>
      </c>
      <c r="Y90">
        <f t="shared" si="26"/>
        <v>0</v>
      </c>
      <c r="Z90">
        <f t="shared" si="27"/>
        <v>0</v>
      </c>
      <c r="AA90">
        <f t="shared" si="28"/>
        <v>0</v>
      </c>
      <c r="AB90">
        <f t="shared" si="29"/>
        <v>0</v>
      </c>
      <c r="AC90">
        <f t="shared" si="30"/>
        <v>0</v>
      </c>
      <c r="AD90">
        <f t="shared" si="31"/>
        <v>0</v>
      </c>
      <c r="AE90">
        <f t="shared" si="32"/>
        <v>0</v>
      </c>
      <c r="AF90">
        <f t="shared" si="33"/>
        <v>0</v>
      </c>
      <c r="AG90">
        <f t="shared" si="34"/>
        <v>0</v>
      </c>
    </row>
    <row r="91" spans="1:33" x14ac:dyDescent="0.2">
      <c r="A91" t="s">
        <v>77</v>
      </c>
      <c r="C91">
        <f t="shared" si="4"/>
        <v>7500</v>
      </c>
      <c r="D91">
        <f t="shared" si="5"/>
        <v>7500</v>
      </c>
      <c r="E91">
        <f t="shared" si="6"/>
        <v>7500</v>
      </c>
      <c r="F91">
        <f t="shared" si="7"/>
        <v>7500</v>
      </c>
      <c r="G91">
        <f t="shared" si="8"/>
        <v>2812.5</v>
      </c>
      <c r="H91">
        <f t="shared" si="9"/>
        <v>0</v>
      </c>
      <c r="I91">
        <f t="shared" si="10"/>
        <v>0</v>
      </c>
      <c r="J91">
        <f t="shared" si="11"/>
        <v>0</v>
      </c>
      <c r="K91">
        <f t="shared" si="12"/>
        <v>0</v>
      </c>
      <c r="L91">
        <f t="shared" si="13"/>
        <v>0</v>
      </c>
      <c r="M91">
        <f t="shared" si="14"/>
        <v>0</v>
      </c>
      <c r="N91">
        <f t="shared" si="15"/>
        <v>0</v>
      </c>
      <c r="O91">
        <f t="shared" si="16"/>
        <v>0</v>
      </c>
      <c r="P91">
        <f t="shared" si="17"/>
        <v>0</v>
      </c>
      <c r="Q91">
        <f t="shared" si="18"/>
        <v>0</v>
      </c>
      <c r="R91">
        <f t="shared" si="19"/>
        <v>0</v>
      </c>
      <c r="S91">
        <f t="shared" si="20"/>
        <v>0</v>
      </c>
      <c r="T91">
        <f t="shared" si="21"/>
        <v>0</v>
      </c>
      <c r="U91">
        <f t="shared" si="22"/>
        <v>0</v>
      </c>
      <c r="V91">
        <f t="shared" si="23"/>
        <v>0</v>
      </c>
      <c r="W91">
        <f t="shared" si="24"/>
        <v>0</v>
      </c>
      <c r="X91">
        <f t="shared" si="25"/>
        <v>0</v>
      </c>
      <c r="Y91">
        <f t="shared" si="26"/>
        <v>0</v>
      </c>
      <c r="Z91">
        <f t="shared" si="27"/>
        <v>0</v>
      </c>
      <c r="AA91">
        <f t="shared" si="28"/>
        <v>0</v>
      </c>
      <c r="AB91">
        <f t="shared" si="29"/>
        <v>0</v>
      </c>
      <c r="AC91">
        <f t="shared" si="30"/>
        <v>0</v>
      </c>
      <c r="AD91">
        <f t="shared" si="31"/>
        <v>0</v>
      </c>
      <c r="AE91">
        <f t="shared" si="32"/>
        <v>0</v>
      </c>
      <c r="AF91">
        <f t="shared" si="33"/>
        <v>0</v>
      </c>
      <c r="AG91">
        <f t="shared" si="34"/>
        <v>0</v>
      </c>
    </row>
    <row r="92" spans="1:33" x14ac:dyDescent="0.2">
      <c r="A92" t="s">
        <v>78</v>
      </c>
      <c r="C92">
        <f t="shared" si="4"/>
        <v>7500</v>
      </c>
      <c r="D92">
        <f t="shared" si="5"/>
        <v>7500</v>
      </c>
      <c r="E92">
        <f t="shared" si="6"/>
        <v>7500</v>
      </c>
      <c r="F92">
        <f t="shared" si="7"/>
        <v>7500</v>
      </c>
      <c r="G92">
        <f t="shared" si="8"/>
        <v>7500</v>
      </c>
      <c r="H92">
        <f t="shared" si="9"/>
        <v>2812.5</v>
      </c>
      <c r="I92">
        <f t="shared" si="10"/>
        <v>0</v>
      </c>
      <c r="J92">
        <f t="shared" si="11"/>
        <v>0</v>
      </c>
      <c r="K92">
        <f t="shared" si="12"/>
        <v>0</v>
      </c>
      <c r="L92">
        <f t="shared" si="13"/>
        <v>0</v>
      </c>
      <c r="M92">
        <f t="shared" si="14"/>
        <v>0</v>
      </c>
      <c r="N92">
        <f t="shared" si="15"/>
        <v>0</v>
      </c>
      <c r="O92">
        <f t="shared" si="16"/>
        <v>0</v>
      </c>
      <c r="P92">
        <f t="shared" si="17"/>
        <v>0</v>
      </c>
      <c r="Q92">
        <f t="shared" si="18"/>
        <v>0</v>
      </c>
      <c r="R92">
        <f t="shared" si="19"/>
        <v>0</v>
      </c>
      <c r="S92">
        <f t="shared" si="20"/>
        <v>0</v>
      </c>
      <c r="T92">
        <f t="shared" si="21"/>
        <v>0</v>
      </c>
      <c r="U92">
        <f t="shared" si="22"/>
        <v>0</v>
      </c>
      <c r="V92">
        <f t="shared" si="23"/>
        <v>0</v>
      </c>
      <c r="W92">
        <f t="shared" si="24"/>
        <v>0</v>
      </c>
      <c r="X92">
        <f t="shared" si="25"/>
        <v>0</v>
      </c>
      <c r="Y92">
        <f t="shared" si="26"/>
        <v>0</v>
      </c>
      <c r="Z92">
        <f t="shared" si="27"/>
        <v>0</v>
      </c>
      <c r="AA92">
        <f t="shared" si="28"/>
        <v>0</v>
      </c>
      <c r="AB92">
        <f t="shared" si="29"/>
        <v>0</v>
      </c>
      <c r="AC92">
        <f t="shared" si="30"/>
        <v>0</v>
      </c>
      <c r="AD92">
        <f t="shared" si="31"/>
        <v>0</v>
      </c>
      <c r="AE92">
        <f t="shared" si="32"/>
        <v>0</v>
      </c>
      <c r="AF92">
        <f t="shared" si="33"/>
        <v>0</v>
      </c>
      <c r="AG92">
        <f t="shared" si="34"/>
        <v>0</v>
      </c>
    </row>
    <row r="93" spans="1:33" x14ac:dyDescent="0.2">
      <c r="A93" t="s">
        <v>79</v>
      </c>
      <c r="C93">
        <f t="shared" si="4"/>
        <v>7500</v>
      </c>
      <c r="D93">
        <f t="shared" si="5"/>
        <v>7500</v>
      </c>
      <c r="E93">
        <f t="shared" si="6"/>
        <v>7500</v>
      </c>
      <c r="F93">
        <f t="shared" si="7"/>
        <v>7500</v>
      </c>
      <c r="G93">
        <f t="shared" si="8"/>
        <v>2812.5</v>
      </c>
      <c r="H93">
        <f t="shared" si="9"/>
        <v>0</v>
      </c>
      <c r="I93">
        <f t="shared" si="10"/>
        <v>0</v>
      </c>
      <c r="J93">
        <f t="shared" si="11"/>
        <v>0</v>
      </c>
      <c r="K93">
        <f t="shared" si="12"/>
        <v>0</v>
      </c>
      <c r="L93">
        <f t="shared" si="13"/>
        <v>0</v>
      </c>
      <c r="M93">
        <f t="shared" si="14"/>
        <v>0</v>
      </c>
      <c r="N93">
        <f t="shared" si="15"/>
        <v>0</v>
      </c>
      <c r="O93">
        <f t="shared" si="16"/>
        <v>0</v>
      </c>
      <c r="P93">
        <f t="shared" si="17"/>
        <v>0</v>
      </c>
      <c r="Q93">
        <f t="shared" si="18"/>
        <v>0</v>
      </c>
      <c r="R93">
        <f t="shared" si="19"/>
        <v>0</v>
      </c>
      <c r="S93">
        <f t="shared" si="20"/>
        <v>0</v>
      </c>
      <c r="T93">
        <f t="shared" si="21"/>
        <v>0</v>
      </c>
      <c r="U93">
        <f t="shared" si="22"/>
        <v>0</v>
      </c>
      <c r="V93">
        <f t="shared" si="23"/>
        <v>0</v>
      </c>
      <c r="W93">
        <f t="shared" si="24"/>
        <v>0</v>
      </c>
      <c r="X93">
        <f t="shared" si="25"/>
        <v>0</v>
      </c>
      <c r="Y93">
        <f t="shared" si="26"/>
        <v>0</v>
      </c>
      <c r="Z93">
        <f t="shared" si="27"/>
        <v>0</v>
      </c>
      <c r="AA93">
        <f t="shared" si="28"/>
        <v>0</v>
      </c>
      <c r="AB93">
        <f t="shared" si="29"/>
        <v>0</v>
      </c>
      <c r="AC93">
        <f t="shared" si="30"/>
        <v>0</v>
      </c>
      <c r="AD93">
        <f t="shared" si="31"/>
        <v>0</v>
      </c>
      <c r="AE93">
        <f t="shared" si="32"/>
        <v>0</v>
      </c>
      <c r="AF93">
        <f t="shared" si="33"/>
        <v>0</v>
      </c>
      <c r="AG93">
        <f t="shared" si="34"/>
        <v>0</v>
      </c>
    </row>
    <row r="94" spans="1:33" x14ac:dyDescent="0.2">
      <c r="A94" t="s">
        <v>80</v>
      </c>
      <c r="C94">
        <f t="shared" si="4"/>
        <v>7500</v>
      </c>
      <c r="D94">
        <f t="shared" si="5"/>
        <v>7500</v>
      </c>
      <c r="E94">
        <f t="shared" si="6"/>
        <v>7500</v>
      </c>
      <c r="F94">
        <f t="shared" si="7"/>
        <v>7500</v>
      </c>
      <c r="G94">
        <f t="shared" si="8"/>
        <v>7500</v>
      </c>
      <c r="H94">
        <f t="shared" si="9"/>
        <v>7500</v>
      </c>
      <c r="I94">
        <f t="shared" si="10"/>
        <v>7500</v>
      </c>
      <c r="J94">
        <f t="shared" si="11"/>
        <v>7500</v>
      </c>
      <c r="K94">
        <f t="shared" si="12"/>
        <v>7500</v>
      </c>
      <c r="L94">
        <f t="shared" si="13"/>
        <v>7500</v>
      </c>
      <c r="M94">
        <f t="shared" si="14"/>
        <v>7500</v>
      </c>
      <c r="N94">
        <f t="shared" si="15"/>
        <v>7500</v>
      </c>
      <c r="O94">
        <f t="shared" si="16"/>
        <v>7500</v>
      </c>
      <c r="P94">
        <f t="shared" si="17"/>
        <v>7500</v>
      </c>
      <c r="Q94">
        <f t="shared" si="18"/>
        <v>7500</v>
      </c>
      <c r="R94">
        <f t="shared" si="19"/>
        <v>7500</v>
      </c>
      <c r="S94">
        <f t="shared" si="20"/>
        <v>7500</v>
      </c>
      <c r="T94">
        <f t="shared" si="21"/>
        <v>7500</v>
      </c>
      <c r="U94">
        <f t="shared" si="22"/>
        <v>7500</v>
      </c>
      <c r="V94">
        <f t="shared" si="23"/>
        <v>7500</v>
      </c>
      <c r="W94">
        <f t="shared" si="24"/>
        <v>7500</v>
      </c>
      <c r="X94">
        <f t="shared" si="25"/>
        <v>7500</v>
      </c>
      <c r="Y94">
        <f t="shared" si="26"/>
        <v>7500</v>
      </c>
      <c r="Z94">
        <f t="shared" si="27"/>
        <v>7500</v>
      </c>
      <c r="AA94">
        <f t="shared" si="28"/>
        <v>7500</v>
      </c>
      <c r="AB94">
        <f t="shared" si="29"/>
        <v>7500</v>
      </c>
      <c r="AC94">
        <f t="shared" si="30"/>
        <v>7500</v>
      </c>
      <c r="AD94">
        <f t="shared" si="31"/>
        <v>7500</v>
      </c>
      <c r="AE94">
        <f t="shared" si="32"/>
        <v>2812.5</v>
      </c>
      <c r="AF94">
        <f t="shared" si="33"/>
        <v>0</v>
      </c>
      <c r="AG94">
        <f t="shared" si="34"/>
        <v>0</v>
      </c>
    </row>
    <row r="95" spans="1:33" x14ac:dyDescent="0.2">
      <c r="A95" t="s">
        <v>81</v>
      </c>
      <c r="C95">
        <f t="shared" si="4"/>
        <v>7500</v>
      </c>
      <c r="D95">
        <f t="shared" si="5"/>
        <v>7500</v>
      </c>
      <c r="E95">
        <f t="shared" si="6"/>
        <v>7500</v>
      </c>
      <c r="F95">
        <f t="shared" si="7"/>
        <v>7500</v>
      </c>
      <c r="G95">
        <f t="shared" si="8"/>
        <v>7500</v>
      </c>
      <c r="H95">
        <f t="shared" si="9"/>
        <v>7500</v>
      </c>
      <c r="I95">
        <f t="shared" si="10"/>
        <v>7500</v>
      </c>
      <c r="J95">
        <f t="shared" si="11"/>
        <v>7500</v>
      </c>
      <c r="K95">
        <f t="shared" si="12"/>
        <v>7500</v>
      </c>
      <c r="L95">
        <f t="shared" si="13"/>
        <v>7500</v>
      </c>
      <c r="M95">
        <f t="shared" si="14"/>
        <v>7500</v>
      </c>
      <c r="N95">
        <f t="shared" si="15"/>
        <v>7500</v>
      </c>
      <c r="O95">
        <f t="shared" si="16"/>
        <v>7500</v>
      </c>
      <c r="P95">
        <f t="shared" si="17"/>
        <v>7500</v>
      </c>
      <c r="Q95">
        <f t="shared" si="18"/>
        <v>2812.5</v>
      </c>
      <c r="R95">
        <f t="shared" si="19"/>
        <v>0</v>
      </c>
      <c r="S95">
        <f t="shared" si="20"/>
        <v>0</v>
      </c>
      <c r="T95">
        <f t="shared" si="21"/>
        <v>0</v>
      </c>
      <c r="U95">
        <f t="shared" si="22"/>
        <v>0</v>
      </c>
      <c r="V95">
        <f t="shared" si="23"/>
        <v>0</v>
      </c>
      <c r="W95">
        <f t="shared" si="24"/>
        <v>0</v>
      </c>
      <c r="X95">
        <f t="shared" si="25"/>
        <v>0</v>
      </c>
      <c r="Y95">
        <f t="shared" si="26"/>
        <v>0</v>
      </c>
      <c r="Z95">
        <f t="shared" si="27"/>
        <v>0</v>
      </c>
      <c r="AA95">
        <f t="shared" si="28"/>
        <v>0</v>
      </c>
      <c r="AB95">
        <f t="shared" si="29"/>
        <v>0</v>
      </c>
      <c r="AC95">
        <f t="shared" si="30"/>
        <v>0</v>
      </c>
      <c r="AD95">
        <f t="shared" si="31"/>
        <v>0</v>
      </c>
      <c r="AE95">
        <f t="shared" si="32"/>
        <v>0</v>
      </c>
      <c r="AF95">
        <f t="shared" si="33"/>
        <v>0</v>
      </c>
      <c r="AG95">
        <f t="shared" si="34"/>
        <v>0</v>
      </c>
    </row>
    <row r="96" spans="1:33" x14ac:dyDescent="0.2">
      <c r="A96" t="s">
        <v>82</v>
      </c>
      <c r="C96">
        <f t="shared" si="4"/>
        <v>7500</v>
      </c>
      <c r="D96">
        <f t="shared" si="5"/>
        <v>7500</v>
      </c>
      <c r="E96">
        <f t="shared" si="6"/>
        <v>7500</v>
      </c>
      <c r="F96">
        <f t="shared" si="7"/>
        <v>7500</v>
      </c>
      <c r="G96">
        <f t="shared" si="8"/>
        <v>7500</v>
      </c>
      <c r="H96">
        <f t="shared" si="9"/>
        <v>7500</v>
      </c>
      <c r="I96">
        <f t="shared" si="10"/>
        <v>7500</v>
      </c>
      <c r="J96">
        <f t="shared" si="11"/>
        <v>7500</v>
      </c>
      <c r="K96">
        <f t="shared" si="12"/>
        <v>7500</v>
      </c>
      <c r="L96">
        <f t="shared" si="13"/>
        <v>7500</v>
      </c>
      <c r="M96">
        <f t="shared" si="14"/>
        <v>7500</v>
      </c>
      <c r="N96">
        <f t="shared" si="15"/>
        <v>7500</v>
      </c>
      <c r="O96">
        <f t="shared" si="16"/>
        <v>7500</v>
      </c>
      <c r="P96">
        <f t="shared" si="17"/>
        <v>7500</v>
      </c>
      <c r="Q96">
        <f t="shared" si="18"/>
        <v>7500</v>
      </c>
      <c r="R96">
        <f t="shared" si="19"/>
        <v>7500</v>
      </c>
      <c r="S96">
        <f t="shared" si="20"/>
        <v>7500</v>
      </c>
      <c r="T96">
        <f t="shared" si="21"/>
        <v>7500</v>
      </c>
      <c r="U96">
        <f t="shared" si="22"/>
        <v>7500</v>
      </c>
      <c r="V96">
        <f t="shared" si="23"/>
        <v>7500</v>
      </c>
      <c r="W96">
        <f t="shared" si="24"/>
        <v>7500</v>
      </c>
      <c r="X96">
        <f t="shared" si="25"/>
        <v>7500</v>
      </c>
      <c r="Y96">
        <f t="shared" si="26"/>
        <v>7500</v>
      </c>
      <c r="Z96">
        <f t="shared" si="27"/>
        <v>7500</v>
      </c>
      <c r="AA96">
        <f t="shared" si="28"/>
        <v>7500</v>
      </c>
      <c r="AB96">
        <f t="shared" si="29"/>
        <v>7500</v>
      </c>
      <c r="AC96">
        <f t="shared" si="30"/>
        <v>7500</v>
      </c>
      <c r="AD96">
        <f t="shared" si="31"/>
        <v>7500</v>
      </c>
      <c r="AE96">
        <f t="shared" si="32"/>
        <v>7500</v>
      </c>
      <c r="AF96">
        <f t="shared" si="33"/>
        <v>7500</v>
      </c>
      <c r="AG96">
        <f t="shared" si="34"/>
        <v>7500</v>
      </c>
    </row>
    <row r="97" spans="1:33" x14ac:dyDescent="0.2">
      <c r="A97" t="s">
        <v>83</v>
      </c>
      <c r="C97">
        <f t="shared" si="4"/>
        <v>7500</v>
      </c>
      <c r="D97">
        <f t="shared" si="5"/>
        <v>7500</v>
      </c>
      <c r="E97">
        <f t="shared" si="6"/>
        <v>7500</v>
      </c>
      <c r="F97">
        <f t="shared" si="7"/>
        <v>7500</v>
      </c>
      <c r="G97">
        <f t="shared" si="8"/>
        <v>7500</v>
      </c>
      <c r="H97">
        <f t="shared" si="9"/>
        <v>7500</v>
      </c>
      <c r="I97">
        <f t="shared" si="10"/>
        <v>7500</v>
      </c>
      <c r="J97">
        <f t="shared" si="11"/>
        <v>7500</v>
      </c>
      <c r="K97">
        <f t="shared" si="12"/>
        <v>7500</v>
      </c>
      <c r="L97">
        <f t="shared" si="13"/>
        <v>7500</v>
      </c>
      <c r="M97">
        <f t="shared" si="14"/>
        <v>7500</v>
      </c>
      <c r="N97">
        <f t="shared" si="15"/>
        <v>7500</v>
      </c>
      <c r="O97">
        <f t="shared" si="16"/>
        <v>7500</v>
      </c>
      <c r="P97">
        <f t="shared" si="17"/>
        <v>7500</v>
      </c>
      <c r="Q97">
        <f t="shared" si="18"/>
        <v>7500</v>
      </c>
      <c r="R97">
        <f t="shared" si="19"/>
        <v>2812.5</v>
      </c>
      <c r="S97">
        <f t="shared" si="20"/>
        <v>0</v>
      </c>
      <c r="T97">
        <f t="shared" si="21"/>
        <v>0</v>
      </c>
      <c r="U97">
        <f t="shared" si="22"/>
        <v>0</v>
      </c>
      <c r="V97">
        <f t="shared" si="23"/>
        <v>0</v>
      </c>
      <c r="W97">
        <f t="shared" si="24"/>
        <v>0</v>
      </c>
      <c r="X97">
        <f t="shared" si="25"/>
        <v>0</v>
      </c>
      <c r="Y97">
        <f t="shared" si="26"/>
        <v>0</v>
      </c>
      <c r="Z97">
        <f t="shared" si="27"/>
        <v>0</v>
      </c>
      <c r="AA97">
        <f t="shared" si="28"/>
        <v>0</v>
      </c>
      <c r="AB97">
        <f t="shared" si="29"/>
        <v>0</v>
      </c>
      <c r="AC97">
        <f t="shared" si="30"/>
        <v>0</v>
      </c>
      <c r="AD97">
        <f t="shared" si="31"/>
        <v>0</v>
      </c>
      <c r="AE97">
        <f t="shared" si="32"/>
        <v>0</v>
      </c>
      <c r="AF97">
        <f t="shared" si="33"/>
        <v>0</v>
      </c>
      <c r="AG97">
        <f t="shared" si="34"/>
        <v>0</v>
      </c>
    </row>
    <row r="98" spans="1:33" x14ac:dyDescent="0.2">
      <c r="A98" t="s">
        <v>84</v>
      </c>
      <c r="C98">
        <f t="shared" si="4"/>
        <v>7500</v>
      </c>
      <c r="D98">
        <f t="shared" si="5"/>
        <v>7500</v>
      </c>
      <c r="E98">
        <f t="shared" si="6"/>
        <v>7500</v>
      </c>
      <c r="F98">
        <f t="shared" si="7"/>
        <v>7500</v>
      </c>
      <c r="G98">
        <f t="shared" si="8"/>
        <v>7500</v>
      </c>
      <c r="H98">
        <f t="shared" si="9"/>
        <v>7500</v>
      </c>
      <c r="I98">
        <f t="shared" si="10"/>
        <v>7500</v>
      </c>
      <c r="J98">
        <f t="shared" si="11"/>
        <v>7500</v>
      </c>
      <c r="K98">
        <f t="shared" si="12"/>
        <v>7500</v>
      </c>
      <c r="L98">
        <f t="shared" si="13"/>
        <v>7500</v>
      </c>
      <c r="M98">
        <f t="shared" si="14"/>
        <v>7500</v>
      </c>
      <c r="N98">
        <f t="shared" si="15"/>
        <v>7500</v>
      </c>
      <c r="O98">
        <f t="shared" si="16"/>
        <v>7500</v>
      </c>
      <c r="P98">
        <f t="shared" si="17"/>
        <v>2812.5</v>
      </c>
      <c r="Q98">
        <f t="shared" si="18"/>
        <v>0</v>
      </c>
      <c r="R98">
        <f t="shared" si="19"/>
        <v>0</v>
      </c>
      <c r="S98">
        <f t="shared" si="20"/>
        <v>0</v>
      </c>
      <c r="T98">
        <f t="shared" si="21"/>
        <v>0</v>
      </c>
      <c r="U98">
        <f t="shared" si="22"/>
        <v>0</v>
      </c>
      <c r="V98">
        <f t="shared" si="23"/>
        <v>0</v>
      </c>
      <c r="W98">
        <f t="shared" si="24"/>
        <v>0</v>
      </c>
      <c r="X98">
        <f t="shared" si="25"/>
        <v>0</v>
      </c>
      <c r="Y98">
        <f t="shared" si="26"/>
        <v>0</v>
      </c>
      <c r="Z98">
        <f t="shared" si="27"/>
        <v>0</v>
      </c>
      <c r="AA98">
        <f t="shared" si="28"/>
        <v>0</v>
      </c>
      <c r="AB98">
        <f t="shared" si="29"/>
        <v>0</v>
      </c>
      <c r="AC98">
        <f t="shared" si="30"/>
        <v>0</v>
      </c>
      <c r="AD98">
        <f t="shared" si="31"/>
        <v>0</v>
      </c>
      <c r="AE98">
        <f t="shared" si="32"/>
        <v>0</v>
      </c>
      <c r="AF98">
        <f t="shared" si="33"/>
        <v>0</v>
      </c>
      <c r="AG98">
        <f t="shared" si="34"/>
        <v>0</v>
      </c>
    </row>
    <row r="99" spans="1:33" x14ac:dyDescent="0.2">
      <c r="A99" t="s">
        <v>85</v>
      </c>
      <c r="C99">
        <f t="shared" si="4"/>
        <v>7500</v>
      </c>
      <c r="D99">
        <f t="shared" si="5"/>
        <v>7500</v>
      </c>
      <c r="E99">
        <f t="shared" si="6"/>
        <v>7500</v>
      </c>
      <c r="F99">
        <f t="shared" si="7"/>
        <v>7500</v>
      </c>
      <c r="G99">
        <f t="shared" si="8"/>
        <v>7500</v>
      </c>
      <c r="H99">
        <f t="shared" si="9"/>
        <v>7500</v>
      </c>
      <c r="I99">
        <f t="shared" si="10"/>
        <v>7500</v>
      </c>
      <c r="J99">
        <f t="shared" si="11"/>
        <v>7500</v>
      </c>
      <c r="K99">
        <f t="shared" si="12"/>
        <v>7500</v>
      </c>
      <c r="L99">
        <f t="shared" si="13"/>
        <v>7500</v>
      </c>
      <c r="M99">
        <f t="shared" si="14"/>
        <v>7500</v>
      </c>
      <c r="N99">
        <f t="shared" si="15"/>
        <v>7500</v>
      </c>
      <c r="O99">
        <f t="shared" si="16"/>
        <v>7500</v>
      </c>
      <c r="P99">
        <f t="shared" si="17"/>
        <v>7500</v>
      </c>
      <c r="Q99">
        <f t="shared" si="18"/>
        <v>7500</v>
      </c>
      <c r="R99">
        <f t="shared" si="19"/>
        <v>7500</v>
      </c>
      <c r="S99">
        <f t="shared" si="20"/>
        <v>7500</v>
      </c>
      <c r="T99">
        <f t="shared" si="21"/>
        <v>7500</v>
      </c>
      <c r="U99">
        <f t="shared" si="22"/>
        <v>7500</v>
      </c>
      <c r="V99">
        <f t="shared" si="23"/>
        <v>7500</v>
      </c>
      <c r="W99">
        <f t="shared" si="24"/>
        <v>7500</v>
      </c>
      <c r="X99">
        <f t="shared" si="25"/>
        <v>7500</v>
      </c>
      <c r="Y99">
        <f t="shared" si="26"/>
        <v>7500</v>
      </c>
      <c r="Z99">
        <f t="shared" si="27"/>
        <v>7500</v>
      </c>
      <c r="AA99">
        <f t="shared" si="28"/>
        <v>7500</v>
      </c>
      <c r="AB99">
        <f t="shared" si="29"/>
        <v>7500</v>
      </c>
      <c r="AC99">
        <f t="shared" si="30"/>
        <v>7500</v>
      </c>
      <c r="AD99">
        <f t="shared" si="31"/>
        <v>7500</v>
      </c>
      <c r="AE99">
        <f t="shared" si="32"/>
        <v>7500</v>
      </c>
      <c r="AF99">
        <f t="shared" si="33"/>
        <v>7500</v>
      </c>
      <c r="AG99">
        <f t="shared" si="34"/>
        <v>7500</v>
      </c>
    </row>
    <row r="100" spans="1:33" x14ac:dyDescent="0.2">
      <c r="A100" t="s">
        <v>86</v>
      </c>
      <c r="C100">
        <f t="shared" si="4"/>
        <v>7500</v>
      </c>
      <c r="D100">
        <f t="shared" si="5"/>
        <v>7500</v>
      </c>
      <c r="E100">
        <f t="shared" si="6"/>
        <v>7500</v>
      </c>
      <c r="F100">
        <f t="shared" si="7"/>
        <v>7500</v>
      </c>
      <c r="G100">
        <f t="shared" si="8"/>
        <v>7500</v>
      </c>
      <c r="H100">
        <f t="shared" si="9"/>
        <v>7500</v>
      </c>
      <c r="I100">
        <f t="shared" si="10"/>
        <v>7500</v>
      </c>
      <c r="J100">
        <f t="shared" si="11"/>
        <v>7500</v>
      </c>
      <c r="K100">
        <f t="shared" si="12"/>
        <v>7500</v>
      </c>
      <c r="L100">
        <f t="shared" si="13"/>
        <v>7500</v>
      </c>
      <c r="M100">
        <f t="shared" si="14"/>
        <v>7500</v>
      </c>
      <c r="N100">
        <f t="shared" si="15"/>
        <v>7500</v>
      </c>
      <c r="O100">
        <f t="shared" si="16"/>
        <v>7500</v>
      </c>
      <c r="P100">
        <f t="shared" si="17"/>
        <v>7500</v>
      </c>
      <c r="Q100">
        <f t="shared" si="18"/>
        <v>7500</v>
      </c>
      <c r="R100">
        <f t="shared" si="19"/>
        <v>7500</v>
      </c>
      <c r="S100">
        <f t="shared" si="20"/>
        <v>7500</v>
      </c>
      <c r="T100">
        <f t="shared" si="21"/>
        <v>7500</v>
      </c>
      <c r="U100">
        <f t="shared" si="22"/>
        <v>7500</v>
      </c>
      <c r="V100">
        <f t="shared" si="23"/>
        <v>7500</v>
      </c>
      <c r="W100">
        <f t="shared" si="24"/>
        <v>7500</v>
      </c>
      <c r="X100">
        <f t="shared" si="25"/>
        <v>7500</v>
      </c>
      <c r="Y100">
        <f t="shared" si="26"/>
        <v>7500</v>
      </c>
      <c r="Z100">
        <f t="shared" si="27"/>
        <v>7500</v>
      </c>
      <c r="AA100">
        <f t="shared" si="28"/>
        <v>7500</v>
      </c>
      <c r="AB100">
        <f t="shared" si="29"/>
        <v>7500</v>
      </c>
      <c r="AC100">
        <f t="shared" si="30"/>
        <v>7500</v>
      </c>
      <c r="AD100">
        <f t="shared" si="31"/>
        <v>7500</v>
      </c>
      <c r="AE100">
        <f t="shared" si="32"/>
        <v>7500</v>
      </c>
      <c r="AF100">
        <f t="shared" si="33"/>
        <v>7500</v>
      </c>
      <c r="AG100">
        <f t="shared" si="34"/>
        <v>7500</v>
      </c>
    </row>
    <row r="101" spans="1:33" x14ac:dyDescent="0.2">
      <c r="A101" t="s">
        <v>87</v>
      </c>
      <c r="C101">
        <f t="shared" si="4"/>
        <v>7500</v>
      </c>
      <c r="D101">
        <f t="shared" si="5"/>
        <v>7500</v>
      </c>
      <c r="E101">
        <f t="shared" si="6"/>
        <v>7500</v>
      </c>
      <c r="F101">
        <f t="shared" si="7"/>
        <v>7500</v>
      </c>
      <c r="G101">
        <f t="shared" si="8"/>
        <v>7500</v>
      </c>
      <c r="H101">
        <f t="shared" si="9"/>
        <v>7500</v>
      </c>
      <c r="I101">
        <f t="shared" si="10"/>
        <v>7500</v>
      </c>
      <c r="J101">
        <f t="shared" si="11"/>
        <v>7500</v>
      </c>
      <c r="K101">
        <f t="shared" si="12"/>
        <v>7500</v>
      </c>
      <c r="L101">
        <f t="shared" si="13"/>
        <v>7500</v>
      </c>
      <c r="M101">
        <f t="shared" si="14"/>
        <v>7500</v>
      </c>
      <c r="N101">
        <f t="shared" si="15"/>
        <v>7500</v>
      </c>
      <c r="O101">
        <f t="shared" si="16"/>
        <v>7500</v>
      </c>
      <c r="P101">
        <f t="shared" si="17"/>
        <v>7500</v>
      </c>
      <c r="Q101">
        <f t="shared" si="18"/>
        <v>7500</v>
      </c>
      <c r="R101">
        <f t="shared" si="19"/>
        <v>7500</v>
      </c>
      <c r="S101">
        <f t="shared" si="20"/>
        <v>7500</v>
      </c>
      <c r="T101">
        <f t="shared" si="21"/>
        <v>7500</v>
      </c>
      <c r="U101">
        <f t="shared" si="22"/>
        <v>7500</v>
      </c>
      <c r="V101">
        <f t="shared" si="23"/>
        <v>7500</v>
      </c>
      <c r="W101">
        <f t="shared" si="24"/>
        <v>7500</v>
      </c>
      <c r="X101">
        <f t="shared" si="25"/>
        <v>7500</v>
      </c>
      <c r="Y101">
        <f t="shared" si="26"/>
        <v>7500</v>
      </c>
      <c r="Z101">
        <f t="shared" si="27"/>
        <v>7500</v>
      </c>
      <c r="AA101">
        <f t="shared" si="28"/>
        <v>7500</v>
      </c>
      <c r="AB101">
        <f t="shared" si="29"/>
        <v>7500</v>
      </c>
      <c r="AC101">
        <f t="shared" si="30"/>
        <v>7500</v>
      </c>
      <c r="AD101">
        <f t="shared" si="31"/>
        <v>7500</v>
      </c>
      <c r="AE101">
        <f t="shared" si="32"/>
        <v>7500</v>
      </c>
      <c r="AF101">
        <f t="shared" si="33"/>
        <v>7500</v>
      </c>
      <c r="AG101">
        <f t="shared" si="34"/>
        <v>7500</v>
      </c>
    </row>
    <row r="103" spans="1:33" x14ac:dyDescent="0.2">
      <c r="A103" t="s">
        <v>94</v>
      </c>
      <c r="C103">
        <v>2020</v>
      </c>
      <c r="D103">
        <v>2021</v>
      </c>
      <c r="E103">
        <v>2022</v>
      </c>
      <c r="F103">
        <v>2023</v>
      </c>
      <c r="G103">
        <v>2024</v>
      </c>
      <c r="H103">
        <v>2025</v>
      </c>
      <c r="I103">
        <v>2026</v>
      </c>
      <c r="J103">
        <v>2027</v>
      </c>
      <c r="K103">
        <v>2028</v>
      </c>
      <c r="L103">
        <v>2029</v>
      </c>
      <c r="M103">
        <v>2030</v>
      </c>
      <c r="N103">
        <v>2031</v>
      </c>
      <c r="O103">
        <v>2032</v>
      </c>
      <c r="P103">
        <v>2033</v>
      </c>
      <c r="Q103">
        <v>2034</v>
      </c>
      <c r="R103">
        <v>2035</v>
      </c>
      <c r="S103">
        <v>2036</v>
      </c>
      <c r="T103">
        <v>2037</v>
      </c>
      <c r="U103">
        <v>2038</v>
      </c>
      <c r="V103">
        <v>2039</v>
      </c>
      <c r="W103">
        <v>2040</v>
      </c>
      <c r="X103">
        <v>2041</v>
      </c>
      <c r="Y103">
        <v>2042</v>
      </c>
      <c r="Z103">
        <v>2043</v>
      </c>
      <c r="AA103">
        <v>2044</v>
      </c>
      <c r="AB103">
        <v>2045</v>
      </c>
      <c r="AC103">
        <v>2046</v>
      </c>
      <c r="AD103">
        <v>2047</v>
      </c>
      <c r="AE103">
        <v>2048</v>
      </c>
      <c r="AF103">
        <v>2049</v>
      </c>
      <c r="AG103">
        <v>2050</v>
      </c>
    </row>
    <row r="104" spans="1:33" x14ac:dyDescent="0.2">
      <c r="C104" s="13">
        <f>SUMPRODUCT(C80:C101,B32:B53)/SUM(B32:B53)</f>
        <v>1066.1676835021071</v>
      </c>
      <c r="D104" s="13">
        <f>SUMPRODUCT(D80:D101,C32:C53)/SUM(C32:C53)</f>
        <v>1856.0233411543468</v>
      </c>
      <c r="E104" s="13">
        <f t="shared" ref="E104:AG104" si="35">SUMPRODUCT(E80:E101,D32:D53)/SUM(D32:D53)</f>
        <v>1578.300959198687</v>
      </c>
      <c r="F104" s="13">
        <f t="shared" si="35"/>
        <v>1230.8383357347759</v>
      </c>
      <c r="G104" s="13">
        <f t="shared" si="35"/>
        <v>626.81536567953572</v>
      </c>
      <c r="H104" s="13">
        <f t="shared" si="35"/>
        <v>144.46746734110212</v>
      </c>
      <c r="I104" s="13">
        <f t="shared" si="35"/>
        <v>33.447891591177203</v>
      </c>
      <c r="J104" s="13">
        <f t="shared" si="35"/>
        <v>33.447891591177196</v>
      </c>
      <c r="K104" s="13">
        <f t="shared" si="35"/>
        <v>33.447891591177196</v>
      </c>
      <c r="L104" s="13">
        <f t="shared" si="35"/>
        <v>33.447891591177182</v>
      </c>
      <c r="M104" s="13">
        <f t="shared" si="35"/>
        <v>33.447891591177203</v>
      </c>
      <c r="N104" s="13">
        <f t="shared" si="35"/>
        <v>33.447891591177196</v>
      </c>
      <c r="O104" s="13">
        <f t="shared" si="35"/>
        <v>33.437689086421472</v>
      </c>
      <c r="P104" s="13">
        <f t="shared" si="35"/>
        <v>33.431567583568039</v>
      </c>
      <c r="Q104" s="13">
        <f t="shared" si="35"/>
        <v>33.431567583568032</v>
      </c>
      <c r="R104" s="13">
        <f t="shared" si="35"/>
        <v>22.596507532985374</v>
      </c>
      <c r="S104" s="13">
        <f t="shared" si="35"/>
        <v>16.095471502635785</v>
      </c>
      <c r="T104" s="13">
        <f t="shared" si="35"/>
        <v>16.095471502635785</v>
      </c>
      <c r="U104" s="13">
        <f t="shared" si="35"/>
        <v>16.095471502635782</v>
      </c>
      <c r="V104" s="13">
        <f t="shared" si="35"/>
        <v>16.095471502635782</v>
      </c>
      <c r="W104" s="13">
        <f t="shared" si="35"/>
        <v>16.095471502635789</v>
      </c>
      <c r="X104" s="13">
        <f t="shared" si="35"/>
        <v>16.095471502635782</v>
      </c>
      <c r="Y104" s="13">
        <f t="shared" si="35"/>
        <v>16.095471502635782</v>
      </c>
      <c r="Z104" s="13">
        <f t="shared" si="35"/>
        <v>16.095471502635782</v>
      </c>
      <c r="AA104" s="13">
        <f t="shared" si="35"/>
        <v>16.095471502635782</v>
      </c>
      <c r="AB104" s="13">
        <f t="shared" si="35"/>
        <v>16.095471502635782</v>
      </c>
      <c r="AC104" s="13">
        <f t="shared" si="35"/>
        <v>16.095471502635782</v>
      </c>
      <c r="AD104" s="13">
        <f t="shared" si="35"/>
        <v>16.095471502635778</v>
      </c>
      <c r="AE104" s="13">
        <f t="shared" si="35"/>
        <v>11.718596962428663</v>
      </c>
      <c r="AF104" s="13">
        <f t="shared" si="35"/>
        <v>9.0924722383043886</v>
      </c>
      <c r="AG104" s="13">
        <f t="shared" si="35"/>
        <v>9.0924722383043903</v>
      </c>
    </row>
  </sheetData>
  <conditionalFormatting sqref="AG3:AG14 B3:AF24 AG15:AI24">
    <cfRule type="expression" dxfId="3" priority="1">
      <formula>B3&gt;600000</formula>
    </cfRule>
    <cfRule type="expression" dxfId="2" priority="2">
      <formula>B3&gt;200000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9D7C-83ED-4091-89B2-575CD5E0B4A6}">
  <dimension ref="A1:AI104"/>
  <sheetViews>
    <sheetView topLeftCell="A17" workbookViewId="0">
      <selection activeCell="D37" sqref="D37"/>
    </sheetView>
  </sheetViews>
  <sheetFormatPr baseColWidth="10" defaultColWidth="8.6640625" defaultRowHeight="15" x14ac:dyDescent="0.2"/>
  <cols>
    <col min="1" max="1" width="51.83203125" customWidth="1"/>
    <col min="2" max="2" width="31" customWidth="1"/>
    <col min="3" max="3" width="36.5" customWidth="1"/>
    <col min="4" max="4" width="10.6640625" customWidth="1"/>
    <col min="5" max="5" width="14.33203125" customWidth="1"/>
    <col min="6" max="6" width="11.83203125" customWidth="1"/>
    <col min="7" max="7" width="13.1640625" customWidth="1"/>
    <col min="8" max="8" width="11" customWidth="1"/>
    <col min="9" max="9" width="10.6640625" customWidth="1"/>
    <col min="10" max="10" width="11.83203125" customWidth="1"/>
  </cols>
  <sheetData>
    <row r="1" spans="1:35" x14ac:dyDescent="0.2">
      <c r="D1" t="s">
        <v>66</v>
      </c>
    </row>
    <row r="2" spans="1:35" x14ac:dyDescent="0.2">
      <c r="B2">
        <v>2020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</row>
    <row r="3" spans="1:35" x14ac:dyDescent="0.2">
      <c r="A3" t="s">
        <v>13</v>
      </c>
      <c r="B3" s="11">
        <f>SUM('PEV Sales by Manufacturer'!D4:M4)</f>
        <v>687269</v>
      </c>
      <c r="C3" s="11">
        <f>SUM('PEV Sales by Manufacturer'!D4:N4)</f>
        <v>1008187</v>
      </c>
      <c r="D3" s="11">
        <f>C3+D32+D56</f>
        <v>1775770.5866674213</v>
      </c>
      <c r="E3" s="11">
        <f t="shared" ref="E3:AF12" si="0">D3+E32+E56</f>
        <v>2893800.0994284423</v>
      </c>
      <c r="F3" s="11">
        <f t="shared" si="0"/>
        <v>4437118.6399751008</v>
      </c>
      <c r="G3" s="11">
        <f t="shared" si="0"/>
        <v>6399691.2629166432</v>
      </c>
      <c r="H3" s="11">
        <f t="shared" si="0"/>
        <v>8714085.835380001</v>
      </c>
      <c r="I3" s="11">
        <f t="shared" si="0"/>
        <v>11395466.554637542</v>
      </c>
      <c r="J3" s="11">
        <f t="shared" si="0"/>
        <v>14460254.898251373</v>
      </c>
      <c r="K3" s="11">
        <f t="shared" si="0"/>
        <v>17883738.323637601</v>
      </c>
      <c r="L3" s="11">
        <f t="shared" si="0"/>
        <v>21697586.32431668</v>
      </c>
      <c r="M3" s="11">
        <f t="shared" si="0"/>
        <v>25815905.701827858</v>
      </c>
      <c r="N3" s="11">
        <f t="shared" si="0"/>
        <v>30196493.747778852</v>
      </c>
      <c r="O3" s="11">
        <f t="shared" si="0"/>
        <v>34824053.551977821</v>
      </c>
      <c r="P3" s="11">
        <f t="shared" si="0"/>
        <v>39673236.946805507</v>
      </c>
      <c r="Q3" s="11">
        <f t="shared" si="0"/>
        <v>44754674.935600705</v>
      </c>
      <c r="R3" s="11">
        <f t="shared" si="0"/>
        <v>50040365.092354707</v>
      </c>
      <c r="S3" s="11">
        <f t="shared" si="0"/>
        <v>55535322.568445474</v>
      </c>
      <c r="T3" s="11">
        <f t="shared" si="0"/>
        <v>61246657.982400544</v>
      </c>
      <c r="U3" s="11">
        <f t="shared" si="0"/>
        <v>67156573.833229586</v>
      </c>
      <c r="V3" s="11">
        <f t="shared" si="0"/>
        <v>73273312.291720897</v>
      </c>
      <c r="W3" s="11">
        <f t="shared" si="0"/>
        <v>79601623.083413497</v>
      </c>
      <c r="X3" s="11">
        <f t="shared" si="0"/>
        <v>86130386.262633681</v>
      </c>
      <c r="Y3" s="11">
        <f t="shared" si="0"/>
        <v>92875995.367381573</v>
      </c>
      <c r="Z3" s="11">
        <f t="shared" si="0"/>
        <v>99840056.922471836</v>
      </c>
      <c r="AA3" s="11">
        <f t="shared" si="0"/>
        <v>107010466.11267047</v>
      </c>
      <c r="AB3" s="11">
        <f t="shared" si="0"/>
        <v>114398943.58423404</v>
      </c>
      <c r="AC3" s="11">
        <f t="shared" si="0"/>
        <v>122002485.83424819</v>
      </c>
      <c r="AD3" s="11">
        <f t="shared" si="0"/>
        <v>129815155.70578913</v>
      </c>
      <c r="AE3" s="11">
        <f t="shared" si="0"/>
        <v>137844776.27621526</v>
      </c>
      <c r="AF3" s="11">
        <f t="shared" si="0"/>
        <v>146099938.96083978</v>
      </c>
      <c r="AG3" s="11"/>
    </row>
    <row r="4" spans="1:35" x14ac:dyDescent="0.2">
      <c r="A4" t="s">
        <v>67</v>
      </c>
      <c r="B4" s="11">
        <f>SUM('PEV Sales by Manufacturer'!D5:M5)</f>
        <v>246675</v>
      </c>
      <c r="C4" s="11">
        <f>SUM('PEV Sales by Manufacturer'!D5:N5)</f>
        <v>271520</v>
      </c>
      <c r="D4" s="11">
        <f t="shared" ref="D4:S19" si="1">C4+D33+D57</f>
        <v>330946.81434033223</v>
      </c>
      <c r="E4" s="11">
        <f t="shared" si="1"/>
        <v>417505.80872338003</v>
      </c>
      <c r="F4" s="11">
        <f t="shared" si="1"/>
        <v>536991.85871898045</v>
      </c>
      <c r="G4" s="11">
        <f t="shared" si="1"/>
        <v>688934.14833116136</v>
      </c>
      <c r="H4" s="11">
        <f t="shared" si="1"/>
        <v>868108.01549062447</v>
      </c>
      <c r="I4" s="11">
        <f t="shared" si="1"/>
        <v>1075681.7758282784</v>
      </c>
      <c r="J4" s="11">
        <f t="shared" si="1"/>
        <v>1312920.8214731205</v>
      </c>
      <c r="K4" s="11">
        <f t="shared" si="1"/>
        <v>1577912.5296440113</v>
      </c>
      <c r="L4" s="11">
        <f t="shared" si="1"/>
        <v>1873105.3816443568</v>
      </c>
      <c r="M4" s="11">
        <f t="shared" si="1"/>
        <v>2191854.373974714</v>
      </c>
      <c r="N4" s="11">
        <f t="shared" si="1"/>
        <v>2530893.1892475267</v>
      </c>
      <c r="O4" s="11">
        <f t="shared" si="1"/>
        <v>2889038.1622078647</v>
      </c>
      <c r="P4" s="11">
        <f t="shared" si="1"/>
        <v>3264328.1801086836</v>
      </c>
      <c r="Q4" s="11">
        <f t="shared" si="1"/>
        <v>3657585.8304598834</v>
      </c>
      <c r="R4" s="11">
        <f t="shared" si="1"/>
        <v>4066644.7791736843</v>
      </c>
      <c r="S4" s="11">
        <f t="shared" si="1"/>
        <v>4491893.0492131319</v>
      </c>
      <c r="T4" s="11">
        <f t="shared" si="0"/>
        <v>4933881.0480846548</v>
      </c>
      <c r="U4" s="11">
        <f t="shared" si="0"/>
        <v>5391231.6569267483</v>
      </c>
      <c r="V4" s="11">
        <f t="shared" si="0"/>
        <v>5864582.7885830905</v>
      </c>
      <c r="W4" s="11">
        <f t="shared" si="0"/>
        <v>6354301.98276133</v>
      </c>
      <c r="X4" s="11">
        <f t="shared" si="0"/>
        <v>6859528.808425758</v>
      </c>
      <c r="Y4" s="11">
        <f t="shared" si="0"/>
        <v>7381531.8122349894</v>
      </c>
      <c r="Z4" s="11">
        <f t="shared" si="0"/>
        <v>7920435.2659051269</v>
      </c>
      <c r="AA4" s="11">
        <f t="shared" si="0"/>
        <v>8475302.5633268356</v>
      </c>
      <c r="AB4" s="11">
        <f t="shared" si="0"/>
        <v>9047040.5576343406</v>
      </c>
      <c r="AC4" s="11">
        <f t="shared" si="0"/>
        <v>9635416.8239968345</v>
      </c>
      <c r="AD4" s="11">
        <f t="shared" si="0"/>
        <v>10239971.933413945</v>
      </c>
      <c r="AE4" s="11">
        <f t="shared" si="0"/>
        <v>10861311.180092733</v>
      </c>
      <c r="AF4" s="11">
        <f t="shared" si="0"/>
        <v>11500099.263087541</v>
      </c>
      <c r="AG4" s="11"/>
    </row>
    <row r="5" spans="1:35" x14ac:dyDescent="0.2">
      <c r="A5" t="s">
        <v>68</v>
      </c>
      <c r="B5" s="11">
        <f>SUM('PEV Sales by Manufacturer'!D6:M6)</f>
        <v>151452</v>
      </c>
      <c r="C5" s="11">
        <f>SUM('PEV Sales by Manufacturer'!D6:N6)</f>
        <v>165691</v>
      </c>
      <c r="D5" s="11">
        <f t="shared" si="1"/>
        <v>199748.36883115751</v>
      </c>
      <c r="E5" s="11">
        <f t="shared" si="0"/>
        <v>249354.87962894441</v>
      </c>
      <c r="F5" s="11">
        <f t="shared" si="0"/>
        <v>317831.29011026322</v>
      </c>
      <c r="G5" s="11">
        <f t="shared" si="0"/>
        <v>404909.83222402632</v>
      </c>
      <c r="H5" s="11">
        <f t="shared" si="0"/>
        <v>507598.56989940058</v>
      </c>
      <c r="I5" s="11">
        <f t="shared" si="0"/>
        <v>626570.33234808873</v>
      </c>
      <c r="J5" s="11">
        <f t="shared" si="0"/>
        <v>762553.73379243689</v>
      </c>
      <c r="K5" s="11">
        <f t="shared" si="0"/>
        <v>914452.28885657934</v>
      </c>
      <c r="L5" s="11">
        <f t="shared" si="0"/>
        <v>1083671.1599752745</v>
      </c>
      <c r="M5" s="11">
        <f t="shared" si="0"/>
        <v>1266399.3011714106</v>
      </c>
      <c r="N5" s="11">
        <f t="shared" si="0"/>
        <v>1460764.1955877293</v>
      </c>
      <c r="O5" s="11">
        <f t="shared" si="0"/>
        <v>1666087.1255947377</v>
      </c>
      <c r="P5" s="11">
        <f t="shared" si="0"/>
        <v>1881243.4033945226</v>
      </c>
      <c r="Q5" s="11">
        <f t="shared" si="0"/>
        <v>2106704.7222437453</v>
      </c>
      <c r="R5" s="11">
        <f t="shared" si="0"/>
        <v>2341228.6259886902</v>
      </c>
      <c r="S5" s="11">
        <f t="shared" si="0"/>
        <v>2585037.6348384786</v>
      </c>
      <c r="T5" s="11">
        <f t="shared" si="0"/>
        <v>2838447.2440199712</v>
      </c>
      <c r="U5" s="11">
        <f t="shared" si="0"/>
        <v>3100667.7857158398</v>
      </c>
      <c r="V5" s="11">
        <f t="shared" si="0"/>
        <v>3372064.9616625234</v>
      </c>
      <c r="W5" s="11">
        <f t="shared" si="0"/>
        <v>3652849.5152335633</v>
      </c>
      <c r="X5" s="11">
        <f t="shared" si="0"/>
        <v>3942528.0590014923</v>
      </c>
      <c r="Y5" s="11">
        <f t="shared" si="0"/>
        <v>4241827.9675217541</v>
      </c>
      <c r="Z5" s="11">
        <f t="shared" si="0"/>
        <v>4550820.5216412805</v>
      </c>
      <c r="AA5" s="11">
        <f t="shared" si="0"/>
        <v>4868968.635674268</v>
      </c>
      <c r="AB5" s="11">
        <f t="shared" si="0"/>
        <v>5196792.3498866018</v>
      </c>
      <c r="AC5" s="11">
        <f t="shared" si="0"/>
        <v>5534158.4000861896</v>
      </c>
      <c r="AD5" s="11">
        <f t="shared" si="0"/>
        <v>5880803.3570561055</v>
      </c>
      <c r="AE5" s="11">
        <f t="shared" si="0"/>
        <v>6237074.3275292404</v>
      </c>
      <c r="AF5" s="11">
        <f t="shared" si="0"/>
        <v>6603352.5090783238</v>
      </c>
      <c r="AG5" s="11"/>
    </row>
    <row r="6" spans="1:35" x14ac:dyDescent="0.2">
      <c r="A6" t="s">
        <v>69</v>
      </c>
      <c r="B6" s="11">
        <f>SUM('PEV Sales by Manufacturer'!D7:M7)</f>
        <v>135451</v>
      </c>
      <c r="C6" s="11">
        <f>SUM('PEV Sales by Manufacturer'!D7:N7)</f>
        <v>188218</v>
      </c>
      <c r="D6" s="11">
        <f t="shared" si="1"/>
        <v>319773.87872817094</v>
      </c>
      <c r="E6" s="11">
        <f t="shared" si="0"/>
        <v>512815.07348345581</v>
      </c>
      <c r="F6" s="11">
        <f t="shared" si="0"/>
        <v>781733.98963694845</v>
      </c>
      <c r="G6" s="11">
        <f t="shared" si="0"/>
        <v>1113667.7615808821</v>
      </c>
      <c r="H6" s="11">
        <f t="shared" si="0"/>
        <v>1483791.5285271136</v>
      </c>
      <c r="I6" s="11">
        <f t="shared" si="0"/>
        <v>1875885.3791130511</v>
      </c>
      <c r="J6" s="11">
        <f t="shared" si="0"/>
        <v>2273077.695576746</v>
      </c>
      <c r="K6" s="11">
        <f t="shared" si="0"/>
        <v>2673237.5495519298</v>
      </c>
      <c r="L6" s="11">
        <f t="shared" si="0"/>
        <v>3070608.7063763784</v>
      </c>
      <c r="M6" s="11">
        <f t="shared" si="0"/>
        <v>3466640.076091452</v>
      </c>
      <c r="N6" s="11">
        <f t="shared" si="0"/>
        <v>3857539.6368106618</v>
      </c>
      <c r="O6" s="11">
        <f t="shared" si="0"/>
        <v>4242767.8362591909</v>
      </c>
      <c r="P6" s="11">
        <f t="shared" si="0"/>
        <v>4622461.0781020215</v>
      </c>
      <c r="Q6" s="11">
        <f t="shared" si="0"/>
        <v>4996886.1072840067</v>
      </c>
      <c r="R6" s="11">
        <f t="shared" si="0"/>
        <v>5366624.9127757344</v>
      </c>
      <c r="S6" s="11">
        <f t="shared" si="0"/>
        <v>5731701.7441176465</v>
      </c>
      <c r="T6" s="11">
        <f t="shared" si="0"/>
        <v>6093001.7095358446</v>
      </c>
      <c r="U6" s="11">
        <f t="shared" si="0"/>
        <v>6450030.7246438414</v>
      </c>
      <c r="V6" s="11">
        <f t="shared" si="0"/>
        <v>6803537.4940027567</v>
      </c>
      <c r="W6" s="11">
        <f t="shared" si="0"/>
        <v>7153719.0451286761</v>
      </c>
      <c r="X6" s="11">
        <f t="shared" si="0"/>
        <v>7500260.1339958636</v>
      </c>
      <c r="Y6" s="11">
        <f t="shared" si="0"/>
        <v>7843821.5605813414</v>
      </c>
      <c r="Z6" s="11">
        <f t="shared" si="0"/>
        <v>8184327.5450712312</v>
      </c>
      <c r="AA6" s="11">
        <f t="shared" si="0"/>
        <v>8521538.6232536752</v>
      </c>
      <c r="AB6" s="11">
        <f t="shared" si="0"/>
        <v>8855594.2299862113</v>
      </c>
      <c r="AC6" s="11">
        <f t="shared" si="0"/>
        <v>9186336.7432559729</v>
      </c>
      <c r="AD6" s="11">
        <f t="shared" si="0"/>
        <v>9513505.4805032164</v>
      </c>
      <c r="AE6" s="11">
        <f t="shared" si="0"/>
        <v>9837209.5646599252</v>
      </c>
      <c r="AF6" s="11">
        <f t="shared" si="0"/>
        <v>10157424.74618566</v>
      </c>
      <c r="AG6" s="11"/>
    </row>
    <row r="7" spans="1:35" x14ac:dyDescent="0.2">
      <c r="A7" t="s">
        <v>70</v>
      </c>
      <c r="B7" s="11">
        <f>SUM('PEV Sales by Manufacturer'!D8:M8)</f>
        <v>126312</v>
      </c>
      <c r="C7" s="11">
        <f>SUM('PEV Sales by Manufacturer'!D8:N8)</f>
        <v>159546</v>
      </c>
      <c r="D7" s="11">
        <f t="shared" si="1"/>
        <v>239645.49027850115</v>
      </c>
      <c r="E7" s="11">
        <f t="shared" si="0"/>
        <v>356477.09211198642</v>
      </c>
      <c r="F7" s="11">
        <f t="shared" si="0"/>
        <v>518029.23809373419</v>
      </c>
      <c r="G7" s="11">
        <f t="shared" si="0"/>
        <v>722324.25795455358</v>
      </c>
      <c r="H7" s="11">
        <f t="shared" si="0"/>
        <v>960813.51654974953</v>
      </c>
      <c r="I7" s="11">
        <f t="shared" si="0"/>
        <v>1232934.9553491022</v>
      </c>
      <c r="J7" s="11">
        <f t="shared" si="0"/>
        <v>1538158.8967984051</v>
      </c>
      <c r="K7" s="11">
        <f t="shared" si="0"/>
        <v>1874146.3390397418</v>
      </c>
      <c r="L7" s="11">
        <f t="shared" si="0"/>
        <v>2242927.6162744947</v>
      </c>
      <c r="M7" s="11">
        <f t="shared" si="0"/>
        <v>2637382.1794239432</v>
      </c>
      <c r="N7" s="11">
        <f t="shared" si="0"/>
        <v>3053498.1827818118</v>
      </c>
      <c r="O7" s="11">
        <f t="shared" si="0"/>
        <v>3489916.6233492731</v>
      </c>
      <c r="P7" s="11">
        <f t="shared" si="0"/>
        <v>3944502.9551904099</v>
      </c>
      <c r="Q7" s="11">
        <f t="shared" si="0"/>
        <v>4418189.3209638717</v>
      </c>
      <c r="R7" s="11">
        <f t="shared" si="0"/>
        <v>4908666.810593511</v>
      </c>
      <c r="S7" s="11">
        <f t="shared" si="0"/>
        <v>5416363.5840363884</v>
      </c>
      <c r="T7" s="11">
        <f t="shared" si="0"/>
        <v>5941983.6416898239</v>
      </c>
      <c r="U7" s="11">
        <f t="shared" si="0"/>
        <v>6483961.0559529895</v>
      </c>
      <c r="V7" s="11">
        <f t="shared" si="0"/>
        <v>7043080.2643628754</v>
      </c>
      <c r="W7" s="11">
        <f t="shared" si="0"/>
        <v>7619766.6015551202</v>
      </c>
      <c r="X7" s="11">
        <f t="shared" si="0"/>
        <v>8213040.9250076236</v>
      </c>
      <c r="Y7" s="11">
        <f t="shared" si="0"/>
        <v>8824369.0728383735</v>
      </c>
      <c r="Z7" s="11">
        <f t="shared" si="0"/>
        <v>9453878.6787652634</v>
      </c>
      <c r="AA7" s="11">
        <f t="shared" si="0"/>
        <v>10100515.696771219</v>
      </c>
      <c r="AB7" s="11">
        <f t="shared" si="0"/>
        <v>10765290.188055776</v>
      </c>
      <c r="AC7" s="11">
        <f t="shared" si="0"/>
        <v>11447929.426993715</v>
      </c>
      <c r="AD7" s="11">
        <f t="shared" si="0"/>
        <v>12147900.104564957</v>
      </c>
      <c r="AE7" s="11">
        <f t="shared" si="0"/>
        <v>12865878.227086551</v>
      </c>
      <c r="AF7" s="11">
        <f t="shared" si="0"/>
        <v>13602589.774761541</v>
      </c>
      <c r="AG7" s="11"/>
    </row>
    <row r="8" spans="1:35" x14ac:dyDescent="0.2">
      <c r="A8" t="s">
        <v>71</v>
      </c>
      <c r="B8" s="11">
        <f>SUM('PEV Sales by Manufacturer'!D9:M9)</f>
        <v>109611</v>
      </c>
      <c r="C8" s="11">
        <f>SUM('PEV Sales by Manufacturer'!D9:N9)</f>
        <v>132675</v>
      </c>
      <c r="D8" s="11">
        <f t="shared" si="1"/>
        <v>189823.87414850693</v>
      </c>
      <c r="E8" s="11">
        <f t="shared" si="0"/>
        <v>273592.3048659676</v>
      </c>
      <c r="F8" s="11">
        <f t="shared" si="0"/>
        <v>390133.29744183703</v>
      </c>
      <c r="G8" s="11">
        <f t="shared" si="0"/>
        <v>534608.59689245385</v>
      </c>
      <c r="H8" s="11">
        <f t="shared" si="0"/>
        <v>697074.75317568227</v>
      </c>
      <c r="I8" s="11">
        <f t="shared" si="0"/>
        <v>871678.10340257664</v>
      </c>
      <c r="J8" s="11">
        <f t="shared" si="0"/>
        <v>1052336.8248373724</v>
      </c>
      <c r="K8" s="11">
        <f t="shared" si="0"/>
        <v>1237991.8792372074</v>
      </c>
      <c r="L8" s="11">
        <f t="shared" si="0"/>
        <v>1426851.3510156162</v>
      </c>
      <c r="M8" s="11">
        <f t="shared" si="0"/>
        <v>1618520.0981051726</v>
      </c>
      <c r="N8" s="11">
        <f t="shared" si="0"/>
        <v>1811132.8056979631</v>
      </c>
      <c r="O8" s="11">
        <f t="shared" si="0"/>
        <v>2004323.1585536746</v>
      </c>
      <c r="P8" s="11">
        <f t="shared" si="0"/>
        <v>2197866.5010334905</v>
      </c>
      <c r="Q8" s="11">
        <f t="shared" si="0"/>
        <v>2391977.2549435953</v>
      </c>
      <c r="R8" s="11">
        <f t="shared" si="0"/>
        <v>2586567.273578837</v>
      </c>
      <c r="S8" s="11">
        <f t="shared" si="0"/>
        <v>2781700.0165368342</v>
      </c>
      <c r="T8" s="11">
        <f t="shared" si="0"/>
        <v>2977781.1175101218</v>
      </c>
      <c r="U8" s="11">
        <f t="shared" si="0"/>
        <v>3174433.9768545385</v>
      </c>
      <c r="V8" s="11">
        <f t="shared" si="0"/>
        <v>3372025.9042476793</v>
      </c>
      <c r="W8" s="11">
        <f t="shared" si="0"/>
        <v>3570681.5855309423</v>
      </c>
      <c r="X8" s="11">
        <f t="shared" si="0"/>
        <v>3770163.2938381899</v>
      </c>
      <c r="Y8" s="11">
        <f t="shared" si="0"/>
        <v>3970894.2417196222</v>
      </c>
      <c r="Z8" s="11">
        <f t="shared" si="0"/>
        <v>4172863.757366911</v>
      </c>
      <c r="AA8" s="11">
        <f t="shared" si="0"/>
        <v>4375851.536570007</v>
      </c>
      <c r="AB8" s="11">
        <f t="shared" si="0"/>
        <v>4580036.5961451493</v>
      </c>
      <c r="AC8" s="11">
        <f t="shared" si="0"/>
        <v>4785327.8345725285</v>
      </c>
      <c r="AD8" s="11">
        <f t="shared" si="0"/>
        <v>4991564.0521647111</v>
      </c>
      <c r="AE8" s="11">
        <f t="shared" si="0"/>
        <v>5198870.6930702915</v>
      </c>
      <c r="AF8" s="11">
        <f t="shared" si="0"/>
        <v>5407332.0578201534</v>
      </c>
      <c r="AG8" s="11"/>
    </row>
    <row r="9" spans="1:35" x14ac:dyDescent="0.2">
      <c r="A9" t="s">
        <v>72</v>
      </c>
      <c r="B9" s="11">
        <f>SUM('PEV Sales by Manufacturer'!D10:M10)</f>
        <v>37707</v>
      </c>
      <c r="C9" s="11">
        <f>SUM('PEV Sales by Manufacturer'!D10:N10)</f>
        <v>86430</v>
      </c>
      <c r="D9" s="11">
        <f t="shared" si="1"/>
        <v>207903.59295151656</v>
      </c>
      <c r="E9" s="11">
        <f t="shared" si="0"/>
        <v>386150.34057904419</v>
      </c>
      <c r="F9" s="11">
        <f t="shared" si="0"/>
        <v>634459.63145680155</v>
      </c>
      <c r="G9" s="11">
        <f t="shared" si="0"/>
        <v>940954.39466911776</v>
      </c>
      <c r="H9" s="11">
        <f t="shared" si="0"/>
        <v>1282712.3171760112</v>
      </c>
      <c r="I9" s="11">
        <f t="shared" si="0"/>
        <v>1644756.5622931987</v>
      </c>
      <c r="J9" s="11">
        <f t="shared" si="0"/>
        <v>2011508.5329388788</v>
      </c>
      <c r="K9" s="11">
        <f t="shared" si="0"/>
        <v>2381000.6125574447</v>
      </c>
      <c r="L9" s="11">
        <f t="shared" si="0"/>
        <v>2747917.7174517461</v>
      </c>
      <c r="M9" s="11">
        <f t="shared" si="0"/>
        <v>3113597.7149241725</v>
      </c>
      <c r="N9" s="11">
        <f t="shared" si="0"/>
        <v>3474539.1991268378</v>
      </c>
      <c r="O9" s="11">
        <f t="shared" si="0"/>
        <v>3830243.9684283081</v>
      </c>
      <c r="P9" s="11">
        <f t="shared" si="0"/>
        <v>4180837.9726792271</v>
      </c>
      <c r="Q9" s="11">
        <f t="shared" si="0"/>
        <v>4526567.5138097415</v>
      </c>
      <c r="R9" s="11">
        <f t="shared" si="0"/>
        <v>4867969.9778492637</v>
      </c>
      <c r="S9" s="11">
        <f t="shared" si="0"/>
        <v>5205067.7558823517</v>
      </c>
      <c r="T9" s="11">
        <f t="shared" si="0"/>
        <v>5538678.1224954035</v>
      </c>
      <c r="U9" s="11">
        <f t="shared" si="0"/>
        <v>5868344.8593405318</v>
      </c>
      <c r="V9" s="11">
        <f t="shared" si="0"/>
        <v>6194759.2911534915</v>
      </c>
      <c r="W9" s="11">
        <f t="shared" si="0"/>
        <v>6518103.345496322</v>
      </c>
      <c r="X9" s="11">
        <f t="shared" si="0"/>
        <v>6838085.9382697595</v>
      </c>
      <c r="Y9" s="11">
        <f t="shared" si="0"/>
        <v>7155317.2265280318</v>
      </c>
      <c r="Z9" s="11">
        <f t="shared" si="0"/>
        <v>7469727.2381318919</v>
      </c>
      <c r="AA9" s="11">
        <f t="shared" si="0"/>
        <v>7781094.861121322</v>
      </c>
      <c r="AB9" s="11">
        <f t="shared" si="0"/>
        <v>8089548.844232535</v>
      </c>
      <c r="AC9" s="11">
        <f t="shared" si="0"/>
        <v>8394943.6454158984</v>
      </c>
      <c r="AD9" s="11">
        <f t="shared" si="0"/>
        <v>8697038.5605124049</v>
      </c>
      <c r="AE9" s="11">
        <f t="shared" si="0"/>
        <v>8995934.3494025711</v>
      </c>
      <c r="AF9" s="11">
        <f t="shared" si="0"/>
        <v>9291608.6210018359</v>
      </c>
      <c r="AG9" s="11"/>
    </row>
    <row r="10" spans="1:35" x14ac:dyDescent="0.2">
      <c r="A10" t="s">
        <v>73</v>
      </c>
      <c r="B10" s="11">
        <f>SUM('PEV Sales by Manufacturer'!D11:M11)</f>
        <v>39002</v>
      </c>
      <c r="C10" s="11">
        <f>SUM('PEV Sales by Manufacturer'!D11:N11)</f>
        <v>41317</v>
      </c>
      <c r="D10" s="11">
        <f t="shared" si="1"/>
        <v>47088.533599533665</v>
      </c>
      <c r="E10" s="11">
        <f t="shared" si="0"/>
        <v>55557.484968152414</v>
      </c>
      <c r="F10" s="11">
        <f t="shared" si="0"/>
        <v>67355.239860574133</v>
      </c>
      <c r="G10" s="11">
        <f t="shared" si="0"/>
        <v>81917.702093325119</v>
      </c>
      <c r="H10" s="11">
        <f t="shared" si="0"/>
        <v>98156.012807566207</v>
      </c>
      <c r="I10" s="11">
        <f t="shared" si="0"/>
        <v>115358.92479354191</v>
      </c>
      <c r="J10" s="11">
        <f t="shared" si="0"/>
        <v>132786.61537047182</v>
      </c>
      <c r="K10" s="11">
        <f t="shared" si="0"/>
        <v>150345.55957760743</v>
      </c>
      <c r="L10" s="11">
        <f t="shared" si="0"/>
        <v>167783.42698596467</v>
      </c>
      <c r="M10" s="11">
        <f t="shared" si="0"/>
        <v>185163.48923939414</v>
      </c>
      <c r="N10" s="11">
        <f t="shared" si="0"/>
        <v>202319.32266716848</v>
      </c>
      <c r="O10" s="11">
        <f t="shared" si="0"/>
        <v>219227.21852781787</v>
      </c>
      <c r="P10" s="11">
        <f t="shared" si="0"/>
        <v>235893.07956744754</v>
      </c>
      <c r="Q10" s="11">
        <f t="shared" si="0"/>
        <v>252328.63652320439</v>
      </c>
      <c r="R10" s="11">
        <f t="shared" si="0"/>
        <v>268559.32419664995</v>
      </c>
      <c r="S10" s="11">
        <f t="shared" si="0"/>
        <v>284586.22163441847</v>
      </c>
      <c r="T10" s="11">
        <f t="shared" si="0"/>
        <v>300448.16579142382</v>
      </c>
      <c r="U10" s="11">
        <f t="shared" si="0"/>
        <v>316123.43404504866</v>
      </c>
      <c r="V10" s="11">
        <f t="shared" si="0"/>
        <v>331644.88514365564</v>
      </c>
      <c r="W10" s="11">
        <f t="shared" si="0"/>
        <v>347021.17416800925</v>
      </c>
      <c r="X10" s="11">
        <f t="shared" si="0"/>
        <v>362238.44201915327</v>
      </c>
      <c r="Y10" s="11">
        <f t="shared" si="0"/>
        <v>377325.71795130469</v>
      </c>
      <c r="Z10" s="11">
        <f t="shared" si="0"/>
        <v>392279.68378574995</v>
      </c>
      <c r="AA10" s="11">
        <f t="shared" si="0"/>
        <v>407089.80053936195</v>
      </c>
      <c r="AB10" s="11">
        <f t="shared" si="0"/>
        <v>421762.21939431352</v>
      </c>
      <c r="AC10" s="11">
        <f t="shared" si="0"/>
        <v>436290.01876724226</v>
      </c>
      <c r="AD10" s="11">
        <f t="shared" si="0"/>
        <v>450661.7484020915</v>
      </c>
      <c r="AE10" s="11">
        <f t="shared" si="0"/>
        <v>464882.21806207544</v>
      </c>
      <c r="AF10" s="11">
        <f t="shared" si="0"/>
        <v>478950.39109944878</v>
      </c>
      <c r="AG10" s="11"/>
    </row>
    <row r="11" spans="1:35" x14ac:dyDescent="0.2">
      <c r="A11" t="s">
        <v>74</v>
      </c>
      <c r="B11" s="11">
        <f>SUM('PEV Sales by Manufacturer'!D12:M12)</f>
        <v>26628</v>
      </c>
      <c r="C11" s="11">
        <f>SUM('PEV Sales by Manufacturer'!D12:N12)</f>
        <v>46647</v>
      </c>
      <c r="D11" s="11">
        <f t="shared" si="1"/>
        <v>95435.200095084219</v>
      </c>
      <c r="E11" s="11">
        <f t="shared" si="0"/>
        <v>166739.10022496822</v>
      </c>
      <c r="F11" s="11">
        <f t="shared" si="0"/>
        <v>265581.03517219319</v>
      </c>
      <c r="G11" s="11">
        <f t="shared" si="0"/>
        <v>389572.70754402567</v>
      </c>
      <c r="H11" s="11">
        <f t="shared" si="0"/>
        <v>532179.45875176543</v>
      </c>
      <c r="I11" s="11">
        <f t="shared" si="0"/>
        <v>691175.69256711123</v>
      </c>
      <c r="J11" s="11">
        <f t="shared" si="0"/>
        <v>864268.7540879806</v>
      </c>
      <c r="K11" s="11">
        <f t="shared" si="0"/>
        <v>1050244.5755253283</v>
      </c>
      <c r="L11" s="11">
        <f t="shared" si="0"/>
        <v>1249220.6096305368</v>
      </c>
      <c r="M11" s="11">
        <f t="shared" si="0"/>
        <v>1458477.9450215516</v>
      </c>
      <c r="N11" s="11">
        <f t="shared" si="0"/>
        <v>1675917.3435893403</v>
      </c>
      <c r="O11" s="11">
        <f t="shared" si="0"/>
        <v>1900919.4117667943</v>
      </c>
      <c r="P11" s="11">
        <f t="shared" si="0"/>
        <v>2132632.4136581803</v>
      </c>
      <c r="Q11" s="11">
        <f t="shared" si="0"/>
        <v>2371468.4704649798</v>
      </c>
      <c r="R11" s="11">
        <f t="shared" si="0"/>
        <v>2616559.7567826165</v>
      </c>
      <c r="S11" s="11">
        <f t="shared" si="0"/>
        <v>2868083.4728197088</v>
      </c>
      <c r="T11" s="11">
        <f t="shared" si="0"/>
        <v>3126435.0397950239</v>
      </c>
      <c r="U11" s="11">
        <f t="shared" si="0"/>
        <v>3390916.4659671662</v>
      </c>
      <c r="V11" s="11">
        <f t="shared" si="0"/>
        <v>3661939.1085524983</v>
      </c>
      <c r="W11" s="11">
        <f t="shared" si="0"/>
        <v>3939700.2895589839</v>
      </c>
      <c r="X11" s="11">
        <f t="shared" si="0"/>
        <v>4223762.7930099173</v>
      </c>
      <c r="Y11" s="11">
        <f t="shared" si="0"/>
        <v>4514804.4100974686</v>
      </c>
      <c r="Z11" s="11">
        <f t="shared" si="0"/>
        <v>4812867.7443658458</v>
      </c>
      <c r="AA11" s="11">
        <f t="shared" si="0"/>
        <v>5117494.4317861851</v>
      </c>
      <c r="AB11" s="11">
        <f t="shared" si="0"/>
        <v>5429112.624307855</v>
      </c>
      <c r="AC11" s="11">
        <f t="shared" si="0"/>
        <v>5747591.9466401441</v>
      </c>
      <c r="AD11" s="11">
        <f t="shared" si="0"/>
        <v>6072683.3060588287</v>
      </c>
      <c r="AE11" s="11">
        <f t="shared" si="0"/>
        <v>6404675.1985171195</v>
      </c>
      <c r="AF11" s="11">
        <f t="shared" si="0"/>
        <v>6743860.033902036</v>
      </c>
      <c r="AG11" s="11"/>
    </row>
    <row r="12" spans="1:35" x14ac:dyDescent="0.2">
      <c r="A12" t="s">
        <v>75</v>
      </c>
      <c r="B12" s="11">
        <f>SUM('PEV Sales by Manufacturer'!D13:M13)</f>
        <v>25223</v>
      </c>
      <c r="C12" s="11">
        <f>SUM('PEV Sales by Manufacturer'!D13:N13)</f>
        <v>42236</v>
      </c>
      <c r="D12" s="11">
        <f t="shared" si="1"/>
        <v>83552.190171442795</v>
      </c>
      <c r="E12" s="11">
        <f t="shared" si="0"/>
        <v>143897.60025041547</v>
      </c>
      <c r="F12" s="11">
        <f t="shared" si="0"/>
        <v>227483.4047307148</v>
      </c>
      <c r="G12" s="11">
        <f t="shared" si="0"/>
        <v>332604.35392652714</v>
      </c>
      <c r="H12" s="11">
        <f t="shared" si="0"/>
        <v>454082.46262016636</v>
      </c>
      <c r="I12" s="11">
        <f t="shared" si="0"/>
        <v>590537.76569894387</v>
      </c>
      <c r="J12" s="11">
        <f t="shared" si="0"/>
        <v>740556.77009284613</v>
      </c>
      <c r="K12" s="11">
        <f t="shared" si="0"/>
        <v>903054.89498391841</v>
      </c>
      <c r="L12" s="11">
        <f t="shared" si="0"/>
        <v>1078431.5934000853</v>
      </c>
      <c r="M12" s="11">
        <f t="shared" si="0"/>
        <v>1263950.6319504676</v>
      </c>
      <c r="N12" s="11">
        <f t="shared" si="0"/>
        <v>1457741.9752756208</v>
      </c>
      <c r="O12" s="11">
        <f t="shared" si="0"/>
        <v>1659225.241153975</v>
      </c>
      <c r="P12" s="11">
        <f t="shared" si="0"/>
        <v>1867558.9504149603</v>
      </c>
      <c r="Q12" s="11">
        <f t="shared" si="0"/>
        <v>2083133.8246410363</v>
      </c>
      <c r="R12" s="11">
        <f t="shared" si="0"/>
        <v>2305070.605370766</v>
      </c>
      <c r="S12" s="11">
        <f t="shared" si="0"/>
        <v>2533541.7592602703</v>
      </c>
      <c r="T12" s="11">
        <f t="shared" si="0"/>
        <v>2768891.095501564</v>
      </c>
      <c r="U12" s="11">
        <f t="shared" si="0"/>
        <v>3010458.9559705034</v>
      </c>
      <c r="V12" s="11">
        <f t="shared" si="0"/>
        <v>3258611.5058900644</v>
      </c>
      <c r="W12" s="11">
        <f t="shared" ref="E12:AF21" si="2">V12+W41+W65</f>
        <v>3513532.397417889</v>
      </c>
      <c r="X12" s="11">
        <f t="shared" si="2"/>
        <v>3774808.7106488049</v>
      </c>
      <c r="Y12" s="11">
        <f t="shared" si="2"/>
        <v>4043072.0708807022</v>
      </c>
      <c r="Z12" s="11">
        <f t="shared" si="2"/>
        <v>4318367.974923267</v>
      </c>
      <c r="AA12" s="11">
        <f t="shared" si="2"/>
        <v>4600259.0334511492</v>
      </c>
      <c r="AB12" s="11">
        <f t="shared" si="2"/>
        <v>4889157.9677371634</v>
      </c>
      <c r="AC12" s="11">
        <f t="shared" si="2"/>
        <v>5184944.7900147904</v>
      </c>
      <c r="AD12" s="11">
        <f t="shared" si="2"/>
        <v>5487388.2547963075</v>
      </c>
      <c r="AE12" s="11">
        <f t="shared" si="2"/>
        <v>5796765.711256152</v>
      </c>
      <c r="AF12" s="11">
        <f t="shared" si="2"/>
        <v>6113364.9326793486</v>
      </c>
      <c r="AG12" s="11"/>
    </row>
    <row r="13" spans="1:35" x14ac:dyDescent="0.2">
      <c r="A13" t="s">
        <v>76</v>
      </c>
      <c r="B13" s="11">
        <f>SUM('PEV Sales by Manufacturer'!D14:M14)</f>
        <v>24512</v>
      </c>
      <c r="C13" s="11">
        <f>SUM('PEV Sales by Manufacturer'!D14:N14)</f>
        <v>39129</v>
      </c>
      <c r="D13" s="11">
        <f t="shared" si="1"/>
        <v>74688.210515055776</v>
      </c>
      <c r="E13" s="11">
        <f t="shared" si="2"/>
        <v>126641.29431480345</v>
      </c>
      <c r="F13" s="11">
        <f t="shared" si="2"/>
        <v>198630.44031403284</v>
      </c>
      <c r="G13" s="11">
        <f t="shared" si="2"/>
        <v>289053.49641212716</v>
      </c>
      <c r="H13" s="11">
        <f t="shared" si="2"/>
        <v>393303.09872467833</v>
      </c>
      <c r="I13" s="11">
        <f t="shared" si="2"/>
        <v>509977.56211552361</v>
      </c>
      <c r="J13" s="11">
        <f t="shared" si="2"/>
        <v>637636.4837823835</v>
      </c>
      <c r="K13" s="11">
        <f t="shared" si="2"/>
        <v>775370.34027887881</v>
      </c>
      <c r="L13" s="11">
        <f t="shared" si="2"/>
        <v>923395.74274311541</v>
      </c>
      <c r="M13" s="11">
        <f t="shared" si="2"/>
        <v>1079541.6057958582</v>
      </c>
      <c r="N13" s="11">
        <f t="shared" si="2"/>
        <v>1242237.5951304389</v>
      </c>
      <c r="O13" s="11">
        <f t="shared" si="2"/>
        <v>1411007.8767492576</v>
      </c>
      <c r="P13" s="11">
        <f t="shared" si="2"/>
        <v>1585179.1775375165</v>
      </c>
      <c r="Q13" s="11">
        <f t="shared" si="2"/>
        <v>1765070.0896385009</v>
      </c>
      <c r="R13" s="11">
        <f t="shared" si="2"/>
        <v>1949985.0650287091</v>
      </c>
      <c r="S13" s="11">
        <f t="shared" si="2"/>
        <v>2140063.040167558</v>
      </c>
      <c r="T13" s="11">
        <f t="shared" si="2"/>
        <v>2335596.1246597832</v>
      </c>
      <c r="U13" s="11">
        <f t="shared" si="2"/>
        <v>2536045.6455745907</v>
      </c>
      <c r="V13" s="11">
        <f t="shared" si="2"/>
        <v>2741719.1969251167</v>
      </c>
      <c r="W13" s="11">
        <f t="shared" si="2"/>
        <v>2952767.8241918553</v>
      </c>
      <c r="X13" s="11">
        <f t="shared" si="2"/>
        <v>3168854.2314424659</v>
      </c>
      <c r="Y13" s="11">
        <f t="shared" si="2"/>
        <v>3390497.5970342024</v>
      </c>
      <c r="Z13" s="11">
        <f t="shared" si="2"/>
        <v>3617733.0854060496</v>
      </c>
      <c r="AA13" s="11">
        <f t="shared" si="2"/>
        <v>3850205.1220231024</v>
      </c>
      <c r="AB13" s="11">
        <f t="shared" si="2"/>
        <v>4088247.6618399476</v>
      </c>
      <c r="AC13" s="11">
        <f t="shared" si="2"/>
        <v>4331761.4975210885</v>
      </c>
      <c r="AD13" s="11">
        <f t="shared" si="2"/>
        <v>4580556.2123239012</v>
      </c>
      <c r="AE13" s="11">
        <f t="shared" si="2"/>
        <v>4834856.5034541497</v>
      </c>
      <c r="AF13" s="11">
        <f t="shared" si="2"/>
        <v>5094893.0255686752</v>
      </c>
      <c r="AG13" s="11"/>
    </row>
    <row r="14" spans="1:35" x14ac:dyDescent="0.2">
      <c r="A14" t="s">
        <v>77</v>
      </c>
      <c r="B14" s="11">
        <f>SUM('PEV Sales by Manufacturer'!D15:M15)</f>
        <v>19669</v>
      </c>
      <c r="C14" s="11">
        <f>SUM('PEV Sales by Manufacturer'!D15:N15)</f>
        <v>45138</v>
      </c>
      <c r="D14" s="11">
        <f t="shared" si="1"/>
        <v>107636.73898367459</v>
      </c>
      <c r="E14" s="11">
        <f t="shared" si="2"/>
        <v>199090.44897556648</v>
      </c>
      <c r="F14" s="11">
        <f t="shared" si="2"/>
        <v>326055.93344558921</v>
      </c>
      <c r="G14" s="11">
        <f t="shared" si="2"/>
        <v>484543.48470094963</v>
      </c>
      <c r="H14" s="11">
        <f t="shared" si="2"/>
        <v>665138.63554757554</v>
      </c>
      <c r="I14" s="11">
        <f t="shared" si="2"/>
        <v>863510.35010095371</v>
      </c>
      <c r="J14" s="11">
        <f t="shared" si="2"/>
        <v>1075173.4892208376</v>
      </c>
      <c r="K14" s="11">
        <f t="shared" si="2"/>
        <v>1298738.3163318958</v>
      </c>
      <c r="L14" s="11">
        <f t="shared" si="2"/>
        <v>1533475.728562111</v>
      </c>
      <c r="M14" s="11">
        <f t="shared" si="2"/>
        <v>1777174.4289898749</v>
      </c>
      <c r="N14" s="11">
        <f t="shared" si="2"/>
        <v>2027415.8699591942</v>
      </c>
      <c r="O14" s="11">
        <f t="shared" si="2"/>
        <v>2283570.3464851351</v>
      </c>
      <c r="P14" s="11">
        <f t="shared" si="2"/>
        <v>2544899.1571908374</v>
      </c>
      <c r="Q14" s="11">
        <f t="shared" si="2"/>
        <v>2811807.92285022</v>
      </c>
      <c r="R14" s="11">
        <f t="shared" si="2"/>
        <v>3083608.1500881086</v>
      </c>
      <c r="S14" s="11">
        <f t="shared" si="2"/>
        <v>3360461.1449759053</v>
      </c>
      <c r="T14" s="11">
        <f t="shared" si="2"/>
        <v>3642847.2166223316</v>
      </c>
      <c r="U14" s="11">
        <f t="shared" si="2"/>
        <v>3930073.2548814612</v>
      </c>
      <c r="V14" s="11">
        <f t="shared" si="2"/>
        <v>4222614.0038615428</v>
      </c>
      <c r="W14" s="11">
        <f t="shared" si="2"/>
        <v>4520673.7117232084</v>
      </c>
      <c r="X14" s="11">
        <f t="shared" si="2"/>
        <v>4823817.3869317491</v>
      </c>
      <c r="Y14" s="11">
        <f t="shared" si="2"/>
        <v>5132744.2972855875</v>
      </c>
      <c r="Z14" s="11">
        <f t="shared" si="2"/>
        <v>5447481.4051393773</v>
      </c>
      <c r="AA14" s="11">
        <f t="shared" si="2"/>
        <v>5767585.8623746177</v>
      </c>
      <c r="AB14" s="11">
        <f t="shared" si="2"/>
        <v>6093459.1261883844</v>
      </c>
      <c r="AC14" s="11">
        <f t="shared" si="2"/>
        <v>6424962.2706126012</v>
      </c>
      <c r="AD14" s="11">
        <f t="shared" si="2"/>
        <v>6761835.727145697</v>
      </c>
      <c r="AE14" s="11">
        <f t="shared" si="2"/>
        <v>7104352.2013978316</v>
      </c>
      <c r="AF14" s="11">
        <f t="shared" si="2"/>
        <v>7452768.5675407648</v>
      </c>
      <c r="AG14" s="11"/>
    </row>
    <row r="15" spans="1:35" x14ac:dyDescent="0.2">
      <c r="A15" t="s">
        <v>78</v>
      </c>
      <c r="B15" s="11">
        <f>SUM('PEV Sales by Manufacturer'!D16:M16)</f>
        <v>18500</v>
      </c>
      <c r="C15" s="11">
        <f>SUM('PEV Sales by Manufacturer'!D16:N16)</f>
        <v>30431</v>
      </c>
      <c r="D15" s="11">
        <f t="shared" si="1"/>
        <v>59222.498720412652</v>
      </c>
      <c r="E15" s="11">
        <f t="shared" si="2"/>
        <v>101226.68717839144</v>
      </c>
      <c r="F15" s="11">
        <f t="shared" si="2"/>
        <v>159325.38144442532</v>
      </c>
      <c r="G15" s="11">
        <f t="shared" si="2"/>
        <v>232729.11151459647</v>
      </c>
      <c r="H15" s="11">
        <f t="shared" si="2"/>
        <v>318276.93219130387</v>
      </c>
      <c r="I15" s="11">
        <f t="shared" si="2"/>
        <v>415641.75817459408</v>
      </c>
      <c r="J15" s="11">
        <f t="shared" si="2"/>
        <v>524502.3807469781</v>
      </c>
      <c r="K15" s="11">
        <f t="shared" si="2"/>
        <v>644032.03848356707</v>
      </c>
      <c r="L15" s="11">
        <f t="shared" si="2"/>
        <v>774886.20812192594</v>
      </c>
      <c r="M15" s="11">
        <f t="shared" si="2"/>
        <v>914612.88521450688</v>
      </c>
      <c r="N15" s="11">
        <f t="shared" si="2"/>
        <v>1061792.8916738888</v>
      </c>
      <c r="O15" s="11">
        <f t="shared" si="2"/>
        <v>1215951.5748215083</v>
      </c>
      <c r="P15" s="11">
        <f t="shared" si="2"/>
        <v>1376351.4550253858</v>
      </c>
      <c r="Q15" s="11">
        <f t="shared" si="2"/>
        <v>1543317.2526412196</v>
      </c>
      <c r="R15" s="11">
        <f t="shared" si="2"/>
        <v>1716054.7974005202</v>
      </c>
      <c r="S15" s="11">
        <f t="shared" si="2"/>
        <v>1894712.4392940756</v>
      </c>
      <c r="T15" s="11">
        <f t="shared" si="2"/>
        <v>2079541.0122613895</v>
      </c>
      <c r="U15" s="11">
        <f t="shared" si="2"/>
        <v>2269994.6353642158</v>
      </c>
      <c r="V15" s="11">
        <f t="shared" si="2"/>
        <v>2466350.8602346582</v>
      </c>
      <c r="W15" s="11">
        <f t="shared" si="2"/>
        <v>2668758.4717520601</v>
      </c>
      <c r="X15" s="11">
        <f t="shared" si="2"/>
        <v>2876876.0901932777</v>
      </c>
      <c r="Y15" s="11">
        <f t="shared" si="2"/>
        <v>3091216.3265156234</v>
      </c>
      <c r="Z15" s="11">
        <f t="shared" si="2"/>
        <v>3311822.7249694853</v>
      </c>
      <c r="AA15" s="11">
        <f t="shared" si="2"/>
        <v>3538328.6072728825</v>
      </c>
      <c r="AB15" s="11">
        <f t="shared" si="2"/>
        <v>3771084.6143319039</v>
      </c>
      <c r="AC15" s="11">
        <f t="shared" si="2"/>
        <v>4009995.0891288803</v>
      </c>
      <c r="AD15" s="11">
        <f t="shared" si="2"/>
        <v>4254873.3651326485</v>
      </c>
      <c r="AE15" s="11">
        <f t="shared" si="2"/>
        <v>4505954.2458988037</v>
      </c>
      <c r="AF15" s="11">
        <f t="shared" si="2"/>
        <v>4763488.7365729613</v>
      </c>
      <c r="AG15" s="11"/>
      <c r="AH15" s="11"/>
      <c r="AI15" s="11"/>
    </row>
    <row r="16" spans="1:35" x14ac:dyDescent="0.2">
      <c r="A16" t="s">
        <v>79</v>
      </c>
      <c r="B16" s="11">
        <f>SUM('PEV Sales by Manufacturer'!D17:M17)</f>
        <v>19044</v>
      </c>
      <c r="C16" s="11">
        <f>SUM('PEV Sales by Manufacturer'!D17:N17)</f>
        <v>35819</v>
      </c>
      <c r="D16" s="11">
        <f t="shared" si="1"/>
        <v>75942.067781632664</v>
      </c>
      <c r="E16" s="11">
        <f t="shared" si="2"/>
        <v>134383.61695172012</v>
      </c>
      <c r="F16" s="11">
        <f t="shared" si="2"/>
        <v>215055.84012919909</v>
      </c>
      <c r="G16" s="11">
        <f t="shared" si="2"/>
        <v>317643.27913182398</v>
      </c>
      <c r="H16" s="11">
        <f t="shared" si="2"/>
        <v>438621.12690936477</v>
      </c>
      <c r="I16" s="11">
        <f t="shared" si="2"/>
        <v>578782.04516744078</v>
      </c>
      <c r="J16" s="11">
        <f t="shared" si="2"/>
        <v>738984.41606630594</v>
      </c>
      <c r="K16" s="11">
        <f t="shared" si="2"/>
        <v>917936.46755875554</v>
      </c>
      <c r="L16" s="11">
        <f t="shared" si="2"/>
        <v>1117293.6248743052</v>
      </c>
      <c r="M16" s="11">
        <f t="shared" si="2"/>
        <v>1332566.0856205083</v>
      </c>
      <c r="N16" s="11">
        <f t="shared" si="2"/>
        <v>1561547.8332034668</v>
      </c>
      <c r="O16" s="11">
        <f t="shared" si="2"/>
        <v>1803439.2687584613</v>
      </c>
      <c r="P16" s="11">
        <f t="shared" si="2"/>
        <v>2056915.3948973329</v>
      </c>
      <c r="Q16" s="11">
        <f t="shared" si="2"/>
        <v>2322531.9145753798</v>
      </c>
      <c r="R16" s="11">
        <f t="shared" si="2"/>
        <v>2598825.0872224374</v>
      </c>
      <c r="S16" s="11">
        <f t="shared" si="2"/>
        <v>2886057.0644297698</v>
      </c>
      <c r="T16" s="11">
        <f t="shared" si="2"/>
        <v>3184599.5318796989</v>
      </c>
      <c r="U16" s="11">
        <f t="shared" si="2"/>
        <v>3493522.1800255091</v>
      </c>
      <c r="V16" s="11">
        <f t="shared" si="2"/>
        <v>3813255.8429586939</v>
      </c>
      <c r="W16" s="11">
        <f t="shared" si="2"/>
        <v>4144048.7979523167</v>
      </c>
      <c r="X16" s="11">
        <f t="shared" si="2"/>
        <v>4485319.784096499</v>
      </c>
      <c r="Y16" s="11">
        <f t="shared" si="2"/>
        <v>4837925.7230969472</v>
      </c>
      <c r="Z16" s="11">
        <f t="shared" si="2"/>
        <v>5201950.591090139</v>
      </c>
      <c r="AA16" s="11">
        <f t="shared" si="2"/>
        <v>5576761.6461433992</v>
      </c>
      <c r="AB16" s="11">
        <f t="shared" si="2"/>
        <v>5962971.5489393752</v>
      </c>
      <c r="AC16" s="11">
        <f t="shared" si="2"/>
        <v>6360423.3006142182</v>
      </c>
      <c r="AD16" s="11">
        <f t="shared" si="2"/>
        <v>6768806.554576599</v>
      </c>
      <c r="AE16" s="11">
        <f t="shared" si="2"/>
        <v>7188530.2380997986</v>
      </c>
      <c r="AF16" s="11">
        <f t="shared" si="2"/>
        <v>7620043.4409571532</v>
      </c>
      <c r="AG16" s="11"/>
      <c r="AH16" s="11"/>
      <c r="AI16" s="11"/>
    </row>
    <row r="17" spans="1:35" x14ac:dyDescent="0.2">
      <c r="A17" t="s">
        <v>80</v>
      </c>
      <c r="B17" s="11">
        <f>SUM('PEV Sales by Manufacturer'!D18:M18)</f>
        <v>16033</v>
      </c>
      <c r="C17" s="11">
        <f>SUM('PEV Sales by Manufacturer'!D18:N18)</f>
        <v>16540</v>
      </c>
      <c r="D17" s="11">
        <f t="shared" si="1"/>
        <v>17760.563579539983</v>
      </c>
      <c r="E17" s="11">
        <f t="shared" si="2"/>
        <v>19540.487182976973</v>
      </c>
      <c r="F17" s="11">
        <f t="shared" si="2"/>
        <v>22001.095131154882</v>
      </c>
      <c r="G17" s="11">
        <f t="shared" si="2"/>
        <v>25115.306124711646</v>
      </c>
      <c r="H17" s="11">
        <f t="shared" si="2"/>
        <v>28756.281532300611</v>
      </c>
      <c r="I17" s="11">
        <f t="shared" si="2"/>
        <v>32920.316484628049</v>
      </c>
      <c r="J17" s="11">
        <f t="shared" si="2"/>
        <v>37604.423482039841</v>
      </c>
      <c r="K17" s="11">
        <f t="shared" si="2"/>
        <v>42772.417111606876</v>
      </c>
      <c r="L17" s="11">
        <f t="shared" si="2"/>
        <v>48458.123991707769</v>
      </c>
      <c r="M17" s="11">
        <f t="shared" si="2"/>
        <v>54548.864720301601</v>
      </c>
      <c r="N17" s="11">
        <f t="shared" si="2"/>
        <v>60982.617781454624</v>
      </c>
      <c r="O17" s="11">
        <f t="shared" si="2"/>
        <v>67738.136852976764</v>
      </c>
      <c r="P17" s="11">
        <f t="shared" si="2"/>
        <v>74781.738387194826</v>
      </c>
      <c r="Q17" s="11">
        <f t="shared" si="2"/>
        <v>82128.028105419813</v>
      </c>
      <c r="R17" s="11">
        <f t="shared" si="2"/>
        <v>89740.432936368437</v>
      </c>
      <c r="S17" s="11">
        <f t="shared" si="2"/>
        <v>97625.692930257967</v>
      </c>
      <c r="T17" s="11">
        <f t="shared" si="2"/>
        <v>105794.62185539379</v>
      </c>
      <c r="U17" s="11">
        <f t="shared" si="2"/>
        <v>114222.69783508161</v>
      </c>
      <c r="V17" s="11">
        <f t="shared" si="2"/>
        <v>122922.04565403405</v>
      </c>
      <c r="W17" s="11">
        <f t="shared" si="2"/>
        <v>131899.3059436552</v>
      </c>
      <c r="X17" s="11">
        <f t="shared" si="2"/>
        <v>141139.14767819291</v>
      </c>
      <c r="Y17" s="11">
        <f t="shared" si="2"/>
        <v>150664.46236895776</v>
      </c>
      <c r="Z17" s="11">
        <f t="shared" si="2"/>
        <v>160477.28558492759</v>
      </c>
      <c r="AA17" s="11">
        <f t="shared" si="2"/>
        <v>170561.08175395179</v>
      </c>
      <c r="AB17" s="11">
        <f t="shared" si="2"/>
        <v>180931.72503185007</v>
      </c>
      <c r="AC17" s="11">
        <f t="shared" si="2"/>
        <v>191584.96736938739</v>
      </c>
      <c r="AD17" s="11">
        <f t="shared" si="2"/>
        <v>202512.48669399065</v>
      </c>
      <c r="AE17" s="11">
        <f t="shared" si="2"/>
        <v>213724.90212304163</v>
      </c>
      <c r="AF17" s="11">
        <f t="shared" si="2"/>
        <v>225233.66272974561</v>
      </c>
      <c r="AG17" s="11"/>
      <c r="AH17" s="11"/>
      <c r="AI17" s="11"/>
    </row>
    <row r="18" spans="1:35" x14ac:dyDescent="0.2">
      <c r="A18" t="s">
        <v>81</v>
      </c>
      <c r="B18" s="11">
        <f>SUM('PEV Sales by Manufacturer'!D19:M19)</f>
        <v>11143</v>
      </c>
      <c r="C18" s="11">
        <f>SUM('PEV Sales by Manufacturer'!D19:N19)</f>
        <v>13393</v>
      </c>
      <c r="D18" s="11">
        <f t="shared" si="1"/>
        <v>19002.580365349262</v>
      </c>
      <c r="E18" s="11">
        <f t="shared" si="2"/>
        <v>27233.912224264703</v>
      </c>
      <c r="F18" s="11">
        <f t="shared" si="2"/>
        <v>38700.691865808818</v>
      </c>
      <c r="G18" s="11">
        <f t="shared" si="2"/>
        <v>52854.443014705874</v>
      </c>
      <c r="H18" s="11">
        <f t="shared" si="2"/>
        <v>68636.626493566175</v>
      </c>
      <c r="I18" s="11">
        <f t="shared" si="2"/>
        <v>85355.620634191175</v>
      </c>
      <c r="J18" s="11">
        <f t="shared" si="2"/>
        <v>102292.01482077205</v>
      </c>
      <c r="K18" s="11">
        <f t="shared" si="2"/>
        <v>119354.94565716911</v>
      </c>
      <c r="L18" s="11">
        <f t="shared" si="2"/>
        <v>136298.96564797792</v>
      </c>
      <c r="M18" s="11">
        <f t="shared" si="2"/>
        <v>153185.85673253675</v>
      </c>
      <c r="N18" s="11">
        <f t="shared" si="2"/>
        <v>169853.9260110294</v>
      </c>
      <c r="O18" s="11">
        <f t="shared" si="2"/>
        <v>186280.16681985292</v>
      </c>
      <c r="P18" s="11">
        <f t="shared" si="2"/>
        <v>202470.39545036762</v>
      </c>
      <c r="Q18" s="11">
        <f t="shared" si="2"/>
        <v>218435.98598345584</v>
      </c>
      <c r="R18" s="11">
        <f t="shared" si="2"/>
        <v>234201.75459558819</v>
      </c>
      <c r="S18" s="11">
        <f t="shared" si="2"/>
        <v>249768.73529411759</v>
      </c>
      <c r="T18" s="11">
        <f t="shared" si="2"/>
        <v>265174.66934742639</v>
      </c>
      <c r="U18" s="11">
        <f t="shared" si="2"/>
        <v>280398.48885569844</v>
      </c>
      <c r="V18" s="11">
        <f t="shared" si="2"/>
        <v>295472.11879595579</v>
      </c>
      <c r="W18" s="11">
        <f t="shared" si="2"/>
        <v>310403.96047794109</v>
      </c>
      <c r="X18" s="11">
        <f t="shared" si="2"/>
        <v>325180.57180606609</v>
      </c>
      <c r="Y18" s="11">
        <f t="shared" si="2"/>
        <v>339830.12948069844</v>
      </c>
      <c r="Z18" s="11">
        <f t="shared" si="2"/>
        <v>354349.40222886018</v>
      </c>
      <c r="AA18" s="11">
        <f t="shared" si="2"/>
        <v>368728.17922794109</v>
      </c>
      <c r="AB18" s="11">
        <f t="shared" si="2"/>
        <v>382972.40602022049</v>
      </c>
      <c r="AC18" s="11">
        <f t="shared" si="2"/>
        <v>397075.36155790428</v>
      </c>
      <c r="AD18" s="11">
        <f t="shared" si="2"/>
        <v>411025.93026194838</v>
      </c>
      <c r="AE18" s="11">
        <f t="shared" si="2"/>
        <v>424828.76516544103</v>
      </c>
      <c r="AF18" s="11">
        <f t="shared" si="2"/>
        <v>438482.83226102928</v>
      </c>
      <c r="AG18" s="11"/>
      <c r="AH18" s="11"/>
      <c r="AI18" s="11"/>
    </row>
    <row r="19" spans="1:35" x14ac:dyDescent="0.2">
      <c r="A19" t="s">
        <v>82</v>
      </c>
      <c r="B19" s="11">
        <f>SUM('PEV Sales by Manufacturer'!D20:M20)</f>
        <v>8464</v>
      </c>
      <c r="C19" s="11">
        <f>SUM('PEV Sales by Manufacturer'!D20:N20)</f>
        <v>8464</v>
      </c>
      <c r="D19" s="11">
        <f t="shared" si="1"/>
        <v>8464</v>
      </c>
      <c r="E19" s="11">
        <f t="shared" si="2"/>
        <v>8464</v>
      </c>
      <c r="F19" s="11">
        <f t="shared" si="2"/>
        <v>8464</v>
      </c>
      <c r="G19" s="11">
        <f t="shared" si="2"/>
        <v>8464</v>
      </c>
      <c r="H19" s="11">
        <f t="shared" si="2"/>
        <v>8464</v>
      </c>
      <c r="I19" s="11">
        <f t="shared" si="2"/>
        <v>8464</v>
      </c>
      <c r="J19" s="11">
        <f t="shared" si="2"/>
        <v>8464</v>
      </c>
      <c r="K19" s="11">
        <f t="shared" si="2"/>
        <v>8464</v>
      </c>
      <c r="L19" s="11">
        <f t="shared" si="2"/>
        <v>8464</v>
      </c>
      <c r="M19" s="11">
        <f t="shared" si="2"/>
        <v>8464</v>
      </c>
      <c r="N19" s="11">
        <f t="shared" si="2"/>
        <v>8464</v>
      </c>
      <c r="O19" s="11">
        <f t="shared" si="2"/>
        <v>8464</v>
      </c>
      <c r="P19" s="11">
        <f t="shared" si="2"/>
        <v>8464</v>
      </c>
      <c r="Q19" s="11">
        <f t="shared" si="2"/>
        <v>8464</v>
      </c>
      <c r="R19" s="11">
        <f t="shared" si="2"/>
        <v>8464</v>
      </c>
      <c r="S19" s="11">
        <f t="shared" si="2"/>
        <v>8464</v>
      </c>
      <c r="T19" s="11">
        <f t="shared" si="2"/>
        <v>8464</v>
      </c>
      <c r="U19" s="11">
        <f t="shared" si="2"/>
        <v>8464</v>
      </c>
      <c r="V19" s="11">
        <f t="shared" si="2"/>
        <v>8464</v>
      </c>
      <c r="W19" s="11">
        <f t="shared" si="2"/>
        <v>8464</v>
      </c>
      <c r="X19" s="11">
        <f t="shared" si="2"/>
        <v>8464</v>
      </c>
      <c r="Y19" s="11">
        <f t="shared" si="2"/>
        <v>8464</v>
      </c>
      <c r="Z19" s="11">
        <f t="shared" si="2"/>
        <v>8464</v>
      </c>
      <c r="AA19" s="11">
        <f t="shared" si="2"/>
        <v>8464</v>
      </c>
      <c r="AB19" s="11">
        <f t="shared" si="2"/>
        <v>8464</v>
      </c>
      <c r="AC19" s="11">
        <f t="shared" si="2"/>
        <v>8464</v>
      </c>
      <c r="AD19" s="11">
        <f t="shared" si="2"/>
        <v>8464</v>
      </c>
      <c r="AE19" s="11">
        <f t="shared" si="2"/>
        <v>8464</v>
      </c>
      <c r="AF19" s="11">
        <f t="shared" si="2"/>
        <v>8464</v>
      </c>
      <c r="AG19" s="11"/>
      <c r="AH19" s="11"/>
      <c r="AI19" s="11"/>
    </row>
    <row r="20" spans="1:35" x14ac:dyDescent="0.2">
      <c r="A20" t="s">
        <v>83</v>
      </c>
      <c r="B20" s="11">
        <f>SUM('PEV Sales by Manufacturer'!D21:M21)</f>
        <v>6524</v>
      </c>
      <c r="C20" s="11">
        <f>SUM('PEV Sales by Manufacturer'!D21:N21)</f>
        <v>8189</v>
      </c>
      <c r="D20" s="11">
        <f t="shared" ref="D20:D24" si="3">C20+D49+D73</f>
        <v>12232.498565281345</v>
      </c>
      <c r="E20" s="11">
        <f t="shared" si="2"/>
        <v>18138.34201426847</v>
      </c>
      <c r="F20" s="11">
        <f t="shared" si="2"/>
        <v>26318.675978439707</v>
      </c>
      <c r="G20" s="11">
        <f t="shared" si="2"/>
        <v>36606.537633335931</v>
      </c>
      <c r="H20" s="11">
        <f t="shared" si="2"/>
        <v>48495.088250662935</v>
      </c>
      <c r="I20" s="11">
        <f t="shared" si="2"/>
        <v>61849.155442799121</v>
      </c>
      <c r="J20" s="11">
        <f t="shared" si="2"/>
        <v>76530.280047222754</v>
      </c>
      <c r="K20" s="11">
        <f t="shared" si="2"/>
        <v>92432.330529855943</v>
      </c>
      <c r="L20" s="11">
        <f t="shared" si="2"/>
        <v>109594.32944143823</v>
      </c>
      <c r="M20" s="11">
        <f t="shared" si="2"/>
        <v>127748.59171036929</v>
      </c>
      <c r="N20" s="11">
        <f t="shared" si="2"/>
        <v>146712.12404947041</v>
      </c>
      <c r="O20" s="11">
        <f t="shared" si="2"/>
        <v>166428.13927233967</v>
      </c>
      <c r="P20" s="11">
        <f t="shared" si="2"/>
        <v>186814.31255482472</v>
      </c>
      <c r="Q20" s="11">
        <f t="shared" si="2"/>
        <v>207908.8728682489</v>
      </c>
      <c r="R20" s="11">
        <f t="shared" si="2"/>
        <v>229625.80373565506</v>
      </c>
      <c r="S20" s="11">
        <f t="shared" si="2"/>
        <v>251981.97869366195</v>
      </c>
      <c r="T20" s="11">
        <f t="shared" si="2"/>
        <v>275011.04326327652</v>
      </c>
      <c r="U20" s="11">
        <f t="shared" si="2"/>
        <v>298648.45475026243</v>
      </c>
      <c r="V20" s="11">
        <f t="shared" si="2"/>
        <v>322930.04450629564</v>
      </c>
      <c r="W20" s="11">
        <f t="shared" si="2"/>
        <v>347873.78214283386</v>
      </c>
      <c r="X20" s="11">
        <f t="shared" si="2"/>
        <v>373439.26642497833</v>
      </c>
      <c r="Y20" s="11">
        <f t="shared" si="2"/>
        <v>399688.29913176346</v>
      </c>
      <c r="Z20" s="11">
        <f t="shared" si="2"/>
        <v>426625.33068482933</v>
      </c>
      <c r="AA20" s="11">
        <f t="shared" si="2"/>
        <v>454207.56664437213</v>
      </c>
      <c r="AB20" s="11">
        <f t="shared" si="2"/>
        <v>482475.38704135438</v>
      </c>
      <c r="AC20" s="11">
        <f t="shared" si="2"/>
        <v>511417.05127321417</v>
      </c>
      <c r="AD20" s="11">
        <f t="shared" si="2"/>
        <v>541009.9327892093</v>
      </c>
      <c r="AE20" s="11">
        <f t="shared" si="2"/>
        <v>571281.167172355</v>
      </c>
      <c r="AF20" s="11">
        <f t="shared" si="2"/>
        <v>602258.90850625338</v>
      </c>
      <c r="AG20" s="11"/>
      <c r="AH20" s="11"/>
      <c r="AI20" s="11"/>
    </row>
    <row r="21" spans="1:35" x14ac:dyDescent="0.2">
      <c r="A21" t="s">
        <v>84</v>
      </c>
      <c r="B21" s="11">
        <f>SUM('PEV Sales by Manufacturer'!D22:M22)</f>
        <v>5105</v>
      </c>
      <c r="C21" s="11">
        <f>SUM('PEV Sales by Manufacturer'!D22:N22)</f>
        <v>7723</v>
      </c>
      <c r="D21" s="11">
        <f t="shared" si="3"/>
        <v>14250.058398437501</v>
      </c>
      <c r="E21" s="11">
        <f t="shared" si="2"/>
        <v>23827.670312499999</v>
      </c>
      <c r="F21" s="11">
        <f t="shared" si="2"/>
        <v>37169.905468750003</v>
      </c>
      <c r="G21" s="11">
        <f t="shared" si="2"/>
        <v>53638.581250000003</v>
      </c>
      <c r="H21" s="11">
        <f t="shared" si="2"/>
        <v>72002.028515625003</v>
      </c>
      <c r="I21" s="11">
        <f t="shared" si="2"/>
        <v>91455.507031250003</v>
      </c>
      <c r="J21" s="11">
        <f t="shared" si="2"/>
        <v>111161.942578125</v>
      </c>
      <c r="K21" s="11">
        <f t="shared" si="2"/>
        <v>131015.610546875</v>
      </c>
      <c r="L21" s="11">
        <f t="shared" si="2"/>
        <v>150730.91914062499</v>
      </c>
      <c r="M21" s="11">
        <f t="shared" si="2"/>
        <v>170379.75507812499</v>
      </c>
      <c r="N21" s="11">
        <f t="shared" si="2"/>
        <v>189773.97968749999</v>
      </c>
      <c r="O21" s="11">
        <f t="shared" si="2"/>
        <v>208886.82343749999</v>
      </c>
      <c r="P21" s="11">
        <f t="shared" si="2"/>
        <v>227725.05390624999</v>
      </c>
      <c r="Q21" s="11">
        <f t="shared" si="2"/>
        <v>246301.90546874999</v>
      </c>
      <c r="R21" s="11">
        <f t="shared" si="2"/>
        <v>264646.25312499999</v>
      </c>
      <c r="S21" s="11">
        <f t="shared" si="2"/>
        <v>282759.3</v>
      </c>
      <c r="T21" s="11">
        <f t="shared" si="2"/>
        <v>300684.96015624999</v>
      </c>
      <c r="U21" s="11">
        <f t="shared" si="2"/>
        <v>318398.71992187499</v>
      </c>
      <c r="V21" s="11">
        <f t="shared" si="2"/>
        <v>335937.72578124999</v>
      </c>
      <c r="W21" s="11">
        <f t="shared" si="2"/>
        <v>353311.75312499999</v>
      </c>
      <c r="X21" s="11">
        <f t="shared" si="2"/>
        <v>370505.16132812499</v>
      </c>
      <c r="Y21" s="11">
        <f t="shared" si="2"/>
        <v>387550.73554687499</v>
      </c>
      <c r="Z21" s="11">
        <f t="shared" ref="E21:AF24" si="4">Y21+Z50+Z74</f>
        <v>404444.71601562499</v>
      </c>
      <c r="AA21" s="11">
        <f t="shared" si="4"/>
        <v>421175.22187499999</v>
      </c>
      <c r="AB21" s="11">
        <f t="shared" si="4"/>
        <v>437749.17109374999</v>
      </c>
      <c r="AC21" s="11">
        <f t="shared" si="4"/>
        <v>454158.74335937499</v>
      </c>
      <c r="AD21" s="11">
        <f t="shared" si="4"/>
        <v>470391.00507812499</v>
      </c>
      <c r="AE21" s="11">
        <f t="shared" si="4"/>
        <v>486451.37031249999</v>
      </c>
      <c r="AF21" s="11">
        <f t="shared" si="4"/>
        <v>502338.63593749999</v>
      </c>
      <c r="AG21" s="11"/>
      <c r="AH21" s="11"/>
      <c r="AI21" s="11"/>
    </row>
    <row r="22" spans="1:35" x14ac:dyDescent="0.2">
      <c r="A22" t="s">
        <v>85</v>
      </c>
      <c r="B22" s="11">
        <f>SUM('PEV Sales by Manufacturer'!D23:M23)</f>
        <v>0</v>
      </c>
      <c r="C22" s="11">
        <f>SUM('PEV Sales by Manufacturer'!D23:N23)</f>
        <v>376</v>
      </c>
      <c r="D22" s="11">
        <f t="shared" si="3"/>
        <v>1275.3307592187111</v>
      </c>
      <c r="E22" s="11">
        <f t="shared" si="4"/>
        <v>2585.2575841339349</v>
      </c>
      <c r="F22" s="11">
        <f t="shared" si="4"/>
        <v>4393.4695611671441</v>
      </c>
      <c r="G22" s="11">
        <f t="shared" si="4"/>
        <v>6692.895913774415</v>
      </c>
      <c r="H22" s="11">
        <f t="shared" si="4"/>
        <v>9404.5305346003661</v>
      </c>
      <c r="I22" s="11">
        <f t="shared" si="4"/>
        <v>12546.140386465438</v>
      </c>
      <c r="J22" s="11">
        <f t="shared" si="4"/>
        <v>16136.965510636723</v>
      </c>
      <c r="K22" s="11">
        <f t="shared" si="4"/>
        <v>20148.051731868378</v>
      </c>
      <c r="L22" s="11">
        <f t="shared" si="4"/>
        <v>24616.504259477715</v>
      </c>
      <c r="M22" s="11">
        <f t="shared" si="4"/>
        <v>29441.687284251027</v>
      </c>
      <c r="N22" s="11">
        <f t="shared" si="4"/>
        <v>34574.154472995731</v>
      </c>
      <c r="O22" s="11">
        <f t="shared" si="4"/>
        <v>39995.983371277573</v>
      </c>
      <c r="P22" s="11">
        <f t="shared" si="4"/>
        <v>45677.475080858239</v>
      </c>
      <c r="Q22" s="11">
        <f t="shared" si="4"/>
        <v>51631.085298381084</v>
      </c>
      <c r="R22" s="11">
        <f t="shared" si="4"/>
        <v>57824.005293331524</v>
      </c>
      <c r="S22" s="11">
        <f t="shared" si="4"/>
        <v>64262.111011957866</v>
      </c>
      <c r="T22" s="11">
        <f t="shared" si="4"/>
        <v>70953.733531252845</v>
      </c>
      <c r="U22" s="11">
        <f t="shared" si="4"/>
        <v>77878.020607427199</v>
      </c>
      <c r="V22" s="11">
        <f t="shared" si="4"/>
        <v>85044.629088075628</v>
      </c>
      <c r="W22" s="11">
        <f t="shared" si="4"/>
        <v>92459.123936218821</v>
      </c>
      <c r="X22" s="11">
        <f t="shared" si="4"/>
        <v>100108.47659137307</v>
      </c>
      <c r="Y22" s="11">
        <f t="shared" si="4"/>
        <v>108011.89435972887</v>
      </c>
      <c r="Z22" s="11">
        <f t="shared" si="4"/>
        <v>116171.25950819028</v>
      </c>
      <c r="AA22" s="11">
        <f t="shared" si="4"/>
        <v>124572.38956482371</v>
      </c>
      <c r="AB22" s="11">
        <f t="shared" si="4"/>
        <v>133229.01689425961</v>
      </c>
      <c r="AC22" s="11">
        <f t="shared" si="4"/>
        <v>142137.62247576428</v>
      </c>
      <c r="AD22" s="11">
        <f t="shared" si="4"/>
        <v>151291.25010556189</v>
      </c>
      <c r="AE22" s="11">
        <f t="shared" si="4"/>
        <v>160699.06560509829</v>
      </c>
      <c r="AF22" s="11">
        <f t="shared" si="4"/>
        <v>170371.13501042558</v>
      </c>
      <c r="AG22" s="11"/>
      <c r="AH22" s="11"/>
      <c r="AI22" s="11"/>
    </row>
    <row r="23" spans="1:35" x14ac:dyDescent="0.2">
      <c r="A23" t="s">
        <v>86</v>
      </c>
      <c r="B23" s="11">
        <f>SUM('PEV Sales by Manufacturer'!D24:M24)</f>
        <v>0</v>
      </c>
      <c r="C23" s="11">
        <f>SUM('PEV Sales by Manufacturer'!D24:N24)</f>
        <v>65</v>
      </c>
      <c r="D23" s="11">
        <f t="shared" si="3"/>
        <v>220.46941316280913</v>
      </c>
      <c r="E23" s="11">
        <f t="shared" si="4"/>
        <v>446.91952917208988</v>
      </c>
      <c r="F23" s="11">
        <f t="shared" si="4"/>
        <v>759.50936562729908</v>
      </c>
      <c r="G23" s="11">
        <f t="shared" si="4"/>
        <v>1157.0165808386623</v>
      </c>
      <c r="H23" s="11">
        <f t="shared" si="4"/>
        <v>1625.7832041197444</v>
      </c>
      <c r="I23" s="11">
        <f t="shared" si="4"/>
        <v>2168.8806519155678</v>
      </c>
      <c r="J23" s="11">
        <f t="shared" si="4"/>
        <v>2789.6349951898592</v>
      </c>
      <c r="K23" s="11">
        <f t="shared" si="4"/>
        <v>3483.040857902779</v>
      </c>
      <c r="L23" s="11">
        <f t="shared" si="4"/>
        <v>4255.5127044309893</v>
      </c>
      <c r="M23" s="11">
        <f t="shared" si="4"/>
        <v>5089.6533869050991</v>
      </c>
      <c r="N23" s="11">
        <f t="shared" si="4"/>
        <v>5976.9150019806466</v>
      </c>
      <c r="O23" s="11">
        <f t="shared" si="4"/>
        <v>6914.1992530134121</v>
      </c>
      <c r="P23" s="11">
        <f t="shared" si="4"/>
        <v>7896.3720219568786</v>
      </c>
      <c r="Q23" s="11">
        <f t="shared" si="4"/>
        <v>8925.5865542414122</v>
      </c>
      <c r="R23" s="11">
        <f t="shared" si="4"/>
        <v>9996.1711278365674</v>
      </c>
      <c r="S23" s="11">
        <f t="shared" si="4"/>
        <v>11109.141531322504</v>
      </c>
      <c r="T23" s="11">
        <f t="shared" si="4"/>
        <v>12265.937977477221</v>
      </c>
      <c r="U23" s="11">
        <f t="shared" si="4"/>
        <v>13462.955690113744</v>
      </c>
      <c r="V23" s="11">
        <f t="shared" si="4"/>
        <v>14701.864071076903</v>
      </c>
      <c r="W23" s="11">
        <f t="shared" si="4"/>
        <v>15983.625148548466</v>
      </c>
      <c r="X23" s="11">
        <f t="shared" si="4"/>
        <v>17305.98664478524</v>
      </c>
      <c r="Y23" s="11">
        <f t="shared" si="4"/>
        <v>18672.268971761641</v>
      </c>
      <c r="Z23" s="11">
        <f t="shared" si="4"/>
        <v>20082.797521362681</v>
      </c>
      <c r="AA23" s="11">
        <f t="shared" si="4"/>
        <v>21535.120536472183</v>
      </c>
      <c r="AB23" s="11">
        <f t="shared" si="4"/>
        <v>23031.611963103387</v>
      </c>
      <c r="AC23" s="11">
        <f t="shared" si="4"/>
        <v>24571.66345990606</v>
      </c>
      <c r="AD23" s="11">
        <f t="shared" si="4"/>
        <v>26154.072491652991</v>
      </c>
      <c r="AE23" s="11">
        <f t="shared" si="4"/>
        <v>27780.423575349443</v>
      </c>
      <c r="AF23" s="11">
        <f t="shared" si="4"/>
        <v>29452.456850206552</v>
      </c>
      <c r="AG23" s="11"/>
      <c r="AH23" s="11"/>
      <c r="AI23" s="11"/>
    </row>
    <row r="24" spans="1:35" x14ac:dyDescent="0.2">
      <c r="A24" t="s">
        <v>87</v>
      </c>
      <c r="B24" s="11">
        <f>SUM('PEV Sales by Manufacturer'!D25:M25)</f>
        <v>0</v>
      </c>
      <c r="C24" s="11">
        <f>SUM('PEV Sales by Manufacturer'!D25:N25)</f>
        <v>116</v>
      </c>
      <c r="D24" s="11">
        <f t="shared" si="3"/>
        <v>393.45310656747478</v>
      </c>
      <c r="E24" s="11">
        <f t="shared" si="4"/>
        <v>797.5794674455758</v>
      </c>
      <c r="F24" s="11">
        <f t="shared" si="4"/>
        <v>1355.4320986579489</v>
      </c>
      <c r="G24" s="11">
        <f t="shared" si="4"/>
        <v>2064.8295904197666</v>
      </c>
      <c r="H24" s="11">
        <f t="shared" si="4"/>
        <v>2901.39771812139</v>
      </c>
      <c r="I24" s="11">
        <f t="shared" si="4"/>
        <v>3870.6177788031678</v>
      </c>
      <c r="J24" s="11">
        <f t="shared" si="4"/>
        <v>4978.4255298772878</v>
      </c>
      <c r="K24" s="11">
        <f t="shared" si="4"/>
        <v>6215.8883002572675</v>
      </c>
      <c r="L24" s="11">
        <f t="shared" si="4"/>
        <v>7594.4534417537652</v>
      </c>
      <c r="M24" s="11">
        <f t="shared" si="4"/>
        <v>9083.0737366306385</v>
      </c>
      <c r="N24" s="11">
        <f t="shared" si="4"/>
        <v>10666.494465073154</v>
      </c>
      <c r="O24" s="11">
        <f t="shared" si="4"/>
        <v>12339.186359223935</v>
      </c>
      <c r="P24" s="11">
        <f t="shared" si="4"/>
        <v>14091.986993030738</v>
      </c>
      <c r="Q24" s="11">
        <f t="shared" si="4"/>
        <v>15928.739081415444</v>
      </c>
      <c r="R24" s="11">
        <f t="shared" si="4"/>
        <v>17839.320781985261</v>
      </c>
      <c r="S24" s="11">
        <f t="shared" si="4"/>
        <v>19825.544886667856</v>
      </c>
      <c r="T24" s="11">
        <f t="shared" si="4"/>
        <v>21889.981621343966</v>
      </c>
      <c r="U24" s="11">
        <f t="shared" si="4"/>
        <v>24026.197846972223</v>
      </c>
      <c r="V24" s="11">
        <f t="shared" si="4"/>
        <v>26237.172803768015</v>
      </c>
      <c r="W24" s="11">
        <f t="shared" si="4"/>
        <v>28524.623342024959</v>
      </c>
      <c r="X24" s="11">
        <f t="shared" si="4"/>
        <v>30884.53001223212</v>
      </c>
      <c r="Y24" s="11">
        <f t="shared" si="4"/>
        <v>33322.818472682316</v>
      </c>
      <c r="Z24" s="11">
        <f t="shared" si="4"/>
        <v>35840.069422739558</v>
      </c>
      <c r="AA24" s="11">
        <f t="shared" si="4"/>
        <v>38431.907418934978</v>
      </c>
      <c r="AB24" s="11">
        <f t="shared" si="4"/>
        <v>41102.569041846051</v>
      </c>
      <c r="AC24" s="11">
        <f t="shared" si="4"/>
        <v>43850.968636140045</v>
      </c>
      <c r="AD24" s="11">
        <f t="shared" si="4"/>
        <v>46674.960138949951</v>
      </c>
      <c r="AE24" s="11">
        <f t="shared" si="4"/>
        <v>49577.371303700544</v>
      </c>
      <c r="AF24" s="11">
        <f t="shared" si="4"/>
        <v>52561.307609599389</v>
      </c>
      <c r="AG24" s="11"/>
      <c r="AH24" s="11"/>
      <c r="AI24" s="11"/>
    </row>
    <row r="25" spans="1:35" x14ac:dyDescent="0.2">
      <c r="B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5" x14ac:dyDescent="0.2">
      <c r="A26" s="25" t="s">
        <v>88</v>
      </c>
    </row>
    <row r="27" spans="1:35" x14ac:dyDescent="0.2">
      <c r="A27" t="s">
        <v>57</v>
      </c>
      <c r="B27">
        <v>2020</v>
      </c>
      <c r="C27">
        <v>2021</v>
      </c>
      <c r="D27">
        <v>2022</v>
      </c>
      <c r="E27">
        <v>2023</v>
      </c>
      <c r="F27">
        <v>2024</v>
      </c>
      <c r="G27">
        <v>2025</v>
      </c>
      <c r="H27">
        <v>2026</v>
      </c>
      <c r="I27">
        <v>2027</v>
      </c>
      <c r="J27">
        <v>2028</v>
      </c>
      <c r="K27">
        <v>2029</v>
      </c>
      <c r="L27">
        <v>2030</v>
      </c>
      <c r="M27">
        <v>2031</v>
      </c>
      <c r="N27">
        <v>2032</v>
      </c>
      <c r="O27">
        <v>2033</v>
      </c>
      <c r="P27">
        <v>2034</v>
      </c>
      <c r="Q27">
        <v>2035</v>
      </c>
      <c r="R27">
        <v>2036</v>
      </c>
      <c r="S27">
        <v>2037</v>
      </c>
      <c r="T27">
        <v>2038</v>
      </c>
      <c r="U27">
        <v>2039</v>
      </c>
      <c r="V27">
        <v>2040</v>
      </c>
      <c r="W27">
        <v>2041</v>
      </c>
      <c r="X27">
        <v>2042</v>
      </c>
      <c r="Y27">
        <v>2043</v>
      </c>
      <c r="Z27">
        <v>2044</v>
      </c>
      <c r="AA27">
        <v>2045</v>
      </c>
      <c r="AB27">
        <v>2046</v>
      </c>
      <c r="AC27">
        <v>2047</v>
      </c>
      <c r="AD27">
        <v>2048</v>
      </c>
      <c r="AE27">
        <v>2049</v>
      </c>
      <c r="AF27">
        <v>2050</v>
      </c>
    </row>
    <row r="28" spans="1:35" x14ac:dyDescent="0.2">
      <c r="A28" t="s">
        <v>89</v>
      </c>
      <c r="B28">
        <v>349182</v>
      </c>
      <c r="C28">
        <v>603744</v>
      </c>
      <c r="D28" s="12">
        <v>1098920</v>
      </c>
      <c r="E28" s="12">
        <v>1600640</v>
      </c>
      <c r="F28" s="12">
        <v>2209510</v>
      </c>
      <c r="G28" s="12">
        <v>2809740</v>
      </c>
      <c r="H28" s="12">
        <v>3313430</v>
      </c>
      <c r="I28" s="12">
        <v>3838830</v>
      </c>
      <c r="J28" s="12">
        <v>4387740</v>
      </c>
      <c r="K28" s="12">
        <v>4901270</v>
      </c>
      <c r="L28" s="12">
        <v>5460140</v>
      </c>
      <c r="M28" s="12">
        <v>5896040</v>
      </c>
      <c r="N28" s="12">
        <v>6271520</v>
      </c>
      <c r="O28" s="12">
        <v>6625100</v>
      </c>
      <c r="P28" s="12">
        <v>6942390</v>
      </c>
      <c r="Q28" s="12">
        <v>7274900</v>
      </c>
      <c r="R28" s="12">
        <v>7567320</v>
      </c>
      <c r="S28" s="12">
        <v>7866920</v>
      </c>
      <c r="T28" s="12">
        <v>8176700</v>
      </c>
      <c r="U28" s="12">
        <v>8461000</v>
      </c>
      <c r="V28" s="12">
        <v>8757100</v>
      </c>
      <c r="W28" s="12">
        <v>9060000</v>
      </c>
      <c r="X28" s="12">
        <v>9346980</v>
      </c>
      <c r="Y28" s="12">
        <v>9657430</v>
      </c>
      <c r="Z28" s="12">
        <v>9970180</v>
      </c>
      <c r="AA28" s="12">
        <v>10265600</v>
      </c>
      <c r="AB28" s="12">
        <v>10577800</v>
      </c>
      <c r="AC28" s="12">
        <v>10885700</v>
      </c>
      <c r="AD28" s="12">
        <v>11185100</v>
      </c>
      <c r="AE28" s="12">
        <v>11495700</v>
      </c>
      <c r="AF28" s="12">
        <v>11818600</v>
      </c>
    </row>
    <row r="29" spans="1:35" x14ac:dyDescent="0.2">
      <c r="A29" t="s">
        <v>90</v>
      </c>
      <c r="B29">
        <v>86889</v>
      </c>
      <c r="C29">
        <v>248313</v>
      </c>
      <c r="D29">
        <v>434007</v>
      </c>
      <c r="E29">
        <v>636849</v>
      </c>
      <c r="F29">
        <v>887172</v>
      </c>
      <c r="G29" s="12">
        <v>1095060</v>
      </c>
      <c r="H29" s="12">
        <v>1221050</v>
      </c>
      <c r="I29" s="12">
        <v>1293530</v>
      </c>
      <c r="J29" s="12">
        <v>1310350</v>
      </c>
      <c r="K29" s="12">
        <v>1320140</v>
      </c>
      <c r="L29" s="12">
        <v>1310940</v>
      </c>
      <c r="M29" s="12">
        <v>1306520</v>
      </c>
      <c r="N29" s="12">
        <v>1289590</v>
      </c>
      <c r="O29" s="12">
        <v>1270880</v>
      </c>
      <c r="P29" s="12">
        <v>1252620</v>
      </c>
      <c r="Q29" s="12">
        <v>1235240</v>
      </c>
      <c r="R29" s="12">
        <v>1219780</v>
      </c>
      <c r="S29" s="12">
        <v>1204400</v>
      </c>
      <c r="T29" s="12">
        <v>1191940</v>
      </c>
      <c r="U29" s="12">
        <v>1177850</v>
      </c>
      <c r="V29" s="12">
        <v>1166230</v>
      </c>
      <c r="W29" s="12">
        <v>1155260</v>
      </c>
      <c r="X29" s="12">
        <v>1143250</v>
      </c>
      <c r="Y29" s="12">
        <v>1133420</v>
      </c>
      <c r="Z29" s="12">
        <v>1123340</v>
      </c>
      <c r="AA29" s="12">
        <v>1112470</v>
      </c>
      <c r="AB29" s="12">
        <v>1102060</v>
      </c>
      <c r="AC29" s="12">
        <v>1091130</v>
      </c>
      <c r="AD29" s="12">
        <v>1079340</v>
      </c>
      <c r="AE29" s="12">
        <v>1067910</v>
      </c>
      <c r="AF29" s="12">
        <v>1056400</v>
      </c>
    </row>
    <row r="31" spans="1:35" x14ac:dyDescent="0.2">
      <c r="A31" s="1" t="s">
        <v>91</v>
      </c>
      <c r="B31">
        <v>2020</v>
      </c>
      <c r="C31">
        <v>2021</v>
      </c>
      <c r="D31">
        <v>2022</v>
      </c>
      <c r="E31">
        <v>2023</v>
      </c>
      <c r="F31">
        <v>2024</v>
      </c>
      <c r="G31">
        <v>2025</v>
      </c>
      <c r="H31">
        <v>2026</v>
      </c>
      <c r="I31">
        <v>2027</v>
      </c>
      <c r="J31">
        <v>2028</v>
      </c>
      <c r="K31">
        <v>2029</v>
      </c>
      <c r="L31">
        <v>2030</v>
      </c>
      <c r="M31">
        <v>2031</v>
      </c>
      <c r="N31">
        <v>2032</v>
      </c>
      <c r="O31">
        <v>2033</v>
      </c>
      <c r="P31">
        <v>2034</v>
      </c>
      <c r="Q31">
        <v>2035</v>
      </c>
      <c r="R31">
        <v>2036</v>
      </c>
      <c r="S31">
        <v>2037</v>
      </c>
      <c r="T31">
        <v>2038</v>
      </c>
      <c r="U31">
        <v>2039</v>
      </c>
      <c r="V31">
        <v>2040</v>
      </c>
      <c r="W31">
        <v>2041</v>
      </c>
      <c r="X31">
        <v>2042</v>
      </c>
      <c r="Y31">
        <v>2043</v>
      </c>
      <c r="Z31">
        <v>2044</v>
      </c>
      <c r="AA31">
        <v>2045</v>
      </c>
      <c r="AB31">
        <v>2046</v>
      </c>
      <c r="AC31">
        <v>2047</v>
      </c>
      <c r="AD31">
        <v>2048</v>
      </c>
      <c r="AE31">
        <v>2049</v>
      </c>
      <c r="AF31">
        <v>2050</v>
      </c>
    </row>
    <row r="32" spans="1:35" x14ac:dyDescent="0.2">
      <c r="A32" t="s">
        <v>13</v>
      </c>
      <c r="B32" s="11">
        <f>'PEV Sales by Manufacturer'!M31</f>
        <v>183829</v>
      </c>
      <c r="C32" s="11">
        <f>'PEV Sales by Manufacturer'!N31</f>
        <v>320918</v>
      </c>
      <c r="D32" s="11">
        <f>D$28*'PEV Sales by Manufacturer'!$S31</f>
        <v>767583.58666742127</v>
      </c>
      <c r="E32" s="11">
        <f>E$28*'PEV Sales by Manufacturer'!$S31</f>
        <v>1118029.512761021</v>
      </c>
      <c r="F32" s="11">
        <f>F$28*'PEV Sales by Manufacturer'!$S31</f>
        <v>1543318.5405466584</v>
      </c>
      <c r="G32" s="11">
        <f>G$28*'PEV Sales by Manufacturer'!$S31</f>
        <v>1962572.6229415429</v>
      </c>
      <c r="H32" s="11">
        <f>H$28*'PEV Sales by Manufacturer'!$S31</f>
        <v>2314394.5724633583</v>
      </c>
      <c r="I32" s="11">
        <f>I$28*'PEV Sales by Manufacturer'!$S31</f>
        <v>2681380.719257541</v>
      </c>
      <c r="J32" s="11">
        <f>J$28*'PEV Sales by Manufacturer'!$S31</f>
        <v>3064788.3436138309</v>
      </c>
      <c r="K32" s="11">
        <f>K$28*'PEV Sales by Manufacturer'!$S31</f>
        <v>3423483.4253862263</v>
      </c>
      <c r="L32" s="11">
        <f>L$28*'PEV Sales by Manufacturer'!$S31</f>
        <v>3813848.000679079</v>
      </c>
      <c r="M32" s="11">
        <f>M$28*'PEV Sales by Manufacturer'!$S31</f>
        <v>4118319.3775111767</v>
      </c>
      <c r="N32" s="11">
        <f>N$28*'PEV Sales by Manufacturer'!$S31</f>
        <v>4380588.0459509939</v>
      </c>
      <c r="O32" s="11">
        <f>O$28*'PEV Sales by Manufacturer'!$S31</f>
        <v>4627559.8041989701</v>
      </c>
      <c r="P32" s="11">
        <f>P$28*'PEV Sales by Manufacturer'!$S31</f>
        <v>4849183.3948276844</v>
      </c>
      <c r="Q32" s="11">
        <f>Q$28*'PEV Sales by Manufacturer'!$S31</f>
        <v>5081437.9887952013</v>
      </c>
      <c r="R32" s="11">
        <f>R$28*'PEV Sales by Manufacturer'!$S31</f>
        <v>5285690.1567540038</v>
      </c>
      <c r="S32" s="11">
        <f>S$28*'PEV Sales by Manufacturer'!$S31</f>
        <v>5494957.4760907702</v>
      </c>
      <c r="T32" s="11">
        <f>T$28*'PEV Sales by Manufacturer'!$S31</f>
        <v>5711335.4139550682</v>
      </c>
      <c r="U32" s="11">
        <f>U$28*'PEV Sales by Manufacturer'!$S31</f>
        <v>5909915.8508290425</v>
      </c>
      <c r="V32" s="11">
        <f>V$28*'PEV Sales by Manufacturer'!$S31</f>
        <v>6116738.4584913142</v>
      </c>
      <c r="W32" s="11">
        <f>W$28*'PEV Sales by Manufacturer'!$S31</f>
        <v>6328310.7916926043</v>
      </c>
      <c r="X32" s="11">
        <f>X$28*'PEV Sales by Manufacturer'!$S31</f>
        <v>6528763.1792201921</v>
      </c>
      <c r="Y32" s="11">
        <f>Y$28*'PEV Sales by Manufacturer'!$S31</f>
        <v>6745609.1047478924</v>
      </c>
      <c r="Z32" s="11">
        <f>Z$28*'PEV Sales by Manufacturer'!$S31</f>
        <v>6964061.5550902616</v>
      </c>
      <c r="AA32" s="11">
        <f>AA$28*'PEV Sales by Manufacturer'!$S31</f>
        <v>7170409.190198631</v>
      </c>
      <c r="AB32" s="11">
        <f>AB$28*'PEV Sales by Manufacturer'!$S31</f>
        <v>7388477.4715635795</v>
      </c>
      <c r="AC32" s="11">
        <f>AC$28*'PEV Sales by Manufacturer'!$S31</f>
        <v>7603542.2500141477</v>
      </c>
      <c r="AD32" s="11">
        <f>AD$28*'PEV Sales by Manufacturer'!$S31</f>
        <v>7812669.8715409432</v>
      </c>
      <c r="AE32" s="11">
        <f>AE$28*'PEV Sales by Manufacturer'!$S31</f>
        <v>8029620.5704261223</v>
      </c>
      <c r="AF32" s="11">
        <f>AF$28*'PEV Sales by Manufacturer'!$S31</f>
        <v>8255162.6846245266</v>
      </c>
      <c r="AG32" s="11"/>
      <c r="AH32" s="11"/>
    </row>
    <row r="33" spans="1:34" x14ac:dyDescent="0.2">
      <c r="A33" t="s">
        <v>67</v>
      </c>
      <c r="B33" s="11">
        <f>'PEV Sales by Manufacturer'!M32</f>
        <v>20754</v>
      </c>
      <c r="C33" s="11">
        <f>'PEV Sales by Manufacturer'!N32</f>
        <v>24829</v>
      </c>
      <c r="D33" s="11">
        <f>D$28*'PEV Sales by Manufacturer'!$S32</f>
        <v>59386.923991067502</v>
      </c>
      <c r="E33" s="11">
        <f>E$28*'PEV Sales by Manufacturer'!$S32</f>
        <v>86500.460467606637</v>
      </c>
      <c r="F33" s="11">
        <f>F$28*'PEV Sales by Manufacturer'!$S32</f>
        <v>119404.50845148286</v>
      </c>
      <c r="G33" s="11">
        <f>G$28*'PEV Sales by Manufacturer'!$S32</f>
        <v>151841.64071512211</v>
      </c>
      <c r="H33" s="11">
        <f>H$28*'PEV Sales by Manufacturer'!$S32</f>
        <v>179061.63829916899</v>
      </c>
      <c r="I33" s="11">
        <f>I$28*'PEV Sales by Manufacturer'!$S32</f>
        <v>207454.86971265392</v>
      </c>
      <c r="J33" s="11">
        <f>J$28*'PEV Sales by Manufacturer'!$S32</f>
        <v>237118.60906395962</v>
      </c>
      <c r="K33" s="11">
        <f>K$28*'PEV Sales by Manufacturer'!$S32</f>
        <v>264870.37177383195</v>
      </c>
      <c r="L33" s="11">
        <f>L$28*'PEV Sales by Manufacturer'!$S32</f>
        <v>295072.36119152192</v>
      </c>
      <c r="M33" s="11">
        <f>M$28*'PEV Sales by Manufacturer'!$S32</f>
        <v>318628.90777153353</v>
      </c>
      <c r="N33" s="11">
        <f>N$28*'PEV Sales by Manufacturer'!$S32</f>
        <v>338920.28678016568</v>
      </c>
      <c r="O33" s="11">
        <f>O$28*'PEV Sales by Manufacturer'!$S32</f>
        <v>358028.16413680825</v>
      </c>
      <c r="P33" s="11">
        <f>P$28*'PEV Sales by Manufacturer'!$S32</f>
        <v>375174.88738611282</v>
      </c>
      <c r="Q33" s="11">
        <f>Q$28*'PEV Sales by Manufacturer'!$S32</f>
        <v>393144.11726296449</v>
      </c>
      <c r="R33" s="11">
        <f>R$28*'PEV Sales by Manufacturer'!$S32</f>
        <v>408946.83658144809</v>
      </c>
      <c r="S33" s="11">
        <f>S$28*'PEV Sales by Manufacturer'!$S32</f>
        <v>425137.57151003595</v>
      </c>
      <c r="T33" s="11">
        <f>T$28*'PEV Sales by Manufacturer'!$S32</f>
        <v>441878.4455626994</v>
      </c>
      <c r="U33" s="11">
        <f>U$28*'PEV Sales by Manufacturer'!$S32</f>
        <v>457242.35057003435</v>
      </c>
      <c r="V33" s="11">
        <f>V$28*'PEV Sales by Manufacturer'!$S32</f>
        <v>473243.94139898918</v>
      </c>
      <c r="W33" s="11">
        <f>W$28*'PEV Sales by Manufacturer'!$S32</f>
        <v>489613.0121929454</v>
      </c>
      <c r="X33" s="11">
        <f>X$28*'PEV Sales by Manufacturer'!$S32</f>
        <v>505121.74753942789</v>
      </c>
      <c r="Y33" s="11">
        <f>Y$28*'PEV Sales by Manufacturer'!$S32</f>
        <v>521898.82917687821</v>
      </c>
      <c r="Z33" s="11">
        <f>Z$28*'PEV Sales by Manufacturer'!$S32</f>
        <v>538800.2055083731</v>
      </c>
      <c r="AA33" s="11">
        <f>AA$28*'PEV Sales by Manufacturer'!$S32</f>
        <v>554765.04834082781</v>
      </c>
      <c r="AB33" s="11">
        <f>AB$28*'PEV Sales by Manufacturer'!$S32</f>
        <v>571636.70202809467</v>
      </c>
      <c r="AC33" s="11">
        <f>AC$28*'PEV Sales by Manufacturer'!$S32</f>
        <v>588275.97867866955</v>
      </c>
      <c r="AD33" s="11">
        <f>AD$28*'PEV Sales by Manufacturer'!$S32</f>
        <v>604455.90537299262</v>
      </c>
      <c r="AE33" s="11">
        <f>AE$28*'PEV Sales by Manufacturer'!$S32</f>
        <v>621241.09318614157</v>
      </c>
      <c r="AF33" s="11">
        <f>AF$28*'PEV Sales by Manufacturer'!$S32</f>
        <v>638690.98740657221</v>
      </c>
      <c r="AG33" s="11"/>
      <c r="AH33" s="11"/>
    </row>
    <row r="34" spans="1:34" x14ac:dyDescent="0.2">
      <c r="A34" t="s">
        <v>68</v>
      </c>
      <c r="B34" s="11">
        <f>'PEV Sales by Manufacturer'!M33</f>
        <v>9564</v>
      </c>
      <c r="C34" s="11">
        <f>'PEV Sales by Manufacturer'!N33</f>
        <v>14239</v>
      </c>
      <c r="D34" s="11">
        <f>D$28*'PEV Sales by Manufacturer'!$S33</f>
        <v>34057.368831157524</v>
      </c>
      <c r="E34" s="11">
        <f>E$28*'PEV Sales by Manufacturer'!$S33</f>
        <v>49606.510797786897</v>
      </c>
      <c r="F34" s="11">
        <f>F$28*'PEV Sales by Manufacturer'!$S33</f>
        <v>68476.410481318802</v>
      </c>
      <c r="G34" s="11">
        <f>G$28*'PEV Sales by Manufacturer'!$S33</f>
        <v>87078.542113763091</v>
      </c>
      <c r="H34" s="11">
        <f>H$28*'PEV Sales by Manufacturer'!$S33</f>
        <v>102688.73767537426</v>
      </c>
      <c r="I34" s="11">
        <f>I$28*'PEV Sales by Manufacturer'!$S33</f>
        <v>118971.7624486882</v>
      </c>
      <c r="J34" s="11">
        <f>J$28*'PEV Sales by Manufacturer'!$S33</f>
        <v>135983.40144434819</v>
      </c>
      <c r="K34" s="11">
        <f>K$28*'PEV Sales by Manufacturer'!$S33</f>
        <v>151898.55506414248</v>
      </c>
      <c r="L34" s="11">
        <f>L$28*'PEV Sales by Manufacturer'!$S33</f>
        <v>169218.87111869513</v>
      </c>
      <c r="M34" s="11">
        <f>M$28*'PEV Sales by Manufacturer'!$S33</f>
        <v>182728.14119613622</v>
      </c>
      <c r="N34" s="11">
        <f>N$28*'PEV Sales by Manufacturer'!$S33</f>
        <v>194364.8944163188</v>
      </c>
      <c r="O34" s="11">
        <f>O$28*'PEV Sales by Manufacturer'!$S33</f>
        <v>205322.93000700843</v>
      </c>
      <c r="P34" s="11">
        <f>P$28*'PEV Sales by Manufacturer'!$S33</f>
        <v>215156.27779978496</v>
      </c>
      <c r="Q34" s="11">
        <f>Q$28*'PEV Sales by Manufacturer'!$S33</f>
        <v>225461.31884922276</v>
      </c>
      <c r="R34" s="11">
        <f>R$28*'PEV Sales by Manufacturer'!$S33</f>
        <v>234523.90374494501</v>
      </c>
      <c r="S34" s="11">
        <f>S$28*'PEV Sales by Manufacturer'!$S33</f>
        <v>243809.00884978866</v>
      </c>
      <c r="T34" s="11">
        <f>T$28*'PEV Sales by Manufacturer'!$S33</f>
        <v>253409.6091814925</v>
      </c>
      <c r="U34" s="11">
        <f>U$28*'PEV Sales by Manufacturer'!$S33</f>
        <v>262220.54169586848</v>
      </c>
      <c r="V34" s="11">
        <f>V$28*'PEV Sales by Manufacturer'!$S33</f>
        <v>271397.17594668362</v>
      </c>
      <c r="W34" s="11">
        <f>W$28*'PEV Sales by Manufacturer'!$S33</f>
        <v>280784.55357103993</v>
      </c>
      <c r="X34" s="11">
        <f>X$28*'PEV Sales by Manufacturer'!$S33</f>
        <v>289678.54376792919</v>
      </c>
      <c r="Y34" s="11">
        <f>Y$28*'PEV Sales by Manufacturer'!$S33</f>
        <v>299299.90852026135</v>
      </c>
      <c r="Z34" s="11">
        <f>Z$28*'PEV Sales by Manufacturer'!$S33</f>
        <v>308992.55411952658</v>
      </c>
      <c r="AA34" s="11">
        <f>AA$28*'PEV Sales by Manufacturer'!$S33</f>
        <v>318148.11403298756</v>
      </c>
      <c r="AB34" s="11">
        <f>AB$28*'PEV Sales by Manufacturer'!$S33</f>
        <v>327823.71421233396</v>
      </c>
      <c r="AC34" s="11">
        <f>AC$28*'PEV Sales by Manufacturer'!$S33</f>
        <v>337366.05019958818</v>
      </c>
      <c r="AD34" s="11">
        <f>AD$28*'PEV Sales by Manufacturer'!$S33</f>
        <v>346644.95696991595</v>
      </c>
      <c r="AE34" s="11">
        <f>AE$28*'PEV Sales by Manufacturer'!$S33</f>
        <v>356270.97047313506</v>
      </c>
      <c r="AF34" s="11">
        <f>AF$28*'PEV Sales by Manufacturer'!$S33</f>
        <v>366278.18154908303</v>
      </c>
      <c r="AG34" s="11"/>
      <c r="AH34" s="11"/>
    </row>
    <row r="35" spans="1:34" x14ac:dyDescent="0.2">
      <c r="A35" t="s">
        <v>69</v>
      </c>
      <c r="B35" s="11">
        <f>'PEV Sales by Manufacturer'!M34</f>
        <v>0</v>
      </c>
      <c r="C35" s="11">
        <f>'PEV Sales by Manufacturer'!N34</f>
        <v>0</v>
      </c>
      <c r="D35" s="11">
        <f>D$28*'PEV Sales by Manufacturer'!$S34</f>
        <v>0</v>
      </c>
      <c r="E35" s="11">
        <f>E$28*'PEV Sales by Manufacturer'!$S34</f>
        <v>0</v>
      </c>
      <c r="F35" s="11">
        <f>F$28*'PEV Sales by Manufacturer'!$S34</f>
        <v>0</v>
      </c>
      <c r="G35" s="11">
        <f>G$28*'PEV Sales by Manufacturer'!$S34</f>
        <v>0</v>
      </c>
      <c r="H35" s="11">
        <f>H$28*'PEV Sales by Manufacturer'!$S34</f>
        <v>0</v>
      </c>
      <c r="I35" s="11">
        <f>I$28*'PEV Sales by Manufacturer'!$S34</f>
        <v>0</v>
      </c>
      <c r="J35" s="11">
        <f>J$28*'PEV Sales by Manufacturer'!$S34</f>
        <v>0</v>
      </c>
      <c r="K35" s="11">
        <f>K$28*'PEV Sales by Manufacturer'!$S34</f>
        <v>0</v>
      </c>
      <c r="L35" s="11">
        <f>L$28*'PEV Sales by Manufacturer'!$S34</f>
        <v>0</v>
      </c>
      <c r="M35" s="11">
        <f>M$28*'PEV Sales by Manufacturer'!$S34</f>
        <v>0</v>
      </c>
      <c r="N35" s="11">
        <f>N$28*'PEV Sales by Manufacturer'!$S34</f>
        <v>0</v>
      </c>
      <c r="O35" s="11">
        <f>O$28*'PEV Sales by Manufacturer'!$S34</f>
        <v>0</v>
      </c>
      <c r="P35" s="11">
        <f>P$28*'PEV Sales by Manufacturer'!$S34</f>
        <v>0</v>
      </c>
      <c r="Q35" s="11">
        <f>Q$28*'PEV Sales by Manufacturer'!$S34</f>
        <v>0</v>
      </c>
      <c r="R35" s="11">
        <f>R$28*'PEV Sales by Manufacturer'!$S34</f>
        <v>0</v>
      </c>
      <c r="S35" s="11">
        <f>S$28*'PEV Sales by Manufacturer'!$S34</f>
        <v>0</v>
      </c>
      <c r="T35" s="11">
        <f>T$28*'PEV Sales by Manufacturer'!$S34</f>
        <v>0</v>
      </c>
      <c r="U35" s="11">
        <f>U$28*'PEV Sales by Manufacturer'!$S34</f>
        <v>0</v>
      </c>
      <c r="V35" s="11">
        <f>V$28*'PEV Sales by Manufacturer'!$S34</f>
        <v>0</v>
      </c>
      <c r="W35" s="11">
        <f>W$28*'PEV Sales by Manufacturer'!$S34</f>
        <v>0</v>
      </c>
      <c r="X35" s="11">
        <f>X$28*'PEV Sales by Manufacturer'!$S34</f>
        <v>0</v>
      </c>
      <c r="Y35" s="11">
        <f>Y$28*'PEV Sales by Manufacturer'!$S34</f>
        <v>0</v>
      </c>
      <c r="Z35" s="11">
        <f>Z$28*'PEV Sales by Manufacturer'!$S34</f>
        <v>0</v>
      </c>
      <c r="AA35" s="11">
        <f>AA$28*'PEV Sales by Manufacturer'!$S34</f>
        <v>0</v>
      </c>
      <c r="AB35" s="11">
        <f>AB$28*'PEV Sales by Manufacturer'!$S34</f>
        <v>0</v>
      </c>
      <c r="AC35" s="11">
        <f>AC$28*'PEV Sales by Manufacturer'!$S34</f>
        <v>0</v>
      </c>
      <c r="AD35" s="11">
        <f>AD$28*'PEV Sales by Manufacturer'!$S34</f>
        <v>0</v>
      </c>
      <c r="AE35" s="11">
        <f>AE$28*'PEV Sales by Manufacturer'!$S34</f>
        <v>0</v>
      </c>
      <c r="AF35" s="11">
        <f>AF$28*'PEV Sales by Manufacturer'!$S34</f>
        <v>0</v>
      </c>
      <c r="AG35" s="11"/>
      <c r="AH35" s="11"/>
    </row>
    <row r="36" spans="1:34" x14ac:dyDescent="0.2">
      <c r="A36" t="s">
        <v>70</v>
      </c>
      <c r="B36" s="11">
        <f>'PEV Sales by Manufacturer'!M35</f>
        <v>3</v>
      </c>
      <c r="C36" s="11">
        <f>'PEV Sales by Manufacturer'!N35</f>
        <v>27221</v>
      </c>
      <c r="D36" s="11">
        <f>D$28*'PEV Sales by Manufacturer'!$S35</f>
        <v>65108.19839545888</v>
      </c>
      <c r="E36" s="11">
        <f>E$28*'PEV Sales by Manufacturer'!$S35</f>
        <v>94833.824736748167</v>
      </c>
      <c r="F36" s="11">
        <f>F$28*'PEV Sales by Manufacturer'!$S35</f>
        <v>130907.81443303457</v>
      </c>
      <c r="G36" s="11">
        <f>G$28*'PEV Sales by Manufacturer'!$S35</f>
        <v>166469.90623490029</v>
      </c>
      <c r="H36" s="11">
        <f>H$28*'PEV Sales by Manufacturer'!$S35</f>
        <v>196312.25003591282</v>
      </c>
      <c r="I36" s="11">
        <f>I$28*'PEV Sales by Manufacturer'!$S35</f>
        <v>227440.85579154023</v>
      </c>
      <c r="J36" s="11">
        <f>J$28*'PEV Sales by Manufacturer'!$S35</f>
        <v>259962.36889645355</v>
      </c>
      <c r="K36" s="11">
        <f>K$28*'PEV Sales by Manufacturer'!$S35</f>
        <v>290387.70752166741</v>
      </c>
      <c r="L36" s="11">
        <f>L$28*'PEV Sales by Manufacturer'!$S35</f>
        <v>323499.32514376007</v>
      </c>
      <c r="M36" s="11">
        <f>M$28*'PEV Sales by Manufacturer'!$S35</f>
        <v>349325.28488658078</v>
      </c>
      <c r="N36" s="11">
        <f>N$28*'PEV Sales by Manufacturer'!$S35</f>
        <v>371571.51421494584</v>
      </c>
      <c r="O36" s="11">
        <f>O$28*'PEV Sales by Manufacturer'!$S35</f>
        <v>392520.22457481403</v>
      </c>
      <c r="P36" s="11">
        <f>P$28*'PEV Sales by Manufacturer'!$S35</f>
        <v>411318.8452832324</v>
      </c>
      <c r="Q36" s="11">
        <f>Q$28*'PEV Sales by Manufacturer'!$S35</f>
        <v>431019.21205103537</v>
      </c>
      <c r="R36" s="11">
        <f>R$28*'PEV Sales by Manufacturer'!$S35</f>
        <v>448344.34888974985</v>
      </c>
      <c r="S36" s="11">
        <f>S$28*'PEV Sales by Manufacturer'!$S35</f>
        <v>466094.88235831849</v>
      </c>
      <c r="T36" s="11">
        <f>T$28*'PEV Sales by Manufacturer'!$S35</f>
        <v>484448.55478119297</v>
      </c>
      <c r="U36" s="11">
        <f>U$28*'PEV Sales by Manufacturer'!$S35</f>
        <v>501292.60239505838</v>
      </c>
      <c r="V36" s="11">
        <f>V$28*'PEV Sales by Manufacturer'!$S35</f>
        <v>518835.7698184335</v>
      </c>
      <c r="W36" s="11">
        <f>W$28*'PEV Sales by Manufacturer'!$S35</f>
        <v>536781.81984389899</v>
      </c>
      <c r="X36" s="11">
        <f>X$28*'PEV Sales by Manufacturer'!$S35</f>
        <v>553784.65060094115</v>
      </c>
      <c r="Y36" s="11">
        <f>Y$28*'PEV Sales by Manufacturer'!$S35</f>
        <v>572178.01880960981</v>
      </c>
      <c r="Z36" s="11">
        <f>Z$28*'PEV Sales by Manufacturer'!$S35</f>
        <v>590707.65613369143</v>
      </c>
      <c r="AA36" s="11">
        <f>AA$28*'PEV Sales by Manufacturer'!$S35</f>
        <v>608210.53529685747</v>
      </c>
      <c r="AB36" s="11">
        <f>AB$28*'PEV Sales by Manufacturer'!$S35</f>
        <v>626707.58652812301</v>
      </c>
      <c r="AC36" s="11">
        <f>AC$28*'PEV Sales by Manufacturer'!$S35</f>
        <v>644949.8737610078</v>
      </c>
      <c r="AD36" s="11">
        <f>AD$28*'PEV Sales by Manufacturer'!$S35</f>
        <v>662688.55774127971</v>
      </c>
      <c r="AE36" s="11">
        <f>AE$28*'PEV Sales by Manufacturer'!$S35</f>
        <v>681090.81306617102</v>
      </c>
      <c r="AF36" s="11">
        <f>AF$28*'PEV Sales by Manufacturer'!$S35</f>
        <v>700221.81192131387</v>
      </c>
      <c r="AG36" s="11"/>
      <c r="AH36" s="11"/>
    </row>
    <row r="37" spans="1:34" x14ac:dyDescent="0.2">
      <c r="A37" t="s">
        <v>71</v>
      </c>
      <c r="B37" s="11">
        <f>'PEV Sales by Manufacturer'!M36</f>
        <v>2640</v>
      </c>
      <c r="C37" s="11">
        <f>'PEV Sales by Manufacturer'!N36</f>
        <v>3485</v>
      </c>
      <c r="D37" s="11">
        <f>D$28*'PEV Sales by Manufacturer'!$S36</f>
        <v>8335.5523826521512</v>
      </c>
      <c r="E37" s="11">
        <f>E$28*'PEV Sales by Manufacturer'!$S36</f>
        <v>12141.210066036052</v>
      </c>
      <c r="F37" s="11">
        <f>F$28*'PEV Sales by Manufacturer'!$S36</f>
        <v>16759.624308406212</v>
      </c>
      <c r="G37" s="11">
        <f>G$28*'PEV Sales by Manufacturer'!$S36</f>
        <v>21312.502230947706</v>
      </c>
      <c r="H37" s="11">
        <f>H$28*'PEV Sales by Manufacturer'!$S36</f>
        <v>25133.10280207032</v>
      </c>
      <c r="I37" s="11">
        <f>I$28*'PEV Sales by Manufacturer'!$S36</f>
        <v>29118.378547206852</v>
      </c>
      <c r="J37" s="11">
        <f>J$28*'PEV Sales by Manufacturer'!$S36</f>
        <v>33281.98286632161</v>
      </c>
      <c r="K37" s="11">
        <f>K$28*'PEV Sales by Manufacturer'!$S36</f>
        <v>37177.222023915761</v>
      </c>
      <c r="L37" s="11">
        <f>L$28*'PEV Sales by Manufacturer'!$S36</f>
        <v>41416.375156166338</v>
      </c>
      <c r="M37" s="11">
        <f>M$28*'PEV Sales by Manufacturer'!$S36</f>
        <v>44722.773514188826</v>
      </c>
      <c r="N37" s="11">
        <f>N$28*'PEV Sales by Manufacturer'!$S36</f>
        <v>47570.872746742818</v>
      </c>
      <c r="O37" s="11">
        <f>O$28*'PEV Sales by Manufacturer'!$S36</f>
        <v>50252.855613064428</v>
      </c>
      <c r="P37" s="11">
        <f>P$28*'PEV Sales by Manufacturer'!$S36</f>
        <v>52659.57076566125</v>
      </c>
      <c r="Q37" s="11">
        <f>Q$28*'PEV Sales by Manufacturer'!$S36</f>
        <v>55181.733000178472</v>
      </c>
      <c r="R37" s="11">
        <f>R$28*'PEV Sales by Manufacturer'!$S36</f>
        <v>57399.803676601819</v>
      </c>
      <c r="S37" s="11">
        <f>S$28*'PEV Sales by Manufacturer'!$S36</f>
        <v>59672.336248438332</v>
      </c>
      <c r="T37" s="11">
        <f>T$28*'PEV Sales by Manufacturer'!$S36</f>
        <v>62022.086382295194</v>
      </c>
      <c r="U37" s="11">
        <f>U$28*'PEV Sales by Manufacturer'!$S36</f>
        <v>64178.565054435123</v>
      </c>
      <c r="V37" s="11">
        <f>V$28*'PEV Sales by Manufacturer'!$S36</f>
        <v>66424.549348563261</v>
      </c>
      <c r="W37" s="11">
        <f>W$28*'PEV Sales by Manufacturer'!$S36</f>
        <v>68722.113153667669</v>
      </c>
      <c r="X37" s="11">
        <f>X$28*'PEV Sales by Manufacturer'!$S36</f>
        <v>70898.920221310007</v>
      </c>
      <c r="Y37" s="11">
        <f>Y$28*'PEV Sales by Manufacturer'!$S36</f>
        <v>73253.752454042478</v>
      </c>
      <c r="Z37" s="11">
        <f>Z$28*'PEV Sales by Manufacturer'!$S36</f>
        <v>75626.030697840441</v>
      </c>
      <c r="AA37" s="11">
        <f>AA$28*'PEV Sales by Manufacturer'!$S36</f>
        <v>77866.857040870964</v>
      </c>
      <c r="AB37" s="11">
        <f>AB$28*'PEV Sales by Manufacturer'!$S36</f>
        <v>80234.963412457611</v>
      </c>
      <c r="AC37" s="11">
        <f>AC$28*'PEV Sales by Manufacturer'!$S36</f>
        <v>82570.453328573974</v>
      </c>
      <c r="AD37" s="11">
        <f>AD$28*'PEV Sales by Manufacturer'!$S36</f>
        <v>84841.468855970015</v>
      </c>
      <c r="AE37" s="11">
        <f>AE$28*'PEV Sales by Manufacturer'!$S36</f>
        <v>87197.438872032842</v>
      </c>
      <c r="AF37" s="11">
        <f>AF$28*'PEV Sales by Manufacturer'!$S36</f>
        <v>89646.707121185071</v>
      </c>
      <c r="AG37" s="11"/>
      <c r="AH37" s="11"/>
    </row>
    <row r="38" spans="1:34" x14ac:dyDescent="0.2">
      <c r="A38" t="s">
        <v>72</v>
      </c>
      <c r="B38" s="11">
        <f>'PEV Sales by Manufacturer'!M37</f>
        <v>70</v>
      </c>
      <c r="C38" s="11">
        <f>'PEV Sales by Manufacturer'!N37</f>
        <v>0</v>
      </c>
      <c r="D38" s="11">
        <f>D$28*'PEV Sales by Manufacturer'!$S37</f>
        <v>0</v>
      </c>
      <c r="E38" s="11">
        <f>E$28*'PEV Sales by Manufacturer'!$S37</f>
        <v>0</v>
      </c>
      <c r="F38" s="11">
        <f>F$28*'PEV Sales by Manufacturer'!$S37</f>
        <v>0</v>
      </c>
      <c r="G38" s="11">
        <f>G$28*'PEV Sales by Manufacturer'!$S37</f>
        <v>0</v>
      </c>
      <c r="H38" s="11">
        <f>H$28*'PEV Sales by Manufacturer'!$S37</f>
        <v>0</v>
      </c>
      <c r="I38" s="11">
        <f>I$28*'PEV Sales by Manufacturer'!$S37</f>
        <v>0</v>
      </c>
      <c r="J38" s="11">
        <f>J$28*'PEV Sales by Manufacturer'!$S37</f>
        <v>0</v>
      </c>
      <c r="K38" s="11">
        <f>K$28*'PEV Sales by Manufacturer'!$S37</f>
        <v>0</v>
      </c>
      <c r="L38" s="11">
        <f>L$28*'PEV Sales by Manufacturer'!$S37</f>
        <v>0</v>
      </c>
      <c r="M38" s="11">
        <f>M$28*'PEV Sales by Manufacturer'!$S37</f>
        <v>0</v>
      </c>
      <c r="N38" s="11">
        <f>N$28*'PEV Sales by Manufacturer'!$S37</f>
        <v>0</v>
      </c>
      <c r="O38" s="11">
        <f>O$28*'PEV Sales by Manufacturer'!$S37</f>
        <v>0</v>
      </c>
      <c r="P38" s="11">
        <f>P$28*'PEV Sales by Manufacturer'!$S37</f>
        <v>0</v>
      </c>
      <c r="Q38" s="11">
        <f>Q$28*'PEV Sales by Manufacturer'!$S37</f>
        <v>0</v>
      </c>
      <c r="R38" s="11">
        <f>R$28*'PEV Sales by Manufacturer'!$S37</f>
        <v>0</v>
      </c>
      <c r="S38" s="11">
        <f>S$28*'PEV Sales by Manufacturer'!$S37</f>
        <v>0</v>
      </c>
      <c r="T38" s="11">
        <f>T$28*'PEV Sales by Manufacturer'!$S37</f>
        <v>0</v>
      </c>
      <c r="U38" s="11">
        <f>U$28*'PEV Sales by Manufacturer'!$S37</f>
        <v>0</v>
      </c>
      <c r="V38" s="11">
        <f>V$28*'PEV Sales by Manufacturer'!$S37</f>
        <v>0</v>
      </c>
      <c r="W38" s="11">
        <f>W$28*'PEV Sales by Manufacturer'!$S37</f>
        <v>0</v>
      </c>
      <c r="X38" s="11">
        <f>X$28*'PEV Sales by Manufacturer'!$S37</f>
        <v>0</v>
      </c>
      <c r="Y38" s="11">
        <f>Y$28*'PEV Sales by Manufacturer'!$S37</f>
        <v>0</v>
      </c>
      <c r="Z38" s="11">
        <f>Z$28*'PEV Sales by Manufacturer'!$S37</f>
        <v>0</v>
      </c>
      <c r="AA38" s="11">
        <f>AA$28*'PEV Sales by Manufacturer'!$S37</f>
        <v>0</v>
      </c>
      <c r="AB38" s="11">
        <f>AB$28*'PEV Sales by Manufacturer'!$S37</f>
        <v>0</v>
      </c>
      <c r="AC38" s="11">
        <f>AC$28*'PEV Sales by Manufacturer'!$S37</f>
        <v>0</v>
      </c>
      <c r="AD38" s="11">
        <f>AD$28*'PEV Sales by Manufacturer'!$S37</f>
        <v>0</v>
      </c>
      <c r="AE38" s="11">
        <f>AE$28*'PEV Sales by Manufacturer'!$S37</f>
        <v>0</v>
      </c>
      <c r="AF38" s="11">
        <f>AF$28*'PEV Sales by Manufacturer'!$S37</f>
        <v>0</v>
      </c>
      <c r="AG38" s="11"/>
      <c r="AH38" s="11"/>
    </row>
    <row r="39" spans="1:34" x14ac:dyDescent="0.2">
      <c r="A39" t="s">
        <v>73</v>
      </c>
      <c r="B39" s="11">
        <f>'PEV Sales by Manufacturer'!M38</f>
        <v>45</v>
      </c>
      <c r="C39" s="11">
        <f>'PEV Sales by Manufacturer'!N38</f>
        <v>1</v>
      </c>
      <c r="D39" s="11">
        <f>D$28*'PEV Sales by Manufacturer'!$S38</f>
        <v>2.3918371255816786</v>
      </c>
      <c r="E39" s="11">
        <f>E$28*'PEV Sales by Manufacturer'!$S38</f>
        <v>3.4838479386043191</v>
      </c>
      <c r="F39" s="11">
        <f>F$28*'PEV Sales by Manufacturer'!$S38</f>
        <v>4.8090744070032168</v>
      </c>
      <c r="G39" s="11">
        <f>G$28*'PEV Sales by Manufacturer'!$S38</f>
        <v>6.1154956186363574</v>
      </c>
      <c r="H39" s="11">
        <f>H$28*'PEV Sales by Manufacturer'!$S38</f>
        <v>7.2117942043243382</v>
      </c>
      <c r="I39" s="11">
        <f>I$28*'PEV Sales by Manufacturer'!$S38</f>
        <v>8.3553453507049795</v>
      </c>
      <c r="J39" s="11">
        <f>J$28*'PEV Sales by Manufacturer'!$S38</f>
        <v>9.5500668196044796</v>
      </c>
      <c r="K39" s="11">
        <f>K$28*'PEV Sales by Manufacturer'!$S38</f>
        <v>10.667782503275683</v>
      </c>
      <c r="L39" s="11">
        <f>L$28*'PEV Sales by Manufacturer'!$S38</f>
        <v>11.884182254280153</v>
      </c>
      <c r="M39" s="11">
        <f>M$28*'PEV Sales by Manufacturer'!$S38</f>
        <v>12.83293357652477</v>
      </c>
      <c r="N39" s="11">
        <f>N$28*'PEV Sales by Manufacturer'!$S38</f>
        <v>13.650178693469961</v>
      </c>
      <c r="O39" s="11">
        <f>O$28*'PEV Sales by Manufacturer'!$S38</f>
        <v>14.419757708196393</v>
      </c>
      <c r="P39" s="11">
        <f>P$28*'PEV Sales by Manufacturer'!$S38</f>
        <v>15.110350291437948</v>
      </c>
      <c r="Q39" s="11">
        <f>Q$28*'PEV Sales by Manufacturer'!$S38</f>
        <v>15.834069727454368</v>
      </c>
      <c r="R39" s="11">
        <f>R$28*'PEV Sales by Manufacturer'!$S38</f>
        <v>16.470531901463936</v>
      </c>
      <c r="S39" s="11">
        <f>S$28*'PEV Sales by Manufacturer'!$S38</f>
        <v>17.122621592091345</v>
      </c>
      <c r="T39" s="11">
        <f>T$28*'PEV Sales by Manufacturer'!$S38</f>
        <v>17.796868402380259</v>
      </c>
      <c r="U39" s="11">
        <f>U$28*'PEV Sales by Manufacturer'!$S38</f>
        <v>18.415657117484969</v>
      </c>
      <c r="V39" s="11">
        <f>V$28*'PEV Sales by Manufacturer'!$S38</f>
        <v>19.060128937894767</v>
      </c>
      <c r="W39" s="11">
        <f>W$28*'PEV Sales by Manufacturer'!$S38</f>
        <v>19.719401191870208</v>
      </c>
      <c r="X39" s="11">
        <f>X$28*'PEV Sales by Manufacturer'!$S38</f>
        <v>20.344023019027262</v>
      </c>
      <c r="Y39" s="11">
        <f>Y$28*'PEV Sales by Manufacturer'!$S38</f>
        <v>21.019728107329261</v>
      </c>
      <c r="Z39" s="11">
        <f>Z$28*'PEV Sales by Manufacturer'!$S38</f>
        <v>21.700439224631403</v>
      </c>
      <c r="AA39" s="11">
        <f>AA$28*'PEV Sales by Manufacturer'!$S38</f>
        <v>22.343431001684635</v>
      </c>
      <c r="AB39" s="11">
        <f>AB$28*'PEV Sales by Manufacturer'!$S38</f>
        <v>23.022945025095439</v>
      </c>
      <c r="AC39" s="11">
        <f>AC$28*'PEV Sales by Manufacturer'!$S38</f>
        <v>23.693099950810321</v>
      </c>
      <c r="AD39" s="11">
        <f>AD$28*'PEV Sales by Manufacturer'!$S38</f>
        <v>24.344754334568151</v>
      </c>
      <c r="AE39" s="11">
        <f>AE$28*'PEV Sales by Manufacturer'!$S38</f>
        <v>25.020785903022336</v>
      </c>
      <c r="AF39" s="11">
        <f>AF$28*'PEV Sales by Manufacturer'!$S38</f>
        <v>25.723588843955547</v>
      </c>
      <c r="AG39" s="11"/>
      <c r="AH39" s="11"/>
    </row>
    <row r="40" spans="1:34" x14ac:dyDescent="0.2">
      <c r="A40" t="s">
        <v>74</v>
      </c>
      <c r="B40" s="11">
        <f>'PEV Sales by Manufacturer'!M39</f>
        <v>7202</v>
      </c>
      <c r="C40" s="11">
        <f>'PEV Sales by Manufacturer'!N39</f>
        <v>11076</v>
      </c>
      <c r="D40" s="11">
        <f>D$28*'PEV Sales by Manufacturer'!$S39</f>
        <v>26491.988002942675</v>
      </c>
      <c r="E40" s="11">
        <f>E$28*'PEV Sales by Manufacturer'!$S39</f>
        <v>38587.099767981439</v>
      </c>
      <c r="F40" s="11">
        <f>F$28*'PEV Sales by Manufacturer'!$S39</f>
        <v>53265.308131967628</v>
      </c>
      <c r="G40" s="11">
        <f>G$28*'PEV Sales by Manufacturer'!$S39</f>
        <v>67735.22947201629</v>
      </c>
      <c r="H40" s="11">
        <f>H$28*'PEV Sales by Manufacturer'!$S39</f>
        <v>79877.832607096367</v>
      </c>
      <c r="I40" s="11">
        <f>I$28*'PEV Sales by Manufacturer'!$S39</f>
        <v>92543.805104408355</v>
      </c>
      <c r="J40" s="11">
        <f>J$28*'PEV Sales by Manufacturer'!$S39</f>
        <v>105776.54009393923</v>
      </c>
      <c r="K40" s="11">
        <f>K$28*'PEV Sales by Manufacturer'!$S39</f>
        <v>118156.35900628148</v>
      </c>
      <c r="L40" s="11">
        <f>L$28*'PEV Sales by Manufacturer'!$S39</f>
        <v>131629.20264840699</v>
      </c>
      <c r="M40" s="11">
        <f>M$28*'PEV Sales by Manufacturer'!$S39</f>
        <v>142137.57229358837</v>
      </c>
      <c r="N40" s="11">
        <f>N$28*'PEV Sales by Manufacturer'!$S39</f>
        <v>151189.37920887329</v>
      </c>
      <c r="O40" s="11">
        <f>O$28*'PEV Sales by Manufacturer'!$S39</f>
        <v>159713.23637598325</v>
      </c>
      <c r="P40" s="11">
        <f>P$28*'PEV Sales by Manufacturer'!$S39</f>
        <v>167362.23982796672</v>
      </c>
      <c r="Q40" s="11">
        <f>Q$28*'PEV Sales by Manufacturer'!$S39</f>
        <v>175378.15630128459</v>
      </c>
      <c r="R40" s="11">
        <f>R$28*'PEV Sales by Manufacturer'!$S39</f>
        <v>182427.61134061456</v>
      </c>
      <c r="S40" s="11">
        <f>S$28*'PEV Sales by Manufacturer'!$S39</f>
        <v>189650.15675400372</v>
      </c>
      <c r="T40" s="11">
        <f>T$28*'PEV Sales by Manufacturer'!$S39</f>
        <v>197118.11442476374</v>
      </c>
      <c r="U40" s="11">
        <f>U$28*'PEV Sales by Manufacturer'!$S39</f>
        <v>203971.81823326353</v>
      </c>
      <c r="V40" s="11">
        <f>V$28*'PEV Sales by Manufacturer'!$S39</f>
        <v>211109.98811612246</v>
      </c>
      <c r="W40" s="11">
        <f>W$28*'PEV Sales by Manufacturer'!$S39</f>
        <v>218412.08760115443</v>
      </c>
      <c r="X40" s="11">
        <f>X$28*'PEV Sales by Manufacturer'!$S39</f>
        <v>225330.39895874597</v>
      </c>
      <c r="Y40" s="11">
        <f>Y$28*'PEV Sales by Manufacturer'!$S39</f>
        <v>232814.50851677891</v>
      </c>
      <c r="Z40" s="11">
        <f>Z$28*'PEV Sales by Manufacturer'!$S39</f>
        <v>240354.06485201741</v>
      </c>
      <c r="AA40" s="11">
        <f>AA$28*'PEV Sales by Manufacturer'!$S39</f>
        <v>247475.84177465903</v>
      </c>
      <c r="AB40" s="11">
        <f>AB$28*'PEV Sales by Manufacturer'!$S39</f>
        <v>255002.13909795709</v>
      </c>
      <c r="AC40" s="11">
        <f>AC$28*'PEV Sales by Manufacturer'!$S39</f>
        <v>262424.77505517512</v>
      </c>
      <c r="AD40" s="11">
        <f>AD$28*'PEV Sales by Manufacturer'!$S39</f>
        <v>269642.49900967686</v>
      </c>
      <c r="AE40" s="11">
        <f>AE$28*'PEV Sales by Manufacturer'!$S39</f>
        <v>277130.2246618754</v>
      </c>
      <c r="AF40" s="11">
        <f>AF$28*'PEV Sales by Manufacturer'!$S39</f>
        <v>284914.47003565164</v>
      </c>
      <c r="AG40" s="11"/>
      <c r="AH40" s="11"/>
    </row>
    <row r="41" spans="1:34" x14ac:dyDescent="0.2">
      <c r="A41" t="s">
        <v>75</v>
      </c>
      <c r="B41" s="11">
        <f>'PEV Sales by Manufacturer'!M40</f>
        <v>4556</v>
      </c>
      <c r="C41" s="11">
        <f>'PEV Sales by Manufacturer'!N40</f>
        <v>10855</v>
      </c>
      <c r="D41" s="11">
        <f>D$28*'PEV Sales by Manufacturer'!$S40</f>
        <v>25963.391998189123</v>
      </c>
      <c r="E41" s="11">
        <f>E$28*'PEV Sales by Manufacturer'!$S40</f>
        <v>37817.169373549885</v>
      </c>
      <c r="F41" s="11">
        <f>F$28*'PEV Sales by Manufacturer'!$S40</f>
        <v>52202.502688019915</v>
      </c>
      <c r="G41" s="11">
        <f>G$28*'PEV Sales by Manufacturer'!$S40</f>
        <v>66383.704940297655</v>
      </c>
      <c r="H41" s="11">
        <f>H$28*'PEV Sales by Manufacturer'!$S40</f>
        <v>78284.026087940685</v>
      </c>
      <c r="I41" s="11">
        <f>I$28*'PEV Sales by Manufacturer'!$S40</f>
        <v>90697.27378190255</v>
      </c>
      <c r="J41" s="11">
        <f>J$28*'PEV Sales by Manufacturer'!$S40</f>
        <v>103665.97532680663</v>
      </c>
      <c r="K41" s="11">
        <f>K$28*'PEV Sales by Manufacturer'!$S40</f>
        <v>115798.77907305755</v>
      </c>
      <c r="L41" s="11">
        <f>L$28*'PEV Sales by Manufacturer'!$S40</f>
        <v>129002.79837021108</v>
      </c>
      <c r="M41" s="11">
        <f>M$28*'PEV Sales by Manufacturer'!$S40</f>
        <v>139301.49397317637</v>
      </c>
      <c r="N41" s="11">
        <f>N$28*'PEV Sales by Manufacturer'!$S40</f>
        <v>148172.68971761642</v>
      </c>
      <c r="O41" s="11">
        <f>O$28*'PEV Sales by Manufacturer'!$S40</f>
        <v>156526.46992247185</v>
      </c>
      <c r="P41" s="11">
        <f>P$28*'PEV Sales by Manufacturer'!$S40</f>
        <v>164022.85241355893</v>
      </c>
      <c r="Q41" s="11">
        <f>Q$28*'PEV Sales by Manufacturer'!$S40</f>
        <v>171878.82689151718</v>
      </c>
      <c r="R41" s="11">
        <f>R$28*'PEV Sales by Manufacturer'!$S40</f>
        <v>178787.62379039102</v>
      </c>
      <c r="S41" s="11">
        <f>S$28*'PEV Sales by Manufacturer'!$S40</f>
        <v>185866.05738215154</v>
      </c>
      <c r="T41" s="11">
        <f>T$28*'PEV Sales by Manufacturer'!$S40</f>
        <v>193185.00650783768</v>
      </c>
      <c r="U41" s="11">
        <f>U$28*'PEV Sales by Manufacturer'!$S40</f>
        <v>199901.95801029936</v>
      </c>
      <c r="V41" s="11">
        <f>V$28*'PEV Sales by Manufacturer'!$S40</f>
        <v>206897.69962084771</v>
      </c>
      <c r="W41" s="11">
        <f>W$28*'PEV Sales by Manufacturer'!$S40</f>
        <v>214054.0999377511</v>
      </c>
      <c r="X41" s="11">
        <f>X$28*'PEV Sales by Manufacturer'!$S40</f>
        <v>220834.36987154093</v>
      </c>
      <c r="Y41" s="11">
        <f>Y$28*'PEV Sales by Manufacturer'!$S40</f>
        <v>228169.14860505913</v>
      </c>
      <c r="Z41" s="11">
        <f>Z$28*'PEV Sales by Manufacturer'!$S40</f>
        <v>235558.26778337389</v>
      </c>
      <c r="AA41" s="11">
        <f>AA$28*'PEV Sales by Manufacturer'!$S40</f>
        <v>242537.94352328673</v>
      </c>
      <c r="AB41" s="11">
        <f>AB$28*'PEV Sales by Manufacturer'!$S40</f>
        <v>249914.06824741099</v>
      </c>
      <c r="AC41" s="11">
        <f>AC$28*'PEV Sales by Manufacturer'!$S40</f>
        <v>257188.59996604605</v>
      </c>
      <c r="AD41" s="11">
        <f>AD$28*'PEV Sales by Manufacturer'!$S40</f>
        <v>264262.3083017373</v>
      </c>
      <c r="AE41" s="11">
        <f>AE$28*'PEV Sales by Manufacturer'!$S40</f>
        <v>271600.63097730745</v>
      </c>
      <c r="AF41" s="11">
        <f>AF$28*'PEV Sales by Manufacturer'!$S40</f>
        <v>279229.55690113746</v>
      </c>
      <c r="AG41" s="11"/>
      <c r="AH41" s="11"/>
    </row>
    <row r="42" spans="1:34" x14ac:dyDescent="0.2">
      <c r="A42" t="s">
        <v>76</v>
      </c>
      <c r="B42" s="11">
        <f>'PEV Sales by Manufacturer'!M41</f>
        <v>2848</v>
      </c>
      <c r="C42" s="11">
        <f>'PEV Sales by Manufacturer'!N41</f>
        <v>8717</v>
      </c>
      <c r="D42" s="11">
        <f>D$28*'PEV Sales by Manufacturer'!$S41</f>
        <v>20849.644223695494</v>
      </c>
      <c r="E42" s="11">
        <f>E$28*'PEV Sales by Manufacturer'!$S41</f>
        <v>30368.702480813849</v>
      </c>
      <c r="F42" s="11">
        <f>F$28*'PEV Sales by Manufacturer'!$S41</f>
        <v>41920.70160584704</v>
      </c>
      <c r="G42" s="11">
        <f>G$28*'PEV Sales by Manufacturer'!$S41</f>
        <v>53308.77530765313</v>
      </c>
      <c r="H42" s="11">
        <f>H$28*'PEV Sales by Manufacturer'!$S41</f>
        <v>62865.210079095261</v>
      </c>
      <c r="I42" s="11">
        <f>I$28*'PEV Sales by Manufacturer'!$S41</f>
        <v>72833.545422095311</v>
      </c>
      <c r="J42" s="11">
        <f>J$28*'PEV Sales by Manufacturer'!$S41</f>
        <v>83247.932466492261</v>
      </c>
      <c r="K42" s="11">
        <f>K$28*'PEV Sales by Manufacturer'!$S41</f>
        <v>92991.060081054136</v>
      </c>
      <c r="L42" s="11">
        <f>L$28*'PEV Sales by Manufacturer'!$S41</f>
        <v>103594.41671056011</v>
      </c>
      <c r="M42" s="11">
        <f>M$28*'PEV Sales by Manufacturer'!$S41</f>
        <v>111864.68198656643</v>
      </c>
      <c r="N42" s="11">
        <f>N$28*'PEV Sales by Manufacturer'!$S41</f>
        <v>118988.60767097765</v>
      </c>
      <c r="O42" s="11">
        <f>O$28*'PEV Sales by Manufacturer'!$S41</f>
        <v>125697.02794234797</v>
      </c>
      <c r="P42" s="11">
        <f>P$28*'PEV Sales by Manufacturer'!$S41</f>
        <v>131716.9234904646</v>
      </c>
      <c r="Q42" s="11">
        <f>Q$28*'PEV Sales by Manufacturer'!$S41</f>
        <v>138025.58581421972</v>
      </c>
      <c r="R42" s="11">
        <f>R$28*'PEV Sales by Manufacturer'!$S41</f>
        <v>143573.62658506114</v>
      </c>
      <c r="S42" s="11">
        <f>S$28*'PEV Sales by Manufacturer'!$S41</f>
        <v>149257.89241826025</v>
      </c>
      <c r="T42" s="11">
        <f>T$28*'PEV Sales by Manufacturer'!$S41</f>
        <v>155135.3018635487</v>
      </c>
      <c r="U42" s="11">
        <f>U$28*'PEV Sales by Manufacturer'!$S41</f>
        <v>160529.28309311648</v>
      </c>
      <c r="V42" s="11">
        <f>V$28*'PEV Sales by Manufacturer'!$S41</f>
        <v>166147.14395162871</v>
      </c>
      <c r="W42" s="11">
        <f>W$28*'PEV Sales by Manufacturer'!$S41</f>
        <v>171894.0201895326</v>
      </c>
      <c r="X42" s="11">
        <f>X$28*'PEV Sales by Manufacturer'!$S41</f>
        <v>177338.84865686065</v>
      </c>
      <c r="Y42" s="11">
        <f>Y$28*'PEV Sales by Manufacturer'!$S41</f>
        <v>183228.96991158917</v>
      </c>
      <c r="Z42" s="11">
        <f>Z$28*'PEV Sales by Manufacturer'!$S41</f>
        <v>189162.72872111195</v>
      </c>
      <c r="AA42" s="11">
        <f>AA$28*'PEV Sales by Manufacturer'!$S41</f>
        <v>194767.68804168497</v>
      </c>
      <c r="AB42" s="11">
        <f>AB$28*'PEV Sales by Manufacturer'!$S41</f>
        <v>200691.01178375696</v>
      </c>
      <c r="AC42" s="11">
        <f>AC$28*'PEV Sales by Manufacturer'!$S41</f>
        <v>206532.7522712136</v>
      </c>
      <c r="AD42" s="11">
        <f>AD$28*'PEV Sales by Manufacturer'!$S41</f>
        <v>212213.22353443061</v>
      </c>
      <c r="AE42" s="11">
        <f>AE$28*'PEV Sales by Manufacturer'!$S41</f>
        <v>218106.19071664571</v>
      </c>
      <c r="AF42" s="11">
        <f>AF$28*'PEV Sales by Manufacturer'!$S41</f>
        <v>224232.5239527605</v>
      </c>
      <c r="AG42" s="11"/>
      <c r="AH42" s="11"/>
    </row>
    <row r="43" spans="1:34" x14ac:dyDescent="0.2">
      <c r="A43" t="s">
        <v>77</v>
      </c>
      <c r="B43" s="11">
        <f>'PEV Sales by Manufacturer'!M42</f>
        <v>135</v>
      </c>
      <c r="C43" s="11">
        <f>'PEV Sales by Manufacturer'!N42</f>
        <v>9863</v>
      </c>
      <c r="D43" s="11">
        <f>D$28*'PEV Sales by Manufacturer'!$S42</f>
        <v>23590.689569612099</v>
      </c>
      <c r="E43" s="11">
        <f>E$28*'PEV Sales by Manufacturer'!$S42</f>
        <v>34361.192218454402</v>
      </c>
      <c r="F43" s="11">
        <f>F$28*'PEV Sales by Manufacturer'!$S42</f>
        <v>47431.900876272732</v>
      </c>
      <c r="G43" s="11">
        <f>G$28*'PEV Sales by Manufacturer'!$S42</f>
        <v>60317.133286610398</v>
      </c>
      <c r="H43" s="11">
        <f>H$28*'PEV Sales by Manufacturer'!$S42</f>
        <v>71129.926237250955</v>
      </c>
      <c r="I43" s="11">
        <f>I$28*'PEV Sales by Manufacturer'!$S42</f>
        <v>82408.771194003217</v>
      </c>
      <c r="J43" s="11">
        <f>J$28*'PEV Sales by Manufacturer'!$S42</f>
        <v>94192.309041758985</v>
      </c>
      <c r="K43" s="11">
        <f>K$28*'PEV Sales by Manufacturer'!$S42</f>
        <v>105216.33882980808</v>
      </c>
      <c r="L43" s="11">
        <f>L$28*'PEV Sales by Manufacturer'!$S42</f>
        <v>117213.68957396517</v>
      </c>
      <c r="M43" s="11">
        <f>M$28*'PEV Sales by Manufacturer'!$S42</f>
        <v>126571.22386526382</v>
      </c>
      <c r="N43" s="11">
        <f>N$28*'PEV Sales by Manufacturer'!$S42</f>
        <v>134631.71245369423</v>
      </c>
      <c r="O43" s="11">
        <f>O$28*'PEV Sales by Manufacturer'!$S42</f>
        <v>142222.07027594102</v>
      </c>
      <c r="P43" s="11">
        <f>P$28*'PEV Sales by Manufacturer'!$S42</f>
        <v>149033.38492445249</v>
      </c>
      <c r="Q43" s="11">
        <f>Q$28*'PEV Sales by Manufacturer'!$S42</f>
        <v>156171.42972188245</v>
      </c>
      <c r="R43" s="11">
        <f>R$28*'PEV Sales by Manufacturer'!$S42</f>
        <v>162448.85614413882</v>
      </c>
      <c r="S43" s="11">
        <f>S$28*'PEV Sales by Manufacturer'!$S42</f>
        <v>168880.41676279693</v>
      </c>
      <c r="T43" s="11">
        <f>T$28*'PEV Sales by Manufacturer'!$S42</f>
        <v>175530.51305267648</v>
      </c>
      <c r="U43" s="11">
        <f>U$28*'PEV Sales by Manufacturer'!$S42</f>
        <v>181633.62614975427</v>
      </c>
      <c r="V43" s="11">
        <f>V$28*'PEV Sales by Manufacturer'!$S42</f>
        <v>187990.05171445612</v>
      </c>
      <c r="W43" s="11">
        <f>W$28*'PEV Sales by Manufacturer'!$S42</f>
        <v>194492.45395541587</v>
      </c>
      <c r="X43" s="11">
        <f>X$28*'PEV Sales by Manufacturer'!$S42</f>
        <v>200653.0990366659</v>
      </c>
      <c r="Y43" s="11">
        <f>Y$28*'PEV Sales by Manufacturer'!$S42</f>
        <v>207317.57832258852</v>
      </c>
      <c r="Z43" s="11">
        <f>Z$28*'PEV Sales by Manufacturer'!$S42</f>
        <v>214031.43207253955</v>
      </c>
      <c r="AA43" s="11">
        <f>AA$28*'PEV Sales by Manufacturer'!$S42</f>
        <v>220373.25996961558</v>
      </c>
      <c r="AB43" s="11">
        <f>AB$28*'PEV Sales by Manufacturer'!$S42</f>
        <v>227075.30678251633</v>
      </c>
      <c r="AC43" s="11">
        <f>AC$28*'PEV Sales by Manufacturer'!$S42</f>
        <v>233685.04481484223</v>
      </c>
      <c r="AD43" s="11">
        <f>AD$28*'PEV Sales by Manufacturer'!$S42</f>
        <v>240112.31200184571</v>
      </c>
      <c r="AE43" s="11">
        <f>AE$28*'PEV Sales by Manufacturer'!$S42</f>
        <v>246780.0113615093</v>
      </c>
      <c r="AF43" s="11">
        <f>AF$28*'PEV Sales by Manufacturer'!$S42</f>
        <v>253711.75676793355</v>
      </c>
      <c r="AG43" s="11"/>
      <c r="AH43" s="11"/>
    </row>
    <row r="44" spans="1:34" x14ac:dyDescent="0.2">
      <c r="A44" t="s">
        <v>78</v>
      </c>
      <c r="B44" s="11">
        <f>'PEV Sales by Manufacturer'!M43</f>
        <v>4414</v>
      </c>
      <c r="C44" s="11">
        <f>'PEV Sales by Manufacturer'!N43</f>
        <v>9419</v>
      </c>
      <c r="D44" s="11">
        <f>D$28*'PEV Sales by Manufacturer'!$S43</f>
        <v>22528.713885853831</v>
      </c>
      <c r="E44" s="11">
        <f>E$28*'PEV Sales by Manufacturer'!$S43</f>
        <v>32814.363733714083</v>
      </c>
      <c r="F44" s="11">
        <f>F$28*'PEV Sales by Manufacturer'!$S43</f>
        <v>45296.6718395633</v>
      </c>
      <c r="G44" s="11">
        <f>G$28*'PEV Sales by Manufacturer'!$S43</f>
        <v>57601.853231935856</v>
      </c>
      <c r="H44" s="11">
        <f>H$28*'PEV Sales by Manufacturer'!$S43</f>
        <v>67927.88961053094</v>
      </c>
      <c r="I44" s="11">
        <f>I$28*'PEV Sales by Manufacturer'!$S43</f>
        <v>78698.997858290197</v>
      </c>
      <c r="J44" s="11">
        <f>J$28*'PEV Sales by Manufacturer'!$S43</f>
        <v>89952.079373854605</v>
      </c>
      <c r="K44" s="11">
        <f>K$28*'PEV Sales by Manufacturer'!$S43</f>
        <v>100479.84339835367</v>
      </c>
      <c r="L44" s="11">
        <f>L$28*'PEV Sales by Manufacturer'!$S43</f>
        <v>111937.11265306477</v>
      </c>
      <c r="M44" s="11">
        <f>M$28*'PEV Sales by Manufacturer'!$S43</f>
        <v>120873.40135728681</v>
      </c>
      <c r="N44" s="11">
        <f>N$28*'PEV Sales by Manufacturer'!$S43</f>
        <v>128571.03311379357</v>
      </c>
      <c r="O44" s="11">
        <f>O$28*'PEV Sales by Manufacturer'!$S43</f>
        <v>135819.69785350183</v>
      </c>
      <c r="P44" s="11">
        <f>P$28*'PEV Sales by Manufacturer'!$S43</f>
        <v>142324.38939505405</v>
      </c>
      <c r="Q44" s="11">
        <f>Q$28*'PEV Sales by Manufacturer'!$S43</f>
        <v>149141.1027628927</v>
      </c>
      <c r="R44" s="11">
        <f>R$28*'PEV Sales by Manufacturer'!$S43</f>
        <v>155135.93997988882</v>
      </c>
      <c r="S44" s="11">
        <f>S$28*'PEV Sales by Manufacturer'!$S43</f>
        <v>161277.97277590839</v>
      </c>
      <c r="T44" s="11">
        <f>T$28*'PEV Sales by Manufacturer'!$S43</f>
        <v>167628.70348201966</v>
      </c>
      <c r="U44" s="11">
        <f>U$28*'PEV Sales by Manufacturer'!$S43</f>
        <v>173457.07438959094</v>
      </c>
      <c r="V44" s="11">
        <f>V$28*'PEV Sales by Manufacturer'!$S43</f>
        <v>179527.35446603084</v>
      </c>
      <c r="W44" s="11">
        <f>W$28*'PEV Sales by Manufacturer'!$S43</f>
        <v>185737.03982622549</v>
      </c>
      <c r="X44" s="11">
        <f>X$28*'PEV Sales by Manufacturer'!$S43</f>
        <v>191620.35281621778</v>
      </c>
      <c r="Y44" s="11">
        <f>Y$28*'PEV Sales by Manufacturer'!$S43</f>
        <v>197984.81904293431</v>
      </c>
      <c r="Z44" s="11">
        <f>Z$28*'PEV Sales by Manufacturer'!$S43</f>
        <v>204396.4370568032</v>
      </c>
      <c r="AA44" s="11">
        <f>AA$28*'PEV Sales by Manufacturer'!$S43</f>
        <v>210452.7766048676</v>
      </c>
      <c r="AB44" s="11">
        <f>AB$28*'PEV Sales by Manufacturer'!$S43</f>
        <v>216853.11919137396</v>
      </c>
      <c r="AC44" s="11">
        <f>AC$28*'PEV Sales by Manufacturer'!$S43</f>
        <v>223165.30843668245</v>
      </c>
      <c r="AD44" s="11">
        <f>AD$28*'PEV Sales by Manufacturer'!$S43</f>
        <v>229303.24107729745</v>
      </c>
      <c r="AE44" s="11">
        <f>AE$28*'PEV Sales by Manufacturer'!$S43</f>
        <v>235670.78242056738</v>
      </c>
      <c r="AF44" s="11">
        <f>AF$28*'PEV Sales by Manufacturer'!$S43</f>
        <v>242290.4833212173</v>
      </c>
      <c r="AG44" s="11"/>
      <c r="AH44" s="11"/>
    </row>
    <row r="45" spans="1:34" x14ac:dyDescent="0.2">
      <c r="A45" t="s">
        <v>79</v>
      </c>
      <c r="B45" s="11">
        <f>'PEV Sales by Manufacturer'!M44</f>
        <v>767</v>
      </c>
      <c r="C45" s="11">
        <f>'PEV Sales by Manufacturer'!N44</f>
        <v>16775</v>
      </c>
      <c r="D45" s="11">
        <f>D$28*'PEV Sales by Manufacturer'!$S44</f>
        <v>40123.067781632664</v>
      </c>
      <c r="E45" s="11">
        <f>E$28*'PEV Sales by Manufacturer'!$S44</f>
        <v>58441.549170087455</v>
      </c>
      <c r="F45" s="11">
        <f>F$28*'PEV Sales by Manufacturer'!$S44</f>
        <v>80672.223177478969</v>
      </c>
      <c r="G45" s="11">
        <f>G$28*'PEV Sales by Manufacturer'!$S44</f>
        <v>102587.4390026249</v>
      </c>
      <c r="H45" s="11">
        <f>H$28*'PEV Sales by Manufacturer'!$S44</f>
        <v>120977.84777754078</v>
      </c>
      <c r="I45" s="11">
        <f>I$28*'PEV Sales by Manufacturer'!$S44</f>
        <v>140160.91825807604</v>
      </c>
      <c r="J45" s="11">
        <f>J$28*'PEV Sales by Manufacturer'!$S44</f>
        <v>160202.37089886516</v>
      </c>
      <c r="K45" s="11">
        <f>K$28*'PEV Sales by Manufacturer'!$S44</f>
        <v>178952.05149244962</v>
      </c>
      <c r="L45" s="11">
        <f>L$28*'PEV Sales by Manufacturer'!$S44</f>
        <v>199357.15731554962</v>
      </c>
      <c r="M45" s="11">
        <f>M$28*'PEV Sales by Manufacturer'!$S44</f>
        <v>215272.46074620305</v>
      </c>
      <c r="N45" s="11">
        <f>N$28*'PEV Sales by Manufacturer'!$S44</f>
        <v>228981.74758295863</v>
      </c>
      <c r="O45" s="11">
        <f>O$28*'PEV Sales by Manufacturer'!$S44</f>
        <v>241891.4355549945</v>
      </c>
      <c r="P45" s="11">
        <f>P$28*'PEV Sales by Manufacturer'!$S44</f>
        <v>253476.12613887162</v>
      </c>
      <c r="Q45" s="11">
        <f>Q$28*'PEV Sales by Manufacturer'!$S44</f>
        <v>265616.51967804704</v>
      </c>
      <c r="R45" s="11">
        <f>R$28*'PEV Sales by Manufacturer'!$S44</f>
        <v>276293.17264705757</v>
      </c>
      <c r="S45" s="11">
        <f>S$28*'PEV Sales by Manufacturer'!$S44</f>
        <v>287231.97720733233</v>
      </c>
      <c r="T45" s="11">
        <f>T$28*'PEV Sales by Manufacturer'!$S44</f>
        <v>298542.46744992887</v>
      </c>
      <c r="U45" s="11">
        <f>U$28*'PEV Sales by Manufacturer'!$S44</f>
        <v>308922.64814581041</v>
      </c>
      <c r="V45" s="11">
        <f>V$28*'PEV Sales by Manufacturer'!$S44</f>
        <v>319733.66293318477</v>
      </c>
      <c r="W45" s="11">
        <f>W$28*'PEV Sales by Manufacturer'!$S44</f>
        <v>330792.95499362278</v>
      </c>
      <c r="X45" s="11">
        <f>X$28*'PEV Sales by Manufacturer'!$S44</f>
        <v>341270.98614418239</v>
      </c>
      <c r="Y45" s="11">
        <f>Y$28*'PEV Sales by Manufacturer'!$S44</f>
        <v>352605.93900044839</v>
      </c>
      <c r="Z45" s="11">
        <f>Z$28*'PEV Sales by Manufacturer'!$S44</f>
        <v>364024.86799319182</v>
      </c>
      <c r="AA45" s="11">
        <f>AA$28*'PEV Sales by Manufacturer'!$S44</f>
        <v>374811.05505325983</v>
      </c>
      <c r="AB45" s="11">
        <f>AB$28*'PEV Sales by Manufacturer'!$S44</f>
        <v>386209.90279597603</v>
      </c>
      <c r="AC45" s="11">
        <f>AC$28*'PEV Sales by Manufacturer'!$S44</f>
        <v>397451.7516748432</v>
      </c>
      <c r="AD45" s="11">
        <f>AD$28*'PEV Sales by Manufacturer'!$S44</f>
        <v>408383.25396238081</v>
      </c>
      <c r="AE45" s="11">
        <f>AE$28*'PEV Sales by Manufacturer'!$S44</f>
        <v>419723.6835231997</v>
      </c>
      <c r="AF45" s="11">
        <f>AF$28*'PEV Sales by Manufacturer'!$S44</f>
        <v>431513.20285735431</v>
      </c>
      <c r="AG45" s="11"/>
      <c r="AH45" s="11"/>
    </row>
    <row r="46" spans="1:34" x14ac:dyDescent="0.2">
      <c r="A46" t="s">
        <v>80</v>
      </c>
      <c r="B46" s="11">
        <f>'PEV Sales by Manufacturer'!M45</f>
        <v>0</v>
      </c>
      <c r="C46" s="11">
        <f>'PEV Sales by Manufacturer'!N45</f>
        <v>429</v>
      </c>
      <c r="D46" s="11">
        <f>D$28*'PEV Sales by Manufacturer'!$S45</f>
        <v>1026.0981268745402</v>
      </c>
      <c r="E46" s="11">
        <f>E$28*'PEV Sales by Manufacturer'!$S45</f>
        <v>1494.5707656612528</v>
      </c>
      <c r="F46" s="11">
        <f>F$28*'PEV Sales by Manufacturer'!$S45</f>
        <v>2063.0929206043802</v>
      </c>
      <c r="G46" s="11">
        <f>G$28*'PEV Sales by Manufacturer'!$S45</f>
        <v>2623.5476203949975</v>
      </c>
      <c r="H46" s="11">
        <f>H$28*'PEV Sales by Manufacturer'!$S45</f>
        <v>3093.8597136551411</v>
      </c>
      <c r="I46" s="11">
        <f>I$28*'PEV Sales by Manufacturer'!$S45</f>
        <v>3584.4431554524363</v>
      </c>
      <c r="J46" s="11">
        <f>J$28*'PEV Sales by Manufacturer'!$S45</f>
        <v>4096.9786656103224</v>
      </c>
      <c r="K46" s="11">
        <f>K$28*'PEV Sales by Manufacturer'!$S45</f>
        <v>4576.4786939052683</v>
      </c>
      <c r="L46" s="11">
        <f>L$28*'PEV Sales by Manufacturer'!$S45</f>
        <v>5098.3141870861864</v>
      </c>
      <c r="M46" s="11">
        <f>M$28*'PEV Sales by Manufacturer'!$S45</f>
        <v>5505.3285043291271</v>
      </c>
      <c r="N46" s="11">
        <f>N$28*'PEV Sales by Manufacturer'!$S45</f>
        <v>5855.9266594986138</v>
      </c>
      <c r="O46" s="11">
        <f>O$28*'PEV Sales by Manufacturer'!$S45</f>
        <v>6186.0760568162532</v>
      </c>
      <c r="P46" s="11">
        <f>P$28*'PEV Sales by Manufacturer'!$S45</f>
        <v>6482.3402750268806</v>
      </c>
      <c r="Q46" s="11">
        <f>Q$28*'PEV Sales by Manufacturer'!$S45</f>
        <v>6792.8159130779241</v>
      </c>
      <c r="R46" s="11">
        <f>R$28*'PEV Sales by Manufacturer'!$S45</f>
        <v>7065.8581857280296</v>
      </c>
      <c r="S46" s="11">
        <f>S$28*'PEV Sales by Manufacturer'!$S45</f>
        <v>7345.6046630071869</v>
      </c>
      <c r="T46" s="11">
        <f>T$28*'PEV Sales by Manufacturer'!$S45</f>
        <v>7634.8565446211305</v>
      </c>
      <c r="U46" s="11">
        <f>U$28*'PEV Sales by Manufacturer'!$S45</f>
        <v>7900.3169034010525</v>
      </c>
      <c r="V46" s="11">
        <f>V$28*'PEV Sales by Manufacturer'!$S45</f>
        <v>8176.7953143568566</v>
      </c>
      <c r="W46" s="11">
        <f>W$28*'PEV Sales by Manufacturer'!$S45</f>
        <v>8459.6231113123195</v>
      </c>
      <c r="X46" s="11">
        <f>X$28*'PEV Sales by Manufacturer'!$S45</f>
        <v>8727.5858751626965</v>
      </c>
      <c r="Y46" s="11">
        <f>Y$28*'PEV Sales by Manufacturer'!$S45</f>
        <v>9017.4633580442533</v>
      </c>
      <c r="Z46" s="11">
        <f>Z$28*'PEV Sales by Manufacturer'!$S45</f>
        <v>9309.4884273668722</v>
      </c>
      <c r="AA46" s="11">
        <f>AA$28*'PEV Sales by Manufacturer'!$S45</f>
        <v>9585.3318997227107</v>
      </c>
      <c r="AB46" s="11">
        <f>AB$28*'PEV Sales by Manufacturer'!$S45</f>
        <v>9876.8434157659449</v>
      </c>
      <c r="AC46" s="11">
        <f>AC$28*'PEV Sales by Manufacturer'!$S45</f>
        <v>10164.33987889763</v>
      </c>
      <c r="AD46" s="11">
        <f>AD$28*'PEV Sales by Manufacturer'!$S45</f>
        <v>10443.899609529739</v>
      </c>
      <c r="AE46" s="11">
        <f>AE$28*'PEV Sales by Manufacturer'!$S45</f>
        <v>10733.917152396582</v>
      </c>
      <c r="AF46" s="11">
        <f>AF$28*'PEV Sales by Manufacturer'!$S45</f>
        <v>11035.419614056929</v>
      </c>
      <c r="AG46" s="11"/>
      <c r="AH46" s="11"/>
    </row>
    <row r="47" spans="1:34" x14ac:dyDescent="0.2">
      <c r="A47" t="s">
        <v>81</v>
      </c>
      <c r="B47" s="11">
        <f>'PEV Sales by Manufacturer'!M46</f>
        <v>0</v>
      </c>
      <c r="C47" s="11">
        <f>'PEV Sales by Manufacturer'!N46</f>
        <v>0</v>
      </c>
      <c r="D47" s="11">
        <f>D$28*'PEV Sales by Manufacturer'!$S46</f>
        <v>0</v>
      </c>
      <c r="E47" s="11">
        <f>E$28*'PEV Sales by Manufacturer'!$S46</f>
        <v>0</v>
      </c>
      <c r="F47" s="11">
        <f>F$28*'PEV Sales by Manufacturer'!$S46</f>
        <v>0</v>
      </c>
      <c r="G47" s="11">
        <f>G$28*'PEV Sales by Manufacturer'!$S46</f>
        <v>0</v>
      </c>
      <c r="H47" s="11">
        <f>H$28*'PEV Sales by Manufacturer'!$S46</f>
        <v>0</v>
      </c>
      <c r="I47" s="11">
        <f>I$28*'PEV Sales by Manufacturer'!$S46</f>
        <v>0</v>
      </c>
      <c r="J47" s="11">
        <f>J$28*'PEV Sales by Manufacturer'!$S46</f>
        <v>0</v>
      </c>
      <c r="K47" s="11">
        <f>K$28*'PEV Sales by Manufacturer'!$S46</f>
        <v>0</v>
      </c>
      <c r="L47" s="11">
        <f>L$28*'PEV Sales by Manufacturer'!$S46</f>
        <v>0</v>
      </c>
      <c r="M47" s="11">
        <f>M$28*'PEV Sales by Manufacturer'!$S46</f>
        <v>0</v>
      </c>
      <c r="N47" s="11">
        <f>N$28*'PEV Sales by Manufacturer'!$S46</f>
        <v>0</v>
      </c>
      <c r="O47" s="11">
        <f>O$28*'PEV Sales by Manufacturer'!$S46</f>
        <v>0</v>
      </c>
      <c r="P47" s="11">
        <f>P$28*'PEV Sales by Manufacturer'!$S46</f>
        <v>0</v>
      </c>
      <c r="Q47" s="11">
        <f>Q$28*'PEV Sales by Manufacturer'!$S46</f>
        <v>0</v>
      </c>
      <c r="R47" s="11">
        <f>R$28*'PEV Sales by Manufacturer'!$S46</f>
        <v>0</v>
      </c>
      <c r="S47" s="11">
        <f>S$28*'PEV Sales by Manufacturer'!$S46</f>
        <v>0</v>
      </c>
      <c r="T47" s="11">
        <f>T$28*'PEV Sales by Manufacturer'!$S46</f>
        <v>0</v>
      </c>
      <c r="U47" s="11">
        <f>U$28*'PEV Sales by Manufacturer'!$S46</f>
        <v>0</v>
      </c>
      <c r="V47" s="11">
        <f>V$28*'PEV Sales by Manufacturer'!$S46</f>
        <v>0</v>
      </c>
      <c r="W47" s="11">
        <f>W$28*'PEV Sales by Manufacturer'!$S46</f>
        <v>0</v>
      </c>
      <c r="X47" s="11">
        <f>X$28*'PEV Sales by Manufacturer'!$S46</f>
        <v>0</v>
      </c>
      <c r="Y47" s="11">
        <f>Y$28*'PEV Sales by Manufacturer'!$S46</f>
        <v>0</v>
      </c>
      <c r="Z47" s="11">
        <f>Z$28*'PEV Sales by Manufacturer'!$S46</f>
        <v>0</v>
      </c>
      <c r="AA47" s="11">
        <f>AA$28*'PEV Sales by Manufacturer'!$S46</f>
        <v>0</v>
      </c>
      <c r="AB47" s="11">
        <f>AB$28*'PEV Sales by Manufacturer'!$S46</f>
        <v>0</v>
      </c>
      <c r="AC47" s="11">
        <f>AC$28*'PEV Sales by Manufacturer'!$S46</f>
        <v>0</v>
      </c>
      <c r="AD47" s="11">
        <f>AD$28*'PEV Sales by Manufacturer'!$S46</f>
        <v>0</v>
      </c>
      <c r="AE47" s="11">
        <f>AE$28*'PEV Sales by Manufacturer'!$S46</f>
        <v>0</v>
      </c>
      <c r="AF47" s="11">
        <f>AF$28*'PEV Sales by Manufacturer'!$S46</f>
        <v>0</v>
      </c>
      <c r="AG47" s="11"/>
      <c r="AH47" s="11"/>
    </row>
    <row r="48" spans="1:34" x14ac:dyDescent="0.2">
      <c r="A48" t="s">
        <v>82</v>
      </c>
      <c r="B48" s="11">
        <f>'PEV Sales by Manufacturer'!M47</f>
        <v>0</v>
      </c>
      <c r="C48" s="11">
        <f>'PEV Sales by Manufacturer'!N47</f>
        <v>0</v>
      </c>
      <c r="D48" s="11">
        <f>D$28*'PEV Sales by Manufacturer'!$S47</f>
        <v>0</v>
      </c>
      <c r="E48" s="11">
        <f>E$28*'PEV Sales by Manufacturer'!$S47</f>
        <v>0</v>
      </c>
      <c r="F48" s="11">
        <f>F$28*'PEV Sales by Manufacturer'!$S47</f>
        <v>0</v>
      </c>
      <c r="G48" s="11">
        <f>G$28*'PEV Sales by Manufacturer'!$S47</f>
        <v>0</v>
      </c>
      <c r="H48" s="11">
        <f>H$28*'PEV Sales by Manufacturer'!$S47</f>
        <v>0</v>
      </c>
      <c r="I48" s="11">
        <f>I$28*'PEV Sales by Manufacturer'!$S47</f>
        <v>0</v>
      </c>
      <c r="J48" s="11">
        <f>J$28*'PEV Sales by Manufacturer'!$S47</f>
        <v>0</v>
      </c>
      <c r="K48" s="11">
        <f>K$28*'PEV Sales by Manufacturer'!$S47</f>
        <v>0</v>
      </c>
      <c r="L48" s="11">
        <f>L$28*'PEV Sales by Manufacturer'!$S47</f>
        <v>0</v>
      </c>
      <c r="M48" s="11">
        <f>M$28*'PEV Sales by Manufacturer'!$S47</f>
        <v>0</v>
      </c>
      <c r="N48" s="11">
        <f>N$28*'PEV Sales by Manufacturer'!$S47</f>
        <v>0</v>
      </c>
      <c r="O48" s="11">
        <f>O$28*'PEV Sales by Manufacturer'!$S47</f>
        <v>0</v>
      </c>
      <c r="P48" s="11">
        <f>P$28*'PEV Sales by Manufacturer'!$S47</f>
        <v>0</v>
      </c>
      <c r="Q48" s="11">
        <f>Q$28*'PEV Sales by Manufacturer'!$S47</f>
        <v>0</v>
      </c>
      <c r="R48" s="11">
        <f>R$28*'PEV Sales by Manufacturer'!$S47</f>
        <v>0</v>
      </c>
      <c r="S48" s="11">
        <f>S$28*'PEV Sales by Manufacturer'!$S47</f>
        <v>0</v>
      </c>
      <c r="T48" s="11">
        <f>T$28*'PEV Sales by Manufacturer'!$S47</f>
        <v>0</v>
      </c>
      <c r="U48" s="11">
        <f>U$28*'PEV Sales by Manufacturer'!$S47</f>
        <v>0</v>
      </c>
      <c r="V48" s="11">
        <f>V$28*'PEV Sales by Manufacturer'!$S47</f>
        <v>0</v>
      </c>
      <c r="W48" s="11">
        <f>W$28*'PEV Sales by Manufacturer'!$S47</f>
        <v>0</v>
      </c>
      <c r="X48" s="11">
        <f>X$28*'PEV Sales by Manufacturer'!$S47</f>
        <v>0</v>
      </c>
      <c r="Y48" s="11">
        <f>Y$28*'PEV Sales by Manufacturer'!$S47</f>
        <v>0</v>
      </c>
      <c r="Z48" s="11">
        <f>Z$28*'PEV Sales by Manufacturer'!$S47</f>
        <v>0</v>
      </c>
      <c r="AA48" s="11">
        <f>AA$28*'PEV Sales by Manufacturer'!$S47</f>
        <v>0</v>
      </c>
      <c r="AB48" s="11">
        <f>AB$28*'PEV Sales by Manufacturer'!$S47</f>
        <v>0</v>
      </c>
      <c r="AC48" s="11">
        <f>AC$28*'PEV Sales by Manufacturer'!$S47</f>
        <v>0</v>
      </c>
      <c r="AD48" s="11">
        <f>AD$28*'PEV Sales by Manufacturer'!$S47</f>
        <v>0</v>
      </c>
      <c r="AE48" s="11">
        <f>AE$28*'PEV Sales by Manufacturer'!$S47</f>
        <v>0</v>
      </c>
      <c r="AF48" s="11">
        <f>AF$28*'PEV Sales by Manufacturer'!$S47</f>
        <v>0</v>
      </c>
      <c r="AG48" s="11"/>
      <c r="AH48" s="11"/>
    </row>
    <row r="49" spans="1:34" x14ac:dyDescent="0.2">
      <c r="A49" t="s">
        <v>83</v>
      </c>
      <c r="B49" s="11">
        <f>'PEV Sales by Manufacturer'!M48</f>
        <v>1658</v>
      </c>
      <c r="C49" s="11">
        <f>'PEV Sales by Manufacturer'!N48</f>
        <v>1062</v>
      </c>
      <c r="D49" s="11">
        <f>D$28*'PEV Sales by Manufacturer'!$S48</f>
        <v>2540.1310273677427</v>
      </c>
      <c r="E49" s="11">
        <f>E$28*'PEV Sales by Manufacturer'!$S48</f>
        <v>3699.8465107977868</v>
      </c>
      <c r="F49" s="11">
        <f>F$28*'PEV Sales by Manufacturer'!$S48</f>
        <v>5107.2370202374159</v>
      </c>
      <c r="G49" s="11">
        <f>G$28*'PEV Sales by Manufacturer'!$S48</f>
        <v>6494.6563469918119</v>
      </c>
      <c r="H49" s="11">
        <f>H$28*'PEV Sales by Manufacturer'!$S48</f>
        <v>7658.9254449924474</v>
      </c>
      <c r="I49" s="11">
        <f>I$28*'PEV Sales by Manufacturer'!$S48</f>
        <v>8873.3767624486882</v>
      </c>
      <c r="J49" s="11">
        <f>J$28*'PEV Sales by Manufacturer'!$S48</f>
        <v>10142.170962419958</v>
      </c>
      <c r="K49" s="11">
        <f>K$28*'PEV Sales by Manufacturer'!$S48</f>
        <v>11329.185018478776</v>
      </c>
      <c r="L49" s="11">
        <f>L$28*'PEV Sales by Manufacturer'!$S48</f>
        <v>12621.001554045524</v>
      </c>
      <c r="M49" s="11">
        <f>M$28*'PEV Sales by Manufacturer'!$S48</f>
        <v>13628.575458269306</v>
      </c>
      <c r="N49" s="11">
        <f>N$28*'PEV Sales by Manufacturer'!$S48</f>
        <v>14496.489772465098</v>
      </c>
      <c r="O49" s="11">
        <f>O$28*'PEV Sales by Manufacturer'!$S48</f>
        <v>15313.782686104569</v>
      </c>
      <c r="P49" s="11">
        <f>P$28*'PEV Sales by Manufacturer'!$S48</f>
        <v>16047.192009507102</v>
      </c>
      <c r="Q49" s="11">
        <f>Q$28*'PEV Sales by Manufacturer'!$S48</f>
        <v>16815.78205055654</v>
      </c>
      <c r="R49" s="11">
        <f>R$28*'PEV Sales by Manufacturer'!$S48</f>
        <v>17491.7048793547</v>
      </c>
      <c r="S49" s="11">
        <f>S$28*'PEV Sales by Manufacturer'!$S48</f>
        <v>18184.224130801009</v>
      </c>
      <c r="T49" s="11">
        <f>T$28*'PEV Sales by Manufacturer'!$S48</f>
        <v>18900.274243327833</v>
      </c>
      <c r="U49" s="11">
        <f>U$28*'PEV Sales by Manufacturer'!$S48</f>
        <v>19557.427858769039</v>
      </c>
      <c r="V49" s="11">
        <f>V$28*'PEV Sales by Manufacturer'!$S48</f>
        <v>20241.856932044244</v>
      </c>
      <c r="W49" s="11">
        <f>W$28*'PEV Sales by Manufacturer'!$S48</f>
        <v>20942.004065766163</v>
      </c>
      <c r="X49" s="11">
        <f>X$28*'PEV Sales by Manufacturer'!$S48</f>
        <v>21605.352446206954</v>
      </c>
      <c r="Y49" s="11">
        <f>Y$28*'PEV Sales by Manufacturer'!$S48</f>
        <v>22322.951249983675</v>
      </c>
      <c r="Z49" s="11">
        <f>Z$28*'PEV Sales by Manufacturer'!$S48</f>
        <v>23045.86645655855</v>
      </c>
      <c r="AA49" s="11">
        <f>AA$28*'PEV Sales by Manufacturer'!$S48</f>
        <v>23728.723723789084</v>
      </c>
      <c r="AB49" s="11">
        <f>AB$28*'PEV Sales by Manufacturer'!$S48</f>
        <v>24450.367616651358</v>
      </c>
      <c r="AC49" s="11">
        <f>AC$28*'PEV Sales by Manufacturer'!$S48</f>
        <v>25162.072147760562</v>
      </c>
      <c r="AD49" s="11">
        <f>AD$28*'PEV Sales by Manufacturer'!$S48</f>
        <v>25854.129103311378</v>
      </c>
      <c r="AE49" s="11">
        <f>AE$28*'PEV Sales by Manufacturer'!$S48</f>
        <v>26572.07462900972</v>
      </c>
      <c r="AF49" s="11">
        <f>AF$28*'PEV Sales by Manufacturer'!$S48</f>
        <v>27318.45135228079</v>
      </c>
      <c r="AG49" s="11"/>
      <c r="AH49" s="11"/>
    </row>
    <row r="50" spans="1:34" x14ac:dyDescent="0.2">
      <c r="A50" t="s">
        <v>84</v>
      </c>
      <c r="B50" s="11">
        <f>'PEV Sales by Manufacturer'!M49</f>
        <v>0</v>
      </c>
      <c r="C50" s="11">
        <f>'PEV Sales by Manufacturer'!N49</f>
        <v>0</v>
      </c>
      <c r="D50" s="11">
        <f>D$28*'PEV Sales by Manufacturer'!$S49</f>
        <v>0</v>
      </c>
      <c r="E50" s="11">
        <f>E$28*'PEV Sales by Manufacturer'!$S49</f>
        <v>0</v>
      </c>
      <c r="F50" s="11">
        <f>F$28*'PEV Sales by Manufacturer'!$S49</f>
        <v>0</v>
      </c>
      <c r="G50" s="11">
        <f>G$28*'PEV Sales by Manufacturer'!$S49</f>
        <v>0</v>
      </c>
      <c r="H50" s="11">
        <f>H$28*'PEV Sales by Manufacturer'!$S49</f>
        <v>0</v>
      </c>
      <c r="I50" s="11">
        <f>I$28*'PEV Sales by Manufacturer'!$S49</f>
        <v>0</v>
      </c>
      <c r="J50" s="11">
        <f>J$28*'PEV Sales by Manufacturer'!$S49</f>
        <v>0</v>
      </c>
      <c r="K50" s="11">
        <f>K$28*'PEV Sales by Manufacturer'!$S49</f>
        <v>0</v>
      </c>
      <c r="L50" s="11">
        <f>L$28*'PEV Sales by Manufacturer'!$S49</f>
        <v>0</v>
      </c>
      <c r="M50" s="11">
        <f>M$28*'PEV Sales by Manufacturer'!$S49</f>
        <v>0</v>
      </c>
      <c r="N50" s="11">
        <f>N$28*'PEV Sales by Manufacturer'!$S49</f>
        <v>0</v>
      </c>
      <c r="O50" s="11">
        <f>O$28*'PEV Sales by Manufacturer'!$S49</f>
        <v>0</v>
      </c>
      <c r="P50" s="11">
        <f>P$28*'PEV Sales by Manufacturer'!$S49</f>
        <v>0</v>
      </c>
      <c r="Q50" s="11">
        <f>Q$28*'PEV Sales by Manufacturer'!$S49</f>
        <v>0</v>
      </c>
      <c r="R50" s="11">
        <f>R$28*'PEV Sales by Manufacturer'!$S49</f>
        <v>0</v>
      </c>
      <c r="S50" s="11">
        <f>S$28*'PEV Sales by Manufacturer'!$S49</f>
        <v>0</v>
      </c>
      <c r="T50" s="11">
        <f>T$28*'PEV Sales by Manufacturer'!$S49</f>
        <v>0</v>
      </c>
      <c r="U50" s="11">
        <f>U$28*'PEV Sales by Manufacturer'!$S49</f>
        <v>0</v>
      </c>
      <c r="V50" s="11">
        <f>V$28*'PEV Sales by Manufacturer'!$S49</f>
        <v>0</v>
      </c>
      <c r="W50" s="11">
        <f>W$28*'PEV Sales by Manufacturer'!$S49</f>
        <v>0</v>
      </c>
      <c r="X50" s="11">
        <f>X$28*'PEV Sales by Manufacturer'!$S49</f>
        <v>0</v>
      </c>
      <c r="Y50" s="11">
        <f>Y$28*'PEV Sales by Manufacturer'!$S49</f>
        <v>0</v>
      </c>
      <c r="Z50" s="11">
        <f>Z$28*'PEV Sales by Manufacturer'!$S49</f>
        <v>0</v>
      </c>
      <c r="AA50" s="11">
        <f>AA$28*'PEV Sales by Manufacturer'!$S49</f>
        <v>0</v>
      </c>
      <c r="AB50" s="11">
        <f>AB$28*'PEV Sales by Manufacturer'!$S49</f>
        <v>0</v>
      </c>
      <c r="AC50" s="11">
        <f>AC$28*'PEV Sales by Manufacturer'!$S49</f>
        <v>0</v>
      </c>
      <c r="AD50" s="11">
        <f>AD$28*'PEV Sales by Manufacturer'!$S49</f>
        <v>0</v>
      </c>
      <c r="AE50" s="11">
        <f>AE$28*'PEV Sales by Manufacturer'!$S49</f>
        <v>0</v>
      </c>
      <c r="AF50" s="11">
        <f>AF$28*'PEV Sales by Manufacturer'!$S49</f>
        <v>0</v>
      </c>
      <c r="AG50" s="11"/>
      <c r="AH50" s="11"/>
    </row>
    <row r="51" spans="1:34" x14ac:dyDescent="0.2">
      <c r="A51" t="s">
        <v>85</v>
      </c>
      <c r="B51" s="11">
        <f>'PEV Sales by Manufacturer'!M50</f>
        <v>0</v>
      </c>
      <c r="C51" s="11">
        <f>'PEV Sales by Manufacturer'!N50</f>
        <v>376</v>
      </c>
      <c r="D51" s="11">
        <f>D$28*'PEV Sales by Manufacturer'!$S50</f>
        <v>899.33075921871125</v>
      </c>
      <c r="E51" s="11">
        <f>E$28*'PEV Sales by Manufacturer'!$S50</f>
        <v>1309.926824915224</v>
      </c>
      <c r="F51" s="11">
        <f>F$28*'PEV Sales by Manufacturer'!$S50</f>
        <v>1808.2119770332095</v>
      </c>
      <c r="G51" s="11">
        <f>G$28*'PEV Sales by Manufacturer'!$S50</f>
        <v>2299.4263526072705</v>
      </c>
      <c r="H51" s="11">
        <f>H$28*'PEV Sales by Manufacturer'!$S50</f>
        <v>2711.6346208259511</v>
      </c>
      <c r="I51" s="11">
        <f>I$28*'PEV Sales by Manufacturer'!$S50</f>
        <v>3141.6098518650724</v>
      </c>
      <c r="J51" s="11">
        <f>J$28*'PEV Sales by Manufacturer'!$S50</f>
        <v>3590.8251241712846</v>
      </c>
      <c r="K51" s="11">
        <f>K$28*'PEV Sales by Manufacturer'!$S50</f>
        <v>4011.086221231657</v>
      </c>
      <c r="L51" s="11">
        <f>L$28*'PEV Sales by Manufacturer'!$S50</f>
        <v>4468.4525276093382</v>
      </c>
      <c r="M51" s="11">
        <f>M$28*'PEV Sales by Manufacturer'!$S50</f>
        <v>4825.1830247733142</v>
      </c>
      <c r="N51" s="11">
        <f>N$28*'PEV Sales by Manufacturer'!$S50</f>
        <v>5132.4671887447057</v>
      </c>
      <c r="O51" s="11">
        <f>O$28*'PEV Sales by Manufacturer'!$S50</f>
        <v>5421.828898281844</v>
      </c>
      <c r="P51" s="11">
        <f>P$28*'PEV Sales by Manufacturer'!$S50</f>
        <v>5681.4917095806686</v>
      </c>
      <c r="Q51" s="11">
        <f>Q$28*'PEV Sales by Manufacturer'!$S50</f>
        <v>5953.6102175228425</v>
      </c>
      <c r="R51" s="11">
        <f>R$28*'PEV Sales by Manufacturer'!$S50</f>
        <v>6192.91999495044</v>
      </c>
      <c r="S51" s="11">
        <f>S$28*'PEV Sales by Manufacturer'!$S50</f>
        <v>6438.1057186263452</v>
      </c>
      <c r="T51" s="11">
        <f>T$28*'PEV Sales by Manufacturer'!$S50</f>
        <v>6691.6225192949769</v>
      </c>
      <c r="U51" s="11">
        <f>U$28*'PEV Sales by Manufacturer'!$S50</f>
        <v>6924.2870761743488</v>
      </c>
      <c r="V51" s="11">
        <f>V$28*'PEV Sales by Manufacturer'!$S50</f>
        <v>7166.6084806484332</v>
      </c>
      <c r="W51" s="11">
        <f>W$28*'PEV Sales by Manufacturer'!$S50</f>
        <v>7414.4948481431984</v>
      </c>
      <c r="X51" s="11">
        <f>X$28*'PEV Sales by Manufacturer'!$S50</f>
        <v>7649.3526551542509</v>
      </c>
      <c r="Y51" s="11">
        <f>Y$28*'PEV Sales by Manufacturer'!$S50</f>
        <v>7903.4177683558019</v>
      </c>
      <c r="Z51" s="11">
        <f>Z$28*'PEV Sales by Manufacturer'!$S50</f>
        <v>8159.3651484614074</v>
      </c>
      <c r="AA51" s="11">
        <f>AA$28*'PEV Sales by Manufacturer'!$S50</f>
        <v>8401.130056633423</v>
      </c>
      <c r="AB51" s="11">
        <f>AB$28*'PEV Sales by Manufacturer'!$S50</f>
        <v>8656.6273294358853</v>
      </c>
      <c r="AC51" s="11">
        <f>AC$28*'PEV Sales by Manufacturer'!$S50</f>
        <v>8908.605581504682</v>
      </c>
      <c r="AD51" s="11">
        <f>AD$28*'PEV Sales by Manufacturer'!$S50</f>
        <v>9153.6276297976256</v>
      </c>
      <c r="AE51" s="11">
        <f>AE$28*'PEV Sales by Manufacturer'!$S50</f>
        <v>9407.8154995363984</v>
      </c>
      <c r="AF51" s="11">
        <f>AF$28*'PEV Sales by Manufacturer'!$S50</f>
        <v>9672.0694053272855</v>
      </c>
      <c r="AG51" s="11"/>
      <c r="AH51" s="11"/>
    </row>
    <row r="52" spans="1:34" x14ac:dyDescent="0.2">
      <c r="A52" t="s">
        <v>86</v>
      </c>
      <c r="B52" s="11">
        <f>'PEV Sales by Manufacturer'!M51</f>
        <v>0</v>
      </c>
      <c r="C52" s="11">
        <f>'PEV Sales by Manufacturer'!N51</f>
        <v>65</v>
      </c>
      <c r="D52" s="11">
        <f>D$28*'PEV Sales by Manufacturer'!$S51</f>
        <v>155.46941316280913</v>
      </c>
      <c r="E52" s="11">
        <f>E$28*'PEV Sales by Manufacturer'!$S51</f>
        <v>226.45011600928075</v>
      </c>
      <c r="F52" s="11">
        <f>F$28*'PEV Sales by Manufacturer'!$S51</f>
        <v>312.58983645520914</v>
      </c>
      <c r="G52" s="11">
        <f>G$28*'PEV Sales by Manufacturer'!$S51</f>
        <v>397.50721521136325</v>
      </c>
      <c r="H52" s="11">
        <f>H$28*'PEV Sales by Manufacturer'!$S51</f>
        <v>468.76662328108199</v>
      </c>
      <c r="I52" s="11">
        <f>I$28*'PEV Sales by Manufacturer'!$S51</f>
        <v>543.09744779582365</v>
      </c>
      <c r="J52" s="11">
        <f>J$28*'PEV Sales by Manufacturer'!$S51</f>
        <v>620.75434327429127</v>
      </c>
      <c r="K52" s="11">
        <f>K$28*'PEV Sales by Manufacturer'!$S51</f>
        <v>693.40586271291954</v>
      </c>
      <c r="L52" s="11">
        <f>L$28*'PEV Sales by Manufacturer'!$S51</f>
        <v>772.47184652821011</v>
      </c>
      <c r="M52" s="11">
        <f>M$28*'PEV Sales by Manufacturer'!$S51</f>
        <v>834.14068247411012</v>
      </c>
      <c r="N52" s="11">
        <f>N$28*'PEV Sales by Manufacturer'!$S51</f>
        <v>887.26161507554752</v>
      </c>
      <c r="O52" s="11">
        <f>O$28*'PEV Sales by Manufacturer'!$S51</f>
        <v>937.28425103276561</v>
      </c>
      <c r="P52" s="11">
        <f>P$28*'PEV Sales by Manufacturer'!$S51</f>
        <v>982.17276894346674</v>
      </c>
      <c r="Q52" s="11">
        <f>Q$28*'PEV Sales by Manufacturer'!$S51</f>
        <v>1029.214532284534</v>
      </c>
      <c r="R52" s="11">
        <f>R$28*'PEV Sales by Manufacturer'!$S51</f>
        <v>1070.5845735951559</v>
      </c>
      <c r="S52" s="11">
        <f>S$28*'PEV Sales by Manufacturer'!$S51</f>
        <v>1112.9704034859374</v>
      </c>
      <c r="T52" s="11">
        <f>T$28*'PEV Sales by Manufacturer'!$S51</f>
        <v>1156.7964461547167</v>
      </c>
      <c r="U52" s="11">
        <f>U$28*'PEV Sales by Manufacturer'!$S51</f>
        <v>1197.0177126365231</v>
      </c>
      <c r="V52" s="11">
        <f>V$28*'PEV Sales by Manufacturer'!$S51</f>
        <v>1238.90838096316</v>
      </c>
      <c r="W52" s="11">
        <f>W$28*'PEV Sales by Manufacturer'!$S51</f>
        <v>1281.7610774715636</v>
      </c>
      <c r="X52" s="11">
        <f>X$28*'PEV Sales by Manufacturer'!$S51</f>
        <v>1322.3614962367722</v>
      </c>
      <c r="Y52" s="11">
        <f>Y$28*'PEV Sales by Manufacturer'!$S51</f>
        <v>1366.2823269764021</v>
      </c>
      <c r="Z52" s="11">
        <f>Z$28*'PEV Sales by Manufacturer'!$S51</f>
        <v>1410.5285496010413</v>
      </c>
      <c r="AA52" s="11">
        <f>AA$28*'PEV Sales by Manufacturer'!$S51</f>
        <v>1452.3230151095015</v>
      </c>
      <c r="AB52" s="11">
        <f>AB$28*'PEV Sales by Manufacturer'!$S51</f>
        <v>1496.4914266312037</v>
      </c>
      <c r="AC52" s="11">
        <f>AC$28*'PEV Sales by Manufacturer'!$S51</f>
        <v>1540.0514968026712</v>
      </c>
      <c r="AD52" s="11">
        <f>AD$28*'PEV Sales by Manufacturer'!$S51</f>
        <v>1582.4090317469302</v>
      </c>
      <c r="AE52" s="11">
        <f>AE$28*'PEV Sales by Manufacturer'!$S51</f>
        <v>1626.351083696452</v>
      </c>
      <c r="AF52" s="11">
        <f>AF$28*'PEV Sales by Manufacturer'!$S51</f>
        <v>1672.0332748571107</v>
      </c>
      <c r="AG52" s="11"/>
      <c r="AH52" s="11"/>
    </row>
    <row r="53" spans="1:34" x14ac:dyDescent="0.2">
      <c r="A53" t="s">
        <v>87</v>
      </c>
      <c r="B53" s="11">
        <f>'PEV Sales by Manufacturer'!M52</f>
        <v>0</v>
      </c>
      <c r="C53" s="11">
        <f>'PEV Sales by Manufacturer'!N52</f>
        <v>116</v>
      </c>
      <c r="D53" s="11">
        <f>D$28*'PEV Sales by Manufacturer'!$S52</f>
        <v>277.45310656747478</v>
      </c>
      <c r="E53" s="11">
        <f>E$28*'PEV Sales by Manufacturer'!$S52</f>
        <v>404.12636087810102</v>
      </c>
      <c r="F53" s="11">
        <f>F$28*'PEV Sales by Manufacturer'!$S52</f>
        <v>557.85263121237313</v>
      </c>
      <c r="G53" s="11">
        <f>G$28*'PEV Sales by Manufacturer'!$S52</f>
        <v>709.39749176181749</v>
      </c>
      <c r="H53" s="11">
        <f>H$28*'PEV Sales by Manufacturer'!$S52</f>
        <v>836.56812770162333</v>
      </c>
      <c r="I53" s="11">
        <f>I$28*'PEV Sales by Manufacturer'!$S52</f>
        <v>969.22006068177768</v>
      </c>
      <c r="J53" s="11">
        <f>J$28*'PEV Sales by Manufacturer'!$S52</f>
        <v>1107.8077510741198</v>
      </c>
      <c r="K53" s="11">
        <f>K$28*'PEV Sales by Manufacturer'!$S52</f>
        <v>1237.4627703799795</v>
      </c>
      <c r="L53" s="11">
        <f>L$28*'PEV Sales by Manufacturer'!$S52</f>
        <v>1378.565141496498</v>
      </c>
      <c r="M53" s="11">
        <f>M$28*'PEV Sales by Manufacturer'!$S52</f>
        <v>1488.6202948768735</v>
      </c>
      <c r="N53" s="11">
        <f>N$28*'PEV Sales by Manufacturer'!$S52</f>
        <v>1583.4207284425156</v>
      </c>
      <c r="O53" s="11">
        <f>O$28*'PEV Sales by Manufacturer'!$S52</f>
        <v>1672.6918941507818</v>
      </c>
      <c r="P53" s="11">
        <f>P$28*'PEV Sales by Manufacturer'!$S52</f>
        <v>1752.8006338068021</v>
      </c>
      <c r="Q53" s="11">
        <f>Q$28*'PEV Sales by Manufacturer'!$S52</f>
        <v>1836.7520883847069</v>
      </c>
      <c r="R53" s="11">
        <f>R$28*'PEV Sales by Manufacturer'!$S52</f>
        <v>1910.5817005698168</v>
      </c>
      <c r="S53" s="11">
        <f>S$28*'PEV Sales by Manufacturer'!$S52</f>
        <v>1986.2241046825961</v>
      </c>
      <c r="T53" s="11">
        <f>T$28*'PEV Sales by Manufacturer'!$S52</f>
        <v>2064.4367346761101</v>
      </c>
      <c r="U53" s="11">
        <f>U$28*'PEV Sales by Manufacturer'!$S52</f>
        <v>2136.2162256282568</v>
      </c>
      <c r="V53" s="11">
        <f>V$28*'PEV Sales by Manufacturer'!$S52</f>
        <v>2210.9749567957933</v>
      </c>
      <c r="W53" s="11">
        <f>W$28*'PEV Sales by Manufacturer'!$S52</f>
        <v>2287.4505382569441</v>
      </c>
      <c r="X53" s="11">
        <f>X$28*'PEV Sales by Manufacturer'!$S52</f>
        <v>2359.9066702071627</v>
      </c>
      <c r="Y53" s="11">
        <f>Y$28*'PEV Sales by Manufacturer'!$S52</f>
        <v>2438.2884604501946</v>
      </c>
      <c r="Z53" s="11">
        <f>Z$28*'PEV Sales by Manufacturer'!$S52</f>
        <v>2517.2509500572428</v>
      </c>
      <c r="AA53" s="11">
        <f>AA$28*'PEV Sales by Manufacturer'!$S52</f>
        <v>2591.8379961954179</v>
      </c>
      <c r="AB53" s="11">
        <f>AB$28*'PEV Sales by Manufacturer'!$S52</f>
        <v>2670.6616229110714</v>
      </c>
      <c r="AC53" s="11">
        <f>AC$28*'PEV Sales by Manufacturer'!$S52</f>
        <v>2748.3995942939978</v>
      </c>
      <c r="AD53" s="11">
        <f>AD$28*'PEV Sales by Manufacturer'!$S52</f>
        <v>2823.9915028099058</v>
      </c>
      <c r="AE53" s="11">
        <f>AE$28*'PEV Sales by Manufacturer'!$S52</f>
        <v>2902.4111647505911</v>
      </c>
      <c r="AF53" s="11">
        <f>AF$28*'PEV Sales by Manufacturer'!$S52</f>
        <v>2983.9363058988433</v>
      </c>
      <c r="AG53" s="11"/>
      <c r="AH53" s="11"/>
    </row>
    <row r="54" spans="1:34" x14ac:dyDescent="0.2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spans="1:34" x14ac:dyDescent="0.2">
      <c r="A55" s="1" t="s">
        <v>92</v>
      </c>
      <c r="B55">
        <v>2020</v>
      </c>
      <c r="C55">
        <v>2021</v>
      </c>
      <c r="D55">
        <v>2022</v>
      </c>
      <c r="E55">
        <v>2023</v>
      </c>
      <c r="F55">
        <v>2024</v>
      </c>
      <c r="G55">
        <v>2025</v>
      </c>
      <c r="H55">
        <v>2026</v>
      </c>
      <c r="I55">
        <v>2027</v>
      </c>
      <c r="J55">
        <v>2028</v>
      </c>
      <c r="K55">
        <v>2029</v>
      </c>
      <c r="L55">
        <v>2030</v>
      </c>
      <c r="M55">
        <v>2031</v>
      </c>
      <c r="N55">
        <v>2032</v>
      </c>
      <c r="O55">
        <v>2033</v>
      </c>
      <c r="P55">
        <v>2034</v>
      </c>
      <c r="Q55">
        <v>2035</v>
      </c>
      <c r="R55">
        <v>2036</v>
      </c>
      <c r="S55">
        <v>2037</v>
      </c>
      <c r="T55">
        <v>2038</v>
      </c>
      <c r="U55">
        <v>2039</v>
      </c>
      <c r="V55">
        <v>2040</v>
      </c>
      <c r="W55">
        <v>2041</v>
      </c>
      <c r="X55">
        <v>2042</v>
      </c>
      <c r="Y55">
        <v>2043</v>
      </c>
      <c r="Z55">
        <v>2044</v>
      </c>
      <c r="AA55">
        <v>2045</v>
      </c>
      <c r="AB55">
        <v>2046</v>
      </c>
      <c r="AC55">
        <v>2047</v>
      </c>
      <c r="AD55">
        <v>2048</v>
      </c>
      <c r="AE55">
        <v>2049</v>
      </c>
      <c r="AF55">
        <v>2050</v>
      </c>
    </row>
    <row r="56" spans="1:34" x14ac:dyDescent="0.2">
      <c r="A56" t="s">
        <v>13</v>
      </c>
      <c r="B56" s="11">
        <f>'PEV Sales by Manufacturer'!M58</f>
        <v>0</v>
      </c>
      <c r="C56" s="11">
        <f>'PEV Sales by Manufacturer'!N58</f>
        <v>0</v>
      </c>
      <c r="D56" s="11">
        <f>D$29*'PEV Sales by Manufacturer'!$S58</f>
        <v>0</v>
      </c>
      <c r="E56" s="11">
        <f>E$29*'PEV Sales by Manufacturer'!$S58</f>
        <v>0</v>
      </c>
      <c r="F56" s="11">
        <f>F$29*'PEV Sales by Manufacturer'!$S58</f>
        <v>0</v>
      </c>
      <c r="G56" s="11">
        <f>G$29*'PEV Sales by Manufacturer'!$S58</f>
        <v>0</v>
      </c>
      <c r="H56" s="11">
        <f>H$29*'PEV Sales by Manufacturer'!$S58</f>
        <v>0</v>
      </c>
      <c r="I56" s="11">
        <f>I$29*'PEV Sales by Manufacturer'!$S58</f>
        <v>0</v>
      </c>
      <c r="J56" s="11">
        <f>J$29*'PEV Sales by Manufacturer'!$S58</f>
        <v>0</v>
      </c>
      <c r="K56" s="11">
        <f>K$29*'PEV Sales by Manufacturer'!$S58</f>
        <v>0</v>
      </c>
      <c r="L56" s="11">
        <f>L$29*'PEV Sales by Manufacturer'!$S58</f>
        <v>0</v>
      </c>
      <c r="M56" s="11">
        <f>M$29*'PEV Sales by Manufacturer'!$S58</f>
        <v>0</v>
      </c>
      <c r="N56" s="11">
        <f>N$29*'PEV Sales by Manufacturer'!$S58</f>
        <v>0</v>
      </c>
      <c r="O56" s="11">
        <f>O$29*'PEV Sales by Manufacturer'!$S58</f>
        <v>0</v>
      </c>
      <c r="P56" s="11">
        <f>P$29*'PEV Sales by Manufacturer'!$S58</f>
        <v>0</v>
      </c>
      <c r="Q56" s="11">
        <f>Q$29*'PEV Sales by Manufacturer'!$S58</f>
        <v>0</v>
      </c>
      <c r="R56" s="11">
        <f>R$29*'PEV Sales by Manufacturer'!$S58</f>
        <v>0</v>
      </c>
      <c r="S56" s="11">
        <f>S$29*'PEV Sales by Manufacturer'!$S58</f>
        <v>0</v>
      </c>
      <c r="T56" s="11">
        <f>T$29*'PEV Sales by Manufacturer'!$S58</f>
        <v>0</v>
      </c>
      <c r="U56" s="11">
        <f>U$29*'PEV Sales by Manufacturer'!$S58</f>
        <v>0</v>
      </c>
      <c r="V56" s="11">
        <f>V$29*'PEV Sales by Manufacturer'!$S58</f>
        <v>0</v>
      </c>
      <c r="W56" s="11">
        <f>W$29*'PEV Sales by Manufacturer'!$S58</f>
        <v>0</v>
      </c>
      <c r="X56" s="11">
        <f>X$29*'PEV Sales by Manufacturer'!$S58</f>
        <v>0</v>
      </c>
      <c r="Y56" s="11">
        <f>Y$29*'PEV Sales by Manufacturer'!$S58</f>
        <v>0</v>
      </c>
      <c r="Z56" s="11">
        <f>Z$29*'PEV Sales by Manufacturer'!$S58</f>
        <v>0</v>
      </c>
      <c r="AA56" s="11">
        <f>AA$29*'PEV Sales by Manufacturer'!$S58</f>
        <v>0</v>
      </c>
      <c r="AB56" s="11">
        <f>AB$29*'PEV Sales by Manufacturer'!$S58</f>
        <v>0</v>
      </c>
      <c r="AC56" s="11">
        <f>AC$29*'PEV Sales by Manufacturer'!$S58</f>
        <v>0</v>
      </c>
      <c r="AD56" s="11">
        <f>AD$29*'PEV Sales by Manufacturer'!$S58</f>
        <v>0</v>
      </c>
      <c r="AE56" s="11">
        <f>AE$29*'PEV Sales by Manufacturer'!$S58</f>
        <v>0</v>
      </c>
      <c r="AF56" s="11">
        <f>AF$29*'PEV Sales by Manufacturer'!$S58</f>
        <v>0</v>
      </c>
      <c r="AG56" s="11"/>
      <c r="AH56" s="11"/>
    </row>
    <row r="57" spans="1:34" x14ac:dyDescent="0.2">
      <c r="A57" t="s">
        <v>67</v>
      </c>
      <c r="B57" s="11">
        <f>'PEV Sales by Manufacturer'!M59</f>
        <v>81</v>
      </c>
      <c r="C57" s="11">
        <f>'PEV Sales by Manufacturer'!N59</f>
        <v>16</v>
      </c>
      <c r="D57" s="11">
        <f>D$29*'PEV Sales by Manufacturer'!$S59</f>
        <v>39.890349264705883</v>
      </c>
      <c r="E57" s="11">
        <f>E$29*'PEV Sales by Manufacturer'!$S59</f>
        <v>58.533915441176468</v>
      </c>
      <c r="F57" s="11">
        <f>F$29*'PEV Sales by Manufacturer'!$S59</f>
        <v>81.541544117647064</v>
      </c>
      <c r="G57" s="11">
        <f>G$29*'PEV Sales by Manufacturer'!$S59</f>
        <v>100.64889705882352</v>
      </c>
      <c r="H57" s="11">
        <f>H$29*'PEV Sales by Manufacturer'!$S59</f>
        <v>112.22886029411765</v>
      </c>
      <c r="I57" s="11">
        <f>I$29*'PEV Sales by Manufacturer'!$S59</f>
        <v>118.890625</v>
      </c>
      <c r="J57" s="11">
        <f>J$29*'PEV Sales by Manufacturer'!$S59</f>
        <v>120.43658088235294</v>
      </c>
      <c r="K57" s="11">
        <f>K$29*'PEV Sales by Manufacturer'!$S59</f>
        <v>121.33639705882352</v>
      </c>
      <c r="L57" s="11">
        <f>L$29*'PEV Sales by Manufacturer'!$S59</f>
        <v>120.49080882352941</v>
      </c>
      <c r="M57" s="11">
        <f>M$29*'PEV Sales by Manufacturer'!$S59</f>
        <v>120.08455882352941</v>
      </c>
      <c r="N57" s="11">
        <f>N$29*'PEV Sales by Manufacturer'!$S59</f>
        <v>118.52849264705883</v>
      </c>
      <c r="O57" s="11">
        <f>O$29*'PEV Sales by Manufacturer'!$S59</f>
        <v>116.80882352941177</v>
      </c>
      <c r="P57" s="11">
        <f>P$29*'PEV Sales by Manufacturer'!$S59</f>
        <v>115.13051470588235</v>
      </c>
      <c r="Q57" s="11">
        <f>Q$29*'PEV Sales by Manufacturer'!$S59</f>
        <v>113.53308823529412</v>
      </c>
      <c r="R57" s="11">
        <f>R$29*'PEV Sales by Manufacturer'!$S59</f>
        <v>112.11213235294117</v>
      </c>
      <c r="S57" s="11">
        <f>S$29*'PEV Sales by Manufacturer'!$S59</f>
        <v>110.69852941176471</v>
      </c>
      <c r="T57" s="11">
        <f>T$29*'PEV Sales by Manufacturer'!$S59</f>
        <v>109.55330882352941</v>
      </c>
      <c r="U57" s="11">
        <f>U$29*'PEV Sales by Manufacturer'!$S59</f>
        <v>108.25827205882352</v>
      </c>
      <c r="V57" s="11">
        <f>V$29*'PEV Sales by Manufacturer'!$S59</f>
        <v>107.19025735294117</v>
      </c>
      <c r="W57" s="11">
        <f>W$29*'PEV Sales by Manufacturer'!$S59</f>
        <v>106.18198529411765</v>
      </c>
      <c r="X57" s="11">
        <f>X$29*'PEV Sales by Manufacturer'!$S59</f>
        <v>105.078125</v>
      </c>
      <c r="Y57" s="11">
        <f>Y$29*'PEV Sales by Manufacturer'!$S59</f>
        <v>104.17463235294117</v>
      </c>
      <c r="Z57" s="11">
        <f>Z$29*'PEV Sales by Manufacturer'!$S59</f>
        <v>103.24816176470588</v>
      </c>
      <c r="AA57" s="11">
        <f>AA$29*'PEV Sales by Manufacturer'!$S59</f>
        <v>102.24908088235294</v>
      </c>
      <c r="AB57" s="11">
        <f>AB$29*'PEV Sales by Manufacturer'!$S59</f>
        <v>101.29227941176471</v>
      </c>
      <c r="AC57" s="11">
        <f>AC$29*'PEV Sales by Manufacturer'!$S59</f>
        <v>100.28768382352941</v>
      </c>
      <c r="AD57" s="11">
        <f>AD$29*'PEV Sales by Manufacturer'!$S59</f>
        <v>99.204044117647058</v>
      </c>
      <c r="AE57" s="11">
        <f>AE$29*'PEV Sales by Manufacturer'!$S59</f>
        <v>98.153492647058826</v>
      </c>
      <c r="AF57" s="11">
        <f>AF$29*'PEV Sales by Manufacturer'!$S59</f>
        <v>97.095588235294116</v>
      </c>
      <c r="AG57" s="11"/>
      <c r="AH57" s="11"/>
    </row>
    <row r="58" spans="1:34" x14ac:dyDescent="0.2">
      <c r="A58" t="s">
        <v>68</v>
      </c>
      <c r="B58" s="11">
        <f>'PEV Sales by Manufacturer'!M60</f>
        <v>0</v>
      </c>
      <c r="C58" s="11">
        <f>'PEV Sales by Manufacturer'!N60</f>
        <v>0</v>
      </c>
      <c r="D58" s="11">
        <f>D$29*'PEV Sales by Manufacturer'!$S60</f>
        <v>0</v>
      </c>
      <c r="E58" s="11">
        <f>E$29*'PEV Sales by Manufacturer'!$S60</f>
        <v>0</v>
      </c>
      <c r="F58" s="11">
        <f>F$29*'PEV Sales by Manufacturer'!$S60</f>
        <v>0</v>
      </c>
      <c r="G58" s="11">
        <f>G$29*'PEV Sales by Manufacturer'!$S60</f>
        <v>0</v>
      </c>
      <c r="H58" s="11">
        <f>H$29*'PEV Sales by Manufacturer'!$S60</f>
        <v>0</v>
      </c>
      <c r="I58" s="11">
        <f>I$29*'PEV Sales by Manufacturer'!$S60</f>
        <v>0</v>
      </c>
      <c r="J58" s="11">
        <f>J$29*'PEV Sales by Manufacturer'!$S60</f>
        <v>0</v>
      </c>
      <c r="K58" s="11">
        <f>K$29*'PEV Sales by Manufacturer'!$S60</f>
        <v>0</v>
      </c>
      <c r="L58" s="11">
        <f>L$29*'PEV Sales by Manufacturer'!$S60</f>
        <v>0</v>
      </c>
      <c r="M58" s="11">
        <f>M$29*'PEV Sales by Manufacturer'!$S60</f>
        <v>0</v>
      </c>
      <c r="N58" s="11">
        <f>N$29*'PEV Sales by Manufacturer'!$S60</f>
        <v>0</v>
      </c>
      <c r="O58" s="11">
        <f>O$29*'PEV Sales by Manufacturer'!$S60</f>
        <v>0</v>
      </c>
      <c r="P58" s="11">
        <f>P$29*'PEV Sales by Manufacturer'!$S60</f>
        <v>0</v>
      </c>
      <c r="Q58" s="11">
        <f>Q$29*'PEV Sales by Manufacturer'!$S60</f>
        <v>0</v>
      </c>
      <c r="R58" s="11">
        <f>R$29*'PEV Sales by Manufacturer'!$S60</f>
        <v>0</v>
      </c>
      <c r="S58" s="11">
        <f>S$29*'PEV Sales by Manufacturer'!$S60</f>
        <v>0</v>
      </c>
      <c r="T58" s="11">
        <f>T$29*'PEV Sales by Manufacturer'!$S60</f>
        <v>0</v>
      </c>
      <c r="U58" s="11">
        <f>U$29*'PEV Sales by Manufacturer'!$S60</f>
        <v>0</v>
      </c>
      <c r="V58" s="11">
        <f>V$29*'PEV Sales by Manufacturer'!$S60</f>
        <v>0</v>
      </c>
      <c r="W58" s="11">
        <f>W$29*'PEV Sales by Manufacturer'!$S60</f>
        <v>0</v>
      </c>
      <c r="X58" s="11">
        <f>X$29*'PEV Sales by Manufacturer'!$S60</f>
        <v>0</v>
      </c>
      <c r="Y58" s="11">
        <f>Y$29*'PEV Sales by Manufacturer'!$S60</f>
        <v>0</v>
      </c>
      <c r="Z58" s="11">
        <f>Z$29*'PEV Sales by Manufacturer'!$S60</f>
        <v>0</v>
      </c>
      <c r="AA58" s="11">
        <f>AA$29*'PEV Sales by Manufacturer'!$S60</f>
        <v>0</v>
      </c>
      <c r="AB58" s="11">
        <f>AB$29*'PEV Sales by Manufacturer'!$S60</f>
        <v>0</v>
      </c>
      <c r="AC58" s="11">
        <f>AC$29*'PEV Sales by Manufacturer'!$S60</f>
        <v>0</v>
      </c>
      <c r="AD58" s="11">
        <f>AD$29*'PEV Sales by Manufacturer'!$S60</f>
        <v>0</v>
      </c>
      <c r="AE58" s="11">
        <f>AE$29*'PEV Sales by Manufacturer'!$S60</f>
        <v>0</v>
      </c>
      <c r="AF58" s="11">
        <f>AF$29*'PEV Sales by Manufacturer'!$S60</f>
        <v>0</v>
      </c>
      <c r="AG58" s="11"/>
      <c r="AH58" s="11"/>
    </row>
    <row r="59" spans="1:34" x14ac:dyDescent="0.2">
      <c r="A59" t="s">
        <v>69</v>
      </c>
      <c r="B59" s="11">
        <f>'PEV Sales by Manufacturer'!M61</f>
        <v>17898</v>
      </c>
      <c r="C59" s="11">
        <f>'PEV Sales by Manufacturer'!N61</f>
        <v>52767</v>
      </c>
      <c r="D59" s="11">
        <f>D$29*'PEV Sales by Manufacturer'!$S61</f>
        <v>131555.87872817094</v>
      </c>
      <c r="E59" s="11">
        <f>E$29*'PEV Sales by Manufacturer'!$S61</f>
        <v>193041.1947552849</v>
      </c>
      <c r="F59" s="11">
        <f>F$29*'PEV Sales by Manufacturer'!$S61</f>
        <v>268918.91615349264</v>
      </c>
      <c r="G59" s="11">
        <f>G$29*'PEV Sales by Manufacturer'!$S61</f>
        <v>331933.7719439338</v>
      </c>
      <c r="H59" s="11">
        <f>H$29*'PEV Sales by Manufacturer'!$S61</f>
        <v>370123.7669462316</v>
      </c>
      <c r="I59" s="11">
        <f>I$29*'PEV Sales by Manufacturer'!$S61</f>
        <v>392093.8505859375</v>
      </c>
      <c r="J59" s="11">
        <f>J$29*'PEV Sales by Manufacturer'!$S61</f>
        <v>397192.31646369485</v>
      </c>
      <c r="K59" s="11">
        <f>K$29*'PEV Sales by Manufacturer'!$S61</f>
        <v>400159.8539751838</v>
      </c>
      <c r="L59" s="11">
        <f>L$29*'PEV Sales by Manufacturer'!$S61</f>
        <v>397371.1568244485</v>
      </c>
      <c r="M59" s="11">
        <f>M$29*'PEV Sales by Manufacturer'!$S61</f>
        <v>396031.3697150735</v>
      </c>
      <c r="N59" s="11">
        <f>N$29*'PEV Sales by Manufacturer'!$S61</f>
        <v>390899.56071920955</v>
      </c>
      <c r="O59" s="11">
        <f>O$29*'PEV Sales by Manufacturer'!$S61</f>
        <v>385228.1994485294</v>
      </c>
      <c r="P59" s="11">
        <f>P$29*'PEV Sales by Manufacturer'!$S61</f>
        <v>379693.24184283084</v>
      </c>
      <c r="Q59" s="11">
        <f>Q$29*'PEV Sales by Manufacturer'!$S61</f>
        <v>374425.0291819853</v>
      </c>
      <c r="R59" s="11">
        <f>R$29*'PEV Sales by Manufacturer'!$S61</f>
        <v>369738.80549172789</v>
      </c>
      <c r="S59" s="11">
        <f>S$29*'PEV Sales by Manufacturer'!$S61</f>
        <v>365076.83134191175</v>
      </c>
      <c r="T59" s="11">
        <f>T$29*'PEV Sales by Manufacturer'!$S61</f>
        <v>361299.9654181985</v>
      </c>
      <c r="U59" s="11">
        <f>U$29*'PEV Sales by Manufacturer'!$S61</f>
        <v>357029.0151079963</v>
      </c>
      <c r="V59" s="11">
        <f>V$29*'PEV Sales by Manufacturer'!$S61</f>
        <v>353506.76935891539</v>
      </c>
      <c r="W59" s="11">
        <f>W$29*'PEV Sales by Manufacturer'!$S61</f>
        <v>350181.5511259191</v>
      </c>
      <c r="X59" s="11">
        <f>X$29*'PEV Sales by Manufacturer'!$S61</f>
        <v>346541.0888671875</v>
      </c>
      <c r="Y59" s="11">
        <f>Y$29*'PEV Sales by Manufacturer'!$S61</f>
        <v>343561.42658547789</v>
      </c>
      <c r="Z59" s="11">
        <f>Z$29*'PEV Sales by Manufacturer'!$S61</f>
        <v>340505.9844898897</v>
      </c>
      <c r="AA59" s="11">
        <f>AA$29*'PEV Sales by Manufacturer'!$S61</f>
        <v>337211.07818244485</v>
      </c>
      <c r="AB59" s="11">
        <f>AB$29*'PEV Sales by Manufacturer'!$S61</f>
        <v>334055.60673253675</v>
      </c>
      <c r="AC59" s="11">
        <f>AC$29*'PEV Sales by Manufacturer'!$S61</f>
        <v>330742.513269761</v>
      </c>
      <c r="AD59" s="11">
        <f>AD$29*'PEV Sales by Manufacturer'!$S61</f>
        <v>327168.73724724265</v>
      </c>
      <c r="AE59" s="11">
        <f>AE$29*'PEV Sales by Manufacturer'!$S61</f>
        <v>323704.08415670955</v>
      </c>
      <c r="AF59" s="11">
        <f>AF$29*'PEV Sales by Manufacturer'!$S61</f>
        <v>320215.1815257353</v>
      </c>
      <c r="AG59" s="11"/>
      <c r="AH59" s="11"/>
    </row>
    <row r="60" spans="1:34" x14ac:dyDescent="0.2">
      <c r="A60" t="s">
        <v>70</v>
      </c>
      <c r="B60" s="11">
        <f>'PEV Sales by Manufacturer'!M62</f>
        <v>5565</v>
      </c>
      <c r="C60" s="11">
        <f>'PEV Sales by Manufacturer'!N62</f>
        <v>6013</v>
      </c>
      <c r="D60" s="11">
        <f>D$29*'PEV Sales by Manufacturer'!$S62</f>
        <v>14991.291883042279</v>
      </c>
      <c r="E60" s="11">
        <f>E$29*'PEV Sales by Manufacturer'!$S62</f>
        <v>21997.777096737129</v>
      </c>
      <c r="F60" s="11">
        <f>F$29*'PEV Sales by Manufacturer'!$S62</f>
        <v>30644.331548713231</v>
      </c>
      <c r="G60" s="11">
        <f>G$29*'PEV Sales by Manufacturer'!$S62</f>
        <v>37825.113625919112</v>
      </c>
      <c r="H60" s="11">
        <f>H$29*'PEV Sales by Manufacturer'!$S62</f>
        <v>42177.008559283087</v>
      </c>
      <c r="I60" s="11">
        <f>I$29*'PEV Sales by Manufacturer'!$S62</f>
        <v>44680.583007812493</v>
      </c>
      <c r="J60" s="11">
        <f>J$29*'PEV Sales by Manufacturer'!$S62</f>
        <v>45261.572552849262</v>
      </c>
      <c r="K60" s="11">
        <f>K$29*'PEV Sales by Manufacturer'!$S62</f>
        <v>45599.734719669112</v>
      </c>
      <c r="L60" s="11">
        <f>L$29*'PEV Sales by Manufacturer'!$S62</f>
        <v>45281.952090992643</v>
      </c>
      <c r="M60" s="11">
        <f>M$29*'PEV Sales by Manufacturer'!$S62</f>
        <v>45129.278262867643</v>
      </c>
      <c r="N60" s="11">
        <f>N$29*'PEV Sales by Manufacturer'!$S62</f>
        <v>44544.489142922794</v>
      </c>
      <c r="O60" s="11">
        <f>O$29*'PEV Sales by Manufacturer'!$S62</f>
        <v>43898.215992647056</v>
      </c>
      <c r="P60" s="11">
        <f>P$29*'PEV Sales by Manufacturer'!$S62</f>
        <v>43267.486557904405</v>
      </c>
      <c r="Q60" s="11">
        <f>Q$29*'PEV Sales by Manufacturer'!$S62</f>
        <v>42667.153722426468</v>
      </c>
      <c r="R60" s="11">
        <f>R$29*'PEV Sales by Manufacturer'!$S62</f>
        <v>42133.140739889699</v>
      </c>
      <c r="S60" s="11">
        <f>S$29*'PEV Sales by Manufacturer'!$S62</f>
        <v>41601.891084558818</v>
      </c>
      <c r="T60" s="11">
        <f>T$29*'PEV Sales by Manufacturer'!$S62</f>
        <v>41171.502872242643</v>
      </c>
      <c r="U60" s="11">
        <f>U$29*'PEV Sales by Manufacturer'!$S62</f>
        <v>40684.811868106612</v>
      </c>
      <c r="V60" s="11">
        <f>V$29*'PEV Sales by Manufacturer'!$S62</f>
        <v>40283.438591452199</v>
      </c>
      <c r="W60" s="11">
        <f>W$29*'PEV Sales by Manufacturer'!$S62</f>
        <v>39904.517348345587</v>
      </c>
      <c r="X60" s="11">
        <f>X$29*'PEV Sales by Manufacturer'!$S62</f>
        <v>39489.6728515625</v>
      </c>
      <c r="Y60" s="11">
        <f>Y$29*'PEV Sales by Manufacturer'!$S62</f>
        <v>39150.129021139699</v>
      </c>
      <c r="Z60" s="11">
        <f>Z$29*'PEV Sales by Manufacturer'!$S62</f>
        <v>38801.949793198524</v>
      </c>
      <c r="AA60" s="11">
        <f>AA$29*'PEV Sales by Manufacturer'!$S62</f>
        <v>38426.482709099262</v>
      </c>
      <c r="AB60" s="11">
        <f>AB$29*'PEV Sales by Manufacturer'!$S62</f>
        <v>38066.904756433818</v>
      </c>
      <c r="AC60" s="11">
        <f>AC$29*'PEV Sales by Manufacturer'!$S62</f>
        <v>37689.365176930143</v>
      </c>
      <c r="AD60" s="11">
        <f>AD$29*'PEV Sales by Manufacturer'!$S62</f>
        <v>37282.119829963231</v>
      </c>
      <c r="AE60" s="11">
        <f>AE$29*'PEV Sales by Manufacturer'!$S62</f>
        <v>36887.309455422794</v>
      </c>
      <c r="AF60" s="11">
        <f>AF$29*'PEV Sales by Manufacturer'!$S62</f>
        <v>36489.735753676468</v>
      </c>
      <c r="AG60" s="11"/>
      <c r="AH60" s="11"/>
    </row>
    <row r="61" spans="1:34" x14ac:dyDescent="0.2">
      <c r="A61" t="s">
        <v>71</v>
      </c>
      <c r="B61" s="11">
        <f>'PEV Sales by Manufacturer'!M63</f>
        <v>7999</v>
      </c>
      <c r="C61" s="11">
        <f>'PEV Sales by Manufacturer'!N63</f>
        <v>19579</v>
      </c>
      <c r="D61" s="11">
        <f>D$29*'PEV Sales by Manufacturer'!$S63</f>
        <v>48813.32176585478</v>
      </c>
      <c r="E61" s="11">
        <f>E$29*'PEV Sales by Manufacturer'!$S63</f>
        <v>71627.220651424635</v>
      </c>
      <c r="F61" s="11">
        <f>F$29*'PEV Sales by Manufacturer'!$S63</f>
        <v>99781.368267463229</v>
      </c>
      <c r="G61" s="11">
        <f>G$29*'PEV Sales by Manufacturer'!$S63</f>
        <v>123162.79721966911</v>
      </c>
      <c r="H61" s="11">
        <f>H$29*'PEV Sales by Manufacturer'!$S63</f>
        <v>137333.0534811581</v>
      </c>
      <c r="I61" s="11">
        <f>I$29*'PEV Sales by Manufacturer'!$S63</f>
        <v>145484.9716796875</v>
      </c>
      <c r="J61" s="11">
        <f>J$29*'PEV Sales by Manufacturer'!$S63</f>
        <v>147376.73856847428</v>
      </c>
      <c r="K61" s="11">
        <f>K$29*'PEV Sales by Manufacturer'!$S63</f>
        <v>148477.83237591913</v>
      </c>
      <c r="L61" s="11">
        <f>L$29*'PEV Sales by Manufacturer'!$S63</f>
        <v>147443.09662224265</v>
      </c>
      <c r="M61" s="11">
        <f>M$29*'PEV Sales by Manufacturer'!$S63</f>
        <v>146945.97357536765</v>
      </c>
      <c r="N61" s="11">
        <f>N$29*'PEV Sales by Manufacturer'!$S63</f>
        <v>145041.8348460478</v>
      </c>
      <c r="O61" s="11">
        <f>O$29*'PEV Sales by Manufacturer'!$S63</f>
        <v>142937.49724264705</v>
      </c>
      <c r="P61" s="11">
        <f>P$29*'PEV Sales by Manufacturer'!$S63</f>
        <v>140883.77171415443</v>
      </c>
      <c r="Q61" s="11">
        <f>Q$29*'PEV Sales by Manufacturer'!$S63</f>
        <v>138929.02090992648</v>
      </c>
      <c r="R61" s="11">
        <f>R$29*'PEV Sales by Manufacturer'!$S63</f>
        <v>137190.2149586397</v>
      </c>
      <c r="S61" s="11">
        <f>S$29*'PEV Sales by Manufacturer'!$S63</f>
        <v>135460.40670955883</v>
      </c>
      <c r="T61" s="11">
        <f>T$29*'PEV Sales by Manufacturer'!$S63</f>
        <v>134059.01459099265</v>
      </c>
      <c r="U61" s="11">
        <f>U$29*'PEV Sales by Manufacturer'!$S63</f>
        <v>132474.29428998163</v>
      </c>
      <c r="V61" s="11">
        <f>V$29*'PEV Sales by Manufacturer'!$S63</f>
        <v>131167.3780445772</v>
      </c>
      <c r="W61" s="11">
        <f>W$29*'PEV Sales by Manufacturer'!$S63</f>
        <v>129933.56812959559</v>
      </c>
      <c r="X61" s="11">
        <f>X$29*'PEV Sales by Manufacturer'!$S63</f>
        <v>128582.7880859375</v>
      </c>
      <c r="Y61" s="11">
        <f>Y$29*'PEV Sales by Manufacturer'!$S63</f>
        <v>127477.19542738971</v>
      </c>
      <c r="Z61" s="11">
        <f>Z$29*'PEV Sales by Manufacturer'!$S63</f>
        <v>126343.48494944852</v>
      </c>
      <c r="AA61" s="11">
        <f>AA$29*'PEV Sales by Manufacturer'!$S63</f>
        <v>125120.92216222426</v>
      </c>
      <c r="AB61" s="11">
        <f>AB$29*'PEV Sales by Manufacturer'!$S63</f>
        <v>123950.09616268383</v>
      </c>
      <c r="AC61" s="11">
        <f>AC$29*'PEV Sales by Manufacturer'!$S63</f>
        <v>122720.78509880515</v>
      </c>
      <c r="AD61" s="11">
        <f>AD$29*'PEV Sales by Manufacturer'!$S63</f>
        <v>121394.74873621324</v>
      </c>
      <c r="AE61" s="11">
        <f>AE$29*'PEV Sales by Manufacturer'!$S63</f>
        <v>120109.2020335478</v>
      </c>
      <c r="AF61" s="11">
        <f>AF$29*'PEV Sales by Manufacturer'!$S63</f>
        <v>118814.65762867648</v>
      </c>
      <c r="AG61" s="11"/>
      <c r="AH61" s="11"/>
    </row>
    <row r="62" spans="1:34" x14ac:dyDescent="0.2">
      <c r="A62" t="s">
        <v>72</v>
      </c>
      <c r="B62" s="11">
        <f>'PEV Sales by Manufacturer'!M64</f>
        <v>5596</v>
      </c>
      <c r="C62" s="11">
        <f>'PEV Sales by Manufacturer'!N64</f>
        <v>48723</v>
      </c>
      <c r="D62" s="11">
        <f>D$29*'PEV Sales by Manufacturer'!$S64</f>
        <v>121473.59295151655</v>
      </c>
      <c r="E62" s="11">
        <f>E$29*'PEV Sales by Manufacturer'!$S64</f>
        <v>178246.7476275276</v>
      </c>
      <c r="F62" s="11">
        <f>F$29*'PEV Sales by Manufacturer'!$S64</f>
        <v>248309.29087775736</v>
      </c>
      <c r="G62" s="11">
        <f>G$29*'PEV Sales by Manufacturer'!$S64</f>
        <v>306494.7632123162</v>
      </c>
      <c r="H62" s="11">
        <f>H$29*'PEV Sales by Manufacturer'!$S64</f>
        <v>341757.9225068934</v>
      </c>
      <c r="I62" s="11">
        <f>I$29*'PEV Sales by Manufacturer'!$S64</f>
        <v>362044.2451171875</v>
      </c>
      <c r="J62" s="11">
        <f>J$29*'PEV Sales by Manufacturer'!$S64</f>
        <v>366751.97064568015</v>
      </c>
      <c r="K62" s="11">
        <f>K$29*'PEV Sales by Manufacturer'!$S64</f>
        <v>369492.0796185662</v>
      </c>
      <c r="L62" s="11">
        <f>L$29*'PEV Sales by Manufacturer'!$S64</f>
        <v>366917.1048943015</v>
      </c>
      <c r="M62" s="11">
        <f>M$29*'PEV Sales by Manufacturer'!$S64</f>
        <v>365679.9974724265</v>
      </c>
      <c r="N62" s="11">
        <f>N$29*'PEV Sales by Manufacturer'!$S64</f>
        <v>360941.48420266545</v>
      </c>
      <c r="O62" s="11">
        <f>O$29*'PEV Sales by Manufacturer'!$S64</f>
        <v>355704.7693014706</v>
      </c>
      <c r="P62" s="11">
        <f>P$29*'PEV Sales by Manufacturer'!$S64</f>
        <v>350594.00425091916</v>
      </c>
      <c r="Q62" s="11">
        <f>Q$29*'PEV Sales by Manufacturer'!$S64</f>
        <v>345729.5411305147</v>
      </c>
      <c r="R62" s="11">
        <f>R$29*'PEV Sales by Manufacturer'!$S64</f>
        <v>341402.46403952211</v>
      </c>
      <c r="S62" s="11">
        <f>S$29*'PEV Sales by Manufacturer'!$S64</f>
        <v>337097.77803308825</v>
      </c>
      <c r="T62" s="11">
        <f>T$29*'PEV Sales by Manufacturer'!$S64</f>
        <v>333610.3666130515</v>
      </c>
      <c r="U62" s="11">
        <f>U$29*'PEV Sales by Manufacturer'!$S64</f>
        <v>329666.7368451287</v>
      </c>
      <c r="V62" s="11">
        <f>V$29*'PEV Sales by Manufacturer'!$S64</f>
        <v>326414.43181295961</v>
      </c>
      <c r="W62" s="11">
        <f>W$29*'PEV Sales by Manufacturer'!$S64</f>
        <v>323344.0543428309</v>
      </c>
      <c r="X62" s="11">
        <f>X$29*'PEV Sales by Manufacturer'!$S64</f>
        <v>319982.5927734375</v>
      </c>
      <c r="Y62" s="11">
        <f>Y$29*'PEV Sales by Manufacturer'!$S64</f>
        <v>317231.28825827211</v>
      </c>
      <c r="Z62" s="11">
        <f>Z$29*'PEV Sales by Manufacturer'!$S64</f>
        <v>314410.0116038603</v>
      </c>
      <c r="AA62" s="11">
        <f>AA$29*'PEV Sales by Manufacturer'!$S64</f>
        <v>311367.62298943015</v>
      </c>
      <c r="AB62" s="11">
        <f>AB$29*'PEV Sales by Manufacturer'!$S64</f>
        <v>308453.98311121325</v>
      </c>
      <c r="AC62" s="11">
        <f>AC$29*'PEV Sales by Manufacturer'!$S64</f>
        <v>305394.801183364</v>
      </c>
      <c r="AD62" s="11">
        <f>AD$29*'PEV Sales by Manufacturer'!$S64</f>
        <v>302094.91509650735</v>
      </c>
      <c r="AE62" s="11">
        <f>AE$29*'PEV Sales by Manufacturer'!$S64</f>
        <v>298895.78889016545</v>
      </c>
      <c r="AF62" s="11">
        <f>AF$29*'PEV Sales by Manufacturer'!$S64</f>
        <v>295674.2715992647</v>
      </c>
      <c r="AG62" s="11"/>
      <c r="AH62" s="11"/>
    </row>
    <row r="63" spans="1:34" x14ac:dyDescent="0.2">
      <c r="A63" t="s">
        <v>73</v>
      </c>
      <c r="B63" s="11">
        <f>'PEV Sales by Manufacturer'!M65</f>
        <v>3939</v>
      </c>
      <c r="C63" s="11">
        <f>'PEV Sales by Manufacturer'!N65</f>
        <v>2314</v>
      </c>
      <c r="D63" s="11">
        <f>D$29*'PEV Sales by Manufacturer'!$S65</f>
        <v>5769.1417624080877</v>
      </c>
      <c r="E63" s="11">
        <f>E$29*'PEV Sales by Manufacturer'!$S65</f>
        <v>8465.4675206801476</v>
      </c>
      <c r="F63" s="11">
        <f>F$29*'PEV Sales by Manufacturer'!$S65</f>
        <v>11792.945818014705</v>
      </c>
      <c r="G63" s="11">
        <f>G$29*'PEV Sales by Manufacturer'!$S65</f>
        <v>14556.346737132353</v>
      </c>
      <c r="H63" s="11">
        <f>H$29*'PEV Sales by Manufacturer'!$S65</f>
        <v>16231.098920036764</v>
      </c>
      <c r="I63" s="11">
        <f>I$29*'PEV Sales by Manufacturer'!$S65</f>
        <v>17194.556640625</v>
      </c>
      <c r="J63" s="11">
        <f>J$29*'PEV Sales by Manufacturer'!$S65</f>
        <v>17418.140510110294</v>
      </c>
      <c r="K63" s="11">
        <f>K$29*'PEV Sales by Manufacturer'!$S65</f>
        <v>17548.276424632353</v>
      </c>
      <c r="L63" s="11">
        <f>L$29*'PEV Sales by Manufacturer'!$S65</f>
        <v>17425.983226102941</v>
      </c>
      <c r="M63" s="11">
        <f>M$29*'PEV Sales by Manufacturer'!$S65</f>
        <v>17367.229319852941</v>
      </c>
      <c r="N63" s="11">
        <f>N$29*'PEV Sales by Manufacturer'!$S65</f>
        <v>17142.183249080881</v>
      </c>
      <c r="O63" s="11">
        <f>O$29*'PEV Sales by Manufacturer'!$S65</f>
        <v>16893.476102941175</v>
      </c>
      <c r="P63" s="11">
        <f>P$29*'PEV Sales by Manufacturer'!$S65</f>
        <v>16650.750689338234</v>
      </c>
      <c r="Q63" s="11">
        <f>Q$29*'PEV Sales by Manufacturer'!$S65</f>
        <v>16419.722886029413</v>
      </c>
      <c r="R63" s="11">
        <f>R$29*'PEV Sales by Manufacturer'!$S65</f>
        <v>16214.217141544117</v>
      </c>
      <c r="S63" s="11">
        <f>S$29*'PEV Sales by Manufacturer'!$S65</f>
        <v>16009.77481617647</v>
      </c>
      <c r="T63" s="11">
        <f>T$29*'PEV Sales by Manufacturer'!$S65</f>
        <v>15844.147288602941</v>
      </c>
      <c r="U63" s="11">
        <f>U$29*'PEV Sales by Manufacturer'!$S65</f>
        <v>15656.852596507353</v>
      </c>
      <c r="V63" s="11">
        <f>V$29*'PEV Sales by Manufacturer'!$S65</f>
        <v>15502.390969669117</v>
      </c>
      <c r="W63" s="11">
        <f>W$29*'PEV Sales by Manufacturer'!$S65</f>
        <v>15356.569623161764</v>
      </c>
      <c r="X63" s="11">
        <f>X$29*'PEV Sales by Manufacturer'!$S65</f>
        <v>15196.923828125</v>
      </c>
      <c r="Y63" s="11">
        <f>Y$29*'PEV Sales by Manufacturer'!$S65</f>
        <v>15066.256204044117</v>
      </c>
      <c r="Z63" s="11">
        <f>Z$29*'PEV Sales by Manufacturer'!$S65</f>
        <v>14932.265395220587</v>
      </c>
      <c r="AA63" s="11">
        <f>AA$29*'PEV Sales by Manufacturer'!$S65</f>
        <v>14787.773322610294</v>
      </c>
      <c r="AB63" s="11">
        <f>AB$29*'PEV Sales by Manufacturer'!$S65</f>
        <v>14649.39590992647</v>
      </c>
      <c r="AC63" s="11">
        <f>AC$29*'PEV Sales by Manufacturer'!$S65</f>
        <v>14504.106272977941</v>
      </c>
      <c r="AD63" s="11">
        <f>AD$29*'PEV Sales by Manufacturer'!$S65</f>
        <v>14347.384880514706</v>
      </c>
      <c r="AE63" s="11">
        <f>AE$29*'PEV Sales by Manufacturer'!$S65</f>
        <v>14195.448874080881</v>
      </c>
      <c r="AF63" s="11">
        <f>AF$29*'PEV Sales by Manufacturer'!$S65</f>
        <v>14042.449448529411</v>
      </c>
      <c r="AG63" s="11"/>
      <c r="AH63" s="11"/>
    </row>
    <row r="64" spans="1:34" x14ac:dyDescent="0.2">
      <c r="A64" t="s">
        <v>74</v>
      </c>
      <c r="B64" s="11">
        <f>'PEV Sales by Manufacturer'!M66</f>
        <v>4468</v>
      </c>
      <c r="C64" s="11">
        <f>'PEV Sales by Manufacturer'!N66</f>
        <v>8943</v>
      </c>
      <c r="D64" s="11">
        <f>D$29*'PEV Sales by Manufacturer'!$S66</f>
        <v>22296.212092141544</v>
      </c>
      <c r="E64" s="11">
        <f>E$29*'PEV Sales by Manufacturer'!$S66</f>
        <v>32716.800361902577</v>
      </c>
      <c r="F64" s="11">
        <f>F$29*'PEV Sales by Manufacturer'!$S66</f>
        <v>45576.626815257354</v>
      </c>
      <c r="G64" s="11">
        <f>G$29*'PEV Sales by Manufacturer'!$S66</f>
        <v>56256.442899816182</v>
      </c>
      <c r="H64" s="11">
        <f>H$29*'PEV Sales by Manufacturer'!$S66</f>
        <v>62728.918600643388</v>
      </c>
      <c r="I64" s="11">
        <f>I$29*'PEV Sales by Manufacturer'!$S66</f>
        <v>66452.4287109375</v>
      </c>
      <c r="J64" s="11">
        <f>J$29*'PEV Sales by Manufacturer'!$S66</f>
        <v>67316.52142693015</v>
      </c>
      <c r="K64" s="11">
        <f>K$29*'PEV Sales by Manufacturer'!$S66</f>
        <v>67819.462431066175</v>
      </c>
      <c r="L64" s="11">
        <f>L$29*'PEV Sales by Manufacturer'!$S66</f>
        <v>67346.831456801476</v>
      </c>
      <c r="M64" s="11">
        <f>M$29*'PEV Sales by Manufacturer'!$S66</f>
        <v>67119.763097426476</v>
      </c>
      <c r="N64" s="11">
        <f>N$29*'PEV Sales by Manufacturer'!$S66</f>
        <v>66250.019358915451</v>
      </c>
      <c r="O64" s="11">
        <f>O$29*'PEV Sales by Manufacturer'!$S66</f>
        <v>65288.831801470595</v>
      </c>
      <c r="P64" s="11">
        <f>P$29*'PEV Sales by Manufacturer'!$S66</f>
        <v>64350.762063419119</v>
      </c>
      <c r="Q64" s="11">
        <f>Q$29*'PEV Sales by Manufacturer'!$S66</f>
        <v>63457.900505514706</v>
      </c>
      <c r="R64" s="11">
        <f>R$29*'PEV Sales by Manufacturer'!$S66</f>
        <v>62663.674977022063</v>
      </c>
      <c r="S64" s="11">
        <f>S$29*'PEV Sales by Manufacturer'!$S66</f>
        <v>61873.559283088238</v>
      </c>
      <c r="T64" s="11">
        <f>T$29*'PEV Sales by Manufacturer'!$S66</f>
        <v>61233.452550551476</v>
      </c>
      <c r="U64" s="11">
        <f>U$29*'PEV Sales by Manufacturer'!$S66</f>
        <v>60509.607938878682</v>
      </c>
      <c r="V64" s="11">
        <f>V$29*'PEV Sales by Manufacturer'!$S66</f>
        <v>59912.654469209563</v>
      </c>
      <c r="W64" s="11">
        <f>W$29*'PEV Sales by Manufacturer'!$S66</f>
        <v>59349.093405330888</v>
      </c>
      <c r="X64" s="11">
        <f>X$29*'PEV Sales by Manufacturer'!$S66</f>
        <v>58732.1044921875</v>
      </c>
      <c r="Y64" s="11">
        <f>Y$29*'PEV Sales by Manufacturer'!$S66</f>
        <v>58227.108570772063</v>
      </c>
      <c r="Z64" s="11">
        <f>Z$29*'PEV Sales by Manufacturer'!$S66</f>
        <v>57709.269416360301</v>
      </c>
      <c r="AA64" s="11">
        <f>AA$29*'PEV Sales by Manufacturer'!$S66</f>
        <v>57150.84564568015</v>
      </c>
      <c r="AB64" s="11">
        <f>AB$29*'PEV Sales by Manufacturer'!$S66</f>
        <v>56616.053423713238</v>
      </c>
      <c r="AC64" s="11">
        <f>AC$29*'PEV Sales by Manufacturer'!$S66</f>
        <v>56054.547277113976</v>
      </c>
      <c r="AD64" s="11">
        <f>AD$29*'PEV Sales by Manufacturer'!$S66</f>
        <v>55448.860409007357</v>
      </c>
      <c r="AE64" s="11">
        <f>AE$29*'PEV Sales by Manufacturer'!$S66</f>
        <v>54861.667796415444</v>
      </c>
      <c r="AF64" s="11">
        <f>AF$29*'PEV Sales by Manufacturer'!$S66</f>
        <v>54270.365349264706</v>
      </c>
      <c r="AG64" s="11"/>
      <c r="AH64" s="11"/>
    </row>
    <row r="65" spans="1:34" x14ac:dyDescent="0.2">
      <c r="A65" t="s">
        <v>75</v>
      </c>
      <c r="B65" s="11">
        <f>'PEV Sales by Manufacturer'!M67</f>
        <v>4237</v>
      </c>
      <c r="C65" s="11">
        <f>'PEV Sales by Manufacturer'!N67</f>
        <v>6158</v>
      </c>
      <c r="D65" s="11">
        <f>D$29*'PEV Sales by Manufacturer'!$S67</f>
        <v>15352.798173253677</v>
      </c>
      <c r="E65" s="11">
        <f>E$29*'PEV Sales by Manufacturer'!$S67</f>
        <v>22528.240705422795</v>
      </c>
      <c r="F65" s="11">
        <f>F$29*'PEV Sales by Manufacturer'!$S67</f>
        <v>31383.301792279413</v>
      </c>
      <c r="G65" s="11">
        <f>G$29*'PEV Sales by Manufacturer'!$S67</f>
        <v>38737.244255514706</v>
      </c>
      <c r="H65" s="11">
        <f>H$29*'PEV Sales by Manufacturer'!$S67</f>
        <v>43194.082605698532</v>
      </c>
      <c r="I65" s="11">
        <f>I$29*'PEV Sales by Manufacturer'!$S67</f>
        <v>45758.029296875</v>
      </c>
      <c r="J65" s="11">
        <f>J$29*'PEV Sales by Manufacturer'!$S67</f>
        <v>46353.029067095595</v>
      </c>
      <c r="K65" s="11">
        <f>K$29*'PEV Sales by Manufacturer'!$S67</f>
        <v>46699.345818014706</v>
      </c>
      <c r="L65" s="11">
        <f>L$29*'PEV Sales by Manufacturer'!$S67</f>
        <v>46373.900045955888</v>
      </c>
      <c r="M65" s="11">
        <f>M$29*'PEV Sales by Manufacturer'!$S67</f>
        <v>46217.544577205888</v>
      </c>
      <c r="N65" s="11">
        <f>N$29*'PEV Sales by Manufacturer'!$S67</f>
        <v>45618.653607536769</v>
      </c>
      <c r="O65" s="11">
        <f>O$29*'PEV Sales by Manufacturer'!$S67</f>
        <v>44956.795955882357</v>
      </c>
      <c r="P65" s="11">
        <f>P$29*'PEV Sales by Manufacturer'!$S67</f>
        <v>44310.856847426476</v>
      </c>
      <c r="Q65" s="11">
        <f>Q$29*'PEV Sales by Manufacturer'!$S67</f>
        <v>43696.047334558825</v>
      </c>
      <c r="R65" s="11">
        <f>R$29*'PEV Sales by Manufacturer'!$S67</f>
        <v>43149.156939338238</v>
      </c>
      <c r="S65" s="11">
        <f>S$29*'PEV Sales by Manufacturer'!$S67</f>
        <v>42605.096507352944</v>
      </c>
      <c r="T65" s="11">
        <f>T$29*'PEV Sales by Manufacturer'!$S67</f>
        <v>42164.329733455888</v>
      </c>
      <c r="U65" s="11">
        <f>U$29*'PEV Sales by Manufacturer'!$S67</f>
        <v>41665.902458639706</v>
      </c>
      <c r="V65" s="11">
        <f>V$29*'PEV Sales by Manufacturer'!$S67</f>
        <v>41254.850298713238</v>
      </c>
      <c r="W65" s="11">
        <f>W$29*'PEV Sales by Manufacturer'!$S67</f>
        <v>40866.791590073532</v>
      </c>
      <c r="X65" s="11">
        <f>X$29*'PEV Sales by Manufacturer'!$S67</f>
        <v>40441.943359375</v>
      </c>
      <c r="Y65" s="11">
        <f>Y$29*'PEV Sales by Manufacturer'!$S67</f>
        <v>40094.211626838238</v>
      </c>
      <c r="Z65" s="11">
        <f>Z$29*'PEV Sales by Manufacturer'!$S67</f>
        <v>39737.636259191182</v>
      </c>
      <c r="AA65" s="11">
        <f>AA$29*'PEV Sales by Manufacturer'!$S67</f>
        <v>39353.115004595595</v>
      </c>
      <c r="AB65" s="11">
        <f>AB$29*'PEV Sales by Manufacturer'!$S67</f>
        <v>38984.866038602944</v>
      </c>
      <c r="AC65" s="11">
        <f>AC$29*'PEV Sales by Manufacturer'!$S67</f>
        <v>38598.222311580888</v>
      </c>
      <c r="AD65" s="11">
        <f>AD$29*'PEV Sales by Manufacturer'!$S67</f>
        <v>38181.156479779413</v>
      </c>
      <c r="AE65" s="11">
        <f>AE$29*'PEV Sales by Manufacturer'!$S67</f>
        <v>37776.825482536769</v>
      </c>
      <c r="AF65" s="11">
        <f>AF$29*'PEV Sales by Manufacturer'!$S67</f>
        <v>37369.664522058825</v>
      </c>
      <c r="AG65" s="11"/>
      <c r="AH65" s="11"/>
    </row>
    <row r="66" spans="1:34" x14ac:dyDescent="0.2">
      <c r="A66" t="s">
        <v>76</v>
      </c>
      <c r="B66" s="11">
        <f>'PEV Sales by Manufacturer'!M68</f>
        <v>2454</v>
      </c>
      <c r="C66" s="11">
        <f>'PEV Sales by Manufacturer'!N68</f>
        <v>5900</v>
      </c>
      <c r="D66" s="11">
        <f>D$29*'PEV Sales by Manufacturer'!$S68</f>
        <v>14709.566291360294</v>
      </c>
      <c r="E66" s="11">
        <f>E$29*'PEV Sales by Manufacturer'!$S68</f>
        <v>21584.381318933822</v>
      </c>
      <c r="F66" s="11">
        <f>F$29*'PEV Sales by Manufacturer'!$S68</f>
        <v>30068.44439338235</v>
      </c>
      <c r="G66" s="11">
        <f>G$29*'PEV Sales by Manufacturer'!$S68</f>
        <v>37114.280790441175</v>
      </c>
      <c r="H66" s="11">
        <f>H$29*'PEV Sales by Manufacturer'!$S68</f>
        <v>41384.392233455881</v>
      </c>
      <c r="I66" s="11">
        <f>I$29*'PEV Sales by Manufacturer'!$S68</f>
        <v>43840.91796875</v>
      </c>
      <c r="J66" s="11">
        <f>J$29*'PEV Sales by Manufacturer'!$S68</f>
        <v>44410.989200367643</v>
      </c>
      <c r="K66" s="11">
        <f>K$29*'PEV Sales by Manufacturer'!$S68</f>
        <v>44742.796415441175</v>
      </c>
      <c r="L66" s="11">
        <f>L$29*'PEV Sales by Manufacturer'!$S68</f>
        <v>44430.985753676468</v>
      </c>
      <c r="M66" s="11">
        <f>M$29*'PEV Sales by Manufacturer'!$S68</f>
        <v>44281.181066176468</v>
      </c>
      <c r="N66" s="11">
        <f>N$29*'PEV Sales by Manufacturer'!$S68</f>
        <v>43707.381663602937</v>
      </c>
      <c r="O66" s="11">
        <f>O$29*'PEV Sales by Manufacturer'!$S68</f>
        <v>43073.253676470587</v>
      </c>
      <c r="P66" s="11">
        <f>P$29*'PEV Sales by Manufacturer'!$S68</f>
        <v>42454.377297794112</v>
      </c>
      <c r="Q66" s="11">
        <f>Q$29*'PEV Sales by Manufacturer'!$S68</f>
        <v>41865.326286764706</v>
      </c>
      <c r="R66" s="11">
        <f>R$29*'PEV Sales by Manufacturer'!$S68</f>
        <v>41341.348805147056</v>
      </c>
      <c r="S66" s="11">
        <f>S$29*'PEV Sales by Manufacturer'!$S68</f>
        <v>40820.082720588231</v>
      </c>
      <c r="T66" s="11">
        <f>T$29*'PEV Sales by Manufacturer'!$S68</f>
        <v>40397.782628676468</v>
      </c>
      <c r="U66" s="11">
        <f>U$29*'PEV Sales by Manufacturer'!$S68</f>
        <v>39920.237821691175</v>
      </c>
      <c r="V66" s="11">
        <f>V$29*'PEV Sales by Manufacturer'!$S68</f>
        <v>39526.407398897056</v>
      </c>
      <c r="W66" s="11">
        <f>W$29*'PEV Sales by Manufacturer'!$S68</f>
        <v>39154.607077205881</v>
      </c>
      <c r="X66" s="11">
        <f>X$29*'PEV Sales by Manufacturer'!$S68</f>
        <v>38747.55859375</v>
      </c>
      <c r="Y66" s="11">
        <f>Y$29*'PEV Sales by Manufacturer'!$S68</f>
        <v>38414.395680147056</v>
      </c>
      <c r="Z66" s="11">
        <f>Z$29*'PEV Sales by Manufacturer'!$S68</f>
        <v>38072.759650735294</v>
      </c>
      <c r="AA66" s="11">
        <f>AA$29*'PEV Sales by Manufacturer'!$S68</f>
        <v>37704.348575367643</v>
      </c>
      <c r="AB66" s="11">
        <f>AB$29*'PEV Sales by Manufacturer'!$S68</f>
        <v>37351.528033088231</v>
      </c>
      <c r="AC66" s="11">
        <f>AC$29*'PEV Sales by Manufacturer'!$S68</f>
        <v>36981.083409926468</v>
      </c>
      <c r="AD66" s="11">
        <f>AD$29*'PEV Sales by Manufacturer'!$S68</f>
        <v>36581.49126838235</v>
      </c>
      <c r="AE66" s="11">
        <f>AE$29*'PEV Sales by Manufacturer'!$S68</f>
        <v>36194.100413602937</v>
      </c>
      <c r="AF66" s="11">
        <f>AF$29*'PEV Sales by Manufacturer'!$S68</f>
        <v>35803.998161764706</v>
      </c>
      <c r="AG66" s="11"/>
      <c r="AH66" s="11"/>
    </row>
    <row r="67" spans="1:34" x14ac:dyDescent="0.2">
      <c r="A67" t="s">
        <v>77</v>
      </c>
      <c r="B67" s="11">
        <f>'PEV Sales by Manufacturer'!M69</f>
        <v>7106</v>
      </c>
      <c r="C67" s="11">
        <f>'PEV Sales by Manufacturer'!N69</f>
        <v>15606</v>
      </c>
      <c r="D67" s="11">
        <f>D$29*'PEV Sales by Manufacturer'!$S69</f>
        <v>38908.049414062501</v>
      </c>
      <c r="E67" s="11">
        <f>E$29*'PEV Sales by Manufacturer'!$S69</f>
        <v>57092.517773437496</v>
      </c>
      <c r="F67" s="11">
        <f>F$29*'PEV Sales by Manufacturer'!$S69</f>
        <v>79533.583593749994</v>
      </c>
      <c r="G67" s="11">
        <f>G$29*'PEV Sales by Manufacturer'!$S69</f>
        <v>98170.41796875</v>
      </c>
      <c r="H67" s="11">
        <f>H$29*'PEV Sales by Manufacturer'!$S69</f>
        <v>109465.224609375</v>
      </c>
      <c r="I67" s="11">
        <f>I$29*'PEV Sales by Manufacturer'!$S69</f>
        <v>115962.943359375</v>
      </c>
      <c r="J67" s="11">
        <f>J$29*'PEV Sales by Manufacturer'!$S69</f>
        <v>117470.830078125</v>
      </c>
      <c r="K67" s="11">
        <f>K$29*'PEV Sales by Manufacturer'!$S69</f>
        <v>118348.48828125</v>
      </c>
      <c r="L67" s="11">
        <f>L$29*'PEV Sales by Manufacturer'!$S69</f>
        <v>117523.72265625</v>
      </c>
      <c r="M67" s="11">
        <f>M$29*'PEV Sales by Manufacturer'!$S69</f>
        <v>117127.4765625</v>
      </c>
      <c r="N67" s="11">
        <f>N$29*'PEV Sales by Manufacturer'!$S69</f>
        <v>115609.728515625</v>
      </c>
      <c r="O67" s="11">
        <f>O$29*'PEV Sales by Manufacturer'!$S69</f>
        <v>113932.40625</v>
      </c>
      <c r="P67" s="11">
        <f>P$29*'PEV Sales by Manufacturer'!$S69</f>
        <v>112295.42578125</v>
      </c>
      <c r="Q67" s="11">
        <f>Q$29*'PEV Sales by Manufacturer'!$S69</f>
        <v>110737.3359375</v>
      </c>
      <c r="R67" s="11">
        <f>R$29*'PEV Sales by Manufacturer'!$S69</f>
        <v>109351.37109375</v>
      </c>
      <c r="S67" s="11">
        <f>S$29*'PEV Sales by Manufacturer'!$S69</f>
        <v>107972.578125</v>
      </c>
      <c r="T67" s="11">
        <f>T$29*'PEV Sales by Manufacturer'!$S69</f>
        <v>106855.55859375</v>
      </c>
      <c r="U67" s="11">
        <f>U$29*'PEV Sales by Manufacturer'!$S69</f>
        <v>105592.412109375</v>
      </c>
      <c r="V67" s="11">
        <f>V$29*'PEV Sales by Manufacturer'!$S69</f>
        <v>104550.697265625</v>
      </c>
      <c r="W67" s="11">
        <f>W$29*'PEV Sales by Manufacturer'!$S69</f>
        <v>103567.25390625</v>
      </c>
      <c r="X67" s="11">
        <f>X$29*'PEV Sales by Manufacturer'!$S69</f>
        <v>102490.576171875</v>
      </c>
      <c r="Y67" s="11">
        <f>Y$29*'PEV Sales by Manufacturer'!$S69</f>
        <v>101609.33203125</v>
      </c>
      <c r="Z67" s="11">
        <f>Z$29*'PEV Sales by Manufacturer'!$S69</f>
        <v>100705.67578125</v>
      </c>
      <c r="AA67" s="11">
        <f>AA$29*'PEV Sales by Manufacturer'!$S69</f>
        <v>99731.197265625</v>
      </c>
      <c r="AB67" s="11">
        <f>AB$29*'PEV Sales by Manufacturer'!$S69</f>
        <v>98797.95703125</v>
      </c>
      <c r="AC67" s="11">
        <f>AC$29*'PEV Sales by Manufacturer'!$S69</f>
        <v>97818.099609375</v>
      </c>
      <c r="AD67" s="11">
        <f>AD$29*'PEV Sales by Manufacturer'!$S69</f>
        <v>96761.14453125</v>
      </c>
      <c r="AE67" s="11">
        <f>AE$29*'PEV Sales by Manufacturer'!$S69</f>
        <v>95736.462890625</v>
      </c>
      <c r="AF67" s="11">
        <f>AF$29*'PEV Sales by Manufacturer'!$S69</f>
        <v>94704.609375</v>
      </c>
      <c r="AG67" s="11"/>
      <c r="AH67" s="11"/>
    </row>
    <row r="68" spans="1:34" x14ac:dyDescent="0.2">
      <c r="A68" t="s">
        <v>78</v>
      </c>
      <c r="B68" s="11">
        <f>'PEV Sales by Manufacturer'!M70</f>
        <v>2521</v>
      </c>
      <c r="C68" s="11">
        <f>'PEV Sales by Manufacturer'!N70</f>
        <v>2512</v>
      </c>
      <c r="D68" s="11">
        <f>D$29*'PEV Sales by Manufacturer'!$S70</f>
        <v>6262.7848345588236</v>
      </c>
      <c r="E68" s="11">
        <f>E$29*'PEV Sales by Manufacturer'!$S70</f>
        <v>9189.8247242647067</v>
      </c>
      <c r="F68" s="11">
        <f>F$29*'PEV Sales by Manufacturer'!$S70</f>
        <v>12802.022426470588</v>
      </c>
      <c r="G68" s="11">
        <f>G$29*'PEV Sales by Manufacturer'!$S70</f>
        <v>15801.876838235296</v>
      </c>
      <c r="H68" s="11">
        <f>H$29*'PEV Sales by Manufacturer'!$S70</f>
        <v>17619.931066176472</v>
      </c>
      <c r="I68" s="11">
        <f>I$29*'PEV Sales by Manufacturer'!$S70</f>
        <v>18665.828125</v>
      </c>
      <c r="J68" s="11">
        <f>J$29*'PEV Sales by Manufacturer'!$S70</f>
        <v>18908.543198529413</v>
      </c>
      <c r="K68" s="11">
        <f>K$29*'PEV Sales by Manufacturer'!$S70</f>
        <v>19049.814338235294</v>
      </c>
      <c r="L68" s="11">
        <f>L$29*'PEV Sales by Manufacturer'!$S70</f>
        <v>18917.056985294119</v>
      </c>
      <c r="M68" s="11">
        <f>M$29*'PEV Sales by Manufacturer'!$S70</f>
        <v>18853.275735294119</v>
      </c>
      <c r="N68" s="11">
        <f>N$29*'PEV Sales by Manufacturer'!$S70</f>
        <v>18608.973345588238</v>
      </c>
      <c r="O68" s="11">
        <f>O$29*'PEV Sales by Manufacturer'!$S70</f>
        <v>18338.985294117647</v>
      </c>
      <c r="P68" s="11">
        <f>P$29*'PEV Sales by Manufacturer'!$S70</f>
        <v>18075.490808823532</v>
      </c>
      <c r="Q68" s="11">
        <f>Q$29*'PEV Sales by Manufacturer'!$S70</f>
        <v>17824.694852941178</v>
      </c>
      <c r="R68" s="11">
        <f>R$29*'PEV Sales by Manufacturer'!$S70</f>
        <v>17601.604779411766</v>
      </c>
      <c r="S68" s="11">
        <f>S$29*'PEV Sales by Manufacturer'!$S70</f>
        <v>17379.669117647059</v>
      </c>
      <c r="T68" s="11">
        <f>T$29*'PEV Sales by Manufacturer'!$S70</f>
        <v>17199.869485294119</v>
      </c>
      <c r="U68" s="11">
        <f>U$29*'PEV Sales by Manufacturer'!$S70</f>
        <v>16996.548713235294</v>
      </c>
      <c r="V68" s="11">
        <f>V$29*'PEV Sales by Manufacturer'!$S70</f>
        <v>16828.870404411766</v>
      </c>
      <c r="W68" s="11">
        <f>W$29*'PEV Sales by Manufacturer'!$S70</f>
        <v>16670.571691176472</v>
      </c>
      <c r="X68" s="11">
        <f>X$29*'PEV Sales by Manufacturer'!$S70</f>
        <v>16497.265625</v>
      </c>
      <c r="Y68" s="11">
        <f>Y$29*'PEV Sales by Manufacturer'!$S70</f>
        <v>16355.417279411766</v>
      </c>
      <c r="Z68" s="11">
        <f>Z$29*'PEV Sales by Manufacturer'!$S70</f>
        <v>16209.961397058825</v>
      </c>
      <c r="AA68" s="11">
        <f>AA$29*'PEV Sales by Manufacturer'!$S70</f>
        <v>16053.105698529413</v>
      </c>
      <c r="AB68" s="11">
        <f>AB$29*'PEV Sales by Manufacturer'!$S70</f>
        <v>15902.887867647059</v>
      </c>
      <c r="AC68" s="11">
        <f>AC$29*'PEV Sales by Manufacturer'!$S70</f>
        <v>15745.166360294119</v>
      </c>
      <c r="AD68" s="11">
        <f>AD$29*'PEV Sales by Manufacturer'!$S70</f>
        <v>15575.034926470589</v>
      </c>
      <c r="AE68" s="11">
        <f>AE$29*'PEV Sales by Manufacturer'!$S70</f>
        <v>15410.098345588236</v>
      </c>
      <c r="AF68" s="11">
        <f>AF$29*'PEV Sales by Manufacturer'!$S70</f>
        <v>15244.007352941177</v>
      </c>
      <c r="AG68" s="11"/>
      <c r="AH68" s="11"/>
    </row>
    <row r="69" spans="1:34" x14ac:dyDescent="0.2">
      <c r="A69" t="s">
        <v>79</v>
      </c>
      <c r="B69" s="11">
        <f>'PEV Sales by Manufacturer'!M71</f>
        <v>0</v>
      </c>
      <c r="C69" s="11">
        <f>'PEV Sales by Manufacturer'!N71</f>
        <v>0</v>
      </c>
      <c r="D69" s="11">
        <f>D$29*'PEV Sales by Manufacturer'!$S71</f>
        <v>0</v>
      </c>
      <c r="E69" s="11">
        <f>E$29*'PEV Sales by Manufacturer'!$S71</f>
        <v>0</v>
      </c>
      <c r="F69" s="11">
        <f>F$29*'PEV Sales by Manufacturer'!$S71</f>
        <v>0</v>
      </c>
      <c r="G69" s="11">
        <f>G$29*'PEV Sales by Manufacturer'!$S71</f>
        <v>0</v>
      </c>
      <c r="H69" s="11">
        <f>H$29*'PEV Sales by Manufacturer'!$S71</f>
        <v>0</v>
      </c>
      <c r="I69" s="11">
        <f>I$29*'PEV Sales by Manufacturer'!$S71</f>
        <v>0</v>
      </c>
      <c r="J69" s="11">
        <f>J$29*'PEV Sales by Manufacturer'!$S71</f>
        <v>0</v>
      </c>
      <c r="K69" s="11">
        <f>K$29*'PEV Sales by Manufacturer'!$S71</f>
        <v>0</v>
      </c>
      <c r="L69" s="11">
        <f>L$29*'PEV Sales by Manufacturer'!$S71</f>
        <v>0</v>
      </c>
      <c r="M69" s="11">
        <f>M$29*'PEV Sales by Manufacturer'!$S71</f>
        <v>0</v>
      </c>
      <c r="N69" s="11">
        <f>N$29*'PEV Sales by Manufacturer'!$S71</f>
        <v>0</v>
      </c>
      <c r="O69" s="11">
        <f>O$29*'PEV Sales by Manufacturer'!$S71</f>
        <v>0</v>
      </c>
      <c r="P69" s="11">
        <f>P$29*'PEV Sales by Manufacturer'!$S71</f>
        <v>0</v>
      </c>
      <c r="Q69" s="11">
        <f>Q$29*'PEV Sales by Manufacturer'!$S71</f>
        <v>0</v>
      </c>
      <c r="R69" s="11">
        <f>R$29*'PEV Sales by Manufacturer'!$S71</f>
        <v>0</v>
      </c>
      <c r="S69" s="11">
        <f>S$29*'PEV Sales by Manufacturer'!$S71</f>
        <v>0</v>
      </c>
      <c r="T69" s="11">
        <f>T$29*'PEV Sales by Manufacturer'!$S71</f>
        <v>0</v>
      </c>
      <c r="U69" s="11">
        <f>U$29*'PEV Sales by Manufacturer'!$S71</f>
        <v>0</v>
      </c>
      <c r="V69" s="11">
        <f>V$29*'PEV Sales by Manufacturer'!$S71</f>
        <v>0</v>
      </c>
      <c r="W69" s="11">
        <f>W$29*'PEV Sales by Manufacturer'!$S71</f>
        <v>0</v>
      </c>
      <c r="X69" s="11">
        <f>X$29*'PEV Sales by Manufacturer'!$S71</f>
        <v>0</v>
      </c>
      <c r="Y69" s="11">
        <f>Y$29*'PEV Sales by Manufacturer'!$S71</f>
        <v>0</v>
      </c>
      <c r="Z69" s="11">
        <f>Z$29*'PEV Sales by Manufacturer'!$S71</f>
        <v>0</v>
      </c>
      <c r="AA69" s="11">
        <f>AA$29*'PEV Sales by Manufacturer'!$S71</f>
        <v>0</v>
      </c>
      <c r="AB69" s="11">
        <f>AB$29*'PEV Sales by Manufacturer'!$S71</f>
        <v>0</v>
      </c>
      <c r="AC69" s="11">
        <f>AC$29*'PEV Sales by Manufacturer'!$S71</f>
        <v>0</v>
      </c>
      <c r="AD69" s="11">
        <f>AD$29*'PEV Sales by Manufacturer'!$S71</f>
        <v>0</v>
      </c>
      <c r="AE69" s="11">
        <f>AE$29*'PEV Sales by Manufacturer'!$S71</f>
        <v>0</v>
      </c>
      <c r="AF69" s="11">
        <f>AF$29*'PEV Sales by Manufacturer'!$S71</f>
        <v>0</v>
      </c>
      <c r="AG69" s="11"/>
      <c r="AH69" s="11"/>
    </row>
    <row r="70" spans="1:34" x14ac:dyDescent="0.2">
      <c r="A70" t="s">
        <v>80</v>
      </c>
      <c r="B70" s="11">
        <f>'PEV Sales by Manufacturer'!M72</f>
        <v>1236</v>
      </c>
      <c r="C70" s="11">
        <f>'PEV Sales by Manufacturer'!N72</f>
        <v>78</v>
      </c>
      <c r="D70" s="11">
        <f>D$29*'PEV Sales by Manufacturer'!$S72</f>
        <v>194.46545266544118</v>
      </c>
      <c r="E70" s="11">
        <f>E$29*'PEV Sales by Manufacturer'!$S72</f>
        <v>285.35283777573528</v>
      </c>
      <c r="F70" s="11">
        <f>F$29*'PEV Sales by Manufacturer'!$S72</f>
        <v>397.51502757352938</v>
      </c>
      <c r="G70" s="11">
        <f>G$29*'PEV Sales by Manufacturer'!$S72</f>
        <v>490.6633731617647</v>
      </c>
      <c r="H70" s="11">
        <f>H$29*'PEV Sales by Manufacturer'!$S72</f>
        <v>547.11569393382354</v>
      </c>
      <c r="I70" s="11">
        <f>I$29*'PEV Sales by Manufacturer'!$S72</f>
        <v>579.591796875</v>
      </c>
      <c r="J70" s="11">
        <f>J$29*'PEV Sales by Manufacturer'!$S72</f>
        <v>587.12833180147061</v>
      </c>
      <c r="K70" s="11">
        <f>K$29*'PEV Sales by Manufacturer'!$S72</f>
        <v>591.51493566176464</v>
      </c>
      <c r="L70" s="11">
        <f>L$29*'PEV Sales by Manufacturer'!$S72</f>
        <v>587.39269301470586</v>
      </c>
      <c r="M70" s="11">
        <f>M$29*'PEV Sales by Manufacturer'!$S72</f>
        <v>585.41222426470586</v>
      </c>
      <c r="N70" s="11">
        <f>N$29*'PEV Sales by Manufacturer'!$S72</f>
        <v>577.82640165441171</v>
      </c>
      <c r="O70" s="11">
        <f>O$29*'PEV Sales by Manufacturer'!$S72</f>
        <v>569.44301470588232</v>
      </c>
      <c r="P70" s="11">
        <f>P$29*'PEV Sales by Manufacturer'!$S72</f>
        <v>561.26125919117646</v>
      </c>
      <c r="Q70" s="11">
        <f>Q$29*'PEV Sales by Manufacturer'!$S72</f>
        <v>553.47380514705878</v>
      </c>
      <c r="R70" s="11">
        <f>R$29*'PEV Sales by Manufacturer'!$S72</f>
        <v>546.54664522058818</v>
      </c>
      <c r="S70" s="11">
        <f>S$29*'PEV Sales by Manufacturer'!$S72</f>
        <v>539.65533088235293</v>
      </c>
      <c r="T70" s="11">
        <f>T$29*'PEV Sales by Manufacturer'!$S72</f>
        <v>534.07238051470586</v>
      </c>
      <c r="U70" s="11">
        <f>U$29*'PEV Sales by Manufacturer'!$S72</f>
        <v>527.75907628676464</v>
      </c>
      <c r="V70" s="11">
        <f>V$29*'PEV Sales by Manufacturer'!$S72</f>
        <v>522.55250459558818</v>
      </c>
      <c r="W70" s="11">
        <f>W$29*'PEV Sales by Manufacturer'!$S72</f>
        <v>517.63717830882354</v>
      </c>
      <c r="X70" s="11">
        <f>X$29*'PEV Sales by Manufacturer'!$S72</f>
        <v>512.255859375</v>
      </c>
      <c r="Y70" s="11">
        <f>Y$29*'PEV Sales by Manufacturer'!$S72</f>
        <v>507.85133272058823</v>
      </c>
      <c r="Z70" s="11">
        <f>Z$29*'PEV Sales by Manufacturer'!$S72</f>
        <v>503.33478860294116</v>
      </c>
      <c r="AA70" s="11">
        <f>AA$29*'PEV Sales by Manufacturer'!$S72</f>
        <v>498.46426930147055</v>
      </c>
      <c r="AB70" s="11">
        <f>AB$29*'PEV Sales by Manufacturer'!$S72</f>
        <v>493.79986213235293</v>
      </c>
      <c r="AC70" s="11">
        <f>AC$29*'PEV Sales by Manufacturer'!$S72</f>
        <v>488.90245863970586</v>
      </c>
      <c r="AD70" s="11">
        <f>AD$29*'PEV Sales by Manufacturer'!$S72</f>
        <v>483.61971507352939</v>
      </c>
      <c r="AE70" s="11">
        <f>AE$29*'PEV Sales by Manufacturer'!$S72</f>
        <v>478.49827665441177</v>
      </c>
      <c r="AF70" s="11">
        <f>AF$29*'PEV Sales by Manufacturer'!$S72</f>
        <v>473.34099264705878</v>
      </c>
      <c r="AG70" s="11"/>
      <c r="AH70" s="11"/>
    </row>
    <row r="71" spans="1:34" x14ac:dyDescent="0.2">
      <c r="A71" t="s">
        <v>81</v>
      </c>
      <c r="B71" s="11">
        <f>'PEV Sales by Manufacturer'!M73</f>
        <v>1964</v>
      </c>
      <c r="C71" s="11">
        <f>'PEV Sales by Manufacturer'!N73</f>
        <v>2250</v>
      </c>
      <c r="D71" s="11">
        <f>D$29*'PEV Sales by Manufacturer'!$S73</f>
        <v>5609.580365349264</v>
      </c>
      <c r="E71" s="11">
        <f>E$29*'PEV Sales by Manufacturer'!$S73</f>
        <v>8231.3318589154405</v>
      </c>
      <c r="F71" s="11">
        <f>F$29*'PEV Sales by Manufacturer'!$S73</f>
        <v>11466.779641544117</v>
      </c>
      <c r="G71" s="11">
        <f>G$29*'PEV Sales by Manufacturer'!$S73</f>
        <v>14153.751148897058</v>
      </c>
      <c r="H71" s="11">
        <f>H$29*'PEV Sales by Manufacturer'!$S73</f>
        <v>15782.183478860294</v>
      </c>
      <c r="I71" s="11">
        <f>I$29*'PEV Sales by Manufacturer'!$S73</f>
        <v>16718.994140625</v>
      </c>
      <c r="J71" s="11">
        <f>J$29*'PEV Sales by Manufacturer'!$S73</f>
        <v>16936.394186580881</v>
      </c>
      <c r="K71" s="11">
        <f>K$29*'PEV Sales by Manufacturer'!$S73</f>
        <v>17062.930836397059</v>
      </c>
      <c r="L71" s="11">
        <f>L$29*'PEV Sales by Manufacturer'!$S73</f>
        <v>16944.019990808822</v>
      </c>
      <c r="M71" s="11">
        <f>M$29*'PEV Sales by Manufacturer'!$S73</f>
        <v>16886.891084558822</v>
      </c>
      <c r="N71" s="11">
        <f>N$29*'PEV Sales by Manufacturer'!$S73</f>
        <v>16668.069278492647</v>
      </c>
      <c r="O71" s="11">
        <f>O$29*'PEV Sales by Manufacturer'!$S73</f>
        <v>16426.240808823528</v>
      </c>
      <c r="P71" s="11">
        <f>P$29*'PEV Sales by Manufacturer'!$S73</f>
        <v>16190.228630514704</v>
      </c>
      <c r="Q71" s="11">
        <f>Q$29*'PEV Sales by Manufacturer'!$S73</f>
        <v>15965.590533088234</v>
      </c>
      <c r="R71" s="11">
        <f>R$29*'PEV Sales by Manufacturer'!$S73</f>
        <v>15765.768612132351</v>
      </c>
      <c r="S71" s="11">
        <f>S$29*'PEV Sales by Manufacturer'!$S73</f>
        <v>15566.980698529411</v>
      </c>
      <c r="T71" s="11">
        <f>T$29*'PEV Sales by Manufacturer'!$S73</f>
        <v>15405.934053308823</v>
      </c>
      <c r="U71" s="11">
        <f>U$29*'PEV Sales by Manufacturer'!$S73</f>
        <v>15223.819508272058</v>
      </c>
      <c r="V71" s="11">
        <f>V$29*'PEV Sales by Manufacturer'!$S73</f>
        <v>15073.629940257351</v>
      </c>
      <c r="W71" s="11">
        <f>W$29*'PEV Sales by Manufacturer'!$S73</f>
        <v>14931.841681985294</v>
      </c>
      <c r="X71" s="11">
        <f>X$29*'PEV Sales by Manufacturer'!$S73</f>
        <v>14776.611328124998</v>
      </c>
      <c r="Y71" s="11">
        <f>Y$29*'PEV Sales by Manufacturer'!$S73</f>
        <v>14649.557674632351</v>
      </c>
      <c r="Z71" s="11">
        <f>Z$29*'PEV Sales by Manufacturer'!$S73</f>
        <v>14519.272748161764</v>
      </c>
      <c r="AA71" s="11">
        <f>AA$29*'PEV Sales by Manufacturer'!$S73</f>
        <v>14378.776999080881</v>
      </c>
      <c r="AB71" s="11">
        <f>AB$29*'PEV Sales by Manufacturer'!$S73</f>
        <v>14244.226792279411</v>
      </c>
      <c r="AC71" s="11">
        <f>AC$29*'PEV Sales by Manufacturer'!$S73</f>
        <v>14102.955537683823</v>
      </c>
      <c r="AD71" s="11">
        <f>AD$29*'PEV Sales by Manufacturer'!$S73</f>
        <v>13950.568704044117</v>
      </c>
      <c r="AE71" s="11">
        <f>AE$29*'PEV Sales by Manufacturer'!$S73</f>
        <v>13802.834903492647</v>
      </c>
      <c r="AF71" s="11">
        <f>AF$29*'PEV Sales by Manufacturer'!$S73</f>
        <v>13654.067095588234</v>
      </c>
      <c r="AG71" s="11"/>
      <c r="AH71" s="11"/>
    </row>
    <row r="72" spans="1:34" x14ac:dyDescent="0.2">
      <c r="A72" t="s">
        <v>82</v>
      </c>
      <c r="B72" s="11">
        <f>'PEV Sales by Manufacturer'!M74</f>
        <v>0</v>
      </c>
      <c r="C72" s="11">
        <f>'PEV Sales by Manufacturer'!N74</f>
        <v>0</v>
      </c>
      <c r="D72" s="11">
        <f>D$29*'PEV Sales by Manufacturer'!$S74</f>
        <v>0</v>
      </c>
      <c r="E72" s="11">
        <f>E$29*'PEV Sales by Manufacturer'!$S74</f>
        <v>0</v>
      </c>
      <c r="F72" s="11">
        <f>F$29*'PEV Sales by Manufacturer'!$S74</f>
        <v>0</v>
      </c>
      <c r="G72" s="11">
        <f>G$29*'PEV Sales by Manufacturer'!$S74</f>
        <v>0</v>
      </c>
      <c r="H72" s="11">
        <f>H$29*'PEV Sales by Manufacturer'!$S74</f>
        <v>0</v>
      </c>
      <c r="I72" s="11">
        <f>I$29*'PEV Sales by Manufacturer'!$S74</f>
        <v>0</v>
      </c>
      <c r="J72" s="11">
        <f>J$29*'PEV Sales by Manufacturer'!$S74</f>
        <v>0</v>
      </c>
      <c r="K72" s="11">
        <f>K$29*'PEV Sales by Manufacturer'!$S74</f>
        <v>0</v>
      </c>
      <c r="L72" s="11">
        <f>L$29*'PEV Sales by Manufacturer'!$S74</f>
        <v>0</v>
      </c>
      <c r="M72" s="11">
        <f>M$29*'PEV Sales by Manufacturer'!$S74</f>
        <v>0</v>
      </c>
      <c r="N72" s="11">
        <f>N$29*'PEV Sales by Manufacturer'!$S74</f>
        <v>0</v>
      </c>
      <c r="O72" s="11">
        <f>O$29*'PEV Sales by Manufacturer'!$S74</f>
        <v>0</v>
      </c>
      <c r="P72" s="11">
        <f>P$29*'PEV Sales by Manufacturer'!$S74</f>
        <v>0</v>
      </c>
      <c r="Q72" s="11">
        <f>Q$29*'PEV Sales by Manufacturer'!$S74</f>
        <v>0</v>
      </c>
      <c r="R72" s="11">
        <f>R$29*'PEV Sales by Manufacturer'!$S74</f>
        <v>0</v>
      </c>
      <c r="S72" s="11">
        <f>S$29*'PEV Sales by Manufacturer'!$S74</f>
        <v>0</v>
      </c>
      <c r="T72" s="11">
        <f>T$29*'PEV Sales by Manufacturer'!$S74</f>
        <v>0</v>
      </c>
      <c r="U72" s="11">
        <f>U$29*'PEV Sales by Manufacturer'!$S74</f>
        <v>0</v>
      </c>
      <c r="V72" s="11">
        <f>V$29*'PEV Sales by Manufacturer'!$S74</f>
        <v>0</v>
      </c>
      <c r="W72" s="11">
        <f>W$29*'PEV Sales by Manufacturer'!$S74</f>
        <v>0</v>
      </c>
      <c r="X72" s="11">
        <f>X$29*'PEV Sales by Manufacturer'!$S74</f>
        <v>0</v>
      </c>
      <c r="Y72" s="11">
        <f>Y$29*'PEV Sales by Manufacturer'!$S74</f>
        <v>0</v>
      </c>
      <c r="Z72" s="11">
        <f>Z$29*'PEV Sales by Manufacturer'!$S74</f>
        <v>0</v>
      </c>
      <c r="AA72" s="11">
        <f>AA$29*'PEV Sales by Manufacturer'!$S74</f>
        <v>0</v>
      </c>
      <c r="AB72" s="11">
        <f>AB$29*'PEV Sales by Manufacturer'!$S74</f>
        <v>0</v>
      </c>
      <c r="AC72" s="11">
        <f>AC$29*'PEV Sales by Manufacturer'!$S74</f>
        <v>0</v>
      </c>
      <c r="AD72" s="11">
        <f>AD$29*'PEV Sales by Manufacturer'!$S74</f>
        <v>0</v>
      </c>
      <c r="AE72" s="11">
        <f>AE$29*'PEV Sales by Manufacturer'!$S74</f>
        <v>0</v>
      </c>
      <c r="AF72" s="11">
        <f>AF$29*'PEV Sales by Manufacturer'!$S74</f>
        <v>0</v>
      </c>
      <c r="AG72" s="11"/>
      <c r="AH72" s="11"/>
    </row>
    <row r="73" spans="1:34" x14ac:dyDescent="0.2">
      <c r="A73" t="s">
        <v>83</v>
      </c>
      <c r="B73" s="11">
        <f>'PEV Sales by Manufacturer'!M75</f>
        <v>1471</v>
      </c>
      <c r="C73" s="11">
        <f>'PEV Sales by Manufacturer'!N75</f>
        <v>603</v>
      </c>
      <c r="D73" s="11">
        <f>D$29*'PEV Sales by Manufacturer'!$S75</f>
        <v>1503.367537913603</v>
      </c>
      <c r="E73" s="11">
        <f>E$29*'PEV Sales by Manufacturer'!$S75</f>
        <v>2205.9969381893379</v>
      </c>
      <c r="F73" s="11">
        <f>F$29*'PEV Sales by Manufacturer'!$S75</f>
        <v>3073.0969439338232</v>
      </c>
      <c r="G73" s="11">
        <f>G$29*'PEV Sales by Manufacturer'!$S75</f>
        <v>3793.2053079044117</v>
      </c>
      <c r="H73" s="11">
        <f>H$29*'PEV Sales by Manufacturer'!$S75</f>
        <v>4229.6251723345586</v>
      </c>
      <c r="I73" s="11">
        <f>I$29*'PEV Sales by Manufacturer'!$S75</f>
        <v>4480.6904296875</v>
      </c>
      <c r="J73" s="11">
        <f>J$29*'PEV Sales by Manufacturer'!$S75</f>
        <v>4538.9536420036766</v>
      </c>
      <c r="K73" s="11">
        <f>K$29*'PEV Sales by Manufacturer'!$S75</f>
        <v>4572.8654641544117</v>
      </c>
      <c r="L73" s="11">
        <f>L$29*'PEV Sales by Manufacturer'!$S75</f>
        <v>4540.9973575367649</v>
      </c>
      <c r="M73" s="11">
        <f>M$29*'PEV Sales by Manufacturer'!$S75</f>
        <v>4525.6868106617649</v>
      </c>
      <c r="N73" s="11">
        <f>N$29*'PEV Sales by Manufacturer'!$S75</f>
        <v>4467.0425666360288</v>
      </c>
      <c r="O73" s="11">
        <f>O$29*'PEV Sales by Manufacturer'!$S75</f>
        <v>4402.2325367647054</v>
      </c>
      <c r="P73" s="11">
        <f>P$29*'PEV Sales by Manufacturer'!$S75</f>
        <v>4338.9812729779405</v>
      </c>
      <c r="Q73" s="11">
        <f>Q$29*'PEV Sales by Manufacturer'!$S75</f>
        <v>4278.7782628676468</v>
      </c>
      <c r="R73" s="11">
        <f>R$29*'PEV Sales by Manufacturer'!$S75</f>
        <v>4225.2259880514703</v>
      </c>
      <c r="S73" s="11">
        <f>S$29*'PEV Sales by Manufacturer'!$S75</f>
        <v>4171.950827205882</v>
      </c>
      <c r="T73" s="11">
        <f>T$29*'PEV Sales by Manufacturer'!$S75</f>
        <v>4128.7903262867649</v>
      </c>
      <c r="U73" s="11">
        <f>U$29*'PEV Sales by Manufacturer'!$S75</f>
        <v>4079.9836282169117</v>
      </c>
      <c r="V73" s="11">
        <f>V$29*'PEV Sales by Manufacturer'!$S75</f>
        <v>4039.7328239889703</v>
      </c>
      <c r="W73" s="11">
        <f>W$29*'PEV Sales by Manufacturer'!$S75</f>
        <v>4001.7335707720586</v>
      </c>
      <c r="X73" s="11">
        <f>X$29*'PEV Sales by Manufacturer'!$S75</f>
        <v>3960.1318359375</v>
      </c>
      <c r="Y73" s="11">
        <f>Y$29*'PEV Sales by Manufacturer'!$S75</f>
        <v>3926.0814568014703</v>
      </c>
      <c r="Z73" s="11">
        <f>Z$29*'PEV Sales by Manufacturer'!$S75</f>
        <v>3891.1650965073527</v>
      </c>
      <c r="AA73" s="11">
        <f>AA$29*'PEV Sales by Manufacturer'!$S75</f>
        <v>3853.5122357536761</v>
      </c>
      <c r="AB73" s="11">
        <f>AB$29*'PEV Sales by Manufacturer'!$S75</f>
        <v>3817.452780330882</v>
      </c>
      <c r="AC73" s="11">
        <f>AC$29*'PEV Sales by Manufacturer'!$S75</f>
        <v>3779.5920840992644</v>
      </c>
      <c r="AD73" s="11">
        <f>AD$29*'PEV Sales by Manufacturer'!$S75</f>
        <v>3738.7524126838234</v>
      </c>
      <c r="AE73" s="11">
        <f>AE$29*'PEV Sales by Manufacturer'!$S75</f>
        <v>3699.1597541360293</v>
      </c>
      <c r="AF73" s="11">
        <f>AF$29*'PEV Sales by Manufacturer'!$S75</f>
        <v>3659.2899816176468</v>
      </c>
      <c r="AG73" s="11"/>
      <c r="AH73" s="11"/>
    </row>
    <row r="74" spans="1:34" x14ac:dyDescent="0.2">
      <c r="A74" t="s">
        <v>84</v>
      </c>
      <c r="B74" s="11">
        <f>'PEV Sales by Manufacturer'!M76</f>
        <v>2514</v>
      </c>
      <c r="C74" s="11">
        <f>'PEV Sales by Manufacturer'!N76</f>
        <v>2618</v>
      </c>
      <c r="D74" s="11">
        <f>D$29*'PEV Sales by Manufacturer'!$S76</f>
        <v>6527.0583984374998</v>
      </c>
      <c r="E74" s="11">
        <f>E$29*'PEV Sales by Manufacturer'!$S76</f>
        <v>9577.6119140624996</v>
      </c>
      <c r="F74" s="11">
        <f>F$29*'PEV Sales by Manufacturer'!$S76</f>
        <v>13342.235156250001</v>
      </c>
      <c r="G74" s="11">
        <f>G$29*'PEV Sales by Manufacturer'!$S76</f>
        <v>16468.67578125</v>
      </c>
      <c r="H74" s="11">
        <f>H$29*'PEV Sales by Manufacturer'!$S76</f>
        <v>18363.447265625</v>
      </c>
      <c r="I74" s="11">
        <f>I$29*'PEV Sales by Manufacturer'!$S76</f>
        <v>19453.478515625</v>
      </c>
      <c r="J74" s="11">
        <f>J$29*'PEV Sales by Manufacturer'!$S76</f>
        <v>19706.435546875</v>
      </c>
      <c r="K74" s="11">
        <f>K$29*'PEV Sales by Manufacturer'!$S76</f>
        <v>19853.66796875</v>
      </c>
      <c r="L74" s="11">
        <f>L$29*'PEV Sales by Manufacturer'!$S76</f>
        <v>19715.30859375</v>
      </c>
      <c r="M74" s="11">
        <f>M$29*'PEV Sales by Manufacturer'!$S76</f>
        <v>19648.8359375</v>
      </c>
      <c r="N74" s="11">
        <f>N$29*'PEV Sales by Manufacturer'!$S76</f>
        <v>19394.224609375</v>
      </c>
      <c r="O74" s="11">
        <f>O$29*'PEV Sales by Manufacturer'!$S76</f>
        <v>19112.84375</v>
      </c>
      <c r="P74" s="11">
        <f>P$29*'PEV Sales by Manufacturer'!$S76</f>
        <v>18838.23046875</v>
      </c>
      <c r="Q74" s="11">
        <f>Q$29*'PEV Sales by Manufacturer'!$S76</f>
        <v>18576.8515625</v>
      </c>
      <c r="R74" s="11">
        <f>R$29*'PEV Sales by Manufacturer'!$S76</f>
        <v>18344.34765625</v>
      </c>
      <c r="S74" s="11">
        <f>S$29*'PEV Sales by Manufacturer'!$S76</f>
        <v>18113.046875</v>
      </c>
      <c r="T74" s="11">
        <f>T$29*'PEV Sales by Manufacturer'!$S76</f>
        <v>17925.66015625</v>
      </c>
      <c r="U74" s="11">
        <f>U$29*'PEV Sales by Manufacturer'!$S76</f>
        <v>17713.759765625</v>
      </c>
      <c r="V74" s="11">
        <f>V$29*'PEV Sales by Manufacturer'!$S76</f>
        <v>17539.005859375</v>
      </c>
      <c r="W74" s="11">
        <f>W$29*'PEV Sales by Manufacturer'!$S76</f>
        <v>17374.02734375</v>
      </c>
      <c r="X74" s="11">
        <f>X$29*'PEV Sales by Manufacturer'!$S76</f>
        <v>17193.408203125</v>
      </c>
      <c r="Y74" s="11">
        <f>Y$29*'PEV Sales by Manufacturer'!$S76</f>
        <v>17045.57421875</v>
      </c>
      <c r="Z74" s="11">
        <f>Z$29*'PEV Sales by Manufacturer'!$S76</f>
        <v>16893.98046875</v>
      </c>
      <c r="AA74" s="11">
        <f>AA$29*'PEV Sales by Manufacturer'!$S76</f>
        <v>16730.505859375</v>
      </c>
      <c r="AB74" s="11">
        <f>AB$29*'PEV Sales by Manufacturer'!$S76</f>
        <v>16573.94921875</v>
      </c>
      <c r="AC74" s="11">
        <f>AC$29*'PEV Sales by Manufacturer'!$S76</f>
        <v>16409.572265625</v>
      </c>
      <c r="AD74" s="11">
        <f>AD$29*'PEV Sales by Manufacturer'!$S76</f>
        <v>16232.26171875</v>
      </c>
      <c r="AE74" s="11">
        <f>AE$29*'PEV Sales by Manufacturer'!$S76</f>
        <v>16060.365234375</v>
      </c>
      <c r="AF74" s="11">
        <f>AF$29*'PEV Sales by Manufacturer'!$S76</f>
        <v>15887.265625</v>
      </c>
      <c r="AG74" s="11"/>
      <c r="AH74" s="11"/>
    </row>
    <row r="75" spans="1:34" x14ac:dyDescent="0.2">
      <c r="A75" t="s">
        <v>85</v>
      </c>
      <c r="B75" s="11">
        <f>'PEV Sales by Manufacturer'!M77</f>
        <v>0</v>
      </c>
      <c r="C75" s="11">
        <f>'PEV Sales by Manufacturer'!N77</f>
        <v>0</v>
      </c>
      <c r="D75" s="11">
        <f>D$29*'PEV Sales by Manufacturer'!$S77</f>
        <v>0</v>
      </c>
      <c r="E75" s="11">
        <f>E$29*'PEV Sales by Manufacturer'!$S77</f>
        <v>0</v>
      </c>
      <c r="F75" s="11">
        <f>F$29*'PEV Sales by Manufacturer'!$S77</f>
        <v>0</v>
      </c>
      <c r="G75" s="11">
        <f>G$29*'PEV Sales by Manufacturer'!$S77</f>
        <v>0</v>
      </c>
      <c r="H75" s="11">
        <f>H$29*'PEV Sales by Manufacturer'!$S77</f>
        <v>0</v>
      </c>
      <c r="I75" s="11">
        <f>I$29*'PEV Sales by Manufacturer'!$S77</f>
        <v>0</v>
      </c>
      <c r="J75" s="11">
        <f>J$29*'PEV Sales by Manufacturer'!$S77</f>
        <v>0</v>
      </c>
      <c r="K75" s="11">
        <f>K$29*'PEV Sales by Manufacturer'!$S77</f>
        <v>0</v>
      </c>
      <c r="L75" s="11">
        <f>L$29*'PEV Sales by Manufacturer'!$S77</f>
        <v>0</v>
      </c>
      <c r="M75" s="11">
        <f>M$29*'PEV Sales by Manufacturer'!$S77</f>
        <v>0</v>
      </c>
      <c r="N75" s="11">
        <f>N$29*'PEV Sales by Manufacturer'!$S77</f>
        <v>0</v>
      </c>
      <c r="O75" s="11">
        <f>O$29*'PEV Sales by Manufacturer'!$S77</f>
        <v>0</v>
      </c>
      <c r="P75" s="11">
        <f>P$29*'PEV Sales by Manufacturer'!$S77</f>
        <v>0</v>
      </c>
      <c r="Q75" s="11">
        <f>Q$29*'PEV Sales by Manufacturer'!$S77</f>
        <v>0</v>
      </c>
      <c r="R75" s="11">
        <f>R$29*'PEV Sales by Manufacturer'!$S77</f>
        <v>0</v>
      </c>
      <c r="S75" s="11">
        <f>S$29*'PEV Sales by Manufacturer'!$S77</f>
        <v>0</v>
      </c>
      <c r="T75" s="11">
        <f>T$29*'PEV Sales by Manufacturer'!$S77</f>
        <v>0</v>
      </c>
      <c r="U75" s="11">
        <f>U$29*'PEV Sales by Manufacturer'!$S77</f>
        <v>0</v>
      </c>
      <c r="V75" s="11">
        <f>V$29*'PEV Sales by Manufacturer'!$S77</f>
        <v>0</v>
      </c>
      <c r="W75" s="11">
        <f>W$29*'PEV Sales by Manufacturer'!$S77</f>
        <v>0</v>
      </c>
      <c r="X75" s="11">
        <f>X$29*'PEV Sales by Manufacturer'!$S77</f>
        <v>0</v>
      </c>
      <c r="Y75" s="11">
        <f>Y$29*'PEV Sales by Manufacturer'!$S77</f>
        <v>0</v>
      </c>
      <c r="Z75" s="11">
        <f>Z$29*'PEV Sales by Manufacturer'!$S77</f>
        <v>0</v>
      </c>
      <c r="AA75" s="11">
        <f>AA$29*'PEV Sales by Manufacturer'!$S77</f>
        <v>0</v>
      </c>
      <c r="AB75" s="11">
        <f>AB$29*'PEV Sales by Manufacturer'!$S77</f>
        <v>0</v>
      </c>
      <c r="AC75" s="11">
        <f>AC$29*'PEV Sales by Manufacturer'!$S77</f>
        <v>0</v>
      </c>
      <c r="AD75" s="11">
        <f>AD$29*'PEV Sales by Manufacturer'!$S77</f>
        <v>0</v>
      </c>
      <c r="AE75" s="11">
        <f>AE$29*'PEV Sales by Manufacturer'!$S77</f>
        <v>0</v>
      </c>
      <c r="AF75" s="11">
        <f>AF$29*'PEV Sales by Manufacturer'!$S77</f>
        <v>0</v>
      </c>
      <c r="AG75" s="11"/>
      <c r="AH75" s="11"/>
    </row>
    <row r="76" spans="1:34" x14ac:dyDescent="0.2">
      <c r="A76" t="s">
        <v>86</v>
      </c>
      <c r="B76" s="11">
        <f>'PEV Sales by Manufacturer'!M78</f>
        <v>0</v>
      </c>
      <c r="C76" s="11">
        <f>'PEV Sales by Manufacturer'!N78</f>
        <v>0</v>
      </c>
      <c r="D76" s="11">
        <f>D$29*'PEV Sales by Manufacturer'!$S78</f>
        <v>0</v>
      </c>
      <c r="E76" s="11">
        <f>E$29*'PEV Sales by Manufacturer'!$S78</f>
        <v>0</v>
      </c>
      <c r="F76" s="11">
        <f>F$29*'PEV Sales by Manufacturer'!$S78</f>
        <v>0</v>
      </c>
      <c r="G76" s="11">
        <f>G$29*'PEV Sales by Manufacturer'!$S78</f>
        <v>0</v>
      </c>
      <c r="H76" s="11">
        <f>H$29*'PEV Sales by Manufacturer'!$S78</f>
        <v>0</v>
      </c>
      <c r="I76" s="11">
        <f>I$29*'PEV Sales by Manufacturer'!$S78</f>
        <v>0</v>
      </c>
      <c r="J76" s="11">
        <f>J$29*'PEV Sales by Manufacturer'!$S78</f>
        <v>0</v>
      </c>
      <c r="K76" s="11">
        <f>K$29*'PEV Sales by Manufacturer'!$S78</f>
        <v>0</v>
      </c>
      <c r="L76" s="11">
        <f>L$29*'PEV Sales by Manufacturer'!$S78</f>
        <v>0</v>
      </c>
      <c r="M76" s="11">
        <f>M$29*'PEV Sales by Manufacturer'!$S78</f>
        <v>0</v>
      </c>
      <c r="N76" s="11">
        <f>N$29*'PEV Sales by Manufacturer'!$S78</f>
        <v>0</v>
      </c>
      <c r="O76" s="11">
        <f>O$29*'PEV Sales by Manufacturer'!$S78</f>
        <v>0</v>
      </c>
      <c r="P76" s="11">
        <f>P$29*'PEV Sales by Manufacturer'!$S78</f>
        <v>0</v>
      </c>
      <c r="Q76" s="11">
        <f>Q$29*'PEV Sales by Manufacturer'!$S78</f>
        <v>0</v>
      </c>
      <c r="R76" s="11">
        <f>R$29*'PEV Sales by Manufacturer'!$S78</f>
        <v>0</v>
      </c>
      <c r="S76" s="11">
        <f>S$29*'PEV Sales by Manufacturer'!$S78</f>
        <v>0</v>
      </c>
      <c r="T76" s="11">
        <f>T$29*'PEV Sales by Manufacturer'!$S78</f>
        <v>0</v>
      </c>
      <c r="U76" s="11">
        <f>U$29*'PEV Sales by Manufacturer'!$S78</f>
        <v>0</v>
      </c>
      <c r="V76" s="11">
        <f>V$29*'PEV Sales by Manufacturer'!$S78</f>
        <v>0</v>
      </c>
      <c r="W76" s="11">
        <f>W$29*'PEV Sales by Manufacturer'!$S78</f>
        <v>0</v>
      </c>
      <c r="X76" s="11">
        <f>X$29*'PEV Sales by Manufacturer'!$S78</f>
        <v>0</v>
      </c>
      <c r="Y76" s="11">
        <f>Y$29*'PEV Sales by Manufacturer'!$S78</f>
        <v>0</v>
      </c>
      <c r="Z76" s="11">
        <f>Z$29*'PEV Sales by Manufacturer'!$S78</f>
        <v>0</v>
      </c>
      <c r="AA76" s="11">
        <f>AA$29*'PEV Sales by Manufacturer'!$S78</f>
        <v>0</v>
      </c>
      <c r="AB76" s="11">
        <f>AB$29*'PEV Sales by Manufacturer'!$S78</f>
        <v>0</v>
      </c>
      <c r="AC76" s="11">
        <f>AC$29*'PEV Sales by Manufacturer'!$S78</f>
        <v>0</v>
      </c>
      <c r="AD76" s="11">
        <f>AD$29*'PEV Sales by Manufacturer'!$S78</f>
        <v>0</v>
      </c>
      <c r="AE76" s="11">
        <f>AE$29*'PEV Sales by Manufacturer'!$S78</f>
        <v>0</v>
      </c>
      <c r="AF76" s="11">
        <f>AF$29*'PEV Sales by Manufacturer'!$S78</f>
        <v>0</v>
      </c>
      <c r="AG76" s="11"/>
      <c r="AH76" s="11"/>
    </row>
    <row r="77" spans="1:34" x14ac:dyDescent="0.2">
      <c r="A77" t="s">
        <v>87</v>
      </c>
      <c r="B77" s="11">
        <f>'PEV Sales by Manufacturer'!M79</f>
        <v>0</v>
      </c>
      <c r="C77" s="11">
        <f>'PEV Sales by Manufacturer'!N79</f>
        <v>0</v>
      </c>
      <c r="D77" s="11">
        <f>D$29*'PEV Sales by Manufacturer'!$S79</f>
        <v>0</v>
      </c>
      <c r="E77" s="11">
        <f>E$29*'PEV Sales by Manufacturer'!$S79</f>
        <v>0</v>
      </c>
      <c r="F77" s="11">
        <f>F$29*'PEV Sales by Manufacturer'!$S79</f>
        <v>0</v>
      </c>
      <c r="G77" s="11">
        <f>G$29*'PEV Sales by Manufacturer'!$S79</f>
        <v>0</v>
      </c>
      <c r="H77" s="11">
        <f>H$29*'PEV Sales by Manufacturer'!$S79</f>
        <v>0</v>
      </c>
      <c r="I77" s="11">
        <f>I$29*'PEV Sales by Manufacturer'!$S79</f>
        <v>0</v>
      </c>
      <c r="J77" s="11">
        <f>J$29*'PEV Sales by Manufacturer'!$S79</f>
        <v>0</v>
      </c>
      <c r="K77" s="11">
        <f>K$29*'PEV Sales by Manufacturer'!$S79</f>
        <v>0</v>
      </c>
      <c r="L77" s="11">
        <f>L$29*'PEV Sales by Manufacturer'!$S79</f>
        <v>0</v>
      </c>
      <c r="M77" s="11">
        <f>M$29*'PEV Sales by Manufacturer'!$S79</f>
        <v>0</v>
      </c>
      <c r="N77" s="11">
        <f>N$29*'PEV Sales by Manufacturer'!$S79</f>
        <v>0</v>
      </c>
      <c r="O77" s="11">
        <f>O$29*'PEV Sales by Manufacturer'!$S79</f>
        <v>0</v>
      </c>
      <c r="P77" s="11">
        <f>P$29*'PEV Sales by Manufacturer'!$S79</f>
        <v>0</v>
      </c>
      <c r="Q77" s="11">
        <f>Q$29*'PEV Sales by Manufacturer'!$S79</f>
        <v>0</v>
      </c>
      <c r="R77" s="11">
        <f>R$29*'PEV Sales by Manufacturer'!$S79</f>
        <v>0</v>
      </c>
      <c r="S77" s="11">
        <f>S$29*'PEV Sales by Manufacturer'!$S79</f>
        <v>0</v>
      </c>
      <c r="T77" s="11">
        <f>T$29*'PEV Sales by Manufacturer'!$S79</f>
        <v>0</v>
      </c>
      <c r="U77" s="11">
        <f>U$29*'PEV Sales by Manufacturer'!$S79</f>
        <v>0</v>
      </c>
      <c r="V77" s="11">
        <f>V$29*'PEV Sales by Manufacturer'!$S79</f>
        <v>0</v>
      </c>
      <c r="W77" s="11">
        <f>W$29*'PEV Sales by Manufacturer'!$S79</f>
        <v>0</v>
      </c>
      <c r="X77" s="11">
        <f>X$29*'PEV Sales by Manufacturer'!$S79</f>
        <v>0</v>
      </c>
      <c r="Y77" s="11">
        <f>Y$29*'PEV Sales by Manufacturer'!$S79</f>
        <v>0</v>
      </c>
      <c r="Z77" s="11">
        <f>Z$29*'PEV Sales by Manufacturer'!$S79</f>
        <v>0</v>
      </c>
      <c r="AA77" s="11">
        <f>AA$29*'PEV Sales by Manufacturer'!$S79</f>
        <v>0</v>
      </c>
      <c r="AB77" s="11">
        <f>AB$29*'PEV Sales by Manufacturer'!$S79</f>
        <v>0</v>
      </c>
      <c r="AC77" s="11">
        <f>AC$29*'PEV Sales by Manufacturer'!$S79</f>
        <v>0</v>
      </c>
      <c r="AD77" s="11">
        <f>AD$29*'PEV Sales by Manufacturer'!$S79</f>
        <v>0</v>
      </c>
      <c r="AE77" s="11">
        <f>AE$29*'PEV Sales by Manufacturer'!$S79</f>
        <v>0</v>
      </c>
      <c r="AF77" s="11">
        <f>AF$29*'PEV Sales by Manufacturer'!$S79</f>
        <v>0</v>
      </c>
      <c r="AG77" s="11"/>
      <c r="AH77" s="11"/>
    </row>
    <row r="79" spans="1:34" x14ac:dyDescent="0.2">
      <c r="A79" s="1" t="s">
        <v>93</v>
      </c>
      <c r="C79">
        <v>2020</v>
      </c>
      <c r="D79">
        <v>2021</v>
      </c>
      <c r="E79">
        <v>2022</v>
      </c>
      <c r="F79">
        <v>2023</v>
      </c>
      <c r="G79">
        <v>2024</v>
      </c>
      <c r="H79">
        <v>2025</v>
      </c>
      <c r="I79">
        <v>2026</v>
      </c>
      <c r="J79">
        <v>2027</v>
      </c>
      <c r="K79">
        <v>2028</v>
      </c>
      <c r="L79">
        <v>2029</v>
      </c>
      <c r="M79">
        <v>2030</v>
      </c>
      <c r="N79">
        <v>2031</v>
      </c>
      <c r="O79">
        <v>2032</v>
      </c>
      <c r="P79">
        <v>2033</v>
      </c>
      <c r="Q79">
        <v>2034</v>
      </c>
      <c r="R79">
        <v>2035</v>
      </c>
      <c r="S79">
        <v>2036</v>
      </c>
      <c r="T79">
        <v>2037</v>
      </c>
      <c r="U79">
        <v>2038</v>
      </c>
      <c r="V79">
        <v>2039</v>
      </c>
      <c r="W79">
        <v>2040</v>
      </c>
      <c r="X79">
        <v>2041</v>
      </c>
      <c r="Y79">
        <v>2042</v>
      </c>
      <c r="Z79">
        <v>2043</v>
      </c>
      <c r="AA79">
        <v>2044</v>
      </c>
      <c r="AB79">
        <v>2045</v>
      </c>
      <c r="AC79">
        <v>2046</v>
      </c>
      <c r="AD79">
        <v>2047</v>
      </c>
      <c r="AE79">
        <v>2048</v>
      </c>
      <c r="AF79">
        <v>2049</v>
      </c>
      <c r="AG79">
        <v>2050</v>
      </c>
    </row>
    <row r="80" spans="1:34" x14ac:dyDescent="0.2">
      <c r="A80" t="s">
        <v>13</v>
      </c>
      <c r="C80">
        <f t="shared" ref="C80:C101" si="5">IF(B3&lt;200000,7500,0)</f>
        <v>0</v>
      </c>
      <c r="D80">
        <f t="shared" ref="D80:S95" si="6">IF(C3&lt;200000,7500,IF(B3&lt;200000,7500*0.375,0))</f>
        <v>0</v>
      </c>
      <c r="E80">
        <f t="shared" si="6"/>
        <v>0</v>
      </c>
      <c r="F80">
        <f t="shared" si="6"/>
        <v>0</v>
      </c>
      <c r="G80">
        <f t="shared" si="6"/>
        <v>0</v>
      </c>
      <c r="H80">
        <f t="shared" si="6"/>
        <v>0</v>
      </c>
      <c r="I80">
        <f t="shared" si="6"/>
        <v>0</v>
      </c>
      <c r="J80">
        <f t="shared" si="6"/>
        <v>0</v>
      </c>
      <c r="K80">
        <f t="shared" si="6"/>
        <v>0</v>
      </c>
      <c r="L80">
        <f t="shared" si="6"/>
        <v>0</v>
      </c>
      <c r="M80">
        <f t="shared" si="6"/>
        <v>0</v>
      </c>
      <c r="N80">
        <f t="shared" si="6"/>
        <v>0</v>
      </c>
      <c r="O80">
        <f t="shared" si="6"/>
        <v>0</v>
      </c>
      <c r="P80">
        <f t="shared" si="6"/>
        <v>0</v>
      </c>
      <c r="Q80">
        <f t="shared" si="6"/>
        <v>0</v>
      </c>
      <c r="R80">
        <f t="shared" si="6"/>
        <v>0</v>
      </c>
      <c r="S80">
        <f t="shared" si="6"/>
        <v>0</v>
      </c>
      <c r="T80">
        <f t="shared" ref="T80:AG98" si="7">IF(S3&lt;200000,7500,IF(R3&lt;200000,7500*0.375,0))</f>
        <v>0</v>
      </c>
      <c r="U80">
        <f t="shared" si="7"/>
        <v>0</v>
      </c>
      <c r="V80">
        <f t="shared" si="7"/>
        <v>0</v>
      </c>
      <c r="W80">
        <f t="shared" si="7"/>
        <v>0</v>
      </c>
      <c r="X80">
        <f t="shared" si="7"/>
        <v>0</v>
      </c>
      <c r="Y80">
        <f t="shared" si="7"/>
        <v>0</v>
      </c>
      <c r="Z80">
        <f t="shared" si="7"/>
        <v>0</v>
      </c>
      <c r="AA80">
        <f t="shared" si="7"/>
        <v>0</v>
      </c>
      <c r="AB80">
        <f t="shared" si="7"/>
        <v>0</v>
      </c>
      <c r="AC80">
        <f t="shared" si="7"/>
        <v>0</v>
      </c>
      <c r="AD80">
        <f t="shared" si="7"/>
        <v>0</v>
      </c>
      <c r="AE80">
        <f t="shared" si="7"/>
        <v>0</v>
      </c>
      <c r="AF80">
        <f t="shared" si="7"/>
        <v>0</v>
      </c>
      <c r="AG80">
        <f t="shared" si="7"/>
        <v>0</v>
      </c>
    </row>
    <row r="81" spans="1:33" x14ac:dyDescent="0.2">
      <c r="A81" t="s">
        <v>67</v>
      </c>
      <c r="C81">
        <f t="shared" si="5"/>
        <v>0</v>
      </c>
      <c r="D81">
        <f t="shared" si="6"/>
        <v>0</v>
      </c>
      <c r="E81">
        <f t="shared" si="6"/>
        <v>0</v>
      </c>
      <c r="F81">
        <f t="shared" si="6"/>
        <v>0</v>
      </c>
      <c r="G81">
        <f t="shared" si="6"/>
        <v>0</v>
      </c>
      <c r="H81">
        <f t="shared" si="6"/>
        <v>0</v>
      </c>
      <c r="I81">
        <f t="shared" si="6"/>
        <v>0</v>
      </c>
      <c r="J81">
        <f t="shared" si="6"/>
        <v>0</v>
      </c>
      <c r="K81">
        <f t="shared" si="6"/>
        <v>0</v>
      </c>
      <c r="L81">
        <f t="shared" si="6"/>
        <v>0</v>
      </c>
      <c r="M81">
        <f t="shared" si="6"/>
        <v>0</v>
      </c>
      <c r="N81">
        <f t="shared" si="6"/>
        <v>0</v>
      </c>
      <c r="O81">
        <f t="shared" si="6"/>
        <v>0</v>
      </c>
      <c r="P81">
        <f t="shared" si="6"/>
        <v>0</v>
      </c>
      <c r="Q81">
        <f t="shared" si="6"/>
        <v>0</v>
      </c>
      <c r="R81">
        <f t="shared" si="6"/>
        <v>0</v>
      </c>
      <c r="S81">
        <f t="shared" si="6"/>
        <v>0</v>
      </c>
      <c r="T81">
        <f t="shared" si="7"/>
        <v>0</v>
      </c>
      <c r="U81">
        <f t="shared" si="7"/>
        <v>0</v>
      </c>
      <c r="V81">
        <f t="shared" si="7"/>
        <v>0</v>
      </c>
      <c r="W81">
        <f t="shared" si="7"/>
        <v>0</v>
      </c>
      <c r="X81">
        <f t="shared" si="7"/>
        <v>0</v>
      </c>
      <c r="Y81">
        <f t="shared" si="7"/>
        <v>0</v>
      </c>
      <c r="Z81">
        <f t="shared" si="7"/>
        <v>0</v>
      </c>
      <c r="AA81">
        <f t="shared" si="7"/>
        <v>0</v>
      </c>
      <c r="AB81">
        <f t="shared" si="7"/>
        <v>0</v>
      </c>
      <c r="AC81">
        <f t="shared" si="7"/>
        <v>0</v>
      </c>
      <c r="AD81">
        <f t="shared" si="7"/>
        <v>0</v>
      </c>
      <c r="AE81">
        <f t="shared" si="7"/>
        <v>0</v>
      </c>
      <c r="AF81">
        <f t="shared" si="7"/>
        <v>0</v>
      </c>
      <c r="AG81">
        <f t="shared" si="7"/>
        <v>0</v>
      </c>
    </row>
    <row r="82" spans="1:33" x14ac:dyDescent="0.2">
      <c r="A82" t="s">
        <v>68</v>
      </c>
      <c r="C82">
        <f t="shared" si="5"/>
        <v>7500</v>
      </c>
      <c r="D82">
        <f t="shared" si="6"/>
        <v>7500</v>
      </c>
      <c r="E82">
        <f t="shared" si="6"/>
        <v>7500</v>
      </c>
      <c r="F82">
        <f t="shared" si="6"/>
        <v>2812.5</v>
      </c>
      <c r="G82">
        <f t="shared" si="6"/>
        <v>0</v>
      </c>
      <c r="H82">
        <f t="shared" si="6"/>
        <v>0</v>
      </c>
      <c r="I82">
        <f t="shared" si="6"/>
        <v>0</v>
      </c>
      <c r="J82">
        <f t="shared" si="6"/>
        <v>0</v>
      </c>
      <c r="K82">
        <f t="shared" si="6"/>
        <v>0</v>
      </c>
      <c r="L82">
        <f t="shared" si="6"/>
        <v>0</v>
      </c>
      <c r="M82">
        <f t="shared" si="6"/>
        <v>0</v>
      </c>
      <c r="N82">
        <f t="shared" si="6"/>
        <v>0</v>
      </c>
      <c r="O82">
        <f t="shared" si="6"/>
        <v>0</v>
      </c>
      <c r="P82">
        <f t="shared" si="6"/>
        <v>0</v>
      </c>
      <c r="Q82">
        <f t="shared" si="6"/>
        <v>0</v>
      </c>
      <c r="R82">
        <f t="shared" si="6"/>
        <v>0</v>
      </c>
      <c r="S82">
        <f t="shared" si="6"/>
        <v>0</v>
      </c>
      <c r="T82">
        <f t="shared" si="7"/>
        <v>0</v>
      </c>
      <c r="U82">
        <f t="shared" si="7"/>
        <v>0</v>
      </c>
      <c r="V82">
        <f t="shared" si="7"/>
        <v>0</v>
      </c>
      <c r="W82">
        <f t="shared" si="7"/>
        <v>0</v>
      </c>
      <c r="X82">
        <f t="shared" si="7"/>
        <v>0</v>
      </c>
      <c r="Y82">
        <f t="shared" si="7"/>
        <v>0</v>
      </c>
      <c r="Z82">
        <f t="shared" si="7"/>
        <v>0</v>
      </c>
      <c r="AA82">
        <f t="shared" si="7"/>
        <v>0</v>
      </c>
      <c r="AB82">
        <f t="shared" si="7"/>
        <v>0</v>
      </c>
      <c r="AC82">
        <f t="shared" si="7"/>
        <v>0</v>
      </c>
      <c r="AD82">
        <f t="shared" si="7"/>
        <v>0</v>
      </c>
      <c r="AE82">
        <f t="shared" si="7"/>
        <v>0</v>
      </c>
      <c r="AF82">
        <f t="shared" si="7"/>
        <v>0</v>
      </c>
      <c r="AG82">
        <f t="shared" si="7"/>
        <v>0</v>
      </c>
    </row>
    <row r="83" spans="1:33" x14ac:dyDescent="0.2">
      <c r="A83" t="s">
        <v>69</v>
      </c>
      <c r="C83">
        <f t="shared" si="5"/>
        <v>7500</v>
      </c>
      <c r="D83">
        <f t="shared" si="6"/>
        <v>7500</v>
      </c>
      <c r="E83">
        <f t="shared" si="6"/>
        <v>2812.5</v>
      </c>
      <c r="F83">
        <f t="shared" si="6"/>
        <v>0</v>
      </c>
      <c r="G83">
        <f t="shared" si="6"/>
        <v>0</v>
      </c>
      <c r="H83">
        <f t="shared" si="6"/>
        <v>0</v>
      </c>
      <c r="I83">
        <f t="shared" si="6"/>
        <v>0</v>
      </c>
      <c r="J83">
        <f t="shared" si="6"/>
        <v>0</v>
      </c>
      <c r="K83">
        <f t="shared" si="6"/>
        <v>0</v>
      </c>
      <c r="L83">
        <f t="shared" si="6"/>
        <v>0</v>
      </c>
      <c r="M83">
        <f t="shared" si="6"/>
        <v>0</v>
      </c>
      <c r="N83">
        <f t="shared" si="6"/>
        <v>0</v>
      </c>
      <c r="O83">
        <f t="shared" si="6"/>
        <v>0</v>
      </c>
      <c r="P83">
        <f t="shared" si="6"/>
        <v>0</v>
      </c>
      <c r="Q83">
        <f t="shared" si="6"/>
        <v>0</v>
      </c>
      <c r="R83">
        <f t="shared" si="6"/>
        <v>0</v>
      </c>
      <c r="S83">
        <f t="shared" si="6"/>
        <v>0</v>
      </c>
      <c r="T83">
        <f t="shared" si="7"/>
        <v>0</v>
      </c>
      <c r="U83">
        <f t="shared" si="7"/>
        <v>0</v>
      </c>
      <c r="V83">
        <f t="shared" si="7"/>
        <v>0</v>
      </c>
      <c r="W83">
        <f t="shared" si="7"/>
        <v>0</v>
      </c>
      <c r="X83">
        <f t="shared" si="7"/>
        <v>0</v>
      </c>
      <c r="Y83">
        <f t="shared" si="7"/>
        <v>0</v>
      </c>
      <c r="Z83">
        <f t="shared" si="7"/>
        <v>0</v>
      </c>
      <c r="AA83">
        <f t="shared" si="7"/>
        <v>0</v>
      </c>
      <c r="AB83">
        <f t="shared" si="7"/>
        <v>0</v>
      </c>
      <c r="AC83">
        <f t="shared" si="7"/>
        <v>0</v>
      </c>
      <c r="AD83">
        <f t="shared" si="7"/>
        <v>0</v>
      </c>
      <c r="AE83">
        <f t="shared" si="7"/>
        <v>0</v>
      </c>
      <c r="AF83">
        <f t="shared" si="7"/>
        <v>0</v>
      </c>
      <c r="AG83">
        <f t="shared" si="7"/>
        <v>0</v>
      </c>
    </row>
    <row r="84" spans="1:33" x14ac:dyDescent="0.2">
      <c r="A84" t="s">
        <v>70</v>
      </c>
      <c r="C84">
        <f t="shared" si="5"/>
        <v>7500</v>
      </c>
      <c r="D84">
        <f t="shared" si="6"/>
        <v>7500</v>
      </c>
      <c r="E84">
        <f t="shared" si="6"/>
        <v>2812.5</v>
      </c>
      <c r="F84">
        <f t="shared" si="6"/>
        <v>0</v>
      </c>
      <c r="G84">
        <f t="shared" si="6"/>
        <v>0</v>
      </c>
      <c r="H84">
        <f t="shared" si="6"/>
        <v>0</v>
      </c>
      <c r="I84">
        <f t="shared" si="6"/>
        <v>0</v>
      </c>
      <c r="J84">
        <f t="shared" si="6"/>
        <v>0</v>
      </c>
      <c r="K84">
        <f t="shared" si="6"/>
        <v>0</v>
      </c>
      <c r="L84">
        <f t="shared" si="6"/>
        <v>0</v>
      </c>
      <c r="M84">
        <f t="shared" si="6"/>
        <v>0</v>
      </c>
      <c r="N84">
        <f t="shared" si="6"/>
        <v>0</v>
      </c>
      <c r="O84">
        <f t="shared" si="6"/>
        <v>0</v>
      </c>
      <c r="P84">
        <f t="shared" si="6"/>
        <v>0</v>
      </c>
      <c r="Q84">
        <f t="shared" si="6"/>
        <v>0</v>
      </c>
      <c r="R84">
        <f t="shared" si="6"/>
        <v>0</v>
      </c>
      <c r="S84">
        <f t="shared" si="6"/>
        <v>0</v>
      </c>
      <c r="T84">
        <f t="shared" si="7"/>
        <v>0</v>
      </c>
      <c r="U84">
        <f t="shared" si="7"/>
        <v>0</v>
      </c>
      <c r="V84">
        <f t="shared" si="7"/>
        <v>0</v>
      </c>
      <c r="W84">
        <f t="shared" si="7"/>
        <v>0</v>
      </c>
      <c r="X84">
        <f t="shared" si="7"/>
        <v>0</v>
      </c>
      <c r="Y84">
        <f t="shared" si="7"/>
        <v>0</v>
      </c>
      <c r="Z84">
        <f t="shared" si="7"/>
        <v>0</v>
      </c>
      <c r="AA84">
        <f t="shared" si="7"/>
        <v>0</v>
      </c>
      <c r="AB84">
        <f t="shared" si="7"/>
        <v>0</v>
      </c>
      <c r="AC84">
        <f t="shared" si="7"/>
        <v>0</v>
      </c>
      <c r="AD84">
        <f t="shared" si="7"/>
        <v>0</v>
      </c>
      <c r="AE84">
        <f t="shared" si="7"/>
        <v>0</v>
      </c>
      <c r="AF84">
        <f t="shared" si="7"/>
        <v>0</v>
      </c>
      <c r="AG84">
        <f t="shared" si="7"/>
        <v>0</v>
      </c>
    </row>
    <row r="85" spans="1:33" x14ac:dyDescent="0.2">
      <c r="A85" t="s">
        <v>71</v>
      </c>
      <c r="C85">
        <f t="shared" si="5"/>
        <v>7500</v>
      </c>
      <c r="D85">
        <f t="shared" si="6"/>
        <v>7500</v>
      </c>
      <c r="E85">
        <f t="shared" si="6"/>
        <v>7500</v>
      </c>
      <c r="F85">
        <f t="shared" si="6"/>
        <v>2812.5</v>
      </c>
      <c r="G85">
        <f t="shared" si="6"/>
        <v>0</v>
      </c>
      <c r="H85">
        <f t="shared" si="6"/>
        <v>0</v>
      </c>
      <c r="I85">
        <f t="shared" si="6"/>
        <v>0</v>
      </c>
      <c r="J85">
        <f t="shared" si="6"/>
        <v>0</v>
      </c>
      <c r="K85">
        <f t="shared" si="6"/>
        <v>0</v>
      </c>
      <c r="L85">
        <f t="shared" si="6"/>
        <v>0</v>
      </c>
      <c r="M85">
        <f t="shared" si="6"/>
        <v>0</v>
      </c>
      <c r="N85">
        <f t="shared" si="6"/>
        <v>0</v>
      </c>
      <c r="O85">
        <f t="shared" si="6"/>
        <v>0</v>
      </c>
      <c r="P85">
        <f t="shared" si="6"/>
        <v>0</v>
      </c>
      <c r="Q85">
        <f t="shared" si="6"/>
        <v>0</v>
      </c>
      <c r="R85">
        <f t="shared" si="6"/>
        <v>0</v>
      </c>
      <c r="S85">
        <f t="shared" si="6"/>
        <v>0</v>
      </c>
      <c r="T85">
        <f t="shared" si="7"/>
        <v>0</v>
      </c>
      <c r="U85">
        <f t="shared" si="7"/>
        <v>0</v>
      </c>
      <c r="V85">
        <f t="shared" si="7"/>
        <v>0</v>
      </c>
      <c r="W85">
        <f t="shared" si="7"/>
        <v>0</v>
      </c>
      <c r="X85">
        <f t="shared" si="7"/>
        <v>0</v>
      </c>
      <c r="Y85">
        <f t="shared" si="7"/>
        <v>0</v>
      </c>
      <c r="Z85">
        <f t="shared" si="7"/>
        <v>0</v>
      </c>
      <c r="AA85">
        <f t="shared" si="7"/>
        <v>0</v>
      </c>
      <c r="AB85">
        <f t="shared" si="7"/>
        <v>0</v>
      </c>
      <c r="AC85">
        <f t="shared" si="7"/>
        <v>0</v>
      </c>
      <c r="AD85">
        <f t="shared" si="7"/>
        <v>0</v>
      </c>
      <c r="AE85">
        <f t="shared" si="7"/>
        <v>0</v>
      </c>
      <c r="AF85">
        <f t="shared" si="7"/>
        <v>0</v>
      </c>
      <c r="AG85">
        <f t="shared" si="7"/>
        <v>0</v>
      </c>
    </row>
    <row r="86" spans="1:33" x14ac:dyDescent="0.2">
      <c r="A86" t="s">
        <v>72</v>
      </c>
      <c r="C86">
        <f t="shared" si="5"/>
        <v>7500</v>
      </c>
      <c r="D86">
        <f t="shared" si="6"/>
        <v>7500</v>
      </c>
      <c r="E86">
        <f t="shared" si="6"/>
        <v>2812.5</v>
      </c>
      <c r="F86">
        <f t="shared" si="6"/>
        <v>0</v>
      </c>
      <c r="G86">
        <f t="shared" si="6"/>
        <v>0</v>
      </c>
      <c r="H86">
        <f t="shared" si="6"/>
        <v>0</v>
      </c>
      <c r="I86">
        <f t="shared" si="6"/>
        <v>0</v>
      </c>
      <c r="J86">
        <f t="shared" si="6"/>
        <v>0</v>
      </c>
      <c r="K86">
        <f t="shared" si="6"/>
        <v>0</v>
      </c>
      <c r="L86">
        <f t="shared" si="6"/>
        <v>0</v>
      </c>
      <c r="M86">
        <f t="shared" si="6"/>
        <v>0</v>
      </c>
      <c r="N86">
        <f t="shared" si="6"/>
        <v>0</v>
      </c>
      <c r="O86">
        <f t="shared" si="6"/>
        <v>0</v>
      </c>
      <c r="P86">
        <f t="shared" si="6"/>
        <v>0</v>
      </c>
      <c r="Q86">
        <f t="shared" si="6"/>
        <v>0</v>
      </c>
      <c r="R86">
        <f t="shared" si="6"/>
        <v>0</v>
      </c>
      <c r="S86">
        <f t="shared" si="6"/>
        <v>0</v>
      </c>
      <c r="T86">
        <f t="shared" si="7"/>
        <v>0</v>
      </c>
      <c r="U86">
        <f t="shared" si="7"/>
        <v>0</v>
      </c>
      <c r="V86">
        <f t="shared" si="7"/>
        <v>0</v>
      </c>
      <c r="W86">
        <f t="shared" si="7"/>
        <v>0</v>
      </c>
      <c r="X86">
        <f t="shared" si="7"/>
        <v>0</v>
      </c>
      <c r="Y86">
        <f t="shared" si="7"/>
        <v>0</v>
      </c>
      <c r="Z86">
        <f t="shared" si="7"/>
        <v>0</v>
      </c>
      <c r="AA86">
        <f t="shared" si="7"/>
        <v>0</v>
      </c>
      <c r="AB86">
        <f t="shared" si="7"/>
        <v>0</v>
      </c>
      <c r="AC86">
        <f t="shared" si="7"/>
        <v>0</v>
      </c>
      <c r="AD86">
        <f t="shared" si="7"/>
        <v>0</v>
      </c>
      <c r="AE86">
        <f t="shared" si="7"/>
        <v>0</v>
      </c>
      <c r="AF86">
        <f t="shared" si="7"/>
        <v>0</v>
      </c>
      <c r="AG86">
        <f t="shared" si="7"/>
        <v>0</v>
      </c>
    </row>
    <row r="87" spans="1:33" x14ac:dyDescent="0.2">
      <c r="A87" t="s">
        <v>73</v>
      </c>
      <c r="C87">
        <f t="shared" si="5"/>
        <v>7500</v>
      </c>
      <c r="D87">
        <f t="shared" si="6"/>
        <v>7500</v>
      </c>
      <c r="E87">
        <f t="shared" si="6"/>
        <v>7500</v>
      </c>
      <c r="F87">
        <f t="shared" si="6"/>
        <v>7500</v>
      </c>
      <c r="G87">
        <f t="shared" si="6"/>
        <v>7500</v>
      </c>
      <c r="H87">
        <f t="shared" si="6"/>
        <v>7500</v>
      </c>
      <c r="I87">
        <f t="shared" si="6"/>
        <v>7500</v>
      </c>
      <c r="J87">
        <f t="shared" si="6"/>
        <v>7500</v>
      </c>
      <c r="K87">
        <f t="shared" si="6"/>
        <v>7500</v>
      </c>
      <c r="L87">
        <f t="shared" si="6"/>
        <v>7500</v>
      </c>
      <c r="M87">
        <f t="shared" si="6"/>
        <v>7500</v>
      </c>
      <c r="N87">
        <f t="shared" si="6"/>
        <v>7500</v>
      </c>
      <c r="O87">
        <f t="shared" si="6"/>
        <v>2812.5</v>
      </c>
      <c r="P87">
        <f t="shared" si="6"/>
        <v>0</v>
      </c>
      <c r="Q87">
        <f t="shared" si="6"/>
        <v>0</v>
      </c>
      <c r="R87">
        <f t="shared" si="6"/>
        <v>0</v>
      </c>
      <c r="S87">
        <f t="shared" si="6"/>
        <v>0</v>
      </c>
      <c r="T87">
        <f t="shared" si="7"/>
        <v>0</v>
      </c>
      <c r="U87">
        <f t="shared" si="7"/>
        <v>0</v>
      </c>
      <c r="V87">
        <f t="shared" si="7"/>
        <v>0</v>
      </c>
      <c r="W87">
        <f t="shared" si="7"/>
        <v>0</v>
      </c>
      <c r="X87">
        <f t="shared" si="7"/>
        <v>0</v>
      </c>
      <c r="Y87">
        <f t="shared" si="7"/>
        <v>0</v>
      </c>
      <c r="Z87">
        <f t="shared" si="7"/>
        <v>0</v>
      </c>
      <c r="AA87">
        <f t="shared" si="7"/>
        <v>0</v>
      </c>
      <c r="AB87">
        <f t="shared" si="7"/>
        <v>0</v>
      </c>
      <c r="AC87">
        <f t="shared" si="7"/>
        <v>0</v>
      </c>
      <c r="AD87">
        <f t="shared" si="7"/>
        <v>0</v>
      </c>
      <c r="AE87">
        <f t="shared" si="7"/>
        <v>0</v>
      </c>
      <c r="AF87">
        <f t="shared" si="7"/>
        <v>0</v>
      </c>
      <c r="AG87">
        <f t="shared" si="7"/>
        <v>0</v>
      </c>
    </row>
    <row r="88" spans="1:33" x14ac:dyDescent="0.2">
      <c r="A88" t="s">
        <v>74</v>
      </c>
      <c r="C88">
        <f t="shared" si="5"/>
        <v>7500</v>
      </c>
      <c r="D88">
        <f t="shared" si="6"/>
        <v>7500</v>
      </c>
      <c r="E88">
        <f t="shared" si="6"/>
        <v>7500</v>
      </c>
      <c r="F88">
        <f t="shared" si="6"/>
        <v>7500</v>
      </c>
      <c r="G88">
        <f t="shared" si="6"/>
        <v>2812.5</v>
      </c>
      <c r="H88">
        <f t="shared" si="6"/>
        <v>0</v>
      </c>
      <c r="I88">
        <f t="shared" si="6"/>
        <v>0</v>
      </c>
      <c r="J88">
        <f t="shared" si="6"/>
        <v>0</v>
      </c>
      <c r="K88">
        <f t="shared" si="6"/>
        <v>0</v>
      </c>
      <c r="L88">
        <f t="shared" si="6"/>
        <v>0</v>
      </c>
      <c r="M88">
        <f t="shared" si="6"/>
        <v>0</v>
      </c>
      <c r="N88">
        <f t="shared" si="6"/>
        <v>0</v>
      </c>
      <c r="O88">
        <f t="shared" si="6"/>
        <v>0</v>
      </c>
      <c r="P88">
        <f t="shared" si="6"/>
        <v>0</v>
      </c>
      <c r="Q88">
        <f t="shared" si="6"/>
        <v>0</v>
      </c>
      <c r="R88">
        <f t="shared" si="6"/>
        <v>0</v>
      </c>
      <c r="S88">
        <f t="shared" si="6"/>
        <v>0</v>
      </c>
      <c r="T88">
        <f t="shared" si="7"/>
        <v>0</v>
      </c>
      <c r="U88">
        <f t="shared" si="7"/>
        <v>0</v>
      </c>
      <c r="V88">
        <f t="shared" si="7"/>
        <v>0</v>
      </c>
      <c r="W88">
        <f t="shared" si="7"/>
        <v>0</v>
      </c>
      <c r="X88">
        <f t="shared" si="7"/>
        <v>0</v>
      </c>
      <c r="Y88">
        <f t="shared" si="7"/>
        <v>0</v>
      </c>
      <c r="Z88">
        <f t="shared" si="7"/>
        <v>0</v>
      </c>
      <c r="AA88">
        <f t="shared" si="7"/>
        <v>0</v>
      </c>
      <c r="AB88">
        <f t="shared" si="7"/>
        <v>0</v>
      </c>
      <c r="AC88">
        <f t="shared" si="7"/>
        <v>0</v>
      </c>
      <c r="AD88">
        <f t="shared" si="7"/>
        <v>0</v>
      </c>
      <c r="AE88">
        <f t="shared" si="7"/>
        <v>0</v>
      </c>
      <c r="AF88">
        <f t="shared" si="7"/>
        <v>0</v>
      </c>
      <c r="AG88">
        <f t="shared" si="7"/>
        <v>0</v>
      </c>
    </row>
    <row r="89" spans="1:33" x14ac:dyDescent="0.2">
      <c r="A89" t="s">
        <v>75</v>
      </c>
      <c r="C89">
        <f t="shared" si="5"/>
        <v>7500</v>
      </c>
      <c r="D89">
        <f t="shared" si="6"/>
        <v>7500</v>
      </c>
      <c r="E89">
        <f t="shared" si="6"/>
        <v>7500</v>
      </c>
      <c r="F89">
        <f t="shared" si="6"/>
        <v>7500</v>
      </c>
      <c r="G89">
        <f t="shared" si="6"/>
        <v>2812.5</v>
      </c>
      <c r="H89">
        <f t="shared" si="6"/>
        <v>0</v>
      </c>
      <c r="I89">
        <f t="shared" si="6"/>
        <v>0</v>
      </c>
      <c r="J89">
        <f t="shared" si="6"/>
        <v>0</v>
      </c>
      <c r="K89">
        <f t="shared" si="6"/>
        <v>0</v>
      </c>
      <c r="L89">
        <f t="shared" si="6"/>
        <v>0</v>
      </c>
      <c r="M89">
        <f t="shared" si="6"/>
        <v>0</v>
      </c>
      <c r="N89">
        <f t="shared" si="6"/>
        <v>0</v>
      </c>
      <c r="O89">
        <f t="shared" si="6"/>
        <v>0</v>
      </c>
      <c r="P89">
        <f t="shared" si="6"/>
        <v>0</v>
      </c>
      <c r="Q89">
        <f t="shared" si="6"/>
        <v>0</v>
      </c>
      <c r="R89">
        <f t="shared" si="6"/>
        <v>0</v>
      </c>
      <c r="S89">
        <f t="shared" si="6"/>
        <v>0</v>
      </c>
      <c r="T89">
        <f t="shared" si="7"/>
        <v>0</v>
      </c>
      <c r="U89">
        <f t="shared" si="7"/>
        <v>0</v>
      </c>
      <c r="V89">
        <f t="shared" si="7"/>
        <v>0</v>
      </c>
      <c r="W89">
        <f t="shared" si="7"/>
        <v>0</v>
      </c>
      <c r="X89">
        <f t="shared" si="7"/>
        <v>0</v>
      </c>
      <c r="Y89">
        <f t="shared" si="7"/>
        <v>0</v>
      </c>
      <c r="Z89">
        <f t="shared" si="7"/>
        <v>0</v>
      </c>
      <c r="AA89">
        <f t="shared" si="7"/>
        <v>0</v>
      </c>
      <c r="AB89">
        <f t="shared" si="7"/>
        <v>0</v>
      </c>
      <c r="AC89">
        <f t="shared" si="7"/>
        <v>0</v>
      </c>
      <c r="AD89">
        <f t="shared" si="7"/>
        <v>0</v>
      </c>
      <c r="AE89">
        <f t="shared" si="7"/>
        <v>0</v>
      </c>
      <c r="AF89">
        <f t="shared" si="7"/>
        <v>0</v>
      </c>
      <c r="AG89">
        <f t="shared" si="7"/>
        <v>0</v>
      </c>
    </row>
    <row r="90" spans="1:33" x14ac:dyDescent="0.2">
      <c r="A90" t="s">
        <v>76</v>
      </c>
      <c r="C90">
        <f t="shared" si="5"/>
        <v>7500</v>
      </c>
      <c r="D90">
        <f t="shared" si="6"/>
        <v>7500</v>
      </c>
      <c r="E90">
        <f t="shared" si="6"/>
        <v>7500</v>
      </c>
      <c r="F90">
        <f t="shared" si="6"/>
        <v>7500</v>
      </c>
      <c r="G90">
        <f t="shared" si="6"/>
        <v>7500</v>
      </c>
      <c r="H90">
        <f t="shared" si="6"/>
        <v>2812.5</v>
      </c>
      <c r="I90">
        <f t="shared" si="6"/>
        <v>0</v>
      </c>
      <c r="J90">
        <f t="shared" si="6"/>
        <v>0</v>
      </c>
      <c r="K90">
        <f t="shared" si="6"/>
        <v>0</v>
      </c>
      <c r="L90">
        <f t="shared" si="6"/>
        <v>0</v>
      </c>
      <c r="M90">
        <f t="shared" si="6"/>
        <v>0</v>
      </c>
      <c r="N90">
        <f t="shared" si="6"/>
        <v>0</v>
      </c>
      <c r="O90">
        <f t="shared" si="6"/>
        <v>0</v>
      </c>
      <c r="P90">
        <f t="shared" si="6"/>
        <v>0</v>
      </c>
      <c r="Q90">
        <f t="shared" si="6"/>
        <v>0</v>
      </c>
      <c r="R90">
        <f t="shared" si="6"/>
        <v>0</v>
      </c>
      <c r="S90">
        <f t="shared" si="6"/>
        <v>0</v>
      </c>
      <c r="T90">
        <f t="shared" si="7"/>
        <v>0</v>
      </c>
      <c r="U90">
        <f t="shared" si="7"/>
        <v>0</v>
      </c>
      <c r="V90">
        <f t="shared" si="7"/>
        <v>0</v>
      </c>
      <c r="W90">
        <f t="shared" si="7"/>
        <v>0</v>
      </c>
      <c r="X90">
        <f t="shared" si="7"/>
        <v>0</v>
      </c>
      <c r="Y90">
        <f t="shared" si="7"/>
        <v>0</v>
      </c>
      <c r="Z90">
        <f t="shared" si="7"/>
        <v>0</v>
      </c>
      <c r="AA90">
        <f t="shared" si="7"/>
        <v>0</v>
      </c>
      <c r="AB90">
        <f t="shared" si="7"/>
        <v>0</v>
      </c>
      <c r="AC90">
        <f t="shared" si="7"/>
        <v>0</v>
      </c>
      <c r="AD90">
        <f t="shared" si="7"/>
        <v>0</v>
      </c>
      <c r="AE90">
        <f t="shared" si="7"/>
        <v>0</v>
      </c>
      <c r="AF90">
        <f t="shared" si="7"/>
        <v>0</v>
      </c>
      <c r="AG90">
        <f t="shared" si="7"/>
        <v>0</v>
      </c>
    </row>
    <row r="91" spans="1:33" x14ac:dyDescent="0.2">
      <c r="A91" t="s">
        <v>77</v>
      </c>
      <c r="C91">
        <f t="shared" si="5"/>
        <v>7500</v>
      </c>
      <c r="D91">
        <f t="shared" si="6"/>
        <v>7500</v>
      </c>
      <c r="E91">
        <f t="shared" si="6"/>
        <v>7500</v>
      </c>
      <c r="F91">
        <f t="shared" si="6"/>
        <v>7500</v>
      </c>
      <c r="G91">
        <f t="shared" si="6"/>
        <v>2812.5</v>
      </c>
      <c r="H91">
        <f t="shared" si="6"/>
        <v>0</v>
      </c>
      <c r="I91">
        <f t="shared" si="6"/>
        <v>0</v>
      </c>
      <c r="J91">
        <f t="shared" si="6"/>
        <v>0</v>
      </c>
      <c r="K91">
        <f t="shared" si="6"/>
        <v>0</v>
      </c>
      <c r="L91">
        <f t="shared" si="6"/>
        <v>0</v>
      </c>
      <c r="M91">
        <f t="shared" si="6"/>
        <v>0</v>
      </c>
      <c r="N91">
        <f t="shared" si="6"/>
        <v>0</v>
      </c>
      <c r="O91">
        <f t="shared" si="6"/>
        <v>0</v>
      </c>
      <c r="P91">
        <f t="shared" si="6"/>
        <v>0</v>
      </c>
      <c r="Q91">
        <f t="shared" si="6"/>
        <v>0</v>
      </c>
      <c r="R91">
        <f t="shared" si="6"/>
        <v>0</v>
      </c>
      <c r="S91">
        <f t="shared" si="6"/>
        <v>0</v>
      </c>
      <c r="T91">
        <f t="shared" si="7"/>
        <v>0</v>
      </c>
      <c r="U91">
        <f t="shared" si="7"/>
        <v>0</v>
      </c>
      <c r="V91">
        <f t="shared" si="7"/>
        <v>0</v>
      </c>
      <c r="W91">
        <f t="shared" si="7"/>
        <v>0</v>
      </c>
      <c r="X91">
        <f t="shared" si="7"/>
        <v>0</v>
      </c>
      <c r="Y91">
        <f t="shared" si="7"/>
        <v>0</v>
      </c>
      <c r="Z91">
        <f t="shared" si="7"/>
        <v>0</v>
      </c>
      <c r="AA91">
        <f t="shared" si="7"/>
        <v>0</v>
      </c>
      <c r="AB91">
        <f t="shared" si="7"/>
        <v>0</v>
      </c>
      <c r="AC91">
        <f t="shared" si="7"/>
        <v>0</v>
      </c>
      <c r="AD91">
        <f t="shared" si="7"/>
        <v>0</v>
      </c>
      <c r="AE91">
        <f t="shared" si="7"/>
        <v>0</v>
      </c>
      <c r="AF91">
        <f t="shared" si="7"/>
        <v>0</v>
      </c>
      <c r="AG91">
        <f t="shared" si="7"/>
        <v>0</v>
      </c>
    </row>
    <row r="92" spans="1:33" x14ac:dyDescent="0.2">
      <c r="A92" t="s">
        <v>78</v>
      </c>
      <c r="C92">
        <f t="shared" si="5"/>
        <v>7500</v>
      </c>
      <c r="D92">
        <f t="shared" si="6"/>
        <v>7500</v>
      </c>
      <c r="E92">
        <f t="shared" si="6"/>
        <v>7500</v>
      </c>
      <c r="F92">
        <f t="shared" si="6"/>
        <v>7500</v>
      </c>
      <c r="G92">
        <f t="shared" si="6"/>
        <v>7500</v>
      </c>
      <c r="H92">
        <f t="shared" si="6"/>
        <v>2812.5</v>
      </c>
      <c r="I92">
        <f t="shared" si="6"/>
        <v>0</v>
      </c>
      <c r="J92">
        <f t="shared" si="6"/>
        <v>0</v>
      </c>
      <c r="K92">
        <f t="shared" si="6"/>
        <v>0</v>
      </c>
      <c r="L92">
        <f t="shared" si="6"/>
        <v>0</v>
      </c>
      <c r="M92">
        <f t="shared" si="6"/>
        <v>0</v>
      </c>
      <c r="N92">
        <f t="shared" si="6"/>
        <v>0</v>
      </c>
      <c r="O92">
        <f t="shared" si="6"/>
        <v>0</v>
      </c>
      <c r="P92">
        <f t="shared" si="6"/>
        <v>0</v>
      </c>
      <c r="Q92">
        <f t="shared" si="6"/>
        <v>0</v>
      </c>
      <c r="R92">
        <f t="shared" si="6"/>
        <v>0</v>
      </c>
      <c r="S92">
        <f t="shared" si="6"/>
        <v>0</v>
      </c>
      <c r="T92">
        <f t="shared" si="7"/>
        <v>0</v>
      </c>
      <c r="U92">
        <f t="shared" si="7"/>
        <v>0</v>
      </c>
      <c r="V92">
        <f t="shared" si="7"/>
        <v>0</v>
      </c>
      <c r="W92">
        <f t="shared" si="7"/>
        <v>0</v>
      </c>
      <c r="X92">
        <f t="shared" si="7"/>
        <v>0</v>
      </c>
      <c r="Y92">
        <f t="shared" si="7"/>
        <v>0</v>
      </c>
      <c r="Z92">
        <f t="shared" si="7"/>
        <v>0</v>
      </c>
      <c r="AA92">
        <f t="shared" si="7"/>
        <v>0</v>
      </c>
      <c r="AB92">
        <f t="shared" si="7"/>
        <v>0</v>
      </c>
      <c r="AC92">
        <f t="shared" si="7"/>
        <v>0</v>
      </c>
      <c r="AD92">
        <f t="shared" si="7"/>
        <v>0</v>
      </c>
      <c r="AE92">
        <f t="shared" si="7"/>
        <v>0</v>
      </c>
      <c r="AF92">
        <f t="shared" si="7"/>
        <v>0</v>
      </c>
      <c r="AG92">
        <f t="shared" si="7"/>
        <v>0</v>
      </c>
    </row>
    <row r="93" spans="1:33" x14ac:dyDescent="0.2">
      <c r="A93" t="s">
        <v>79</v>
      </c>
      <c r="C93">
        <f t="shared" si="5"/>
        <v>7500</v>
      </c>
      <c r="D93">
        <f t="shared" si="6"/>
        <v>7500</v>
      </c>
      <c r="E93">
        <f t="shared" si="6"/>
        <v>7500</v>
      </c>
      <c r="F93">
        <f t="shared" si="6"/>
        <v>7500</v>
      </c>
      <c r="G93">
        <f t="shared" si="6"/>
        <v>2812.5</v>
      </c>
      <c r="H93">
        <f t="shared" si="6"/>
        <v>0</v>
      </c>
      <c r="I93">
        <f t="shared" si="6"/>
        <v>0</v>
      </c>
      <c r="J93">
        <f t="shared" si="6"/>
        <v>0</v>
      </c>
      <c r="K93">
        <f t="shared" si="6"/>
        <v>0</v>
      </c>
      <c r="L93">
        <f t="shared" si="6"/>
        <v>0</v>
      </c>
      <c r="M93">
        <f t="shared" si="6"/>
        <v>0</v>
      </c>
      <c r="N93">
        <f t="shared" si="6"/>
        <v>0</v>
      </c>
      <c r="O93">
        <f t="shared" si="6"/>
        <v>0</v>
      </c>
      <c r="P93">
        <f t="shared" si="6"/>
        <v>0</v>
      </c>
      <c r="Q93">
        <f t="shared" si="6"/>
        <v>0</v>
      </c>
      <c r="R93">
        <f t="shared" si="6"/>
        <v>0</v>
      </c>
      <c r="S93">
        <f t="shared" si="6"/>
        <v>0</v>
      </c>
      <c r="T93">
        <f t="shared" si="7"/>
        <v>0</v>
      </c>
      <c r="U93">
        <f t="shared" si="7"/>
        <v>0</v>
      </c>
      <c r="V93">
        <f t="shared" si="7"/>
        <v>0</v>
      </c>
      <c r="W93">
        <f t="shared" si="7"/>
        <v>0</v>
      </c>
      <c r="X93">
        <f t="shared" si="7"/>
        <v>0</v>
      </c>
      <c r="Y93">
        <f t="shared" si="7"/>
        <v>0</v>
      </c>
      <c r="Z93">
        <f t="shared" si="7"/>
        <v>0</v>
      </c>
      <c r="AA93">
        <f t="shared" si="7"/>
        <v>0</v>
      </c>
      <c r="AB93">
        <f t="shared" si="7"/>
        <v>0</v>
      </c>
      <c r="AC93">
        <f t="shared" si="7"/>
        <v>0</v>
      </c>
      <c r="AD93">
        <f t="shared" si="7"/>
        <v>0</v>
      </c>
      <c r="AE93">
        <f t="shared" si="7"/>
        <v>0</v>
      </c>
      <c r="AF93">
        <f t="shared" si="7"/>
        <v>0</v>
      </c>
      <c r="AG93">
        <f t="shared" si="7"/>
        <v>0</v>
      </c>
    </row>
    <row r="94" spans="1:33" x14ac:dyDescent="0.2">
      <c r="A94" t="s">
        <v>80</v>
      </c>
      <c r="C94">
        <f t="shared" si="5"/>
        <v>7500</v>
      </c>
      <c r="D94">
        <f t="shared" si="6"/>
        <v>7500</v>
      </c>
      <c r="E94">
        <f t="shared" si="6"/>
        <v>7500</v>
      </c>
      <c r="F94">
        <f t="shared" si="6"/>
        <v>7500</v>
      </c>
      <c r="G94">
        <f t="shared" si="6"/>
        <v>7500</v>
      </c>
      <c r="H94">
        <f t="shared" si="6"/>
        <v>7500</v>
      </c>
      <c r="I94">
        <f t="shared" si="6"/>
        <v>7500</v>
      </c>
      <c r="J94">
        <f t="shared" si="6"/>
        <v>7500</v>
      </c>
      <c r="K94">
        <f t="shared" si="6"/>
        <v>7500</v>
      </c>
      <c r="L94">
        <f t="shared" si="6"/>
        <v>7500</v>
      </c>
      <c r="M94">
        <f t="shared" si="6"/>
        <v>7500</v>
      </c>
      <c r="N94">
        <f t="shared" si="6"/>
        <v>7500</v>
      </c>
      <c r="O94">
        <f t="shared" si="6"/>
        <v>7500</v>
      </c>
      <c r="P94">
        <f t="shared" si="6"/>
        <v>7500</v>
      </c>
      <c r="Q94">
        <f t="shared" si="6"/>
        <v>7500</v>
      </c>
      <c r="R94">
        <f t="shared" si="6"/>
        <v>7500</v>
      </c>
      <c r="S94">
        <f t="shared" si="6"/>
        <v>7500</v>
      </c>
      <c r="T94">
        <f t="shared" si="7"/>
        <v>7500</v>
      </c>
      <c r="U94">
        <f t="shared" si="7"/>
        <v>7500</v>
      </c>
      <c r="V94">
        <f t="shared" si="7"/>
        <v>7500</v>
      </c>
      <c r="W94">
        <f t="shared" si="7"/>
        <v>7500</v>
      </c>
      <c r="X94">
        <f t="shared" si="7"/>
        <v>7500</v>
      </c>
      <c r="Y94">
        <f t="shared" si="7"/>
        <v>7500</v>
      </c>
      <c r="Z94">
        <f t="shared" si="7"/>
        <v>7500</v>
      </c>
      <c r="AA94">
        <f t="shared" si="7"/>
        <v>7500</v>
      </c>
      <c r="AB94">
        <f t="shared" si="7"/>
        <v>7500</v>
      </c>
      <c r="AC94">
        <f t="shared" si="7"/>
        <v>7500</v>
      </c>
      <c r="AD94">
        <f t="shared" si="7"/>
        <v>7500</v>
      </c>
      <c r="AE94">
        <f t="shared" si="7"/>
        <v>2812.5</v>
      </c>
      <c r="AF94">
        <f t="shared" si="7"/>
        <v>0</v>
      </c>
      <c r="AG94">
        <f t="shared" si="7"/>
        <v>0</v>
      </c>
    </row>
    <row r="95" spans="1:33" x14ac:dyDescent="0.2">
      <c r="A95" t="s">
        <v>81</v>
      </c>
      <c r="C95">
        <f t="shared" si="5"/>
        <v>7500</v>
      </c>
      <c r="D95">
        <f t="shared" si="6"/>
        <v>7500</v>
      </c>
      <c r="E95">
        <f t="shared" si="6"/>
        <v>7500</v>
      </c>
      <c r="F95">
        <f t="shared" si="6"/>
        <v>7500</v>
      </c>
      <c r="G95">
        <f t="shared" si="6"/>
        <v>7500</v>
      </c>
      <c r="H95">
        <f t="shared" si="6"/>
        <v>7500</v>
      </c>
      <c r="I95">
        <f t="shared" si="6"/>
        <v>7500</v>
      </c>
      <c r="J95">
        <f t="shared" si="6"/>
        <v>7500</v>
      </c>
      <c r="K95">
        <f t="shared" si="6"/>
        <v>7500</v>
      </c>
      <c r="L95">
        <f t="shared" si="6"/>
        <v>7500</v>
      </c>
      <c r="M95">
        <f t="shared" si="6"/>
        <v>7500</v>
      </c>
      <c r="N95">
        <f t="shared" si="6"/>
        <v>7500</v>
      </c>
      <c r="O95">
        <f t="shared" si="6"/>
        <v>7500</v>
      </c>
      <c r="P95">
        <f t="shared" si="6"/>
        <v>7500</v>
      </c>
      <c r="Q95">
        <f t="shared" si="6"/>
        <v>2812.5</v>
      </c>
      <c r="R95">
        <f t="shared" si="6"/>
        <v>0</v>
      </c>
      <c r="S95">
        <f t="shared" ref="S95:V101" si="8">IF(R18&lt;200000,7500,IF(Q18&lt;200000,7500*0.375,0))</f>
        <v>0</v>
      </c>
      <c r="T95">
        <f t="shared" si="7"/>
        <v>0</v>
      </c>
      <c r="U95">
        <f t="shared" si="7"/>
        <v>0</v>
      </c>
      <c r="V95">
        <f t="shared" si="7"/>
        <v>0</v>
      </c>
      <c r="W95">
        <f t="shared" si="7"/>
        <v>0</v>
      </c>
      <c r="X95">
        <f t="shared" si="7"/>
        <v>0</v>
      </c>
      <c r="Y95">
        <f t="shared" si="7"/>
        <v>0</v>
      </c>
      <c r="Z95">
        <f t="shared" si="7"/>
        <v>0</v>
      </c>
      <c r="AA95">
        <f t="shared" si="7"/>
        <v>0</v>
      </c>
      <c r="AB95">
        <f t="shared" si="7"/>
        <v>0</v>
      </c>
      <c r="AC95">
        <f t="shared" si="7"/>
        <v>0</v>
      </c>
      <c r="AD95">
        <f t="shared" si="7"/>
        <v>0</v>
      </c>
      <c r="AE95">
        <f t="shared" si="7"/>
        <v>0</v>
      </c>
      <c r="AF95">
        <f t="shared" si="7"/>
        <v>0</v>
      </c>
      <c r="AG95">
        <f t="shared" si="7"/>
        <v>0</v>
      </c>
    </row>
    <row r="96" spans="1:33" x14ac:dyDescent="0.2">
      <c r="A96" t="s">
        <v>82</v>
      </c>
      <c r="C96">
        <f t="shared" si="5"/>
        <v>7500</v>
      </c>
      <c r="D96">
        <f t="shared" ref="D96:R101" si="9">IF(C19&lt;200000,7500,IF(B19&lt;200000,7500*0.375,0))</f>
        <v>7500</v>
      </c>
      <c r="E96">
        <f t="shared" si="9"/>
        <v>7500</v>
      </c>
      <c r="F96">
        <f t="shared" si="9"/>
        <v>7500</v>
      </c>
      <c r="G96">
        <f t="shared" si="9"/>
        <v>7500</v>
      </c>
      <c r="H96">
        <f t="shared" si="9"/>
        <v>7500</v>
      </c>
      <c r="I96">
        <f t="shared" si="9"/>
        <v>7500</v>
      </c>
      <c r="J96">
        <f t="shared" si="9"/>
        <v>7500</v>
      </c>
      <c r="K96">
        <f t="shared" si="9"/>
        <v>7500</v>
      </c>
      <c r="L96">
        <f t="shared" si="9"/>
        <v>7500</v>
      </c>
      <c r="M96">
        <f t="shared" si="9"/>
        <v>7500</v>
      </c>
      <c r="N96">
        <f t="shared" si="9"/>
        <v>7500</v>
      </c>
      <c r="O96">
        <f t="shared" si="9"/>
        <v>7500</v>
      </c>
      <c r="P96">
        <f t="shared" si="9"/>
        <v>7500</v>
      </c>
      <c r="Q96">
        <f t="shared" si="9"/>
        <v>7500</v>
      </c>
      <c r="R96">
        <f t="shared" si="9"/>
        <v>7500</v>
      </c>
      <c r="S96">
        <f t="shared" si="8"/>
        <v>7500</v>
      </c>
      <c r="T96">
        <f t="shared" si="7"/>
        <v>7500</v>
      </c>
      <c r="U96">
        <f t="shared" si="7"/>
        <v>7500</v>
      </c>
      <c r="V96">
        <f t="shared" si="7"/>
        <v>7500</v>
      </c>
      <c r="W96">
        <f t="shared" si="7"/>
        <v>7500</v>
      </c>
      <c r="X96">
        <f t="shared" si="7"/>
        <v>7500</v>
      </c>
      <c r="Y96">
        <f t="shared" si="7"/>
        <v>7500</v>
      </c>
      <c r="Z96">
        <f t="shared" si="7"/>
        <v>7500</v>
      </c>
      <c r="AA96">
        <f t="shared" si="7"/>
        <v>7500</v>
      </c>
      <c r="AB96">
        <f t="shared" si="7"/>
        <v>7500</v>
      </c>
      <c r="AC96">
        <f t="shared" si="7"/>
        <v>7500</v>
      </c>
      <c r="AD96">
        <f t="shared" si="7"/>
        <v>7500</v>
      </c>
      <c r="AE96">
        <f t="shared" si="7"/>
        <v>7500</v>
      </c>
      <c r="AF96">
        <f t="shared" si="7"/>
        <v>7500</v>
      </c>
      <c r="AG96">
        <f t="shared" si="7"/>
        <v>7500</v>
      </c>
    </row>
    <row r="97" spans="1:33" x14ac:dyDescent="0.2">
      <c r="A97" t="s">
        <v>83</v>
      </c>
      <c r="C97">
        <f t="shared" si="5"/>
        <v>7500</v>
      </c>
      <c r="D97">
        <f t="shared" si="9"/>
        <v>7500</v>
      </c>
      <c r="E97">
        <f t="shared" si="9"/>
        <v>7500</v>
      </c>
      <c r="F97">
        <f t="shared" si="9"/>
        <v>7500</v>
      </c>
      <c r="G97">
        <f t="shared" si="9"/>
        <v>7500</v>
      </c>
      <c r="H97">
        <f t="shared" si="9"/>
        <v>7500</v>
      </c>
      <c r="I97">
        <f t="shared" si="9"/>
        <v>7500</v>
      </c>
      <c r="J97">
        <f t="shared" si="9"/>
        <v>7500</v>
      </c>
      <c r="K97">
        <f t="shared" si="9"/>
        <v>7500</v>
      </c>
      <c r="L97">
        <f t="shared" si="9"/>
        <v>7500</v>
      </c>
      <c r="M97">
        <f t="shared" si="9"/>
        <v>7500</v>
      </c>
      <c r="N97">
        <f t="shared" si="9"/>
        <v>7500</v>
      </c>
      <c r="O97">
        <f t="shared" si="9"/>
        <v>7500</v>
      </c>
      <c r="P97">
        <f t="shared" si="9"/>
        <v>7500</v>
      </c>
      <c r="Q97">
        <f t="shared" si="9"/>
        <v>7500</v>
      </c>
      <c r="R97">
        <f t="shared" si="9"/>
        <v>2812.5</v>
      </c>
      <c r="S97">
        <f t="shared" si="8"/>
        <v>0</v>
      </c>
      <c r="T97">
        <f t="shared" si="7"/>
        <v>0</v>
      </c>
      <c r="U97">
        <f t="shared" si="7"/>
        <v>0</v>
      </c>
      <c r="V97">
        <f t="shared" si="7"/>
        <v>0</v>
      </c>
      <c r="W97">
        <f t="shared" si="7"/>
        <v>0</v>
      </c>
      <c r="X97">
        <f t="shared" si="7"/>
        <v>0</v>
      </c>
      <c r="Y97">
        <f t="shared" si="7"/>
        <v>0</v>
      </c>
      <c r="Z97">
        <f t="shared" si="7"/>
        <v>0</v>
      </c>
      <c r="AA97">
        <f t="shared" si="7"/>
        <v>0</v>
      </c>
      <c r="AB97">
        <f t="shared" si="7"/>
        <v>0</v>
      </c>
      <c r="AC97">
        <f t="shared" si="7"/>
        <v>0</v>
      </c>
      <c r="AD97">
        <f t="shared" si="7"/>
        <v>0</v>
      </c>
      <c r="AE97">
        <f t="shared" si="7"/>
        <v>0</v>
      </c>
      <c r="AF97">
        <f t="shared" si="7"/>
        <v>0</v>
      </c>
      <c r="AG97">
        <f t="shared" si="7"/>
        <v>0</v>
      </c>
    </row>
    <row r="98" spans="1:33" x14ac:dyDescent="0.2">
      <c r="A98" t="s">
        <v>84</v>
      </c>
      <c r="C98">
        <f t="shared" si="5"/>
        <v>7500</v>
      </c>
      <c r="D98">
        <f t="shared" si="9"/>
        <v>7500</v>
      </c>
      <c r="E98">
        <f t="shared" si="9"/>
        <v>7500</v>
      </c>
      <c r="F98">
        <f t="shared" si="9"/>
        <v>7500</v>
      </c>
      <c r="G98">
        <f t="shared" si="9"/>
        <v>7500</v>
      </c>
      <c r="H98">
        <f t="shared" si="9"/>
        <v>7500</v>
      </c>
      <c r="I98">
        <f t="shared" si="9"/>
        <v>7500</v>
      </c>
      <c r="J98">
        <f t="shared" si="9"/>
        <v>7500</v>
      </c>
      <c r="K98">
        <f t="shared" si="9"/>
        <v>7500</v>
      </c>
      <c r="L98">
        <f t="shared" si="9"/>
        <v>7500</v>
      </c>
      <c r="M98">
        <f t="shared" si="9"/>
        <v>7500</v>
      </c>
      <c r="N98">
        <f t="shared" si="9"/>
        <v>7500</v>
      </c>
      <c r="O98">
        <f t="shared" si="9"/>
        <v>7500</v>
      </c>
      <c r="P98">
        <f t="shared" si="9"/>
        <v>2812.5</v>
      </c>
      <c r="Q98">
        <f t="shared" si="9"/>
        <v>0</v>
      </c>
      <c r="R98">
        <f t="shared" si="9"/>
        <v>0</v>
      </c>
      <c r="S98">
        <f t="shared" si="8"/>
        <v>0</v>
      </c>
      <c r="T98">
        <f t="shared" si="7"/>
        <v>0</v>
      </c>
      <c r="U98">
        <f t="shared" si="7"/>
        <v>0</v>
      </c>
      <c r="V98">
        <f t="shared" si="7"/>
        <v>0</v>
      </c>
      <c r="W98">
        <f t="shared" ref="W98:AG101" si="10">IF(V21&lt;200000,7500,IF(U21&lt;200000,7500*0.375,0))</f>
        <v>0</v>
      </c>
      <c r="X98">
        <f t="shared" si="10"/>
        <v>0</v>
      </c>
      <c r="Y98">
        <f t="shared" si="10"/>
        <v>0</v>
      </c>
      <c r="Z98">
        <f t="shared" si="10"/>
        <v>0</v>
      </c>
      <c r="AA98">
        <f t="shared" si="10"/>
        <v>0</v>
      </c>
      <c r="AB98">
        <f t="shared" si="10"/>
        <v>0</v>
      </c>
      <c r="AC98">
        <f t="shared" si="10"/>
        <v>0</v>
      </c>
      <c r="AD98">
        <f t="shared" si="10"/>
        <v>0</v>
      </c>
      <c r="AE98">
        <f t="shared" si="10"/>
        <v>0</v>
      </c>
      <c r="AF98">
        <f t="shared" si="10"/>
        <v>0</v>
      </c>
      <c r="AG98">
        <f t="shared" si="10"/>
        <v>0</v>
      </c>
    </row>
    <row r="99" spans="1:33" x14ac:dyDescent="0.2">
      <c r="A99" t="s">
        <v>85</v>
      </c>
      <c r="C99">
        <f t="shared" si="5"/>
        <v>7500</v>
      </c>
      <c r="D99">
        <f t="shared" si="9"/>
        <v>7500</v>
      </c>
      <c r="E99">
        <f t="shared" si="9"/>
        <v>7500</v>
      </c>
      <c r="F99">
        <f t="shared" si="9"/>
        <v>7500</v>
      </c>
      <c r="G99">
        <f t="shared" si="9"/>
        <v>7500</v>
      </c>
      <c r="H99">
        <f t="shared" si="9"/>
        <v>7500</v>
      </c>
      <c r="I99">
        <f t="shared" si="9"/>
        <v>7500</v>
      </c>
      <c r="J99">
        <f t="shared" si="9"/>
        <v>7500</v>
      </c>
      <c r="K99">
        <f t="shared" si="9"/>
        <v>7500</v>
      </c>
      <c r="L99">
        <f t="shared" si="9"/>
        <v>7500</v>
      </c>
      <c r="M99">
        <f t="shared" si="9"/>
        <v>7500</v>
      </c>
      <c r="N99">
        <f t="shared" si="9"/>
        <v>7500</v>
      </c>
      <c r="O99">
        <f t="shared" si="9"/>
        <v>7500</v>
      </c>
      <c r="P99">
        <f t="shared" si="9"/>
        <v>7500</v>
      </c>
      <c r="Q99">
        <f t="shared" si="9"/>
        <v>7500</v>
      </c>
      <c r="R99">
        <f t="shared" si="9"/>
        <v>7500</v>
      </c>
      <c r="S99">
        <f t="shared" si="8"/>
        <v>7500</v>
      </c>
      <c r="T99">
        <f t="shared" si="8"/>
        <v>7500</v>
      </c>
      <c r="U99">
        <f t="shared" si="8"/>
        <v>7500</v>
      </c>
      <c r="V99">
        <f t="shared" si="8"/>
        <v>7500</v>
      </c>
      <c r="W99">
        <f t="shared" si="10"/>
        <v>7500</v>
      </c>
      <c r="X99">
        <f t="shared" si="10"/>
        <v>7500</v>
      </c>
      <c r="Y99">
        <f t="shared" si="10"/>
        <v>7500</v>
      </c>
      <c r="Z99">
        <f t="shared" si="10"/>
        <v>7500</v>
      </c>
      <c r="AA99">
        <f t="shared" si="10"/>
        <v>7500</v>
      </c>
      <c r="AB99">
        <f t="shared" si="10"/>
        <v>7500</v>
      </c>
      <c r="AC99">
        <f t="shared" si="10"/>
        <v>7500</v>
      </c>
      <c r="AD99">
        <f t="shared" si="10"/>
        <v>7500</v>
      </c>
      <c r="AE99">
        <f t="shared" si="10"/>
        <v>7500</v>
      </c>
      <c r="AF99">
        <f t="shared" si="10"/>
        <v>7500</v>
      </c>
      <c r="AG99">
        <f t="shared" si="10"/>
        <v>7500</v>
      </c>
    </row>
    <row r="100" spans="1:33" x14ac:dyDescent="0.2">
      <c r="A100" t="s">
        <v>86</v>
      </c>
      <c r="C100">
        <f t="shared" si="5"/>
        <v>7500</v>
      </c>
      <c r="D100">
        <f t="shared" si="9"/>
        <v>7500</v>
      </c>
      <c r="E100">
        <f t="shared" si="9"/>
        <v>7500</v>
      </c>
      <c r="F100">
        <f t="shared" si="9"/>
        <v>7500</v>
      </c>
      <c r="G100">
        <f t="shared" si="9"/>
        <v>7500</v>
      </c>
      <c r="H100">
        <f t="shared" si="9"/>
        <v>7500</v>
      </c>
      <c r="I100">
        <f t="shared" si="9"/>
        <v>7500</v>
      </c>
      <c r="J100">
        <f t="shared" si="9"/>
        <v>7500</v>
      </c>
      <c r="K100">
        <f t="shared" si="9"/>
        <v>7500</v>
      </c>
      <c r="L100">
        <f t="shared" si="9"/>
        <v>7500</v>
      </c>
      <c r="M100">
        <f t="shared" si="9"/>
        <v>7500</v>
      </c>
      <c r="N100">
        <f t="shared" si="9"/>
        <v>7500</v>
      </c>
      <c r="O100">
        <f t="shared" si="9"/>
        <v>7500</v>
      </c>
      <c r="P100">
        <f t="shared" si="9"/>
        <v>7500</v>
      </c>
      <c r="Q100">
        <f t="shared" si="9"/>
        <v>7500</v>
      </c>
      <c r="R100">
        <f t="shared" si="9"/>
        <v>7500</v>
      </c>
      <c r="S100">
        <f t="shared" si="8"/>
        <v>7500</v>
      </c>
      <c r="T100">
        <f t="shared" si="8"/>
        <v>7500</v>
      </c>
      <c r="U100">
        <f t="shared" si="8"/>
        <v>7500</v>
      </c>
      <c r="V100">
        <f t="shared" si="8"/>
        <v>7500</v>
      </c>
      <c r="W100">
        <f t="shared" si="10"/>
        <v>7500</v>
      </c>
      <c r="X100">
        <f t="shared" si="10"/>
        <v>7500</v>
      </c>
      <c r="Y100">
        <f t="shared" si="10"/>
        <v>7500</v>
      </c>
      <c r="Z100">
        <f t="shared" si="10"/>
        <v>7500</v>
      </c>
      <c r="AA100">
        <f t="shared" si="10"/>
        <v>7500</v>
      </c>
      <c r="AB100">
        <f t="shared" si="10"/>
        <v>7500</v>
      </c>
      <c r="AC100">
        <f t="shared" si="10"/>
        <v>7500</v>
      </c>
      <c r="AD100">
        <f t="shared" si="10"/>
        <v>7500</v>
      </c>
      <c r="AE100">
        <f t="shared" si="10"/>
        <v>7500</v>
      </c>
      <c r="AF100">
        <f t="shared" si="10"/>
        <v>7500</v>
      </c>
      <c r="AG100">
        <f t="shared" si="10"/>
        <v>7500</v>
      </c>
    </row>
    <row r="101" spans="1:33" x14ac:dyDescent="0.2">
      <c r="A101" t="s">
        <v>87</v>
      </c>
      <c r="C101">
        <f t="shared" si="5"/>
        <v>7500</v>
      </c>
      <c r="D101">
        <f t="shared" si="9"/>
        <v>7500</v>
      </c>
      <c r="E101">
        <f t="shared" si="9"/>
        <v>7500</v>
      </c>
      <c r="F101">
        <f t="shared" si="9"/>
        <v>7500</v>
      </c>
      <c r="G101">
        <f t="shared" si="9"/>
        <v>7500</v>
      </c>
      <c r="H101">
        <f t="shared" si="9"/>
        <v>7500</v>
      </c>
      <c r="I101">
        <f t="shared" si="9"/>
        <v>7500</v>
      </c>
      <c r="J101">
        <f t="shared" si="9"/>
        <v>7500</v>
      </c>
      <c r="K101">
        <f t="shared" si="9"/>
        <v>7500</v>
      </c>
      <c r="L101">
        <f t="shared" si="9"/>
        <v>7500</v>
      </c>
      <c r="M101">
        <f t="shared" si="9"/>
        <v>7500</v>
      </c>
      <c r="N101">
        <f t="shared" si="9"/>
        <v>7500</v>
      </c>
      <c r="O101">
        <f t="shared" si="9"/>
        <v>7500</v>
      </c>
      <c r="P101">
        <f t="shared" si="9"/>
        <v>7500</v>
      </c>
      <c r="Q101">
        <f t="shared" si="9"/>
        <v>7500</v>
      </c>
      <c r="R101">
        <f t="shared" si="9"/>
        <v>7500</v>
      </c>
      <c r="S101">
        <f t="shared" si="8"/>
        <v>7500</v>
      </c>
      <c r="T101">
        <f t="shared" si="8"/>
        <v>7500</v>
      </c>
      <c r="U101">
        <f t="shared" si="8"/>
        <v>7500</v>
      </c>
      <c r="V101">
        <f t="shared" si="8"/>
        <v>7500</v>
      </c>
      <c r="W101">
        <f t="shared" si="10"/>
        <v>7500</v>
      </c>
      <c r="X101">
        <f t="shared" si="10"/>
        <v>7500</v>
      </c>
      <c r="Y101">
        <f t="shared" si="10"/>
        <v>7500</v>
      </c>
      <c r="Z101">
        <f t="shared" si="10"/>
        <v>7500</v>
      </c>
      <c r="AA101">
        <f t="shared" si="10"/>
        <v>7500</v>
      </c>
      <c r="AB101">
        <f t="shared" si="10"/>
        <v>7500</v>
      </c>
      <c r="AC101">
        <f t="shared" si="10"/>
        <v>7500</v>
      </c>
      <c r="AD101">
        <f t="shared" si="10"/>
        <v>7500</v>
      </c>
      <c r="AE101">
        <f t="shared" si="10"/>
        <v>7500</v>
      </c>
      <c r="AF101">
        <f t="shared" si="10"/>
        <v>7500</v>
      </c>
      <c r="AG101">
        <f t="shared" si="10"/>
        <v>7500</v>
      </c>
    </row>
    <row r="103" spans="1:33" x14ac:dyDescent="0.2">
      <c r="A103" t="s">
        <v>94</v>
      </c>
      <c r="C103">
        <v>2020</v>
      </c>
      <c r="D103">
        <v>2021</v>
      </c>
      <c r="E103">
        <v>2022</v>
      </c>
      <c r="F103">
        <v>2023</v>
      </c>
      <c r="G103">
        <v>2024</v>
      </c>
      <c r="H103">
        <v>2025</v>
      </c>
      <c r="I103">
        <v>2026</v>
      </c>
      <c r="J103">
        <v>2027</v>
      </c>
      <c r="K103">
        <v>2028</v>
      </c>
      <c r="L103">
        <v>2029</v>
      </c>
      <c r="M103">
        <v>2030</v>
      </c>
      <c r="N103">
        <v>2031</v>
      </c>
      <c r="O103">
        <v>2032</v>
      </c>
      <c r="P103">
        <v>2033</v>
      </c>
      <c r="Q103">
        <v>2034</v>
      </c>
      <c r="R103">
        <v>2035</v>
      </c>
      <c r="S103">
        <v>2036</v>
      </c>
      <c r="T103">
        <v>2037</v>
      </c>
      <c r="U103">
        <v>2038</v>
      </c>
      <c r="V103">
        <v>2039</v>
      </c>
      <c r="W103">
        <v>2040</v>
      </c>
      <c r="X103">
        <v>2041</v>
      </c>
      <c r="Y103">
        <v>2042</v>
      </c>
      <c r="Z103">
        <v>2043</v>
      </c>
      <c r="AA103">
        <v>2044</v>
      </c>
      <c r="AB103">
        <v>2045</v>
      </c>
      <c r="AC103">
        <v>2046</v>
      </c>
      <c r="AD103">
        <v>2047</v>
      </c>
      <c r="AE103">
        <v>2048</v>
      </c>
      <c r="AF103">
        <v>2049</v>
      </c>
      <c r="AG103">
        <v>2050</v>
      </c>
    </row>
    <row r="104" spans="1:33" x14ac:dyDescent="0.2">
      <c r="C104" s="13">
        <f>SUMPRODUCT(C80:C101,B32:B53)/SUM(B32:B53)</f>
        <v>1066.1676835021071</v>
      </c>
      <c r="D104" s="13">
        <f>SUMPRODUCT(D80:D101,C32:C53)/SUM(C32:C53)</f>
        <v>1856.0233411543468</v>
      </c>
      <c r="E104" s="13">
        <f t="shared" ref="E104:AG104" si="11">SUMPRODUCT(E80:E101,D32:D53)/SUM(D32:D53)</f>
        <v>1578.300959198687</v>
      </c>
      <c r="F104" s="13">
        <f t="shared" si="11"/>
        <v>1230.8383357347759</v>
      </c>
      <c r="G104" s="13">
        <f t="shared" si="11"/>
        <v>626.81536567953572</v>
      </c>
      <c r="H104" s="13">
        <f t="shared" si="11"/>
        <v>144.46746734110212</v>
      </c>
      <c r="I104" s="13">
        <f t="shared" si="11"/>
        <v>33.447891591177203</v>
      </c>
      <c r="J104" s="13">
        <f t="shared" si="11"/>
        <v>33.447891591177196</v>
      </c>
      <c r="K104" s="13">
        <f t="shared" si="11"/>
        <v>33.447891591177196</v>
      </c>
      <c r="L104" s="13">
        <f t="shared" si="11"/>
        <v>33.447891591177182</v>
      </c>
      <c r="M104" s="13">
        <f t="shared" si="11"/>
        <v>33.447891591177203</v>
      </c>
      <c r="N104" s="13">
        <f t="shared" si="11"/>
        <v>33.447891591177196</v>
      </c>
      <c r="O104" s="13">
        <f t="shared" si="11"/>
        <v>33.437689086421472</v>
      </c>
      <c r="P104" s="13">
        <f t="shared" si="11"/>
        <v>33.431567583568039</v>
      </c>
      <c r="Q104" s="13">
        <f t="shared" si="11"/>
        <v>33.431567583568032</v>
      </c>
      <c r="R104" s="13">
        <f t="shared" si="11"/>
        <v>22.596507532985374</v>
      </c>
      <c r="S104" s="13">
        <f t="shared" si="11"/>
        <v>16.095471502635785</v>
      </c>
      <c r="T104" s="13">
        <f t="shared" si="11"/>
        <v>16.095471502635785</v>
      </c>
      <c r="U104" s="13">
        <f t="shared" si="11"/>
        <v>16.095471502635782</v>
      </c>
      <c r="V104" s="13">
        <f t="shared" si="11"/>
        <v>16.095471502635782</v>
      </c>
      <c r="W104" s="13">
        <f t="shared" si="11"/>
        <v>16.095471502635789</v>
      </c>
      <c r="X104" s="13">
        <f t="shared" si="11"/>
        <v>16.095471502635782</v>
      </c>
      <c r="Y104" s="13">
        <f t="shared" si="11"/>
        <v>16.095471502635782</v>
      </c>
      <c r="Z104" s="13">
        <f t="shared" si="11"/>
        <v>16.095471502635782</v>
      </c>
      <c r="AA104" s="13">
        <f t="shared" si="11"/>
        <v>16.095471502635782</v>
      </c>
      <c r="AB104" s="13">
        <f t="shared" si="11"/>
        <v>16.095471502635782</v>
      </c>
      <c r="AC104" s="13">
        <f t="shared" si="11"/>
        <v>16.095471502635782</v>
      </c>
      <c r="AD104" s="13">
        <f t="shared" si="11"/>
        <v>16.095471502635778</v>
      </c>
      <c r="AE104" s="13">
        <f t="shared" si="11"/>
        <v>11.718596962428663</v>
      </c>
      <c r="AF104" s="13">
        <f t="shared" si="11"/>
        <v>9.0924722383043886</v>
      </c>
      <c r="AG104" s="13">
        <f t="shared" si="11"/>
        <v>9.0924722383043903</v>
      </c>
    </row>
  </sheetData>
  <conditionalFormatting sqref="AG3:AG14 B3:AF24 AG15:AI24">
    <cfRule type="expression" dxfId="1" priority="1">
      <formula>B3&gt;600000</formula>
    </cfRule>
    <cfRule type="expression" dxfId="0" priority="2">
      <formula>B3&gt;200000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535D-1EA9-4EA0-BC79-B0A926B70A46}">
  <dimension ref="A1:S114"/>
  <sheetViews>
    <sheetView topLeftCell="A94" workbookViewId="0">
      <selection activeCell="A111" sqref="A111:A113"/>
    </sheetView>
  </sheetViews>
  <sheetFormatPr baseColWidth="10" defaultColWidth="8.6640625" defaultRowHeight="15" x14ac:dyDescent="0.2"/>
  <cols>
    <col min="1" max="1" width="21.1640625" customWidth="1"/>
    <col min="2" max="2" width="11.6640625" customWidth="1"/>
    <col min="3" max="3" width="11.1640625" customWidth="1"/>
    <col min="12" max="12" width="17.1640625" customWidth="1"/>
    <col min="18" max="18" width="13.33203125" customWidth="1"/>
  </cols>
  <sheetData>
    <row r="1" spans="1:19" x14ac:dyDescent="0.2">
      <c r="A1" t="s">
        <v>95</v>
      </c>
    </row>
    <row r="2" spans="1:19" x14ac:dyDescent="0.2">
      <c r="A2" s="1" t="s">
        <v>96</v>
      </c>
      <c r="B2" s="1"/>
      <c r="C2" s="1"/>
    </row>
    <row r="3" spans="1:19" ht="32" x14ac:dyDescent="0.2">
      <c r="A3" s="25" t="s">
        <v>97</v>
      </c>
      <c r="B3" s="25"/>
      <c r="C3" s="25"/>
      <c r="D3" s="26">
        <v>2011</v>
      </c>
      <c r="E3" s="26">
        <v>2012</v>
      </c>
      <c r="F3" s="26">
        <v>2013</v>
      </c>
      <c r="G3" s="26">
        <v>2014</v>
      </c>
      <c r="H3" s="26">
        <v>2015</v>
      </c>
      <c r="I3" s="26">
        <v>2016</v>
      </c>
      <c r="J3" s="26">
        <v>2017</v>
      </c>
      <c r="K3" s="26">
        <v>2018</v>
      </c>
      <c r="L3" s="26">
        <v>2019</v>
      </c>
      <c r="M3" s="26">
        <v>2020</v>
      </c>
      <c r="N3" s="26">
        <v>2021</v>
      </c>
      <c r="O3" s="26" t="s">
        <v>98</v>
      </c>
      <c r="P3" s="26"/>
      <c r="Q3" s="26" t="s">
        <v>99</v>
      </c>
      <c r="R3" s="27" t="s">
        <v>100</v>
      </c>
      <c r="S3" s="1"/>
    </row>
    <row r="4" spans="1:19" x14ac:dyDescent="0.2">
      <c r="A4" t="s">
        <v>13</v>
      </c>
      <c r="E4">
        <v>2400</v>
      </c>
      <c r="F4">
        <v>19400</v>
      </c>
      <c r="G4">
        <v>16750</v>
      </c>
      <c r="H4">
        <v>26408</v>
      </c>
      <c r="I4">
        <v>49800</v>
      </c>
      <c r="J4">
        <v>49970</v>
      </c>
      <c r="K4">
        <v>161123</v>
      </c>
      <c r="L4">
        <v>177589</v>
      </c>
      <c r="M4">
        <v>183829</v>
      </c>
      <c r="N4">
        <v>320918</v>
      </c>
      <c r="O4">
        <v>180520</v>
      </c>
      <c r="Q4">
        <v>1188707</v>
      </c>
      <c r="R4" s="7">
        <f>N4/$N$27</f>
        <v>0.506558531141579</v>
      </c>
    </row>
    <row r="5" spans="1:19" x14ac:dyDescent="0.2">
      <c r="A5" t="s">
        <v>67</v>
      </c>
      <c r="D5">
        <v>7671</v>
      </c>
      <c r="E5">
        <v>23461</v>
      </c>
      <c r="F5">
        <v>23660</v>
      </c>
      <c r="G5">
        <v>21260</v>
      </c>
      <c r="H5">
        <v>19046</v>
      </c>
      <c r="I5">
        <v>28887</v>
      </c>
      <c r="J5">
        <v>43891</v>
      </c>
      <c r="K5">
        <v>36594</v>
      </c>
      <c r="L5">
        <v>21370</v>
      </c>
      <c r="M5">
        <v>20835</v>
      </c>
      <c r="N5">
        <v>24845</v>
      </c>
      <c r="O5">
        <v>3680</v>
      </c>
      <c r="Q5">
        <v>275200</v>
      </c>
      <c r="R5" s="7">
        <f t="shared" ref="R5:R25" si="0">N5/$N$27</f>
        <v>3.9217017138996661E-2</v>
      </c>
    </row>
    <row r="6" spans="1:19" x14ac:dyDescent="0.2">
      <c r="A6" t="s">
        <v>68</v>
      </c>
      <c r="D6">
        <v>9674</v>
      </c>
      <c r="E6">
        <v>9819</v>
      </c>
      <c r="F6">
        <v>22610</v>
      </c>
      <c r="G6">
        <v>30200</v>
      </c>
      <c r="H6">
        <v>17269</v>
      </c>
      <c r="I6">
        <v>14006</v>
      </c>
      <c r="J6">
        <v>11230</v>
      </c>
      <c r="K6">
        <v>14715</v>
      </c>
      <c r="L6">
        <v>12365</v>
      </c>
      <c r="M6">
        <v>9564</v>
      </c>
      <c r="N6">
        <v>14239</v>
      </c>
      <c r="O6">
        <v>7037</v>
      </c>
      <c r="Q6">
        <v>172728</v>
      </c>
      <c r="R6" s="7">
        <f t="shared" si="0"/>
        <v>2.2475794205762668E-2</v>
      </c>
    </row>
    <row r="7" spans="1:19" x14ac:dyDescent="0.2">
      <c r="A7" t="s">
        <v>69</v>
      </c>
      <c r="E7">
        <v>12941</v>
      </c>
      <c r="F7">
        <v>13093</v>
      </c>
      <c r="G7">
        <v>14448</v>
      </c>
      <c r="H7">
        <v>4209</v>
      </c>
      <c r="I7">
        <v>2474</v>
      </c>
      <c r="J7">
        <v>20936</v>
      </c>
      <c r="K7">
        <v>27596</v>
      </c>
      <c r="L7">
        <v>21856</v>
      </c>
      <c r="M7">
        <v>17898</v>
      </c>
      <c r="N7">
        <v>52767</v>
      </c>
      <c r="O7">
        <v>13578</v>
      </c>
      <c r="Q7">
        <v>201796</v>
      </c>
      <c r="R7" s="7">
        <f t="shared" si="0"/>
        <v>8.3290977797280619E-2</v>
      </c>
    </row>
    <row r="8" spans="1:19" x14ac:dyDescent="0.2">
      <c r="A8" t="s">
        <v>70</v>
      </c>
      <c r="E8">
        <v>3057</v>
      </c>
      <c r="F8">
        <v>14981</v>
      </c>
      <c r="G8">
        <v>21947</v>
      </c>
      <c r="H8">
        <v>18923</v>
      </c>
      <c r="I8">
        <v>24796</v>
      </c>
      <c r="J8">
        <v>19589</v>
      </c>
      <c r="K8">
        <v>9216</v>
      </c>
      <c r="L8">
        <v>8235</v>
      </c>
      <c r="M8">
        <v>5568</v>
      </c>
      <c r="N8">
        <v>33234</v>
      </c>
      <c r="O8">
        <v>23819</v>
      </c>
      <c r="Q8">
        <v>183365</v>
      </c>
      <c r="R8" s="7">
        <f t="shared" si="0"/>
        <v>5.2458778329539747E-2</v>
      </c>
    </row>
    <row r="9" spans="1:19" x14ac:dyDescent="0.2">
      <c r="A9" t="s">
        <v>71</v>
      </c>
      <c r="E9">
        <v>673</v>
      </c>
      <c r="F9">
        <v>0</v>
      </c>
      <c r="G9">
        <v>6647</v>
      </c>
      <c r="H9">
        <v>14181</v>
      </c>
      <c r="I9">
        <v>16117</v>
      </c>
      <c r="J9">
        <v>21195</v>
      </c>
      <c r="K9">
        <v>26092</v>
      </c>
      <c r="L9">
        <v>14067</v>
      </c>
      <c r="M9">
        <v>10639</v>
      </c>
      <c r="N9">
        <v>23064</v>
      </c>
      <c r="O9">
        <v>7611</v>
      </c>
      <c r="Q9">
        <v>140286</v>
      </c>
      <c r="R9" s="7">
        <f t="shared" si="0"/>
        <v>3.6405767087696481E-2</v>
      </c>
    </row>
    <row r="10" spans="1:19" x14ac:dyDescent="0.2">
      <c r="A10" t="s">
        <v>72</v>
      </c>
      <c r="F10">
        <v>260</v>
      </c>
      <c r="G10">
        <v>1503</v>
      </c>
      <c r="H10">
        <v>3477</v>
      </c>
      <c r="I10">
        <v>3737</v>
      </c>
      <c r="J10">
        <v>6317</v>
      </c>
      <c r="K10">
        <v>9897</v>
      </c>
      <c r="L10">
        <v>6850</v>
      </c>
      <c r="M10">
        <v>5666</v>
      </c>
      <c r="N10">
        <v>48723</v>
      </c>
      <c r="O10">
        <v>30098</v>
      </c>
      <c r="Q10">
        <v>116528</v>
      </c>
      <c r="R10" s="7">
        <f t="shared" si="0"/>
        <v>7.6907656512913439E-2</v>
      </c>
    </row>
    <row r="11" spans="1:19" x14ac:dyDescent="0.2">
      <c r="A11" t="s">
        <v>73</v>
      </c>
      <c r="E11">
        <v>93</v>
      </c>
      <c r="F11">
        <v>1095</v>
      </c>
      <c r="G11">
        <v>856</v>
      </c>
      <c r="H11">
        <v>66</v>
      </c>
      <c r="I11">
        <v>0</v>
      </c>
      <c r="J11">
        <v>2024</v>
      </c>
      <c r="K11">
        <v>19550</v>
      </c>
      <c r="L11">
        <v>11334</v>
      </c>
      <c r="M11">
        <v>3984</v>
      </c>
      <c r="N11">
        <v>2315</v>
      </c>
      <c r="O11">
        <v>2</v>
      </c>
      <c r="Q11">
        <v>41319</v>
      </c>
      <c r="R11" s="7">
        <f t="shared" si="0"/>
        <v>3.654151526535612E-3</v>
      </c>
    </row>
    <row r="12" spans="1:19" x14ac:dyDescent="0.2">
      <c r="A12" t="s">
        <v>74</v>
      </c>
      <c r="I12">
        <v>4280</v>
      </c>
      <c r="J12">
        <v>2877</v>
      </c>
      <c r="K12">
        <v>2391</v>
      </c>
      <c r="L12">
        <v>5410</v>
      </c>
      <c r="M12">
        <v>11670</v>
      </c>
      <c r="N12">
        <v>20019</v>
      </c>
      <c r="O12">
        <v>9704</v>
      </c>
      <c r="Q12">
        <v>56351</v>
      </c>
      <c r="R12" s="7">
        <f t="shared" si="0"/>
        <v>3.159933451823603E-2</v>
      </c>
    </row>
    <row r="13" spans="1:19" x14ac:dyDescent="0.2">
      <c r="A13" t="s">
        <v>75</v>
      </c>
      <c r="H13">
        <v>15</v>
      </c>
      <c r="I13">
        <v>3000</v>
      </c>
      <c r="J13">
        <v>2686</v>
      </c>
      <c r="K13">
        <v>2684</v>
      </c>
      <c r="L13">
        <v>8045</v>
      </c>
      <c r="M13">
        <v>8793</v>
      </c>
      <c r="N13">
        <v>17013</v>
      </c>
      <c r="O13">
        <v>17215</v>
      </c>
      <c r="Q13">
        <v>59451</v>
      </c>
      <c r="R13" s="7">
        <f t="shared" si="0"/>
        <v>2.6854462168877047E-2</v>
      </c>
    </row>
    <row r="14" spans="1:19" x14ac:dyDescent="0.2">
      <c r="A14" t="s">
        <v>76</v>
      </c>
      <c r="G14">
        <v>359</v>
      </c>
      <c r="H14">
        <v>1015</v>
      </c>
      <c r="I14">
        <v>1728</v>
      </c>
      <c r="J14">
        <v>3669</v>
      </c>
      <c r="K14">
        <v>5670</v>
      </c>
      <c r="L14">
        <v>6769</v>
      </c>
      <c r="M14">
        <v>5302</v>
      </c>
      <c r="N14">
        <v>14617</v>
      </c>
      <c r="O14">
        <v>19481</v>
      </c>
      <c r="Q14">
        <v>58610</v>
      </c>
      <c r="R14" s="7">
        <f t="shared" si="0"/>
        <v>2.3072454800592241E-2</v>
      </c>
    </row>
    <row r="15" spans="1:19" x14ac:dyDescent="0.2">
      <c r="A15" t="s">
        <v>77</v>
      </c>
      <c r="H15">
        <v>86</v>
      </c>
      <c r="I15">
        <v>2015</v>
      </c>
      <c r="J15">
        <v>2826</v>
      </c>
      <c r="K15">
        <v>3818</v>
      </c>
      <c r="L15">
        <v>3683</v>
      </c>
      <c r="M15">
        <v>7241</v>
      </c>
      <c r="N15">
        <v>25469</v>
      </c>
      <c r="O15">
        <v>13813</v>
      </c>
      <c r="Q15">
        <v>58951</v>
      </c>
      <c r="R15" s="7">
        <f t="shared" si="0"/>
        <v>4.0201980660620085E-2</v>
      </c>
    </row>
    <row r="16" spans="1:19" x14ac:dyDescent="0.2">
      <c r="A16" t="s">
        <v>78</v>
      </c>
      <c r="F16">
        <v>51</v>
      </c>
      <c r="G16">
        <v>991</v>
      </c>
      <c r="H16">
        <v>1570</v>
      </c>
      <c r="I16">
        <v>2504</v>
      </c>
      <c r="J16">
        <v>1592</v>
      </c>
      <c r="K16">
        <v>2152</v>
      </c>
      <c r="L16">
        <v>2705</v>
      </c>
      <c r="M16">
        <v>6935</v>
      </c>
      <c r="N16">
        <v>11931</v>
      </c>
      <c r="O16">
        <v>4760</v>
      </c>
      <c r="Q16">
        <v>35191</v>
      </c>
      <c r="R16" s="7">
        <f t="shared" si="0"/>
        <v>1.8832691949501677E-2</v>
      </c>
    </row>
    <row r="17" spans="1:19" x14ac:dyDescent="0.2">
      <c r="A17" t="s">
        <v>79</v>
      </c>
      <c r="G17">
        <v>357</v>
      </c>
      <c r="H17">
        <v>4232</v>
      </c>
      <c r="I17">
        <v>3937</v>
      </c>
      <c r="J17">
        <v>3534</v>
      </c>
      <c r="K17">
        <v>1354</v>
      </c>
      <c r="L17">
        <v>4863</v>
      </c>
      <c r="M17">
        <v>767</v>
      </c>
      <c r="N17">
        <v>16775</v>
      </c>
      <c r="O17">
        <v>3820</v>
      </c>
      <c r="Q17">
        <v>39639</v>
      </c>
      <c r="R17" s="7">
        <f t="shared" si="0"/>
        <v>2.6478786979539908E-2</v>
      </c>
    </row>
    <row r="18" spans="1:19" x14ac:dyDescent="0.2">
      <c r="A18" t="s">
        <v>80</v>
      </c>
      <c r="G18">
        <v>774</v>
      </c>
      <c r="H18">
        <v>2024</v>
      </c>
      <c r="I18">
        <v>1584</v>
      </c>
      <c r="J18">
        <v>2690</v>
      </c>
      <c r="K18">
        <v>2336</v>
      </c>
      <c r="L18">
        <v>5389</v>
      </c>
      <c r="M18">
        <v>1236</v>
      </c>
      <c r="N18">
        <v>507</v>
      </c>
      <c r="O18">
        <v>3280</v>
      </c>
      <c r="Q18">
        <v>19820</v>
      </c>
      <c r="R18" s="7">
        <f t="shared" si="0"/>
        <v>8.0028286131903035E-4</v>
      </c>
    </row>
    <row r="19" spans="1:19" x14ac:dyDescent="0.2">
      <c r="A19" t="s">
        <v>81</v>
      </c>
      <c r="D19">
        <v>76</v>
      </c>
      <c r="E19">
        <v>588</v>
      </c>
      <c r="F19">
        <v>1029</v>
      </c>
      <c r="G19">
        <v>196</v>
      </c>
      <c r="H19">
        <v>115</v>
      </c>
      <c r="I19">
        <v>94</v>
      </c>
      <c r="J19">
        <v>105</v>
      </c>
      <c r="K19">
        <v>4166</v>
      </c>
      <c r="L19">
        <v>2810</v>
      </c>
      <c r="M19">
        <v>1964</v>
      </c>
      <c r="N19">
        <v>2250</v>
      </c>
      <c r="O19">
        <v>1158</v>
      </c>
      <c r="Q19">
        <v>14551</v>
      </c>
      <c r="R19" s="7">
        <f t="shared" si="0"/>
        <v>3.5515511596998389E-3</v>
      </c>
    </row>
    <row r="20" spans="1:19" x14ac:dyDescent="0.2">
      <c r="A20" t="s">
        <v>82</v>
      </c>
      <c r="D20">
        <v>342</v>
      </c>
      <c r="E20">
        <v>139</v>
      </c>
      <c r="F20">
        <v>923</v>
      </c>
      <c r="G20">
        <v>2594</v>
      </c>
      <c r="H20">
        <v>1387</v>
      </c>
      <c r="I20">
        <v>657</v>
      </c>
      <c r="J20">
        <v>544</v>
      </c>
      <c r="K20">
        <v>1198</v>
      </c>
      <c r="L20">
        <v>680</v>
      </c>
      <c r="M20">
        <v>0</v>
      </c>
      <c r="N20">
        <v>0</v>
      </c>
      <c r="O20">
        <v>0</v>
      </c>
      <c r="Q20">
        <v>8464</v>
      </c>
      <c r="R20" s="7">
        <f t="shared" si="0"/>
        <v>0</v>
      </c>
    </row>
    <row r="21" spans="1:19" x14ac:dyDescent="0.2">
      <c r="A21" t="s">
        <v>83</v>
      </c>
      <c r="K21">
        <v>393</v>
      </c>
      <c r="L21">
        <v>3002</v>
      </c>
      <c r="M21">
        <v>3129</v>
      </c>
      <c r="N21">
        <v>1665</v>
      </c>
      <c r="O21">
        <v>251</v>
      </c>
      <c r="Q21">
        <v>8440</v>
      </c>
      <c r="R21" s="7">
        <f t="shared" si="0"/>
        <v>2.6281478581778807E-3</v>
      </c>
    </row>
    <row r="22" spans="1:19" x14ac:dyDescent="0.2">
      <c r="A22" t="s">
        <v>84</v>
      </c>
      <c r="K22">
        <v>0</v>
      </c>
      <c r="L22">
        <v>2591</v>
      </c>
      <c r="M22">
        <v>2514</v>
      </c>
      <c r="N22">
        <v>2618</v>
      </c>
      <c r="O22">
        <v>947</v>
      </c>
      <c r="Q22">
        <v>8670</v>
      </c>
      <c r="R22" s="7">
        <f t="shared" si="0"/>
        <v>4.1324270827085233E-3</v>
      </c>
    </row>
    <row r="23" spans="1:19" x14ac:dyDescent="0.2">
      <c r="A23" t="s">
        <v>85</v>
      </c>
      <c r="N23">
        <v>376</v>
      </c>
      <c r="O23">
        <v>3551</v>
      </c>
      <c r="Q23">
        <v>3927</v>
      </c>
      <c r="R23" s="7">
        <f t="shared" si="0"/>
        <v>5.9350366046539526E-4</v>
      </c>
    </row>
    <row r="24" spans="1:19" x14ac:dyDescent="0.2">
      <c r="A24" t="s">
        <v>86</v>
      </c>
      <c r="N24">
        <v>65</v>
      </c>
      <c r="O24">
        <v>600</v>
      </c>
      <c r="Q24">
        <v>665</v>
      </c>
      <c r="R24" s="7">
        <f t="shared" si="0"/>
        <v>1.0260036683577312E-4</v>
      </c>
    </row>
    <row r="25" spans="1:19" x14ac:dyDescent="0.2">
      <c r="A25" t="s">
        <v>87</v>
      </c>
      <c r="N25">
        <v>116</v>
      </c>
      <c r="O25">
        <v>293</v>
      </c>
      <c r="Q25">
        <v>409</v>
      </c>
      <c r="R25" s="7">
        <f t="shared" si="0"/>
        <v>1.831021931223028E-4</v>
      </c>
    </row>
    <row r="27" spans="1:19" x14ac:dyDescent="0.2">
      <c r="A27" t="s">
        <v>99</v>
      </c>
      <c r="D27">
        <v>17763</v>
      </c>
      <c r="E27">
        <v>53171</v>
      </c>
      <c r="F27">
        <v>97102</v>
      </c>
      <c r="G27">
        <v>118882</v>
      </c>
      <c r="H27">
        <v>114023</v>
      </c>
      <c r="I27">
        <v>159616</v>
      </c>
      <c r="J27">
        <v>195675</v>
      </c>
      <c r="K27">
        <v>330945</v>
      </c>
      <c r="L27">
        <v>319613</v>
      </c>
      <c r="M27">
        <v>307534</v>
      </c>
      <c r="N27">
        <v>633526</v>
      </c>
      <c r="O27">
        <v>345218</v>
      </c>
      <c r="Q27">
        <v>2693068</v>
      </c>
    </row>
    <row r="29" spans="1:19" x14ac:dyDescent="0.2">
      <c r="A29" s="1" t="s">
        <v>101</v>
      </c>
      <c r="B29" s="1"/>
      <c r="C29" s="1"/>
    </row>
    <row r="30" spans="1:19" x14ac:dyDescent="0.2">
      <c r="A30" s="25" t="s">
        <v>97</v>
      </c>
      <c r="B30" s="25"/>
      <c r="C30" s="25"/>
      <c r="D30" s="26">
        <v>2011</v>
      </c>
      <c r="E30" s="26">
        <v>2012</v>
      </c>
      <c r="F30" s="26">
        <v>2013</v>
      </c>
      <c r="G30" s="26">
        <v>2014</v>
      </c>
      <c r="H30" s="26">
        <v>2015</v>
      </c>
      <c r="I30" s="26">
        <v>2016</v>
      </c>
      <c r="J30" s="26">
        <v>2017</v>
      </c>
      <c r="K30" s="26">
        <v>2018</v>
      </c>
      <c r="L30" s="26">
        <v>2019</v>
      </c>
      <c r="M30" s="26">
        <v>2020</v>
      </c>
      <c r="N30" s="26">
        <v>2021</v>
      </c>
      <c r="O30" s="26" t="s">
        <v>98</v>
      </c>
      <c r="Q30" s="26" t="s">
        <v>99</v>
      </c>
      <c r="R30" s="26"/>
      <c r="S30" s="1" t="s">
        <v>102</v>
      </c>
    </row>
    <row r="31" spans="1:19" x14ac:dyDescent="0.2">
      <c r="A31" t="s">
        <v>13</v>
      </c>
      <c r="E31">
        <v>2400</v>
      </c>
      <c r="F31">
        <v>19400</v>
      </c>
      <c r="G31">
        <v>16750</v>
      </c>
      <c r="H31">
        <v>26408</v>
      </c>
      <c r="I31">
        <v>49800</v>
      </c>
      <c r="J31">
        <v>49970</v>
      </c>
      <c r="K31">
        <v>161123</v>
      </c>
      <c r="L31">
        <v>177589</v>
      </c>
      <c r="M31">
        <v>183829</v>
      </c>
      <c r="N31">
        <v>320918</v>
      </c>
      <c r="O31">
        <v>180520</v>
      </c>
      <c r="Q31">
        <f>SUM(D31:O31)</f>
        <v>1188707</v>
      </c>
      <c r="S31">
        <f>N31/$N$54</f>
        <v>0.69848904985569582</v>
      </c>
    </row>
    <row r="32" spans="1:19" x14ac:dyDescent="0.2">
      <c r="A32" t="s">
        <v>67</v>
      </c>
      <c r="D32">
        <v>0</v>
      </c>
      <c r="E32">
        <v>0</v>
      </c>
      <c r="F32">
        <v>560</v>
      </c>
      <c r="G32">
        <v>1145</v>
      </c>
      <c r="H32">
        <v>2629</v>
      </c>
      <c r="I32">
        <v>3614</v>
      </c>
      <c r="J32">
        <v>23320</v>
      </c>
      <c r="K32">
        <v>18026</v>
      </c>
      <c r="L32">
        <v>16418</v>
      </c>
      <c r="M32">
        <v>20754</v>
      </c>
      <c r="N32">
        <v>24829</v>
      </c>
      <c r="O32">
        <v>3680</v>
      </c>
      <c r="Q32">
        <f t="shared" ref="Q32:Q52" si="1">SUM(D32:O32)</f>
        <v>114975</v>
      </c>
      <c r="S32">
        <f t="shared" ref="S32:S52" si="2">N32/$N$54</f>
        <v>5.4041171323724657E-2</v>
      </c>
    </row>
    <row r="33" spans="1:19" x14ac:dyDescent="0.2">
      <c r="A33" t="s">
        <v>68</v>
      </c>
      <c r="D33">
        <v>9674</v>
      </c>
      <c r="E33">
        <v>9819</v>
      </c>
      <c r="F33">
        <v>22610</v>
      </c>
      <c r="G33">
        <v>30200</v>
      </c>
      <c r="H33">
        <v>17269</v>
      </c>
      <c r="I33">
        <v>14006</v>
      </c>
      <c r="J33">
        <v>11230</v>
      </c>
      <c r="K33">
        <v>14715</v>
      </c>
      <c r="L33">
        <v>12365</v>
      </c>
      <c r="M33">
        <v>9564</v>
      </c>
      <c r="N33">
        <v>14239</v>
      </c>
      <c r="O33">
        <v>7037</v>
      </c>
      <c r="Q33">
        <f t="shared" si="1"/>
        <v>172728</v>
      </c>
      <c r="S33">
        <f t="shared" si="2"/>
        <v>3.0991672579584979E-2</v>
      </c>
    </row>
    <row r="34" spans="1:19" x14ac:dyDescent="0.2">
      <c r="A34" t="s">
        <v>69</v>
      </c>
      <c r="E34">
        <v>192</v>
      </c>
      <c r="F34">
        <v>1005</v>
      </c>
      <c r="G34">
        <v>1184</v>
      </c>
      <c r="H34">
        <v>18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199</v>
      </c>
      <c r="Q34">
        <f t="shared" si="1"/>
        <v>2599</v>
      </c>
      <c r="S34">
        <f t="shared" si="2"/>
        <v>0</v>
      </c>
    </row>
    <row r="35" spans="1:19" x14ac:dyDescent="0.2">
      <c r="A35" t="s">
        <v>70</v>
      </c>
      <c r="E35">
        <v>683</v>
      </c>
      <c r="F35">
        <v>1738</v>
      </c>
      <c r="G35">
        <v>1964</v>
      </c>
      <c r="H35">
        <v>1582</v>
      </c>
      <c r="I35">
        <v>901</v>
      </c>
      <c r="J35">
        <v>1817</v>
      </c>
      <c r="K35">
        <v>560</v>
      </c>
      <c r="L35">
        <v>0</v>
      </c>
      <c r="M35">
        <v>3</v>
      </c>
      <c r="N35">
        <v>27221</v>
      </c>
      <c r="O35">
        <v>18763</v>
      </c>
      <c r="Q35">
        <f t="shared" si="1"/>
        <v>55232</v>
      </c>
      <c r="S35">
        <f t="shared" si="2"/>
        <v>5.9247441483874057E-2</v>
      </c>
    </row>
    <row r="36" spans="1:19" x14ac:dyDescent="0.2">
      <c r="A36" t="s">
        <v>71</v>
      </c>
      <c r="E36">
        <v>673</v>
      </c>
      <c r="F36">
        <v>0</v>
      </c>
      <c r="G36">
        <v>6092</v>
      </c>
      <c r="H36">
        <v>11024</v>
      </c>
      <c r="I36">
        <v>7625</v>
      </c>
      <c r="J36">
        <v>6276</v>
      </c>
      <c r="K36">
        <v>6117</v>
      </c>
      <c r="L36">
        <v>4854</v>
      </c>
      <c r="M36">
        <v>2640</v>
      </c>
      <c r="N36">
        <v>3485</v>
      </c>
      <c r="O36">
        <v>2392</v>
      </c>
      <c r="Q36">
        <f t="shared" si="1"/>
        <v>51178</v>
      </c>
      <c r="S36">
        <f t="shared" si="2"/>
        <v>7.5852222023915757E-3</v>
      </c>
    </row>
    <row r="37" spans="1:19" x14ac:dyDescent="0.2">
      <c r="A37" t="s">
        <v>72</v>
      </c>
      <c r="F37">
        <v>260</v>
      </c>
      <c r="G37">
        <v>1503</v>
      </c>
      <c r="H37">
        <v>3477</v>
      </c>
      <c r="I37">
        <v>3737</v>
      </c>
      <c r="J37">
        <v>3336</v>
      </c>
      <c r="K37">
        <v>1022</v>
      </c>
      <c r="L37">
        <v>604</v>
      </c>
      <c r="M37">
        <v>70</v>
      </c>
      <c r="N37">
        <v>0</v>
      </c>
      <c r="O37">
        <v>0</v>
      </c>
      <c r="Q37">
        <f t="shared" si="1"/>
        <v>14009</v>
      </c>
      <c r="S37">
        <f t="shared" si="2"/>
        <v>0</v>
      </c>
    </row>
    <row r="38" spans="1:19" x14ac:dyDescent="0.2">
      <c r="A38" t="s">
        <v>73</v>
      </c>
      <c r="E38">
        <v>93</v>
      </c>
      <c r="F38">
        <v>569</v>
      </c>
      <c r="G38">
        <v>407</v>
      </c>
      <c r="H38">
        <v>2</v>
      </c>
      <c r="I38">
        <v>0</v>
      </c>
      <c r="J38">
        <v>1121</v>
      </c>
      <c r="K38">
        <v>948</v>
      </c>
      <c r="L38">
        <v>576</v>
      </c>
      <c r="M38">
        <v>45</v>
      </c>
      <c r="N38">
        <v>1</v>
      </c>
      <c r="O38">
        <v>0</v>
      </c>
      <c r="Q38">
        <f t="shared" si="1"/>
        <v>3762</v>
      </c>
      <c r="S38">
        <f t="shared" si="2"/>
        <v>2.1765343478885439E-6</v>
      </c>
    </row>
    <row r="39" spans="1:19" x14ac:dyDescent="0.2">
      <c r="A39" t="s">
        <v>74</v>
      </c>
      <c r="I39">
        <v>0</v>
      </c>
      <c r="J39">
        <v>0</v>
      </c>
      <c r="K39">
        <v>0</v>
      </c>
      <c r="L39">
        <v>5369</v>
      </c>
      <c r="M39">
        <v>7202</v>
      </c>
      <c r="N39">
        <v>11076</v>
      </c>
      <c r="O39">
        <v>5530</v>
      </c>
      <c r="Q39">
        <f t="shared" si="1"/>
        <v>29177</v>
      </c>
      <c r="S39">
        <f t="shared" si="2"/>
        <v>2.4107294437213513E-2</v>
      </c>
    </row>
    <row r="40" spans="1:19" x14ac:dyDescent="0.2">
      <c r="A40" t="s">
        <v>75</v>
      </c>
      <c r="H40">
        <v>0</v>
      </c>
      <c r="I40">
        <v>0</v>
      </c>
      <c r="J40">
        <v>432</v>
      </c>
      <c r="K40">
        <v>474</v>
      </c>
      <c r="L40">
        <v>5244</v>
      </c>
      <c r="M40">
        <v>4556</v>
      </c>
      <c r="N40">
        <v>10855</v>
      </c>
      <c r="O40">
        <v>13030</v>
      </c>
      <c r="Q40">
        <f t="shared" si="1"/>
        <v>34591</v>
      </c>
      <c r="S40">
        <f t="shared" si="2"/>
        <v>2.3626280346330145E-2</v>
      </c>
    </row>
    <row r="41" spans="1:19" x14ac:dyDescent="0.2">
      <c r="A41" t="s">
        <v>76</v>
      </c>
      <c r="G41">
        <v>359</v>
      </c>
      <c r="H41">
        <v>1015</v>
      </c>
      <c r="I41">
        <v>1728</v>
      </c>
      <c r="J41">
        <v>2157</v>
      </c>
      <c r="K41">
        <v>996</v>
      </c>
      <c r="L41">
        <v>2528</v>
      </c>
      <c r="M41">
        <v>2848</v>
      </c>
      <c r="N41">
        <v>8717</v>
      </c>
      <c r="O41">
        <v>15261</v>
      </c>
      <c r="Q41">
        <f t="shared" si="1"/>
        <v>35609</v>
      </c>
      <c r="S41">
        <f t="shared" si="2"/>
        <v>1.8972849910544438E-2</v>
      </c>
    </row>
    <row r="42" spans="1:19" x14ac:dyDescent="0.2">
      <c r="A42" t="s">
        <v>77</v>
      </c>
      <c r="H42">
        <v>0</v>
      </c>
      <c r="I42">
        <v>0</v>
      </c>
      <c r="J42">
        <v>0</v>
      </c>
      <c r="K42">
        <v>0</v>
      </c>
      <c r="L42">
        <v>0</v>
      </c>
      <c r="M42">
        <v>135</v>
      </c>
      <c r="N42">
        <v>9863</v>
      </c>
      <c r="O42">
        <v>7331</v>
      </c>
      <c r="Q42">
        <f t="shared" si="1"/>
        <v>17329</v>
      </c>
      <c r="S42">
        <f t="shared" si="2"/>
        <v>2.146715827322471E-2</v>
      </c>
    </row>
    <row r="43" spans="1:19" x14ac:dyDescent="0.2">
      <c r="A43" t="s">
        <v>78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130</v>
      </c>
      <c r="M43">
        <v>4414</v>
      </c>
      <c r="N43">
        <v>9419</v>
      </c>
      <c r="O43">
        <v>3895</v>
      </c>
      <c r="Q43">
        <f t="shared" si="1"/>
        <v>17858</v>
      </c>
      <c r="S43">
        <f t="shared" si="2"/>
        <v>2.0500777022762196E-2</v>
      </c>
    </row>
    <row r="44" spans="1:19" x14ac:dyDescent="0.2">
      <c r="A44" t="s">
        <v>79</v>
      </c>
      <c r="G44">
        <v>357</v>
      </c>
      <c r="H44">
        <v>4232</v>
      </c>
      <c r="I44">
        <v>3937</v>
      </c>
      <c r="J44">
        <v>3534</v>
      </c>
      <c r="K44">
        <v>1354</v>
      </c>
      <c r="L44">
        <v>4863</v>
      </c>
      <c r="M44">
        <v>767</v>
      </c>
      <c r="N44">
        <v>16775</v>
      </c>
      <c r="O44">
        <v>3820</v>
      </c>
      <c r="Q44">
        <f t="shared" si="1"/>
        <v>39639</v>
      </c>
      <c r="S44">
        <f t="shared" si="2"/>
        <v>3.6511363685830328E-2</v>
      </c>
    </row>
    <row r="45" spans="1:19" x14ac:dyDescent="0.2">
      <c r="A45" t="s">
        <v>80</v>
      </c>
      <c r="G45">
        <v>774</v>
      </c>
      <c r="H45">
        <v>1906</v>
      </c>
      <c r="I45">
        <v>632</v>
      </c>
      <c r="J45">
        <v>744</v>
      </c>
      <c r="K45">
        <v>135</v>
      </c>
      <c r="L45">
        <v>8</v>
      </c>
      <c r="M45">
        <v>0</v>
      </c>
      <c r="N45">
        <v>429</v>
      </c>
      <c r="O45">
        <v>3280</v>
      </c>
      <c r="Q45">
        <f t="shared" si="1"/>
        <v>7908</v>
      </c>
      <c r="S45">
        <f t="shared" si="2"/>
        <v>9.3373323524418542E-4</v>
      </c>
    </row>
    <row r="46" spans="1:19" x14ac:dyDescent="0.2">
      <c r="A46" t="s">
        <v>81</v>
      </c>
      <c r="D46">
        <v>76</v>
      </c>
      <c r="E46">
        <v>588</v>
      </c>
      <c r="F46">
        <v>1029</v>
      </c>
      <c r="G46">
        <v>196</v>
      </c>
      <c r="H46">
        <v>115</v>
      </c>
      <c r="I46">
        <v>94</v>
      </c>
      <c r="J46">
        <v>6</v>
      </c>
      <c r="K46">
        <v>0</v>
      </c>
      <c r="L46">
        <v>0</v>
      </c>
      <c r="M46">
        <v>0</v>
      </c>
      <c r="N46">
        <v>0</v>
      </c>
      <c r="O46">
        <v>0</v>
      </c>
      <c r="Q46">
        <f t="shared" si="1"/>
        <v>2104</v>
      </c>
      <c r="S46">
        <f t="shared" si="2"/>
        <v>0</v>
      </c>
    </row>
    <row r="47" spans="1:19" x14ac:dyDescent="0.2">
      <c r="A47" t="s">
        <v>82</v>
      </c>
      <c r="D47">
        <v>342</v>
      </c>
      <c r="E47">
        <v>139</v>
      </c>
      <c r="F47">
        <v>923</v>
      </c>
      <c r="G47">
        <v>2594</v>
      </c>
      <c r="H47">
        <v>1387</v>
      </c>
      <c r="I47">
        <v>657</v>
      </c>
      <c r="J47">
        <v>544</v>
      </c>
      <c r="K47">
        <v>1198</v>
      </c>
      <c r="L47">
        <v>680</v>
      </c>
      <c r="M47">
        <v>0</v>
      </c>
      <c r="N47">
        <v>0</v>
      </c>
      <c r="O47">
        <v>0</v>
      </c>
      <c r="Q47">
        <f t="shared" si="1"/>
        <v>8464</v>
      </c>
      <c r="S47">
        <f t="shared" si="2"/>
        <v>0</v>
      </c>
    </row>
    <row r="48" spans="1:19" x14ac:dyDescent="0.2">
      <c r="A48" t="s">
        <v>83</v>
      </c>
      <c r="K48">
        <v>393</v>
      </c>
      <c r="L48">
        <v>2594</v>
      </c>
      <c r="M48">
        <v>1658</v>
      </c>
      <c r="N48">
        <v>1062</v>
      </c>
      <c r="O48">
        <v>251</v>
      </c>
      <c r="Q48">
        <f t="shared" si="1"/>
        <v>5958</v>
      </c>
      <c r="S48">
        <f t="shared" si="2"/>
        <v>2.3114794774576337E-3</v>
      </c>
    </row>
    <row r="49" spans="1:19" x14ac:dyDescent="0.2">
      <c r="A49" t="s">
        <v>84</v>
      </c>
      <c r="N49">
        <v>0</v>
      </c>
      <c r="O49">
        <v>0</v>
      </c>
      <c r="Q49">
        <f t="shared" si="1"/>
        <v>0</v>
      </c>
      <c r="S49">
        <f t="shared" si="2"/>
        <v>0</v>
      </c>
    </row>
    <row r="50" spans="1:19" x14ac:dyDescent="0.2">
      <c r="A50" t="s">
        <v>85</v>
      </c>
      <c r="N50">
        <v>376</v>
      </c>
      <c r="O50">
        <v>3551</v>
      </c>
      <c r="Q50">
        <f t="shared" si="1"/>
        <v>3927</v>
      </c>
      <c r="S50">
        <f t="shared" si="2"/>
        <v>8.1837691480609253E-4</v>
      </c>
    </row>
    <row r="51" spans="1:19" x14ac:dyDescent="0.2">
      <c r="A51" t="s">
        <v>86</v>
      </c>
      <c r="N51">
        <v>65</v>
      </c>
      <c r="O51">
        <v>600</v>
      </c>
      <c r="Q51">
        <f t="shared" si="1"/>
        <v>665</v>
      </c>
      <c r="S51">
        <f t="shared" si="2"/>
        <v>1.4147473261275537E-4</v>
      </c>
    </row>
    <row r="52" spans="1:19" x14ac:dyDescent="0.2">
      <c r="A52" t="s">
        <v>87</v>
      </c>
      <c r="N52">
        <v>116</v>
      </c>
      <c r="O52">
        <v>293</v>
      </c>
      <c r="Q52">
        <f t="shared" si="1"/>
        <v>409</v>
      </c>
      <c r="S52">
        <f t="shared" si="2"/>
        <v>2.5247798435507112E-4</v>
      </c>
    </row>
    <row r="54" spans="1:19" x14ac:dyDescent="0.2">
      <c r="A54" t="s">
        <v>99</v>
      </c>
      <c r="D54">
        <f t="shared" ref="D54:O54" si="3">SUM(D31:D52)</f>
        <v>10092</v>
      </c>
      <c r="E54">
        <f t="shared" si="3"/>
        <v>14587</v>
      </c>
      <c r="F54">
        <f t="shared" si="3"/>
        <v>48094</v>
      </c>
      <c r="G54">
        <f t="shared" si="3"/>
        <v>63525</v>
      </c>
      <c r="H54">
        <f t="shared" si="3"/>
        <v>71064</v>
      </c>
      <c r="I54">
        <f t="shared" si="3"/>
        <v>86731</v>
      </c>
      <c r="J54">
        <f t="shared" si="3"/>
        <v>104487</v>
      </c>
      <c r="K54">
        <f t="shared" si="3"/>
        <v>207062</v>
      </c>
      <c r="L54">
        <f t="shared" si="3"/>
        <v>233822</v>
      </c>
      <c r="M54">
        <f t="shared" si="3"/>
        <v>238485</v>
      </c>
      <c r="N54">
        <f t="shared" si="3"/>
        <v>459446</v>
      </c>
      <c r="O54">
        <f t="shared" si="3"/>
        <v>269433</v>
      </c>
    </row>
    <row r="56" spans="1:19" x14ac:dyDescent="0.2">
      <c r="A56" s="1" t="s">
        <v>103</v>
      </c>
      <c r="B56" s="1"/>
      <c r="C56" s="1"/>
    </row>
    <row r="57" spans="1:19" x14ac:dyDescent="0.2">
      <c r="A57" s="25" t="s">
        <v>97</v>
      </c>
      <c r="B57" s="25"/>
      <c r="C57" s="25"/>
      <c r="D57" s="26">
        <v>2011</v>
      </c>
      <c r="E57" s="26">
        <v>2012</v>
      </c>
      <c r="F57" s="26">
        <v>2013</v>
      </c>
      <c r="G57" s="26">
        <v>2014</v>
      </c>
      <c r="H57" s="26">
        <v>2015</v>
      </c>
      <c r="I57" s="26">
        <v>2016</v>
      </c>
      <c r="J57" s="26">
        <v>2017</v>
      </c>
      <c r="K57" s="26">
        <v>2018</v>
      </c>
      <c r="L57" s="26">
        <v>2019</v>
      </c>
      <c r="M57" s="26">
        <v>2020</v>
      </c>
      <c r="N57" s="26">
        <v>2021</v>
      </c>
      <c r="O57" s="26" t="s">
        <v>98</v>
      </c>
      <c r="Q57" s="26" t="s">
        <v>99</v>
      </c>
      <c r="R57" s="26"/>
      <c r="S57" s="1" t="s">
        <v>102</v>
      </c>
    </row>
    <row r="58" spans="1:19" x14ac:dyDescent="0.2">
      <c r="A58" t="s">
        <v>13</v>
      </c>
      <c r="D58">
        <f>D4-D31</f>
        <v>0</v>
      </c>
      <c r="E58">
        <f t="shared" ref="E58:O58" si="4">E4-E31</f>
        <v>0</v>
      </c>
      <c r="F58">
        <f t="shared" si="4"/>
        <v>0</v>
      </c>
      <c r="G58">
        <f t="shared" si="4"/>
        <v>0</v>
      </c>
      <c r="H58">
        <f t="shared" si="4"/>
        <v>0</v>
      </c>
      <c r="I58">
        <f t="shared" si="4"/>
        <v>0</v>
      </c>
      <c r="J58">
        <f t="shared" si="4"/>
        <v>0</v>
      </c>
      <c r="K58">
        <f t="shared" si="4"/>
        <v>0</v>
      </c>
      <c r="L58">
        <f t="shared" si="4"/>
        <v>0</v>
      </c>
      <c r="M58">
        <f t="shared" si="4"/>
        <v>0</v>
      </c>
      <c r="N58">
        <f t="shared" si="4"/>
        <v>0</v>
      </c>
      <c r="O58">
        <f t="shared" si="4"/>
        <v>0</v>
      </c>
      <c r="Q58">
        <f>SUM(D58:O58)</f>
        <v>0</v>
      </c>
      <c r="S58">
        <f>N58/$N$81</f>
        <v>0</v>
      </c>
    </row>
    <row r="59" spans="1:19" x14ac:dyDescent="0.2">
      <c r="A59" t="s">
        <v>67</v>
      </c>
      <c r="D59">
        <f t="shared" ref="D59:O74" si="5">D5-D32</f>
        <v>7671</v>
      </c>
      <c r="E59">
        <f t="shared" si="5"/>
        <v>23461</v>
      </c>
      <c r="F59">
        <f t="shared" si="5"/>
        <v>23100</v>
      </c>
      <c r="G59">
        <f t="shared" si="5"/>
        <v>20115</v>
      </c>
      <c r="H59">
        <f t="shared" si="5"/>
        <v>16417</v>
      </c>
      <c r="I59">
        <f t="shared" si="5"/>
        <v>25273</v>
      </c>
      <c r="J59">
        <f t="shared" si="5"/>
        <v>20571</v>
      </c>
      <c r="K59">
        <f t="shared" si="5"/>
        <v>18568</v>
      </c>
      <c r="L59">
        <f t="shared" si="5"/>
        <v>4952</v>
      </c>
      <c r="M59">
        <f t="shared" si="5"/>
        <v>81</v>
      </c>
      <c r="N59">
        <f t="shared" si="5"/>
        <v>16</v>
      </c>
      <c r="O59">
        <f t="shared" si="5"/>
        <v>0</v>
      </c>
      <c r="Q59">
        <f t="shared" ref="Q59:Q79" si="6">SUM(D59:O59)</f>
        <v>160225</v>
      </c>
      <c r="S59">
        <f t="shared" ref="S59:S79" si="7">N59/$N$81</f>
        <v>9.1911764705882352E-5</v>
      </c>
    </row>
    <row r="60" spans="1:19" x14ac:dyDescent="0.2">
      <c r="A60" t="s">
        <v>68</v>
      </c>
      <c r="D60">
        <f t="shared" si="5"/>
        <v>0</v>
      </c>
      <c r="E60">
        <f t="shared" si="5"/>
        <v>0</v>
      </c>
      <c r="F60">
        <f t="shared" si="5"/>
        <v>0</v>
      </c>
      <c r="G60">
        <f t="shared" si="5"/>
        <v>0</v>
      </c>
      <c r="H60">
        <f t="shared" si="5"/>
        <v>0</v>
      </c>
      <c r="I60">
        <f t="shared" si="5"/>
        <v>0</v>
      </c>
      <c r="J60">
        <f t="shared" si="5"/>
        <v>0</v>
      </c>
      <c r="K60">
        <f t="shared" si="5"/>
        <v>0</v>
      </c>
      <c r="L60">
        <f t="shared" si="5"/>
        <v>0</v>
      </c>
      <c r="M60">
        <f t="shared" si="5"/>
        <v>0</v>
      </c>
      <c r="N60">
        <f t="shared" si="5"/>
        <v>0</v>
      </c>
      <c r="O60">
        <f t="shared" si="5"/>
        <v>0</v>
      </c>
      <c r="Q60">
        <f t="shared" si="6"/>
        <v>0</v>
      </c>
      <c r="S60">
        <f t="shared" si="7"/>
        <v>0</v>
      </c>
    </row>
    <row r="61" spans="1:19" x14ac:dyDescent="0.2">
      <c r="A61" t="s">
        <v>69</v>
      </c>
      <c r="D61">
        <f t="shared" si="5"/>
        <v>0</v>
      </c>
      <c r="E61">
        <f t="shared" si="5"/>
        <v>12749</v>
      </c>
      <c r="F61">
        <f t="shared" si="5"/>
        <v>12088</v>
      </c>
      <c r="G61">
        <f t="shared" si="5"/>
        <v>13264</v>
      </c>
      <c r="H61">
        <f t="shared" si="5"/>
        <v>4191</v>
      </c>
      <c r="I61">
        <f t="shared" si="5"/>
        <v>2474</v>
      </c>
      <c r="J61">
        <f t="shared" si="5"/>
        <v>20936</v>
      </c>
      <c r="K61">
        <f t="shared" si="5"/>
        <v>27595</v>
      </c>
      <c r="L61">
        <f t="shared" si="5"/>
        <v>21856</v>
      </c>
      <c r="M61">
        <f t="shared" si="5"/>
        <v>17898</v>
      </c>
      <c r="N61">
        <f t="shared" si="5"/>
        <v>52767</v>
      </c>
      <c r="O61">
        <f t="shared" si="5"/>
        <v>13379</v>
      </c>
      <c r="Q61">
        <f t="shared" si="6"/>
        <v>199197</v>
      </c>
      <c r="S61">
        <f t="shared" si="7"/>
        <v>0.30311925551470587</v>
      </c>
    </row>
    <row r="62" spans="1:19" x14ac:dyDescent="0.2">
      <c r="A62" t="s">
        <v>70</v>
      </c>
      <c r="D62">
        <f t="shared" si="5"/>
        <v>0</v>
      </c>
      <c r="E62">
        <f t="shared" si="5"/>
        <v>2374</v>
      </c>
      <c r="F62">
        <f t="shared" si="5"/>
        <v>13243</v>
      </c>
      <c r="G62">
        <f t="shared" si="5"/>
        <v>19983</v>
      </c>
      <c r="H62">
        <f t="shared" si="5"/>
        <v>17341</v>
      </c>
      <c r="I62">
        <f t="shared" si="5"/>
        <v>23895</v>
      </c>
      <c r="J62">
        <f t="shared" si="5"/>
        <v>17772</v>
      </c>
      <c r="K62">
        <f t="shared" si="5"/>
        <v>8656</v>
      </c>
      <c r="L62">
        <f t="shared" si="5"/>
        <v>8235</v>
      </c>
      <c r="M62">
        <f t="shared" si="5"/>
        <v>5565</v>
      </c>
      <c r="N62">
        <f t="shared" si="5"/>
        <v>6013</v>
      </c>
      <c r="O62">
        <f t="shared" si="5"/>
        <v>5056</v>
      </c>
      <c r="Q62">
        <f t="shared" si="6"/>
        <v>128133</v>
      </c>
      <c r="S62">
        <f t="shared" si="7"/>
        <v>3.4541590073529409E-2</v>
      </c>
    </row>
    <row r="63" spans="1:19" x14ac:dyDescent="0.2">
      <c r="A63" t="s">
        <v>71</v>
      </c>
      <c r="D63">
        <f t="shared" si="5"/>
        <v>0</v>
      </c>
      <c r="E63">
        <f t="shared" si="5"/>
        <v>0</v>
      </c>
      <c r="F63">
        <f t="shared" si="5"/>
        <v>0</v>
      </c>
      <c r="G63">
        <f t="shared" si="5"/>
        <v>555</v>
      </c>
      <c r="H63">
        <f t="shared" si="5"/>
        <v>3157</v>
      </c>
      <c r="I63">
        <f t="shared" si="5"/>
        <v>8492</v>
      </c>
      <c r="J63">
        <f t="shared" si="5"/>
        <v>14919</v>
      </c>
      <c r="K63">
        <f t="shared" si="5"/>
        <v>19975</v>
      </c>
      <c r="L63">
        <f t="shared" si="5"/>
        <v>9213</v>
      </c>
      <c r="M63">
        <f t="shared" si="5"/>
        <v>7999</v>
      </c>
      <c r="N63">
        <f t="shared" si="5"/>
        <v>19579</v>
      </c>
      <c r="O63">
        <f t="shared" si="5"/>
        <v>5219</v>
      </c>
      <c r="Q63">
        <f t="shared" si="6"/>
        <v>89108</v>
      </c>
      <c r="S63">
        <f t="shared" si="7"/>
        <v>0.11247127757352941</v>
      </c>
    </row>
    <row r="64" spans="1:19" x14ac:dyDescent="0.2">
      <c r="A64" t="s">
        <v>72</v>
      </c>
      <c r="D64">
        <f t="shared" si="5"/>
        <v>0</v>
      </c>
      <c r="E64">
        <f t="shared" si="5"/>
        <v>0</v>
      </c>
      <c r="F64">
        <f t="shared" si="5"/>
        <v>0</v>
      </c>
      <c r="G64">
        <f t="shared" si="5"/>
        <v>0</v>
      </c>
      <c r="H64">
        <f t="shared" si="5"/>
        <v>0</v>
      </c>
      <c r="I64">
        <f t="shared" si="5"/>
        <v>0</v>
      </c>
      <c r="J64">
        <f t="shared" si="5"/>
        <v>2981</v>
      </c>
      <c r="K64">
        <f t="shared" si="5"/>
        <v>8875</v>
      </c>
      <c r="L64">
        <f t="shared" si="5"/>
        <v>6246</v>
      </c>
      <c r="M64">
        <f t="shared" si="5"/>
        <v>5596</v>
      </c>
      <c r="N64">
        <f t="shared" si="5"/>
        <v>48723</v>
      </c>
      <c r="O64">
        <f t="shared" si="5"/>
        <v>30098</v>
      </c>
      <c r="Q64">
        <f t="shared" si="6"/>
        <v>102519</v>
      </c>
      <c r="S64">
        <f t="shared" si="7"/>
        <v>0.27988855698529413</v>
      </c>
    </row>
    <row r="65" spans="1:19" x14ac:dyDescent="0.2">
      <c r="A65" t="s">
        <v>73</v>
      </c>
      <c r="D65">
        <f t="shared" si="5"/>
        <v>0</v>
      </c>
      <c r="E65">
        <f t="shared" si="5"/>
        <v>0</v>
      </c>
      <c r="F65">
        <f t="shared" si="5"/>
        <v>526</v>
      </c>
      <c r="G65">
        <f t="shared" si="5"/>
        <v>449</v>
      </c>
      <c r="H65">
        <f t="shared" si="5"/>
        <v>64</v>
      </c>
      <c r="I65">
        <f t="shared" si="5"/>
        <v>0</v>
      </c>
      <c r="J65">
        <f t="shared" si="5"/>
        <v>903</v>
      </c>
      <c r="K65">
        <f t="shared" si="5"/>
        <v>18602</v>
      </c>
      <c r="L65">
        <f t="shared" si="5"/>
        <v>10758</v>
      </c>
      <c r="M65">
        <f t="shared" si="5"/>
        <v>3939</v>
      </c>
      <c r="N65">
        <f t="shared" si="5"/>
        <v>2314</v>
      </c>
      <c r="O65">
        <f t="shared" si="5"/>
        <v>2</v>
      </c>
      <c r="Q65">
        <f t="shared" si="6"/>
        <v>37557</v>
      </c>
      <c r="S65">
        <f t="shared" si="7"/>
        <v>1.3292738970588235E-2</v>
      </c>
    </row>
    <row r="66" spans="1:19" x14ac:dyDescent="0.2">
      <c r="A66" t="s">
        <v>74</v>
      </c>
      <c r="D66">
        <f t="shared" si="5"/>
        <v>0</v>
      </c>
      <c r="E66">
        <f t="shared" si="5"/>
        <v>0</v>
      </c>
      <c r="F66">
        <f t="shared" si="5"/>
        <v>0</v>
      </c>
      <c r="G66">
        <f t="shared" si="5"/>
        <v>0</v>
      </c>
      <c r="H66">
        <f t="shared" si="5"/>
        <v>0</v>
      </c>
      <c r="I66">
        <f t="shared" si="5"/>
        <v>4280</v>
      </c>
      <c r="J66">
        <f t="shared" si="5"/>
        <v>2877</v>
      </c>
      <c r="K66">
        <f t="shared" si="5"/>
        <v>2391</v>
      </c>
      <c r="L66">
        <f t="shared" si="5"/>
        <v>41</v>
      </c>
      <c r="M66">
        <f t="shared" si="5"/>
        <v>4468</v>
      </c>
      <c r="N66">
        <f t="shared" si="5"/>
        <v>8943</v>
      </c>
      <c r="O66">
        <f t="shared" si="5"/>
        <v>4174</v>
      </c>
      <c r="Q66">
        <f t="shared" si="6"/>
        <v>27174</v>
      </c>
      <c r="S66">
        <f t="shared" si="7"/>
        <v>5.1372931985294121E-2</v>
      </c>
    </row>
    <row r="67" spans="1:19" x14ac:dyDescent="0.2">
      <c r="A67" t="s">
        <v>75</v>
      </c>
      <c r="D67">
        <f t="shared" si="5"/>
        <v>0</v>
      </c>
      <c r="E67">
        <f t="shared" si="5"/>
        <v>0</v>
      </c>
      <c r="F67">
        <f t="shared" si="5"/>
        <v>0</v>
      </c>
      <c r="G67">
        <f t="shared" si="5"/>
        <v>0</v>
      </c>
      <c r="H67">
        <f t="shared" si="5"/>
        <v>15</v>
      </c>
      <c r="I67">
        <f t="shared" si="5"/>
        <v>3000</v>
      </c>
      <c r="J67">
        <f t="shared" si="5"/>
        <v>2254</v>
      </c>
      <c r="K67">
        <f t="shared" si="5"/>
        <v>2210</v>
      </c>
      <c r="L67">
        <f t="shared" si="5"/>
        <v>2801</v>
      </c>
      <c r="M67">
        <f t="shared" si="5"/>
        <v>4237</v>
      </c>
      <c r="N67">
        <f t="shared" si="5"/>
        <v>6158</v>
      </c>
      <c r="O67">
        <f t="shared" si="5"/>
        <v>4185</v>
      </c>
      <c r="Q67">
        <f t="shared" si="6"/>
        <v>24860</v>
      </c>
      <c r="S67">
        <f t="shared" si="7"/>
        <v>3.5374540441176473E-2</v>
      </c>
    </row>
    <row r="68" spans="1:19" x14ac:dyDescent="0.2">
      <c r="A68" t="s">
        <v>76</v>
      </c>
      <c r="D68">
        <f t="shared" si="5"/>
        <v>0</v>
      </c>
      <c r="E68">
        <f t="shared" si="5"/>
        <v>0</v>
      </c>
      <c r="F68">
        <f t="shared" si="5"/>
        <v>0</v>
      </c>
      <c r="G68">
        <f t="shared" si="5"/>
        <v>0</v>
      </c>
      <c r="H68">
        <f t="shared" si="5"/>
        <v>0</v>
      </c>
      <c r="I68">
        <f t="shared" si="5"/>
        <v>0</v>
      </c>
      <c r="J68">
        <f t="shared" si="5"/>
        <v>1512</v>
      </c>
      <c r="K68">
        <f t="shared" si="5"/>
        <v>4674</v>
      </c>
      <c r="L68">
        <f t="shared" si="5"/>
        <v>4241</v>
      </c>
      <c r="M68">
        <f t="shared" si="5"/>
        <v>2454</v>
      </c>
      <c r="N68">
        <f t="shared" si="5"/>
        <v>5900</v>
      </c>
      <c r="O68">
        <f t="shared" si="5"/>
        <v>4220</v>
      </c>
      <c r="Q68">
        <f t="shared" si="6"/>
        <v>23001</v>
      </c>
      <c r="S68">
        <f t="shared" si="7"/>
        <v>3.3892463235294115E-2</v>
      </c>
    </row>
    <row r="69" spans="1:19" x14ac:dyDescent="0.2">
      <c r="A69" t="s">
        <v>77</v>
      </c>
      <c r="D69">
        <f t="shared" si="5"/>
        <v>0</v>
      </c>
      <c r="E69">
        <f t="shared" si="5"/>
        <v>0</v>
      </c>
      <c r="F69">
        <f t="shared" si="5"/>
        <v>0</v>
      </c>
      <c r="G69">
        <f t="shared" si="5"/>
        <v>0</v>
      </c>
      <c r="H69">
        <f t="shared" si="5"/>
        <v>86</v>
      </c>
      <c r="I69">
        <f t="shared" si="5"/>
        <v>2015</v>
      </c>
      <c r="J69">
        <f t="shared" si="5"/>
        <v>2826</v>
      </c>
      <c r="K69">
        <f t="shared" si="5"/>
        <v>3818</v>
      </c>
      <c r="L69">
        <f t="shared" si="5"/>
        <v>3683</v>
      </c>
      <c r="M69">
        <f t="shared" si="5"/>
        <v>7106</v>
      </c>
      <c r="N69">
        <f t="shared" si="5"/>
        <v>15606</v>
      </c>
      <c r="O69">
        <f t="shared" si="5"/>
        <v>6482</v>
      </c>
      <c r="Q69">
        <f t="shared" si="6"/>
        <v>41622</v>
      </c>
      <c r="S69">
        <f t="shared" si="7"/>
        <v>8.9648437499999997E-2</v>
      </c>
    </row>
    <row r="70" spans="1:19" x14ac:dyDescent="0.2">
      <c r="A70" t="s">
        <v>78</v>
      </c>
      <c r="D70">
        <f t="shared" si="5"/>
        <v>0</v>
      </c>
      <c r="E70">
        <f t="shared" si="5"/>
        <v>0</v>
      </c>
      <c r="F70">
        <f t="shared" si="5"/>
        <v>51</v>
      </c>
      <c r="G70">
        <f t="shared" si="5"/>
        <v>991</v>
      </c>
      <c r="H70">
        <f t="shared" si="5"/>
        <v>1570</v>
      </c>
      <c r="I70">
        <f t="shared" si="5"/>
        <v>2504</v>
      </c>
      <c r="J70">
        <f t="shared" si="5"/>
        <v>1592</v>
      </c>
      <c r="K70">
        <f t="shared" si="5"/>
        <v>2152</v>
      </c>
      <c r="L70">
        <f t="shared" si="5"/>
        <v>2575</v>
      </c>
      <c r="M70">
        <f t="shared" si="5"/>
        <v>2521</v>
      </c>
      <c r="N70">
        <f t="shared" si="5"/>
        <v>2512</v>
      </c>
      <c r="O70">
        <f t="shared" si="5"/>
        <v>865</v>
      </c>
      <c r="Q70">
        <f t="shared" si="6"/>
        <v>17333</v>
      </c>
      <c r="S70">
        <f t="shared" si="7"/>
        <v>1.443014705882353E-2</v>
      </c>
    </row>
    <row r="71" spans="1:19" x14ac:dyDescent="0.2">
      <c r="A71" t="s">
        <v>79</v>
      </c>
      <c r="D71">
        <f t="shared" si="5"/>
        <v>0</v>
      </c>
      <c r="E71">
        <f t="shared" si="5"/>
        <v>0</v>
      </c>
      <c r="F71">
        <f t="shared" si="5"/>
        <v>0</v>
      </c>
      <c r="G71">
        <f t="shared" si="5"/>
        <v>0</v>
      </c>
      <c r="H71">
        <f t="shared" si="5"/>
        <v>0</v>
      </c>
      <c r="I71">
        <f t="shared" si="5"/>
        <v>0</v>
      </c>
      <c r="J71">
        <f t="shared" si="5"/>
        <v>0</v>
      </c>
      <c r="K71">
        <f t="shared" si="5"/>
        <v>0</v>
      </c>
      <c r="L71">
        <f t="shared" si="5"/>
        <v>0</v>
      </c>
      <c r="M71">
        <f t="shared" si="5"/>
        <v>0</v>
      </c>
      <c r="N71">
        <f t="shared" si="5"/>
        <v>0</v>
      </c>
      <c r="O71">
        <f t="shared" si="5"/>
        <v>0</v>
      </c>
      <c r="Q71">
        <f t="shared" si="6"/>
        <v>0</v>
      </c>
      <c r="S71">
        <f t="shared" si="7"/>
        <v>0</v>
      </c>
    </row>
    <row r="72" spans="1:19" x14ac:dyDescent="0.2">
      <c r="A72" t="s">
        <v>80</v>
      </c>
      <c r="D72">
        <f t="shared" si="5"/>
        <v>0</v>
      </c>
      <c r="E72">
        <f t="shared" si="5"/>
        <v>0</v>
      </c>
      <c r="F72">
        <f t="shared" si="5"/>
        <v>0</v>
      </c>
      <c r="G72">
        <f t="shared" si="5"/>
        <v>0</v>
      </c>
      <c r="H72">
        <f t="shared" si="5"/>
        <v>118</v>
      </c>
      <c r="I72">
        <f t="shared" si="5"/>
        <v>952</v>
      </c>
      <c r="J72">
        <f t="shared" si="5"/>
        <v>1946</v>
      </c>
      <c r="K72">
        <f t="shared" si="5"/>
        <v>2201</v>
      </c>
      <c r="L72">
        <f t="shared" si="5"/>
        <v>5381</v>
      </c>
      <c r="M72">
        <f t="shared" si="5"/>
        <v>1236</v>
      </c>
      <c r="N72">
        <f t="shared" si="5"/>
        <v>78</v>
      </c>
      <c r="O72">
        <f t="shared" si="5"/>
        <v>0</v>
      </c>
      <c r="Q72">
        <f t="shared" si="6"/>
        <v>11912</v>
      </c>
      <c r="S72">
        <f t="shared" si="7"/>
        <v>4.4806985294117645E-4</v>
      </c>
    </row>
    <row r="73" spans="1:19" x14ac:dyDescent="0.2">
      <c r="A73" t="s">
        <v>81</v>
      </c>
      <c r="D73">
        <f t="shared" si="5"/>
        <v>0</v>
      </c>
      <c r="E73">
        <f t="shared" si="5"/>
        <v>0</v>
      </c>
      <c r="F73">
        <f t="shared" si="5"/>
        <v>0</v>
      </c>
      <c r="G73">
        <f t="shared" si="5"/>
        <v>0</v>
      </c>
      <c r="H73">
        <f t="shared" si="5"/>
        <v>0</v>
      </c>
      <c r="I73">
        <f t="shared" si="5"/>
        <v>0</v>
      </c>
      <c r="J73">
        <f t="shared" si="5"/>
        <v>99</v>
      </c>
      <c r="K73">
        <f t="shared" si="5"/>
        <v>4166</v>
      </c>
      <c r="L73">
        <f t="shared" si="5"/>
        <v>2810</v>
      </c>
      <c r="M73">
        <f t="shared" si="5"/>
        <v>1964</v>
      </c>
      <c r="N73">
        <f t="shared" si="5"/>
        <v>2250</v>
      </c>
      <c r="O73">
        <f t="shared" si="5"/>
        <v>1158</v>
      </c>
      <c r="Q73">
        <f t="shared" si="6"/>
        <v>12447</v>
      </c>
      <c r="S73">
        <f t="shared" si="7"/>
        <v>1.2925091911764705E-2</v>
      </c>
    </row>
    <row r="74" spans="1:19" x14ac:dyDescent="0.2">
      <c r="A74" t="s">
        <v>82</v>
      </c>
      <c r="D74">
        <f t="shared" si="5"/>
        <v>0</v>
      </c>
      <c r="E74">
        <f t="shared" si="5"/>
        <v>0</v>
      </c>
      <c r="F74">
        <f t="shared" si="5"/>
        <v>0</v>
      </c>
      <c r="G74">
        <f t="shared" si="5"/>
        <v>0</v>
      </c>
      <c r="H74">
        <f t="shared" si="5"/>
        <v>0</v>
      </c>
      <c r="I74">
        <f t="shared" si="5"/>
        <v>0</v>
      </c>
      <c r="J74">
        <f t="shared" si="5"/>
        <v>0</v>
      </c>
      <c r="K74">
        <f t="shared" si="5"/>
        <v>0</v>
      </c>
      <c r="L74">
        <f t="shared" si="5"/>
        <v>0</v>
      </c>
      <c r="M74">
        <f t="shared" si="5"/>
        <v>0</v>
      </c>
      <c r="N74">
        <f t="shared" si="5"/>
        <v>0</v>
      </c>
      <c r="O74">
        <f t="shared" si="5"/>
        <v>0</v>
      </c>
      <c r="Q74">
        <f t="shared" si="6"/>
        <v>0</v>
      </c>
      <c r="S74">
        <f t="shared" si="7"/>
        <v>0</v>
      </c>
    </row>
    <row r="75" spans="1:19" x14ac:dyDescent="0.2">
      <c r="A75" t="s">
        <v>83</v>
      </c>
      <c r="D75">
        <f t="shared" ref="D75:O79" si="8">D21-D48</f>
        <v>0</v>
      </c>
      <c r="E75">
        <f t="shared" si="8"/>
        <v>0</v>
      </c>
      <c r="F75">
        <f t="shared" si="8"/>
        <v>0</v>
      </c>
      <c r="G75">
        <f t="shared" si="8"/>
        <v>0</v>
      </c>
      <c r="H75">
        <f t="shared" si="8"/>
        <v>0</v>
      </c>
      <c r="I75">
        <f t="shared" si="8"/>
        <v>0</v>
      </c>
      <c r="J75">
        <f t="shared" si="8"/>
        <v>0</v>
      </c>
      <c r="K75">
        <f t="shared" si="8"/>
        <v>0</v>
      </c>
      <c r="L75">
        <f t="shared" si="8"/>
        <v>408</v>
      </c>
      <c r="M75">
        <f t="shared" si="8"/>
        <v>1471</v>
      </c>
      <c r="N75">
        <f t="shared" si="8"/>
        <v>603</v>
      </c>
      <c r="O75">
        <f t="shared" si="8"/>
        <v>0</v>
      </c>
      <c r="Q75">
        <f t="shared" si="6"/>
        <v>2482</v>
      </c>
      <c r="S75">
        <f t="shared" si="7"/>
        <v>3.463924632352941E-3</v>
      </c>
    </row>
    <row r="76" spans="1:19" x14ac:dyDescent="0.2">
      <c r="A76" t="s">
        <v>84</v>
      </c>
      <c r="D76">
        <f t="shared" si="8"/>
        <v>0</v>
      </c>
      <c r="E76">
        <f t="shared" si="8"/>
        <v>0</v>
      </c>
      <c r="F76">
        <f t="shared" si="8"/>
        <v>0</v>
      </c>
      <c r="G76">
        <f t="shared" si="8"/>
        <v>0</v>
      </c>
      <c r="H76">
        <f t="shared" si="8"/>
        <v>0</v>
      </c>
      <c r="I76">
        <f t="shared" si="8"/>
        <v>0</v>
      </c>
      <c r="J76">
        <f t="shared" si="8"/>
        <v>0</v>
      </c>
      <c r="K76">
        <f t="shared" si="8"/>
        <v>0</v>
      </c>
      <c r="L76">
        <f t="shared" si="8"/>
        <v>2591</v>
      </c>
      <c r="M76">
        <f t="shared" si="8"/>
        <v>2514</v>
      </c>
      <c r="N76">
        <f t="shared" si="8"/>
        <v>2618</v>
      </c>
      <c r="O76">
        <f t="shared" si="8"/>
        <v>947</v>
      </c>
      <c r="Q76">
        <f t="shared" si="6"/>
        <v>8670</v>
      </c>
      <c r="S76">
        <f t="shared" si="7"/>
        <v>1.50390625E-2</v>
      </c>
    </row>
    <row r="77" spans="1:19" x14ac:dyDescent="0.2">
      <c r="A77" t="s">
        <v>85</v>
      </c>
      <c r="D77">
        <f t="shared" si="8"/>
        <v>0</v>
      </c>
      <c r="E77">
        <f t="shared" si="8"/>
        <v>0</v>
      </c>
      <c r="F77">
        <f t="shared" si="8"/>
        <v>0</v>
      </c>
      <c r="G77">
        <f t="shared" si="8"/>
        <v>0</v>
      </c>
      <c r="H77">
        <f t="shared" si="8"/>
        <v>0</v>
      </c>
      <c r="I77">
        <f t="shared" si="8"/>
        <v>0</v>
      </c>
      <c r="J77">
        <f t="shared" si="8"/>
        <v>0</v>
      </c>
      <c r="K77">
        <f t="shared" si="8"/>
        <v>0</v>
      </c>
      <c r="L77">
        <f t="shared" si="8"/>
        <v>0</v>
      </c>
      <c r="M77">
        <f t="shared" si="8"/>
        <v>0</v>
      </c>
      <c r="N77">
        <f t="shared" si="8"/>
        <v>0</v>
      </c>
      <c r="O77">
        <f t="shared" si="8"/>
        <v>0</v>
      </c>
      <c r="Q77">
        <f t="shared" si="6"/>
        <v>0</v>
      </c>
      <c r="S77">
        <f t="shared" si="7"/>
        <v>0</v>
      </c>
    </row>
    <row r="78" spans="1:19" x14ac:dyDescent="0.2">
      <c r="A78" t="s">
        <v>86</v>
      </c>
      <c r="D78">
        <f t="shared" si="8"/>
        <v>0</v>
      </c>
      <c r="E78">
        <f t="shared" si="8"/>
        <v>0</v>
      </c>
      <c r="F78">
        <f t="shared" si="8"/>
        <v>0</v>
      </c>
      <c r="G78">
        <f t="shared" si="8"/>
        <v>0</v>
      </c>
      <c r="H78">
        <f t="shared" si="8"/>
        <v>0</v>
      </c>
      <c r="I78">
        <f t="shared" si="8"/>
        <v>0</v>
      </c>
      <c r="J78">
        <f t="shared" si="8"/>
        <v>0</v>
      </c>
      <c r="K78">
        <f t="shared" si="8"/>
        <v>0</v>
      </c>
      <c r="L78">
        <f t="shared" si="8"/>
        <v>0</v>
      </c>
      <c r="M78">
        <f t="shared" si="8"/>
        <v>0</v>
      </c>
      <c r="N78">
        <f t="shared" si="8"/>
        <v>0</v>
      </c>
      <c r="O78">
        <f t="shared" si="8"/>
        <v>0</v>
      </c>
      <c r="Q78">
        <f t="shared" si="6"/>
        <v>0</v>
      </c>
      <c r="S78">
        <f t="shared" si="7"/>
        <v>0</v>
      </c>
    </row>
    <row r="79" spans="1:19" x14ac:dyDescent="0.2">
      <c r="A79" t="s">
        <v>87</v>
      </c>
      <c r="D79">
        <f t="shared" si="8"/>
        <v>0</v>
      </c>
      <c r="E79">
        <f t="shared" si="8"/>
        <v>0</v>
      </c>
      <c r="F79">
        <f t="shared" si="8"/>
        <v>0</v>
      </c>
      <c r="G79">
        <f t="shared" si="8"/>
        <v>0</v>
      </c>
      <c r="H79">
        <f t="shared" si="8"/>
        <v>0</v>
      </c>
      <c r="I79">
        <f t="shared" si="8"/>
        <v>0</v>
      </c>
      <c r="J79">
        <f t="shared" si="8"/>
        <v>0</v>
      </c>
      <c r="K79">
        <f t="shared" si="8"/>
        <v>0</v>
      </c>
      <c r="L79">
        <f t="shared" si="8"/>
        <v>0</v>
      </c>
      <c r="M79">
        <f t="shared" si="8"/>
        <v>0</v>
      </c>
      <c r="N79">
        <f t="shared" si="8"/>
        <v>0</v>
      </c>
      <c r="O79">
        <f t="shared" si="8"/>
        <v>0</v>
      </c>
      <c r="Q79">
        <f t="shared" si="6"/>
        <v>0</v>
      </c>
      <c r="S79">
        <f t="shared" si="7"/>
        <v>0</v>
      </c>
    </row>
    <row r="81" spans="1:17" x14ac:dyDescent="0.2">
      <c r="A81" t="s">
        <v>99</v>
      </c>
      <c r="D81">
        <f t="shared" ref="D81:O81" si="9">SUM(D58:D79)</f>
        <v>7671</v>
      </c>
      <c r="E81">
        <f t="shared" si="9"/>
        <v>38584</v>
      </c>
      <c r="F81">
        <f t="shared" si="9"/>
        <v>49008</v>
      </c>
      <c r="G81">
        <f t="shared" si="9"/>
        <v>55357</v>
      </c>
      <c r="H81">
        <f t="shared" si="9"/>
        <v>42959</v>
      </c>
      <c r="I81">
        <f t="shared" si="9"/>
        <v>72885</v>
      </c>
      <c r="J81">
        <f t="shared" si="9"/>
        <v>91188</v>
      </c>
      <c r="K81">
        <f t="shared" si="9"/>
        <v>123883</v>
      </c>
      <c r="L81">
        <f t="shared" si="9"/>
        <v>85791</v>
      </c>
      <c r="M81">
        <f t="shared" si="9"/>
        <v>69049</v>
      </c>
      <c r="N81">
        <f t="shared" si="9"/>
        <v>174080</v>
      </c>
      <c r="O81">
        <f t="shared" si="9"/>
        <v>75785</v>
      </c>
    </row>
    <row r="84" spans="1:17" x14ac:dyDescent="0.2">
      <c r="A84" s="1"/>
      <c r="B84" s="1"/>
      <c r="C84" s="1"/>
    </row>
    <row r="85" spans="1: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O85" s="1"/>
      <c r="Q85" s="1"/>
    </row>
    <row r="114" spans="5:5" x14ac:dyDescent="0.2">
      <c r="E1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AD30-0E1F-4167-A0A4-6C0E4CBDD471}">
  <dimension ref="A1:S119"/>
  <sheetViews>
    <sheetView tabSelected="1" topLeftCell="A62" workbookViewId="0">
      <selection activeCell="S66" sqref="S66"/>
    </sheetView>
  </sheetViews>
  <sheetFormatPr baseColWidth="10" defaultColWidth="8.6640625" defaultRowHeight="15" x14ac:dyDescent="0.2"/>
  <cols>
    <col min="1" max="1" width="21.1640625" customWidth="1"/>
    <col min="2" max="2" width="11.6640625" customWidth="1"/>
    <col min="3" max="3" width="11.1640625" customWidth="1"/>
    <col min="4" max="11" width="9.1640625"/>
    <col min="12" max="12" width="17.1640625" customWidth="1"/>
    <col min="13" max="17" width="9.1640625"/>
    <col min="18" max="18" width="13.33203125" customWidth="1"/>
  </cols>
  <sheetData>
    <row r="1" spans="1:19" x14ac:dyDescent="0.2">
      <c r="A1" t="s">
        <v>95</v>
      </c>
    </row>
    <row r="2" spans="1:19" x14ac:dyDescent="0.2">
      <c r="A2" s="1" t="s">
        <v>96</v>
      </c>
      <c r="B2" s="1"/>
      <c r="C2" s="1"/>
    </row>
    <row r="3" spans="1:19" ht="32" x14ac:dyDescent="0.2">
      <c r="A3" s="25" t="s">
        <v>97</v>
      </c>
      <c r="B3" s="25"/>
      <c r="C3" s="25"/>
      <c r="D3" s="26">
        <v>2011</v>
      </c>
      <c r="E3" s="26">
        <v>2012</v>
      </c>
      <c r="F3" s="26">
        <v>2013</v>
      </c>
      <c r="G3" s="26">
        <v>2014</v>
      </c>
      <c r="H3" s="26">
        <v>2015</v>
      </c>
      <c r="I3" s="26">
        <v>2016</v>
      </c>
      <c r="J3" s="26">
        <v>2017</v>
      </c>
      <c r="K3" s="26">
        <v>2018</v>
      </c>
      <c r="L3" s="26">
        <v>2019</v>
      </c>
      <c r="M3" s="26">
        <v>2020</v>
      </c>
      <c r="N3" s="26">
        <v>2021</v>
      </c>
      <c r="O3" s="26" t="s">
        <v>98</v>
      </c>
      <c r="P3" s="26"/>
      <c r="Q3" s="26" t="s">
        <v>99</v>
      </c>
      <c r="R3" s="27" t="s">
        <v>100</v>
      </c>
      <c r="S3" s="1"/>
    </row>
    <row r="4" spans="1:19" x14ac:dyDescent="0.2">
      <c r="A4" t="s">
        <v>13</v>
      </c>
      <c r="E4">
        <v>2400</v>
      </c>
      <c r="F4">
        <v>19400</v>
      </c>
      <c r="G4">
        <v>16750</v>
      </c>
      <c r="H4">
        <v>26408</v>
      </c>
      <c r="I4">
        <v>49800</v>
      </c>
      <c r="J4">
        <v>49970</v>
      </c>
      <c r="K4">
        <v>161123</v>
      </c>
      <c r="L4">
        <v>177589</v>
      </c>
      <c r="M4">
        <v>183829</v>
      </c>
      <c r="N4">
        <v>320918</v>
      </c>
      <c r="O4">
        <v>180520</v>
      </c>
      <c r="Q4">
        <v>1188707</v>
      </c>
      <c r="R4" s="7">
        <f>N4/$N$27</f>
        <v>0.506558531141579</v>
      </c>
    </row>
    <row r="5" spans="1:19" x14ac:dyDescent="0.2">
      <c r="A5" t="s">
        <v>67</v>
      </c>
      <c r="D5">
        <v>7671</v>
      </c>
      <c r="E5">
        <v>23461</v>
      </c>
      <c r="F5">
        <v>23660</v>
      </c>
      <c r="G5">
        <v>21260</v>
      </c>
      <c r="H5">
        <v>19046</v>
      </c>
      <c r="I5">
        <v>28887</v>
      </c>
      <c r="J5">
        <v>43891</v>
      </c>
      <c r="K5">
        <v>36594</v>
      </c>
      <c r="L5">
        <v>21370</v>
      </c>
      <c r="M5">
        <v>20835</v>
      </c>
      <c r="N5">
        <v>24845</v>
      </c>
      <c r="O5">
        <v>3680</v>
      </c>
      <c r="Q5">
        <v>275200</v>
      </c>
      <c r="R5" s="7">
        <f t="shared" ref="R5:R25" si="0">N5/$N$27</f>
        <v>3.9217017138996661E-2</v>
      </c>
    </row>
    <row r="6" spans="1:19" x14ac:dyDescent="0.2">
      <c r="A6" t="s">
        <v>68</v>
      </c>
      <c r="D6">
        <v>9674</v>
      </c>
      <c r="E6">
        <v>9819</v>
      </c>
      <c r="F6">
        <v>22610</v>
      </c>
      <c r="G6">
        <v>30200</v>
      </c>
      <c r="H6">
        <v>17269</v>
      </c>
      <c r="I6">
        <v>14006</v>
      </c>
      <c r="J6">
        <v>11230</v>
      </c>
      <c r="K6">
        <v>14715</v>
      </c>
      <c r="L6">
        <v>12365</v>
      </c>
      <c r="M6">
        <v>9564</v>
      </c>
      <c r="N6">
        <v>14239</v>
      </c>
      <c r="O6">
        <v>7037</v>
      </c>
      <c r="Q6">
        <v>172728</v>
      </c>
      <c r="R6" s="7">
        <f t="shared" si="0"/>
        <v>2.2475794205762668E-2</v>
      </c>
    </row>
    <row r="7" spans="1:19" x14ac:dyDescent="0.2">
      <c r="A7" t="s">
        <v>69</v>
      </c>
      <c r="E7">
        <v>12941</v>
      </c>
      <c r="F7">
        <v>13093</v>
      </c>
      <c r="G7">
        <v>14448</v>
      </c>
      <c r="H7">
        <v>4209</v>
      </c>
      <c r="I7">
        <v>2474</v>
      </c>
      <c r="J7">
        <v>20936</v>
      </c>
      <c r="K7">
        <v>27596</v>
      </c>
      <c r="L7">
        <v>21856</v>
      </c>
      <c r="M7">
        <v>17898</v>
      </c>
      <c r="N7">
        <v>52767</v>
      </c>
      <c r="O7">
        <v>13578</v>
      </c>
      <c r="Q7">
        <v>201796</v>
      </c>
      <c r="R7" s="7">
        <f t="shared" si="0"/>
        <v>8.3290977797280619E-2</v>
      </c>
    </row>
    <row r="8" spans="1:19" x14ac:dyDescent="0.2">
      <c r="A8" t="s">
        <v>70</v>
      </c>
      <c r="E8">
        <v>3057</v>
      </c>
      <c r="F8">
        <v>14981</v>
      </c>
      <c r="G8">
        <v>21947</v>
      </c>
      <c r="H8">
        <v>18923</v>
      </c>
      <c r="I8">
        <v>24796</v>
      </c>
      <c r="J8">
        <v>19589</v>
      </c>
      <c r="K8">
        <v>9216</v>
      </c>
      <c r="L8">
        <v>8235</v>
      </c>
      <c r="M8">
        <v>5568</v>
      </c>
      <c r="N8">
        <v>33234</v>
      </c>
      <c r="O8">
        <v>23819</v>
      </c>
      <c r="Q8">
        <v>183365</v>
      </c>
      <c r="R8" s="7">
        <f t="shared" si="0"/>
        <v>5.2458778329539747E-2</v>
      </c>
    </row>
    <row r="9" spans="1:19" x14ac:dyDescent="0.2">
      <c r="A9" t="s">
        <v>71</v>
      </c>
      <c r="E9">
        <v>673</v>
      </c>
      <c r="F9">
        <v>0</v>
      </c>
      <c r="G9">
        <v>6647</v>
      </c>
      <c r="H9">
        <v>14181</v>
      </c>
      <c r="I9">
        <v>16117</v>
      </c>
      <c r="J9">
        <v>21195</v>
      </c>
      <c r="K9">
        <v>26092</v>
      </c>
      <c r="L9">
        <v>14067</v>
      </c>
      <c r="M9">
        <v>10639</v>
      </c>
      <c r="N9">
        <v>23064</v>
      </c>
      <c r="O9">
        <v>7611</v>
      </c>
      <c r="Q9">
        <v>140286</v>
      </c>
      <c r="R9" s="7">
        <f t="shared" si="0"/>
        <v>3.6405767087696481E-2</v>
      </c>
    </row>
    <row r="10" spans="1:19" x14ac:dyDescent="0.2">
      <c r="A10" t="s">
        <v>72</v>
      </c>
      <c r="F10">
        <v>260</v>
      </c>
      <c r="G10">
        <v>1503</v>
      </c>
      <c r="H10">
        <v>3477</v>
      </c>
      <c r="I10">
        <v>3737</v>
      </c>
      <c r="J10">
        <v>6317</v>
      </c>
      <c r="K10">
        <v>9897</v>
      </c>
      <c r="L10">
        <v>6850</v>
      </c>
      <c r="M10">
        <v>5666</v>
      </c>
      <c r="N10">
        <v>48723</v>
      </c>
      <c r="O10">
        <v>30098</v>
      </c>
      <c r="Q10">
        <v>116528</v>
      </c>
      <c r="R10" s="7">
        <f t="shared" si="0"/>
        <v>7.6907656512913439E-2</v>
      </c>
    </row>
    <row r="11" spans="1:19" x14ac:dyDescent="0.2">
      <c r="A11" t="s">
        <v>73</v>
      </c>
      <c r="E11">
        <v>93</v>
      </c>
      <c r="F11">
        <v>1095</v>
      </c>
      <c r="G11">
        <v>856</v>
      </c>
      <c r="H11">
        <v>66</v>
      </c>
      <c r="I11">
        <v>0</v>
      </c>
      <c r="J11">
        <v>2024</v>
      </c>
      <c r="K11">
        <v>19550</v>
      </c>
      <c r="L11">
        <v>11334</v>
      </c>
      <c r="M11">
        <v>3984</v>
      </c>
      <c r="N11">
        <v>2315</v>
      </c>
      <c r="O11">
        <v>2</v>
      </c>
      <c r="Q11">
        <v>41319</v>
      </c>
      <c r="R11" s="7">
        <f t="shared" si="0"/>
        <v>3.654151526535612E-3</v>
      </c>
    </row>
    <row r="12" spans="1:19" x14ac:dyDescent="0.2">
      <c r="A12" t="s">
        <v>74</v>
      </c>
      <c r="I12">
        <v>4280</v>
      </c>
      <c r="J12">
        <v>2877</v>
      </c>
      <c r="K12">
        <v>2391</v>
      </c>
      <c r="L12">
        <v>5410</v>
      </c>
      <c r="M12">
        <v>11670</v>
      </c>
      <c r="N12">
        <v>20019</v>
      </c>
      <c r="O12">
        <v>9704</v>
      </c>
      <c r="Q12">
        <v>56351</v>
      </c>
      <c r="R12" s="7">
        <f t="shared" si="0"/>
        <v>3.159933451823603E-2</v>
      </c>
    </row>
    <row r="13" spans="1:19" x14ac:dyDescent="0.2">
      <c r="A13" t="s">
        <v>75</v>
      </c>
      <c r="H13">
        <v>15</v>
      </c>
      <c r="I13">
        <v>3000</v>
      </c>
      <c r="J13">
        <v>2686</v>
      </c>
      <c r="K13">
        <v>2684</v>
      </c>
      <c r="L13">
        <v>8045</v>
      </c>
      <c r="M13">
        <v>8793</v>
      </c>
      <c r="N13">
        <v>17013</v>
      </c>
      <c r="O13">
        <v>17215</v>
      </c>
      <c r="Q13">
        <v>59451</v>
      </c>
      <c r="R13" s="7">
        <f t="shared" si="0"/>
        <v>2.6854462168877047E-2</v>
      </c>
    </row>
    <row r="14" spans="1:19" x14ac:dyDescent="0.2">
      <c r="A14" t="s">
        <v>76</v>
      </c>
      <c r="G14">
        <v>359</v>
      </c>
      <c r="H14">
        <v>1015</v>
      </c>
      <c r="I14">
        <v>1728</v>
      </c>
      <c r="J14">
        <v>3669</v>
      </c>
      <c r="K14">
        <v>5670</v>
      </c>
      <c r="L14">
        <v>6769</v>
      </c>
      <c r="M14">
        <v>5302</v>
      </c>
      <c r="N14">
        <v>14617</v>
      </c>
      <c r="O14">
        <v>19481</v>
      </c>
      <c r="Q14">
        <v>58610</v>
      </c>
      <c r="R14" s="7">
        <f t="shared" si="0"/>
        <v>2.3072454800592241E-2</v>
      </c>
    </row>
    <row r="15" spans="1:19" x14ac:dyDescent="0.2">
      <c r="A15" t="s">
        <v>77</v>
      </c>
      <c r="H15">
        <v>86</v>
      </c>
      <c r="I15">
        <v>2015</v>
      </c>
      <c r="J15">
        <v>2826</v>
      </c>
      <c r="K15">
        <v>3818</v>
      </c>
      <c r="L15">
        <v>3683</v>
      </c>
      <c r="M15">
        <v>7241</v>
      </c>
      <c r="N15">
        <v>25469</v>
      </c>
      <c r="O15">
        <v>13813</v>
      </c>
      <c r="Q15">
        <v>58951</v>
      </c>
      <c r="R15" s="7">
        <f t="shared" si="0"/>
        <v>4.0201980660620085E-2</v>
      </c>
    </row>
    <row r="16" spans="1:19" x14ac:dyDescent="0.2">
      <c r="A16" t="s">
        <v>78</v>
      </c>
      <c r="F16">
        <v>51</v>
      </c>
      <c r="G16">
        <v>991</v>
      </c>
      <c r="H16">
        <v>1570</v>
      </c>
      <c r="I16">
        <v>2504</v>
      </c>
      <c r="J16">
        <v>1592</v>
      </c>
      <c r="K16">
        <v>2152</v>
      </c>
      <c r="L16">
        <v>2705</v>
      </c>
      <c r="M16">
        <v>6935</v>
      </c>
      <c r="N16">
        <v>11931</v>
      </c>
      <c r="O16">
        <v>4760</v>
      </c>
      <c r="Q16">
        <v>35191</v>
      </c>
      <c r="R16" s="7">
        <f t="shared" si="0"/>
        <v>1.8832691949501677E-2</v>
      </c>
    </row>
    <row r="17" spans="1:19" x14ac:dyDescent="0.2">
      <c r="A17" t="s">
        <v>79</v>
      </c>
      <c r="G17">
        <v>357</v>
      </c>
      <c r="H17">
        <v>4232</v>
      </c>
      <c r="I17">
        <v>3937</v>
      </c>
      <c r="J17">
        <v>3534</v>
      </c>
      <c r="K17">
        <v>1354</v>
      </c>
      <c r="L17">
        <v>4863</v>
      </c>
      <c r="M17">
        <v>767</v>
      </c>
      <c r="N17">
        <v>16775</v>
      </c>
      <c r="O17">
        <v>3820</v>
      </c>
      <c r="Q17">
        <v>39639</v>
      </c>
      <c r="R17" s="7">
        <f t="shared" si="0"/>
        <v>2.6478786979539908E-2</v>
      </c>
    </row>
    <row r="18" spans="1:19" x14ac:dyDescent="0.2">
      <c r="A18" t="s">
        <v>80</v>
      </c>
      <c r="G18">
        <v>774</v>
      </c>
      <c r="H18">
        <v>2024</v>
      </c>
      <c r="I18">
        <v>1584</v>
      </c>
      <c r="J18">
        <v>2690</v>
      </c>
      <c r="K18">
        <v>2336</v>
      </c>
      <c r="L18">
        <v>5389</v>
      </c>
      <c r="M18">
        <v>1236</v>
      </c>
      <c r="N18">
        <v>507</v>
      </c>
      <c r="O18">
        <v>3280</v>
      </c>
      <c r="Q18">
        <v>19820</v>
      </c>
      <c r="R18" s="7">
        <f t="shared" si="0"/>
        <v>8.0028286131903035E-4</v>
      </c>
    </row>
    <row r="19" spans="1:19" x14ac:dyDescent="0.2">
      <c r="A19" t="s">
        <v>81</v>
      </c>
      <c r="D19">
        <v>76</v>
      </c>
      <c r="E19">
        <v>588</v>
      </c>
      <c r="F19">
        <v>1029</v>
      </c>
      <c r="G19">
        <v>196</v>
      </c>
      <c r="H19">
        <v>115</v>
      </c>
      <c r="I19">
        <v>94</v>
      </c>
      <c r="J19">
        <v>105</v>
      </c>
      <c r="K19">
        <v>4166</v>
      </c>
      <c r="L19">
        <v>2810</v>
      </c>
      <c r="M19">
        <v>1964</v>
      </c>
      <c r="N19">
        <v>2250</v>
      </c>
      <c r="O19">
        <v>1158</v>
      </c>
      <c r="Q19">
        <v>14551</v>
      </c>
      <c r="R19" s="7">
        <f t="shared" si="0"/>
        <v>3.5515511596998389E-3</v>
      </c>
    </row>
    <row r="20" spans="1:19" x14ac:dyDescent="0.2">
      <c r="A20" t="s">
        <v>82</v>
      </c>
      <c r="D20">
        <v>342</v>
      </c>
      <c r="E20">
        <v>139</v>
      </c>
      <c r="F20">
        <v>923</v>
      </c>
      <c r="G20">
        <v>2594</v>
      </c>
      <c r="H20">
        <v>1387</v>
      </c>
      <c r="I20">
        <v>657</v>
      </c>
      <c r="J20">
        <v>544</v>
      </c>
      <c r="K20">
        <v>1198</v>
      </c>
      <c r="L20">
        <v>680</v>
      </c>
      <c r="M20">
        <v>0</v>
      </c>
      <c r="N20">
        <v>0</v>
      </c>
      <c r="O20">
        <v>0</v>
      </c>
      <c r="Q20">
        <v>8464</v>
      </c>
      <c r="R20" s="7">
        <f t="shared" si="0"/>
        <v>0</v>
      </c>
    </row>
    <row r="21" spans="1:19" x14ac:dyDescent="0.2">
      <c r="A21" t="s">
        <v>83</v>
      </c>
      <c r="K21">
        <v>393</v>
      </c>
      <c r="L21">
        <v>3002</v>
      </c>
      <c r="M21">
        <v>3129</v>
      </c>
      <c r="N21">
        <v>1665</v>
      </c>
      <c r="O21">
        <v>251</v>
      </c>
      <c r="Q21">
        <v>8440</v>
      </c>
      <c r="R21" s="7">
        <f t="shared" si="0"/>
        <v>2.6281478581778807E-3</v>
      </c>
    </row>
    <row r="22" spans="1:19" x14ac:dyDescent="0.2">
      <c r="A22" t="s">
        <v>84</v>
      </c>
      <c r="K22">
        <v>0</v>
      </c>
      <c r="L22">
        <v>2591</v>
      </c>
      <c r="M22">
        <v>2514</v>
      </c>
      <c r="N22">
        <v>2618</v>
      </c>
      <c r="O22">
        <v>947</v>
      </c>
      <c r="Q22">
        <v>8670</v>
      </c>
      <c r="R22" s="7">
        <f t="shared" si="0"/>
        <v>4.1324270827085233E-3</v>
      </c>
    </row>
    <row r="23" spans="1:19" x14ac:dyDescent="0.2">
      <c r="A23" t="s">
        <v>85</v>
      </c>
      <c r="N23">
        <v>376</v>
      </c>
      <c r="O23">
        <v>3551</v>
      </c>
      <c r="Q23">
        <v>3927</v>
      </c>
      <c r="R23" s="7">
        <f t="shared" si="0"/>
        <v>5.9350366046539526E-4</v>
      </c>
    </row>
    <row r="24" spans="1:19" x14ac:dyDescent="0.2">
      <c r="A24" t="s">
        <v>86</v>
      </c>
      <c r="N24">
        <v>65</v>
      </c>
      <c r="O24">
        <v>600</v>
      </c>
      <c r="Q24">
        <v>665</v>
      </c>
      <c r="R24" s="7">
        <f t="shared" si="0"/>
        <v>1.0260036683577312E-4</v>
      </c>
    </row>
    <row r="25" spans="1:19" x14ac:dyDescent="0.2">
      <c r="A25" t="s">
        <v>87</v>
      </c>
      <c r="N25">
        <v>116</v>
      </c>
      <c r="O25">
        <v>293</v>
      </c>
      <c r="Q25">
        <v>409</v>
      </c>
      <c r="R25" s="7">
        <f t="shared" si="0"/>
        <v>1.831021931223028E-4</v>
      </c>
    </row>
    <row r="27" spans="1:19" x14ac:dyDescent="0.2">
      <c r="A27" t="s">
        <v>99</v>
      </c>
      <c r="D27">
        <v>17763</v>
      </c>
      <c r="E27">
        <v>53171</v>
      </c>
      <c r="F27">
        <v>97102</v>
      </c>
      <c r="G27">
        <v>118882</v>
      </c>
      <c r="H27">
        <v>114023</v>
      </c>
      <c r="I27">
        <v>159616</v>
      </c>
      <c r="J27">
        <v>195675</v>
      </c>
      <c r="K27">
        <v>330945</v>
      </c>
      <c r="L27">
        <v>319613</v>
      </c>
      <c r="M27">
        <v>307534</v>
      </c>
      <c r="N27">
        <v>633526</v>
      </c>
      <c r="O27">
        <v>345218</v>
      </c>
      <c r="Q27">
        <v>2693068</v>
      </c>
    </row>
    <row r="29" spans="1:19" x14ac:dyDescent="0.2">
      <c r="A29" s="1" t="s">
        <v>101</v>
      </c>
      <c r="B29" s="1"/>
      <c r="C29" s="1"/>
    </row>
    <row r="30" spans="1:19" x14ac:dyDescent="0.2">
      <c r="A30" s="25" t="s">
        <v>97</v>
      </c>
      <c r="B30" s="25"/>
      <c r="C30" s="25"/>
      <c r="D30" s="26">
        <v>2011</v>
      </c>
      <c r="E30" s="26">
        <v>2012</v>
      </c>
      <c r="F30" s="26">
        <v>2013</v>
      </c>
      <c r="G30" s="26">
        <v>2014</v>
      </c>
      <c r="H30" s="26">
        <v>2015</v>
      </c>
      <c r="I30" s="26">
        <v>2016</v>
      </c>
      <c r="J30" s="26">
        <v>2017</v>
      </c>
      <c r="K30" s="26">
        <v>2018</v>
      </c>
      <c r="L30" s="26">
        <v>2019</v>
      </c>
      <c r="M30" s="26">
        <v>2020</v>
      </c>
      <c r="N30" s="26">
        <v>2021</v>
      </c>
      <c r="O30" s="26" t="s">
        <v>98</v>
      </c>
      <c r="Q30" s="26" t="s">
        <v>99</v>
      </c>
      <c r="R30" s="26"/>
      <c r="S30" s="1" t="s">
        <v>102</v>
      </c>
    </row>
    <row r="31" spans="1:19" x14ac:dyDescent="0.2">
      <c r="A31" t="s">
        <v>13</v>
      </c>
      <c r="E31">
        <v>2400</v>
      </c>
      <c r="F31">
        <v>19400</v>
      </c>
      <c r="G31">
        <v>16750</v>
      </c>
      <c r="H31">
        <v>26408</v>
      </c>
      <c r="I31">
        <v>49800</v>
      </c>
      <c r="J31">
        <v>49970</v>
      </c>
      <c r="K31">
        <v>161123</v>
      </c>
      <c r="L31">
        <v>177589</v>
      </c>
      <c r="M31">
        <v>183829</v>
      </c>
      <c r="N31">
        <v>320918</v>
      </c>
      <c r="O31">
        <v>180520</v>
      </c>
      <c r="Q31">
        <f>SUM(D31:O31)</f>
        <v>1188707</v>
      </c>
      <c r="S31">
        <f>N31/$N$54</f>
        <v>0.69848904985569582</v>
      </c>
    </row>
    <row r="32" spans="1:19" x14ac:dyDescent="0.2">
      <c r="A32" t="s">
        <v>67</v>
      </c>
      <c r="D32">
        <v>0</v>
      </c>
      <c r="E32">
        <v>0</v>
      </c>
      <c r="F32">
        <v>560</v>
      </c>
      <c r="G32">
        <v>1145</v>
      </c>
      <c r="H32">
        <v>2629</v>
      </c>
      <c r="I32">
        <v>3614</v>
      </c>
      <c r="J32">
        <v>23320</v>
      </c>
      <c r="K32">
        <v>18026</v>
      </c>
      <c r="L32">
        <v>16418</v>
      </c>
      <c r="M32">
        <v>20754</v>
      </c>
      <c r="N32">
        <v>24829</v>
      </c>
      <c r="O32">
        <v>3680</v>
      </c>
      <c r="Q32">
        <f t="shared" ref="Q32:Q52" si="1">SUM(D32:O32)</f>
        <v>114975</v>
      </c>
      <c r="S32">
        <f t="shared" ref="S32:S52" si="2">N32/$N$54</f>
        <v>5.4041171323724657E-2</v>
      </c>
    </row>
    <row r="33" spans="1:19" x14ac:dyDescent="0.2">
      <c r="A33" t="s">
        <v>68</v>
      </c>
      <c r="D33">
        <v>9674</v>
      </c>
      <c r="E33">
        <v>9819</v>
      </c>
      <c r="F33">
        <v>22610</v>
      </c>
      <c r="G33">
        <v>30200</v>
      </c>
      <c r="H33">
        <v>17269</v>
      </c>
      <c r="I33">
        <v>14006</v>
      </c>
      <c r="J33">
        <v>11230</v>
      </c>
      <c r="K33">
        <v>14715</v>
      </c>
      <c r="L33">
        <v>12365</v>
      </c>
      <c r="M33">
        <v>9564</v>
      </c>
      <c r="N33">
        <v>14239</v>
      </c>
      <c r="O33">
        <v>7037</v>
      </c>
      <c r="Q33">
        <f t="shared" si="1"/>
        <v>172728</v>
      </c>
      <c r="S33">
        <f t="shared" si="2"/>
        <v>3.0991672579584979E-2</v>
      </c>
    </row>
    <row r="34" spans="1:19" x14ac:dyDescent="0.2">
      <c r="A34" t="s">
        <v>69</v>
      </c>
      <c r="E34">
        <v>192</v>
      </c>
      <c r="F34">
        <v>1005</v>
      </c>
      <c r="G34">
        <v>1184</v>
      </c>
      <c r="H34">
        <v>18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199</v>
      </c>
      <c r="Q34">
        <f t="shared" si="1"/>
        <v>2599</v>
      </c>
      <c r="S34">
        <f t="shared" si="2"/>
        <v>0</v>
      </c>
    </row>
    <row r="35" spans="1:19" x14ac:dyDescent="0.2">
      <c r="A35" t="s">
        <v>70</v>
      </c>
      <c r="E35">
        <v>683</v>
      </c>
      <c r="F35">
        <v>1738</v>
      </c>
      <c r="G35">
        <v>1964</v>
      </c>
      <c r="H35">
        <v>1582</v>
      </c>
      <c r="I35">
        <v>901</v>
      </c>
      <c r="J35">
        <v>1817</v>
      </c>
      <c r="K35">
        <v>560</v>
      </c>
      <c r="L35">
        <v>0</v>
      </c>
      <c r="M35">
        <v>3</v>
      </c>
      <c r="N35">
        <v>27221</v>
      </c>
      <c r="O35">
        <v>18763</v>
      </c>
      <c r="Q35">
        <f t="shared" si="1"/>
        <v>55232</v>
      </c>
      <c r="S35">
        <f t="shared" si="2"/>
        <v>5.9247441483874057E-2</v>
      </c>
    </row>
    <row r="36" spans="1:19" x14ac:dyDescent="0.2">
      <c r="A36" t="s">
        <v>71</v>
      </c>
      <c r="E36">
        <v>673</v>
      </c>
      <c r="F36">
        <v>0</v>
      </c>
      <c r="G36">
        <v>6092</v>
      </c>
      <c r="H36">
        <v>11024</v>
      </c>
      <c r="I36">
        <v>7625</v>
      </c>
      <c r="J36">
        <v>6276</v>
      </c>
      <c r="K36">
        <v>6117</v>
      </c>
      <c r="L36">
        <v>4854</v>
      </c>
      <c r="M36">
        <v>2640</v>
      </c>
      <c r="N36">
        <v>3485</v>
      </c>
      <c r="O36">
        <v>2392</v>
      </c>
      <c r="Q36">
        <f t="shared" si="1"/>
        <v>51178</v>
      </c>
      <c r="S36">
        <f t="shared" si="2"/>
        <v>7.5852222023915757E-3</v>
      </c>
    </row>
    <row r="37" spans="1:19" x14ac:dyDescent="0.2">
      <c r="A37" t="s">
        <v>72</v>
      </c>
      <c r="F37">
        <v>260</v>
      </c>
      <c r="G37">
        <v>1503</v>
      </c>
      <c r="H37">
        <v>3477</v>
      </c>
      <c r="I37">
        <v>3737</v>
      </c>
      <c r="J37">
        <v>3336</v>
      </c>
      <c r="K37">
        <v>1022</v>
      </c>
      <c r="L37">
        <v>604</v>
      </c>
      <c r="M37">
        <v>70</v>
      </c>
      <c r="N37">
        <v>0</v>
      </c>
      <c r="O37">
        <v>0</v>
      </c>
      <c r="Q37">
        <f t="shared" si="1"/>
        <v>14009</v>
      </c>
      <c r="S37">
        <f t="shared" si="2"/>
        <v>0</v>
      </c>
    </row>
    <row r="38" spans="1:19" x14ac:dyDescent="0.2">
      <c r="A38" t="s">
        <v>73</v>
      </c>
      <c r="E38">
        <v>93</v>
      </c>
      <c r="F38">
        <v>569</v>
      </c>
      <c r="G38">
        <v>407</v>
      </c>
      <c r="H38">
        <v>2</v>
      </c>
      <c r="I38">
        <v>0</v>
      </c>
      <c r="J38">
        <v>1121</v>
      </c>
      <c r="K38">
        <v>948</v>
      </c>
      <c r="L38">
        <v>576</v>
      </c>
      <c r="M38">
        <v>45</v>
      </c>
      <c r="N38">
        <v>1</v>
      </c>
      <c r="O38">
        <v>0</v>
      </c>
      <c r="Q38">
        <f t="shared" si="1"/>
        <v>3762</v>
      </c>
      <c r="S38">
        <f t="shared" si="2"/>
        <v>2.1765343478885439E-6</v>
      </c>
    </row>
    <row r="39" spans="1:19" x14ac:dyDescent="0.2">
      <c r="A39" t="s">
        <v>74</v>
      </c>
      <c r="I39">
        <v>0</v>
      </c>
      <c r="J39">
        <v>0</v>
      </c>
      <c r="K39">
        <v>0</v>
      </c>
      <c r="L39">
        <v>5369</v>
      </c>
      <c r="M39">
        <v>7202</v>
      </c>
      <c r="N39">
        <v>11076</v>
      </c>
      <c r="O39">
        <v>5530</v>
      </c>
      <c r="Q39">
        <f t="shared" si="1"/>
        <v>29177</v>
      </c>
      <c r="S39">
        <f t="shared" si="2"/>
        <v>2.4107294437213513E-2</v>
      </c>
    </row>
    <row r="40" spans="1:19" x14ac:dyDescent="0.2">
      <c r="A40" t="s">
        <v>75</v>
      </c>
      <c r="H40">
        <v>0</v>
      </c>
      <c r="I40">
        <v>0</v>
      </c>
      <c r="J40">
        <v>432</v>
      </c>
      <c r="K40">
        <v>474</v>
      </c>
      <c r="L40">
        <v>5244</v>
      </c>
      <c r="M40">
        <v>4556</v>
      </c>
      <c r="N40">
        <v>10855</v>
      </c>
      <c r="O40">
        <v>13030</v>
      </c>
      <c r="Q40">
        <f t="shared" si="1"/>
        <v>34591</v>
      </c>
      <c r="S40">
        <f t="shared" si="2"/>
        <v>2.3626280346330145E-2</v>
      </c>
    </row>
    <row r="41" spans="1:19" x14ac:dyDescent="0.2">
      <c r="A41" t="s">
        <v>76</v>
      </c>
      <c r="G41">
        <v>359</v>
      </c>
      <c r="H41">
        <v>1015</v>
      </c>
      <c r="I41">
        <v>1728</v>
      </c>
      <c r="J41">
        <v>2157</v>
      </c>
      <c r="K41">
        <v>996</v>
      </c>
      <c r="L41">
        <v>2528</v>
      </c>
      <c r="M41">
        <v>2848</v>
      </c>
      <c r="N41">
        <v>8717</v>
      </c>
      <c r="O41">
        <v>15261</v>
      </c>
      <c r="Q41">
        <f t="shared" si="1"/>
        <v>35609</v>
      </c>
      <c r="S41">
        <f t="shared" si="2"/>
        <v>1.8972849910544438E-2</v>
      </c>
    </row>
    <row r="42" spans="1:19" x14ac:dyDescent="0.2">
      <c r="A42" t="s">
        <v>77</v>
      </c>
      <c r="H42">
        <v>0</v>
      </c>
      <c r="I42">
        <v>0</v>
      </c>
      <c r="J42">
        <v>0</v>
      </c>
      <c r="K42">
        <v>0</v>
      </c>
      <c r="L42">
        <v>0</v>
      </c>
      <c r="M42">
        <v>135</v>
      </c>
      <c r="N42">
        <v>9863</v>
      </c>
      <c r="O42">
        <v>7331</v>
      </c>
      <c r="Q42">
        <f t="shared" si="1"/>
        <v>17329</v>
      </c>
      <c r="S42">
        <f t="shared" si="2"/>
        <v>2.146715827322471E-2</v>
      </c>
    </row>
    <row r="43" spans="1:19" x14ac:dyDescent="0.2">
      <c r="A43" t="s">
        <v>78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130</v>
      </c>
      <c r="M43">
        <v>4414</v>
      </c>
      <c r="N43">
        <v>9419</v>
      </c>
      <c r="O43">
        <v>3895</v>
      </c>
      <c r="Q43">
        <f t="shared" si="1"/>
        <v>17858</v>
      </c>
      <c r="S43">
        <f t="shared" si="2"/>
        <v>2.0500777022762196E-2</v>
      </c>
    </row>
    <row r="44" spans="1:19" x14ac:dyDescent="0.2">
      <c r="A44" t="s">
        <v>79</v>
      </c>
      <c r="G44">
        <v>357</v>
      </c>
      <c r="H44">
        <v>4232</v>
      </c>
      <c r="I44">
        <v>3937</v>
      </c>
      <c r="J44">
        <v>3534</v>
      </c>
      <c r="K44">
        <v>1354</v>
      </c>
      <c r="L44">
        <v>4863</v>
      </c>
      <c r="M44">
        <v>767</v>
      </c>
      <c r="N44">
        <v>16775</v>
      </c>
      <c r="O44">
        <v>3820</v>
      </c>
      <c r="Q44">
        <f t="shared" si="1"/>
        <v>39639</v>
      </c>
      <c r="S44">
        <f t="shared" si="2"/>
        <v>3.6511363685830328E-2</v>
      </c>
    </row>
    <row r="45" spans="1:19" x14ac:dyDescent="0.2">
      <c r="A45" t="s">
        <v>80</v>
      </c>
      <c r="G45">
        <v>774</v>
      </c>
      <c r="H45">
        <v>1906</v>
      </c>
      <c r="I45">
        <v>632</v>
      </c>
      <c r="J45">
        <v>744</v>
      </c>
      <c r="K45">
        <v>135</v>
      </c>
      <c r="L45">
        <v>8</v>
      </c>
      <c r="M45">
        <v>0</v>
      </c>
      <c r="N45">
        <v>429</v>
      </c>
      <c r="O45">
        <v>3280</v>
      </c>
      <c r="Q45">
        <f t="shared" si="1"/>
        <v>7908</v>
      </c>
      <c r="S45">
        <f t="shared" si="2"/>
        <v>9.3373323524418542E-4</v>
      </c>
    </row>
    <row r="46" spans="1:19" x14ac:dyDescent="0.2">
      <c r="A46" t="s">
        <v>81</v>
      </c>
      <c r="D46">
        <v>76</v>
      </c>
      <c r="E46">
        <v>588</v>
      </c>
      <c r="F46">
        <v>1029</v>
      </c>
      <c r="G46">
        <v>196</v>
      </c>
      <c r="H46">
        <v>115</v>
      </c>
      <c r="I46">
        <v>94</v>
      </c>
      <c r="J46">
        <v>6</v>
      </c>
      <c r="K46">
        <v>0</v>
      </c>
      <c r="L46">
        <v>0</v>
      </c>
      <c r="M46">
        <v>0</v>
      </c>
      <c r="N46">
        <v>0</v>
      </c>
      <c r="O46">
        <v>0</v>
      </c>
      <c r="Q46">
        <f t="shared" si="1"/>
        <v>2104</v>
      </c>
      <c r="S46">
        <f t="shared" si="2"/>
        <v>0</v>
      </c>
    </row>
    <row r="47" spans="1:19" x14ac:dyDescent="0.2">
      <c r="A47" t="s">
        <v>82</v>
      </c>
      <c r="D47">
        <v>342</v>
      </c>
      <c r="E47">
        <v>139</v>
      </c>
      <c r="F47">
        <v>923</v>
      </c>
      <c r="G47">
        <v>2594</v>
      </c>
      <c r="H47">
        <v>1387</v>
      </c>
      <c r="I47">
        <v>657</v>
      </c>
      <c r="J47">
        <v>544</v>
      </c>
      <c r="K47">
        <v>1198</v>
      </c>
      <c r="L47">
        <v>680</v>
      </c>
      <c r="M47">
        <v>0</v>
      </c>
      <c r="N47">
        <v>0</v>
      </c>
      <c r="O47">
        <v>0</v>
      </c>
      <c r="Q47">
        <f t="shared" si="1"/>
        <v>8464</v>
      </c>
      <c r="S47">
        <f t="shared" si="2"/>
        <v>0</v>
      </c>
    </row>
    <row r="48" spans="1:19" x14ac:dyDescent="0.2">
      <c r="A48" t="s">
        <v>83</v>
      </c>
      <c r="K48">
        <v>393</v>
      </c>
      <c r="L48">
        <v>2594</v>
      </c>
      <c r="M48">
        <v>1658</v>
      </c>
      <c r="N48">
        <v>1062</v>
      </c>
      <c r="O48">
        <v>251</v>
      </c>
      <c r="Q48">
        <f t="shared" si="1"/>
        <v>5958</v>
      </c>
      <c r="S48">
        <f t="shared" si="2"/>
        <v>2.3114794774576337E-3</v>
      </c>
    </row>
    <row r="49" spans="1:19" x14ac:dyDescent="0.2">
      <c r="A49" t="s">
        <v>84</v>
      </c>
      <c r="N49">
        <v>0</v>
      </c>
      <c r="O49">
        <v>0</v>
      </c>
      <c r="Q49">
        <f t="shared" si="1"/>
        <v>0</v>
      </c>
      <c r="S49">
        <f t="shared" si="2"/>
        <v>0</v>
      </c>
    </row>
    <row r="50" spans="1:19" x14ac:dyDescent="0.2">
      <c r="A50" t="s">
        <v>85</v>
      </c>
      <c r="N50">
        <v>376</v>
      </c>
      <c r="O50">
        <v>3551</v>
      </c>
      <c r="Q50">
        <f t="shared" si="1"/>
        <v>3927</v>
      </c>
      <c r="S50">
        <f t="shared" si="2"/>
        <v>8.1837691480609253E-4</v>
      </c>
    </row>
    <row r="51" spans="1:19" x14ac:dyDescent="0.2">
      <c r="A51" t="s">
        <v>86</v>
      </c>
      <c r="N51">
        <v>65</v>
      </c>
      <c r="O51">
        <v>600</v>
      </c>
      <c r="Q51">
        <f t="shared" si="1"/>
        <v>665</v>
      </c>
      <c r="S51">
        <f t="shared" si="2"/>
        <v>1.4147473261275537E-4</v>
      </c>
    </row>
    <row r="52" spans="1:19" x14ac:dyDescent="0.2">
      <c r="A52" t="s">
        <v>87</v>
      </c>
      <c r="N52">
        <v>116</v>
      </c>
      <c r="O52">
        <v>293</v>
      </c>
      <c r="Q52">
        <f t="shared" si="1"/>
        <v>409</v>
      </c>
      <c r="S52">
        <f t="shared" si="2"/>
        <v>2.5247798435507112E-4</v>
      </c>
    </row>
    <row r="54" spans="1:19" x14ac:dyDescent="0.2">
      <c r="A54" t="s">
        <v>99</v>
      </c>
      <c r="D54">
        <f t="shared" ref="D54:O54" si="3">SUM(D31:D52)</f>
        <v>10092</v>
      </c>
      <c r="E54">
        <f t="shared" si="3"/>
        <v>14587</v>
      </c>
      <c r="F54">
        <f t="shared" si="3"/>
        <v>48094</v>
      </c>
      <c r="G54">
        <f t="shared" si="3"/>
        <v>63525</v>
      </c>
      <c r="H54">
        <f t="shared" si="3"/>
        <v>71064</v>
      </c>
      <c r="I54">
        <f t="shared" si="3"/>
        <v>86731</v>
      </c>
      <c r="J54">
        <f t="shared" si="3"/>
        <v>104487</v>
      </c>
      <c r="K54">
        <f t="shared" si="3"/>
        <v>207062</v>
      </c>
      <c r="L54">
        <f t="shared" si="3"/>
        <v>233822</v>
      </c>
      <c r="M54">
        <f t="shared" si="3"/>
        <v>238485</v>
      </c>
      <c r="N54">
        <f t="shared" si="3"/>
        <v>459446</v>
      </c>
      <c r="O54">
        <f t="shared" si="3"/>
        <v>269433</v>
      </c>
    </row>
    <row r="56" spans="1:19" x14ac:dyDescent="0.2">
      <c r="A56" s="1" t="s">
        <v>103</v>
      </c>
      <c r="B56" s="1"/>
      <c r="C56" s="1"/>
    </row>
    <row r="57" spans="1:19" x14ac:dyDescent="0.2">
      <c r="A57" s="25" t="s">
        <v>97</v>
      </c>
      <c r="B57" s="25"/>
      <c r="C57" s="25"/>
      <c r="D57" s="26">
        <v>2011</v>
      </c>
      <c r="E57" s="26">
        <v>2012</v>
      </c>
      <c r="F57" s="26">
        <v>2013</v>
      </c>
      <c r="G57" s="26">
        <v>2014</v>
      </c>
      <c r="H57" s="26">
        <v>2015</v>
      </c>
      <c r="I57" s="26">
        <v>2016</v>
      </c>
      <c r="J57" s="26">
        <v>2017</v>
      </c>
      <c r="K57" s="26">
        <v>2018</v>
      </c>
      <c r="L57" s="26">
        <v>2019</v>
      </c>
      <c r="M57" s="26">
        <v>2020</v>
      </c>
      <c r="N57" s="26">
        <v>2021</v>
      </c>
      <c r="O57" s="26" t="s">
        <v>98</v>
      </c>
      <c r="Q57" s="26" t="s">
        <v>99</v>
      </c>
      <c r="R57" s="26"/>
      <c r="S57" s="1" t="s">
        <v>102</v>
      </c>
    </row>
    <row r="58" spans="1:19" x14ac:dyDescent="0.2">
      <c r="A58" t="s">
        <v>13</v>
      </c>
      <c r="D58">
        <f>D4-D31</f>
        <v>0</v>
      </c>
      <c r="E58">
        <f t="shared" ref="E58:O58" si="4">E4-E31</f>
        <v>0</v>
      </c>
      <c r="F58">
        <f t="shared" si="4"/>
        <v>0</v>
      </c>
      <c r="G58">
        <f t="shared" si="4"/>
        <v>0</v>
      </c>
      <c r="H58">
        <f t="shared" si="4"/>
        <v>0</v>
      </c>
      <c r="I58">
        <f t="shared" si="4"/>
        <v>0</v>
      </c>
      <c r="J58">
        <f t="shared" si="4"/>
        <v>0</v>
      </c>
      <c r="K58">
        <f t="shared" si="4"/>
        <v>0</v>
      </c>
      <c r="L58">
        <f t="shared" si="4"/>
        <v>0</v>
      </c>
      <c r="M58">
        <f t="shared" si="4"/>
        <v>0</v>
      </c>
      <c r="N58">
        <f t="shared" si="4"/>
        <v>0</v>
      </c>
      <c r="O58">
        <f t="shared" si="4"/>
        <v>0</v>
      </c>
      <c r="Q58">
        <f>SUM(D58:O58)</f>
        <v>0</v>
      </c>
      <c r="S58">
        <f>N58/$N$81</f>
        <v>0</v>
      </c>
    </row>
    <row r="59" spans="1:19" x14ac:dyDescent="0.2">
      <c r="A59" t="s">
        <v>67</v>
      </c>
      <c r="D59">
        <f t="shared" ref="D59:O74" si="5">D5-D32</f>
        <v>7671</v>
      </c>
      <c r="E59">
        <f t="shared" si="5"/>
        <v>23461</v>
      </c>
      <c r="F59">
        <f t="shared" si="5"/>
        <v>23100</v>
      </c>
      <c r="G59">
        <f t="shared" si="5"/>
        <v>20115</v>
      </c>
      <c r="H59">
        <f t="shared" si="5"/>
        <v>16417</v>
      </c>
      <c r="I59">
        <f t="shared" si="5"/>
        <v>25273</v>
      </c>
      <c r="J59">
        <f t="shared" si="5"/>
        <v>20571</v>
      </c>
      <c r="K59">
        <f t="shared" si="5"/>
        <v>18568</v>
      </c>
      <c r="L59">
        <f t="shared" si="5"/>
        <v>4952</v>
      </c>
      <c r="M59">
        <f t="shared" si="5"/>
        <v>81</v>
      </c>
      <c r="N59">
        <f t="shared" si="5"/>
        <v>16</v>
      </c>
      <c r="O59">
        <f t="shared" si="5"/>
        <v>0</v>
      </c>
      <c r="Q59">
        <f t="shared" ref="Q59:Q79" si="6">SUM(D59:O59)</f>
        <v>160225</v>
      </c>
      <c r="S59">
        <f t="shared" ref="S59:S79" si="7">N59/$N$81</f>
        <v>9.1911764705882352E-5</v>
      </c>
    </row>
    <row r="60" spans="1:19" x14ac:dyDescent="0.2">
      <c r="A60" t="s">
        <v>68</v>
      </c>
      <c r="D60">
        <f t="shared" si="5"/>
        <v>0</v>
      </c>
      <c r="E60">
        <f t="shared" si="5"/>
        <v>0</v>
      </c>
      <c r="F60">
        <f t="shared" si="5"/>
        <v>0</v>
      </c>
      <c r="G60">
        <f t="shared" si="5"/>
        <v>0</v>
      </c>
      <c r="H60">
        <f t="shared" si="5"/>
        <v>0</v>
      </c>
      <c r="I60">
        <f t="shared" si="5"/>
        <v>0</v>
      </c>
      <c r="J60">
        <f t="shared" si="5"/>
        <v>0</v>
      </c>
      <c r="K60">
        <f t="shared" si="5"/>
        <v>0</v>
      </c>
      <c r="L60">
        <f t="shared" si="5"/>
        <v>0</v>
      </c>
      <c r="M60">
        <f t="shared" si="5"/>
        <v>0</v>
      </c>
      <c r="N60">
        <f t="shared" si="5"/>
        <v>0</v>
      </c>
      <c r="O60">
        <f t="shared" si="5"/>
        <v>0</v>
      </c>
      <c r="Q60">
        <f t="shared" si="6"/>
        <v>0</v>
      </c>
      <c r="S60">
        <f t="shared" si="7"/>
        <v>0</v>
      </c>
    </row>
    <row r="61" spans="1:19" x14ac:dyDescent="0.2">
      <c r="A61" t="s">
        <v>69</v>
      </c>
      <c r="D61">
        <f t="shared" si="5"/>
        <v>0</v>
      </c>
      <c r="E61">
        <f t="shared" si="5"/>
        <v>12749</v>
      </c>
      <c r="F61">
        <f t="shared" si="5"/>
        <v>12088</v>
      </c>
      <c r="G61">
        <f t="shared" si="5"/>
        <v>13264</v>
      </c>
      <c r="H61">
        <f t="shared" si="5"/>
        <v>4191</v>
      </c>
      <c r="I61">
        <f t="shared" si="5"/>
        <v>2474</v>
      </c>
      <c r="J61">
        <f t="shared" si="5"/>
        <v>20936</v>
      </c>
      <c r="K61">
        <f t="shared" si="5"/>
        <v>27595</v>
      </c>
      <c r="L61">
        <f t="shared" si="5"/>
        <v>21856</v>
      </c>
      <c r="M61">
        <f t="shared" si="5"/>
        <v>17898</v>
      </c>
      <c r="N61">
        <f t="shared" si="5"/>
        <v>52767</v>
      </c>
      <c r="O61">
        <f t="shared" si="5"/>
        <v>13379</v>
      </c>
      <c r="Q61">
        <f t="shared" si="6"/>
        <v>199197</v>
      </c>
      <c r="S61">
        <f t="shared" si="7"/>
        <v>0.30311925551470587</v>
      </c>
    </row>
    <row r="62" spans="1:19" x14ac:dyDescent="0.2">
      <c r="A62" t="s">
        <v>70</v>
      </c>
      <c r="D62">
        <f t="shared" si="5"/>
        <v>0</v>
      </c>
      <c r="E62">
        <f t="shared" si="5"/>
        <v>2374</v>
      </c>
      <c r="F62">
        <f t="shared" si="5"/>
        <v>13243</v>
      </c>
      <c r="G62">
        <f t="shared" si="5"/>
        <v>19983</v>
      </c>
      <c r="H62">
        <f t="shared" si="5"/>
        <v>17341</v>
      </c>
      <c r="I62">
        <f t="shared" si="5"/>
        <v>23895</v>
      </c>
      <c r="J62">
        <f t="shared" si="5"/>
        <v>17772</v>
      </c>
      <c r="K62">
        <f t="shared" si="5"/>
        <v>8656</v>
      </c>
      <c r="L62">
        <f t="shared" si="5"/>
        <v>8235</v>
      </c>
      <c r="M62">
        <f t="shared" si="5"/>
        <v>5565</v>
      </c>
      <c r="N62">
        <f t="shared" si="5"/>
        <v>6013</v>
      </c>
      <c r="O62">
        <f t="shared" si="5"/>
        <v>5056</v>
      </c>
      <c r="Q62">
        <f t="shared" si="6"/>
        <v>128133</v>
      </c>
      <c r="S62">
        <f t="shared" si="7"/>
        <v>3.4541590073529409E-2</v>
      </c>
    </row>
    <row r="63" spans="1:19" x14ac:dyDescent="0.2">
      <c r="A63" t="s">
        <v>71</v>
      </c>
      <c r="D63">
        <f t="shared" si="5"/>
        <v>0</v>
      </c>
      <c r="E63">
        <f t="shared" si="5"/>
        <v>0</v>
      </c>
      <c r="F63">
        <f t="shared" si="5"/>
        <v>0</v>
      </c>
      <c r="G63">
        <f t="shared" si="5"/>
        <v>555</v>
      </c>
      <c r="H63">
        <f t="shared" si="5"/>
        <v>3157</v>
      </c>
      <c r="I63">
        <f t="shared" si="5"/>
        <v>8492</v>
      </c>
      <c r="J63">
        <f t="shared" si="5"/>
        <v>14919</v>
      </c>
      <c r="K63">
        <f t="shared" si="5"/>
        <v>19975</v>
      </c>
      <c r="L63">
        <f t="shared" si="5"/>
        <v>9213</v>
      </c>
      <c r="M63">
        <f t="shared" si="5"/>
        <v>7999</v>
      </c>
      <c r="N63">
        <f t="shared" si="5"/>
        <v>19579</v>
      </c>
      <c r="O63">
        <f t="shared" si="5"/>
        <v>5219</v>
      </c>
      <c r="Q63">
        <f t="shared" si="6"/>
        <v>89108</v>
      </c>
      <c r="S63">
        <f t="shared" si="7"/>
        <v>0.11247127757352941</v>
      </c>
    </row>
    <row r="64" spans="1:19" x14ac:dyDescent="0.2">
      <c r="A64" t="s">
        <v>72</v>
      </c>
      <c r="D64">
        <f t="shared" si="5"/>
        <v>0</v>
      </c>
      <c r="E64">
        <f t="shared" si="5"/>
        <v>0</v>
      </c>
      <c r="F64">
        <f t="shared" si="5"/>
        <v>0</v>
      </c>
      <c r="G64">
        <f t="shared" si="5"/>
        <v>0</v>
      </c>
      <c r="H64">
        <f t="shared" si="5"/>
        <v>0</v>
      </c>
      <c r="I64">
        <f t="shared" si="5"/>
        <v>0</v>
      </c>
      <c r="J64">
        <f t="shared" si="5"/>
        <v>2981</v>
      </c>
      <c r="K64">
        <f t="shared" si="5"/>
        <v>8875</v>
      </c>
      <c r="L64">
        <f t="shared" si="5"/>
        <v>6246</v>
      </c>
      <c r="M64">
        <f t="shared" si="5"/>
        <v>5596</v>
      </c>
      <c r="N64">
        <f t="shared" si="5"/>
        <v>48723</v>
      </c>
      <c r="O64">
        <f t="shared" si="5"/>
        <v>30098</v>
      </c>
      <c r="Q64">
        <f t="shared" si="6"/>
        <v>102519</v>
      </c>
      <c r="S64">
        <f t="shared" si="7"/>
        <v>0.27988855698529413</v>
      </c>
    </row>
    <row r="65" spans="1:19" x14ac:dyDescent="0.2">
      <c r="A65" t="s">
        <v>73</v>
      </c>
      <c r="D65">
        <f t="shared" si="5"/>
        <v>0</v>
      </c>
      <c r="E65">
        <f t="shared" si="5"/>
        <v>0</v>
      </c>
      <c r="F65">
        <f t="shared" si="5"/>
        <v>526</v>
      </c>
      <c r="G65">
        <f t="shared" si="5"/>
        <v>449</v>
      </c>
      <c r="H65">
        <f t="shared" si="5"/>
        <v>64</v>
      </c>
      <c r="I65">
        <f t="shared" si="5"/>
        <v>0</v>
      </c>
      <c r="J65">
        <f t="shared" si="5"/>
        <v>903</v>
      </c>
      <c r="K65">
        <f t="shared" si="5"/>
        <v>18602</v>
      </c>
      <c r="L65">
        <f t="shared" si="5"/>
        <v>10758</v>
      </c>
      <c r="M65">
        <f t="shared" si="5"/>
        <v>3939</v>
      </c>
      <c r="N65">
        <f t="shared" si="5"/>
        <v>2314</v>
      </c>
      <c r="O65">
        <f t="shared" si="5"/>
        <v>2</v>
      </c>
      <c r="Q65">
        <f t="shared" si="6"/>
        <v>37557</v>
      </c>
      <c r="S65">
        <f t="shared" si="7"/>
        <v>1.3292738970588235E-2</v>
      </c>
    </row>
    <row r="66" spans="1:19" x14ac:dyDescent="0.2">
      <c r="A66" t="s">
        <v>74</v>
      </c>
      <c r="D66">
        <f t="shared" si="5"/>
        <v>0</v>
      </c>
      <c r="E66">
        <f t="shared" si="5"/>
        <v>0</v>
      </c>
      <c r="F66">
        <f t="shared" si="5"/>
        <v>0</v>
      </c>
      <c r="G66">
        <f t="shared" si="5"/>
        <v>0</v>
      </c>
      <c r="H66">
        <f t="shared" si="5"/>
        <v>0</v>
      </c>
      <c r="I66">
        <f t="shared" si="5"/>
        <v>4280</v>
      </c>
      <c r="J66">
        <f t="shared" si="5"/>
        <v>2877</v>
      </c>
      <c r="K66">
        <f t="shared" si="5"/>
        <v>2391</v>
      </c>
      <c r="L66">
        <f t="shared" si="5"/>
        <v>41</v>
      </c>
      <c r="M66">
        <f t="shared" si="5"/>
        <v>4468</v>
      </c>
      <c r="N66">
        <f t="shared" si="5"/>
        <v>8943</v>
      </c>
      <c r="O66">
        <f t="shared" si="5"/>
        <v>4174</v>
      </c>
      <c r="Q66">
        <f t="shared" si="6"/>
        <v>27174</v>
      </c>
      <c r="S66">
        <f t="shared" si="7"/>
        <v>5.1372931985294121E-2</v>
      </c>
    </row>
    <row r="67" spans="1:19" x14ac:dyDescent="0.2">
      <c r="A67" t="s">
        <v>75</v>
      </c>
      <c r="D67">
        <f t="shared" si="5"/>
        <v>0</v>
      </c>
      <c r="E67">
        <f t="shared" si="5"/>
        <v>0</v>
      </c>
      <c r="F67">
        <f t="shared" si="5"/>
        <v>0</v>
      </c>
      <c r="G67">
        <f t="shared" si="5"/>
        <v>0</v>
      </c>
      <c r="H67">
        <f t="shared" si="5"/>
        <v>15</v>
      </c>
      <c r="I67">
        <f t="shared" si="5"/>
        <v>3000</v>
      </c>
      <c r="J67">
        <f t="shared" si="5"/>
        <v>2254</v>
      </c>
      <c r="K67">
        <f t="shared" si="5"/>
        <v>2210</v>
      </c>
      <c r="L67">
        <f t="shared" si="5"/>
        <v>2801</v>
      </c>
      <c r="M67">
        <f t="shared" si="5"/>
        <v>4237</v>
      </c>
      <c r="N67">
        <f t="shared" si="5"/>
        <v>6158</v>
      </c>
      <c r="O67">
        <f t="shared" si="5"/>
        <v>4185</v>
      </c>
      <c r="Q67">
        <f t="shared" si="6"/>
        <v>24860</v>
      </c>
      <c r="S67">
        <f t="shared" si="7"/>
        <v>3.5374540441176473E-2</v>
      </c>
    </row>
    <row r="68" spans="1:19" x14ac:dyDescent="0.2">
      <c r="A68" t="s">
        <v>76</v>
      </c>
      <c r="D68">
        <f t="shared" si="5"/>
        <v>0</v>
      </c>
      <c r="E68">
        <f t="shared" si="5"/>
        <v>0</v>
      </c>
      <c r="F68">
        <f t="shared" si="5"/>
        <v>0</v>
      </c>
      <c r="G68">
        <f t="shared" si="5"/>
        <v>0</v>
      </c>
      <c r="H68">
        <f t="shared" si="5"/>
        <v>0</v>
      </c>
      <c r="I68">
        <f t="shared" si="5"/>
        <v>0</v>
      </c>
      <c r="J68">
        <f t="shared" si="5"/>
        <v>1512</v>
      </c>
      <c r="K68">
        <f t="shared" si="5"/>
        <v>4674</v>
      </c>
      <c r="L68">
        <f t="shared" si="5"/>
        <v>4241</v>
      </c>
      <c r="M68">
        <f t="shared" si="5"/>
        <v>2454</v>
      </c>
      <c r="N68">
        <f t="shared" si="5"/>
        <v>5900</v>
      </c>
      <c r="O68">
        <f t="shared" si="5"/>
        <v>4220</v>
      </c>
      <c r="Q68">
        <f t="shared" si="6"/>
        <v>23001</v>
      </c>
      <c r="S68">
        <f t="shared" si="7"/>
        <v>3.3892463235294115E-2</v>
      </c>
    </row>
    <row r="69" spans="1:19" x14ac:dyDescent="0.2">
      <c r="A69" t="s">
        <v>77</v>
      </c>
      <c r="D69">
        <f t="shared" si="5"/>
        <v>0</v>
      </c>
      <c r="E69">
        <f t="shared" si="5"/>
        <v>0</v>
      </c>
      <c r="F69">
        <f t="shared" si="5"/>
        <v>0</v>
      </c>
      <c r="G69">
        <f t="shared" si="5"/>
        <v>0</v>
      </c>
      <c r="H69">
        <f t="shared" si="5"/>
        <v>86</v>
      </c>
      <c r="I69">
        <f t="shared" si="5"/>
        <v>2015</v>
      </c>
      <c r="J69">
        <f t="shared" si="5"/>
        <v>2826</v>
      </c>
      <c r="K69">
        <f t="shared" si="5"/>
        <v>3818</v>
      </c>
      <c r="L69">
        <f t="shared" si="5"/>
        <v>3683</v>
      </c>
      <c r="M69">
        <f t="shared" si="5"/>
        <v>7106</v>
      </c>
      <c r="N69">
        <f t="shared" si="5"/>
        <v>15606</v>
      </c>
      <c r="O69">
        <f t="shared" si="5"/>
        <v>6482</v>
      </c>
      <c r="Q69">
        <f t="shared" si="6"/>
        <v>41622</v>
      </c>
      <c r="S69">
        <f t="shared" si="7"/>
        <v>8.9648437499999997E-2</v>
      </c>
    </row>
    <row r="70" spans="1:19" x14ac:dyDescent="0.2">
      <c r="A70" t="s">
        <v>78</v>
      </c>
      <c r="D70">
        <f t="shared" si="5"/>
        <v>0</v>
      </c>
      <c r="E70">
        <f t="shared" si="5"/>
        <v>0</v>
      </c>
      <c r="F70">
        <f t="shared" si="5"/>
        <v>51</v>
      </c>
      <c r="G70">
        <f t="shared" si="5"/>
        <v>991</v>
      </c>
      <c r="H70">
        <f t="shared" si="5"/>
        <v>1570</v>
      </c>
      <c r="I70">
        <f t="shared" si="5"/>
        <v>2504</v>
      </c>
      <c r="J70">
        <f t="shared" si="5"/>
        <v>1592</v>
      </c>
      <c r="K70">
        <f t="shared" si="5"/>
        <v>2152</v>
      </c>
      <c r="L70">
        <f t="shared" si="5"/>
        <v>2575</v>
      </c>
      <c r="M70">
        <f t="shared" si="5"/>
        <v>2521</v>
      </c>
      <c r="N70">
        <f t="shared" si="5"/>
        <v>2512</v>
      </c>
      <c r="O70">
        <f t="shared" si="5"/>
        <v>865</v>
      </c>
      <c r="Q70">
        <f t="shared" si="6"/>
        <v>17333</v>
      </c>
      <c r="S70">
        <f t="shared" si="7"/>
        <v>1.443014705882353E-2</v>
      </c>
    </row>
    <row r="71" spans="1:19" x14ac:dyDescent="0.2">
      <c r="A71" t="s">
        <v>79</v>
      </c>
      <c r="D71">
        <f t="shared" si="5"/>
        <v>0</v>
      </c>
      <c r="E71">
        <f t="shared" si="5"/>
        <v>0</v>
      </c>
      <c r="F71">
        <f t="shared" si="5"/>
        <v>0</v>
      </c>
      <c r="G71">
        <f t="shared" si="5"/>
        <v>0</v>
      </c>
      <c r="H71">
        <f t="shared" si="5"/>
        <v>0</v>
      </c>
      <c r="I71">
        <f t="shared" si="5"/>
        <v>0</v>
      </c>
      <c r="J71">
        <f t="shared" si="5"/>
        <v>0</v>
      </c>
      <c r="K71">
        <f t="shared" si="5"/>
        <v>0</v>
      </c>
      <c r="L71">
        <f t="shared" si="5"/>
        <v>0</v>
      </c>
      <c r="M71">
        <f t="shared" si="5"/>
        <v>0</v>
      </c>
      <c r="N71">
        <f t="shared" si="5"/>
        <v>0</v>
      </c>
      <c r="O71">
        <f t="shared" si="5"/>
        <v>0</v>
      </c>
      <c r="Q71">
        <f t="shared" si="6"/>
        <v>0</v>
      </c>
      <c r="S71">
        <f t="shared" si="7"/>
        <v>0</v>
      </c>
    </row>
    <row r="72" spans="1:19" x14ac:dyDescent="0.2">
      <c r="A72" t="s">
        <v>80</v>
      </c>
      <c r="D72">
        <f t="shared" si="5"/>
        <v>0</v>
      </c>
      <c r="E72">
        <f t="shared" si="5"/>
        <v>0</v>
      </c>
      <c r="F72">
        <f t="shared" si="5"/>
        <v>0</v>
      </c>
      <c r="G72">
        <f t="shared" si="5"/>
        <v>0</v>
      </c>
      <c r="H72">
        <f t="shared" si="5"/>
        <v>118</v>
      </c>
      <c r="I72">
        <f t="shared" si="5"/>
        <v>952</v>
      </c>
      <c r="J72">
        <f t="shared" si="5"/>
        <v>1946</v>
      </c>
      <c r="K72">
        <f t="shared" si="5"/>
        <v>2201</v>
      </c>
      <c r="L72">
        <f t="shared" si="5"/>
        <v>5381</v>
      </c>
      <c r="M72">
        <f t="shared" si="5"/>
        <v>1236</v>
      </c>
      <c r="N72">
        <f t="shared" si="5"/>
        <v>78</v>
      </c>
      <c r="O72">
        <f t="shared" si="5"/>
        <v>0</v>
      </c>
      <c r="Q72">
        <f t="shared" si="6"/>
        <v>11912</v>
      </c>
      <c r="S72">
        <f t="shared" si="7"/>
        <v>4.4806985294117645E-4</v>
      </c>
    </row>
    <row r="73" spans="1:19" x14ac:dyDescent="0.2">
      <c r="A73" t="s">
        <v>81</v>
      </c>
      <c r="D73">
        <f t="shared" si="5"/>
        <v>0</v>
      </c>
      <c r="E73">
        <f t="shared" si="5"/>
        <v>0</v>
      </c>
      <c r="F73">
        <f t="shared" si="5"/>
        <v>0</v>
      </c>
      <c r="G73">
        <f t="shared" si="5"/>
        <v>0</v>
      </c>
      <c r="H73">
        <f t="shared" si="5"/>
        <v>0</v>
      </c>
      <c r="I73">
        <f t="shared" si="5"/>
        <v>0</v>
      </c>
      <c r="J73">
        <f t="shared" si="5"/>
        <v>99</v>
      </c>
      <c r="K73">
        <f t="shared" si="5"/>
        <v>4166</v>
      </c>
      <c r="L73">
        <f t="shared" si="5"/>
        <v>2810</v>
      </c>
      <c r="M73">
        <f t="shared" si="5"/>
        <v>1964</v>
      </c>
      <c r="N73">
        <f t="shared" si="5"/>
        <v>2250</v>
      </c>
      <c r="O73">
        <f t="shared" si="5"/>
        <v>1158</v>
      </c>
      <c r="Q73">
        <f t="shared" si="6"/>
        <v>12447</v>
      </c>
      <c r="S73">
        <f t="shared" si="7"/>
        <v>1.2925091911764705E-2</v>
      </c>
    </row>
    <row r="74" spans="1:19" x14ac:dyDescent="0.2">
      <c r="A74" t="s">
        <v>82</v>
      </c>
      <c r="D74">
        <f t="shared" si="5"/>
        <v>0</v>
      </c>
      <c r="E74">
        <f t="shared" si="5"/>
        <v>0</v>
      </c>
      <c r="F74">
        <f t="shared" si="5"/>
        <v>0</v>
      </c>
      <c r="G74">
        <f t="shared" si="5"/>
        <v>0</v>
      </c>
      <c r="H74">
        <f t="shared" si="5"/>
        <v>0</v>
      </c>
      <c r="I74">
        <f t="shared" si="5"/>
        <v>0</v>
      </c>
      <c r="J74">
        <f t="shared" si="5"/>
        <v>0</v>
      </c>
      <c r="K74">
        <f t="shared" si="5"/>
        <v>0</v>
      </c>
      <c r="L74">
        <f t="shared" si="5"/>
        <v>0</v>
      </c>
      <c r="M74">
        <f t="shared" si="5"/>
        <v>0</v>
      </c>
      <c r="N74">
        <f t="shared" si="5"/>
        <v>0</v>
      </c>
      <c r="O74">
        <f t="shared" si="5"/>
        <v>0</v>
      </c>
      <c r="Q74">
        <f t="shared" si="6"/>
        <v>0</v>
      </c>
      <c r="S74">
        <f t="shared" si="7"/>
        <v>0</v>
      </c>
    </row>
    <row r="75" spans="1:19" x14ac:dyDescent="0.2">
      <c r="A75" t="s">
        <v>83</v>
      </c>
      <c r="D75">
        <f t="shared" ref="D75:O79" si="8">D21-D48</f>
        <v>0</v>
      </c>
      <c r="E75">
        <f t="shared" si="8"/>
        <v>0</v>
      </c>
      <c r="F75">
        <f t="shared" si="8"/>
        <v>0</v>
      </c>
      <c r="G75">
        <f t="shared" si="8"/>
        <v>0</v>
      </c>
      <c r="H75">
        <f t="shared" si="8"/>
        <v>0</v>
      </c>
      <c r="I75">
        <f t="shared" si="8"/>
        <v>0</v>
      </c>
      <c r="J75">
        <f t="shared" si="8"/>
        <v>0</v>
      </c>
      <c r="K75">
        <f t="shared" si="8"/>
        <v>0</v>
      </c>
      <c r="L75">
        <f t="shared" si="8"/>
        <v>408</v>
      </c>
      <c r="M75">
        <f t="shared" si="8"/>
        <v>1471</v>
      </c>
      <c r="N75">
        <f t="shared" si="8"/>
        <v>603</v>
      </c>
      <c r="O75">
        <f t="shared" si="8"/>
        <v>0</v>
      </c>
      <c r="Q75">
        <f t="shared" si="6"/>
        <v>2482</v>
      </c>
      <c r="S75">
        <f t="shared" si="7"/>
        <v>3.463924632352941E-3</v>
      </c>
    </row>
    <row r="76" spans="1:19" x14ac:dyDescent="0.2">
      <c r="A76" t="s">
        <v>84</v>
      </c>
      <c r="D76">
        <f t="shared" si="8"/>
        <v>0</v>
      </c>
      <c r="E76">
        <f t="shared" si="8"/>
        <v>0</v>
      </c>
      <c r="F76">
        <f t="shared" si="8"/>
        <v>0</v>
      </c>
      <c r="G76">
        <f t="shared" si="8"/>
        <v>0</v>
      </c>
      <c r="H76">
        <f t="shared" si="8"/>
        <v>0</v>
      </c>
      <c r="I76">
        <f t="shared" si="8"/>
        <v>0</v>
      </c>
      <c r="J76">
        <f t="shared" si="8"/>
        <v>0</v>
      </c>
      <c r="K76">
        <f t="shared" si="8"/>
        <v>0</v>
      </c>
      <c r="L76">
        <f t="shared" si="8"/>
        <v>2591</v>
      </c>
      <c r="M76">
        <f t="shared" si="8"/>
        <v>2514</v>
      </c>
      <c r="N76">
        <f t="shared" si="8"/>
        <v>2618</v>
      </c>
      <c r="O76">
        <f t="shared" si="8"/>
        <v>947</v>
      </c>
      <c r="Q76">
        <f t="shared" si="6"/>
        <v>8670</v>
      </c>
      <c r="S76">
        <f t="shared" si="7"/>
        <v>1.50390625E-2</v>
      </c>
    </row>
    <row r="77" spans="1:19" x14ac:dyDescent="0.2">
      <c r="A77" t="s">
        <v>85</v>
      </c>
      <c r="D77">
        <f t="shared" si="8"/>
        <v>0</v>
      </c>
      <c r="E77">
        <f t="shared" si="8"/>
        <v>0</v>
      </c>
      <c r="F77">
        <f t="shared" si="8"/>
        <v>0</v>
      </c>
      <c r="G77">
        <f t="shared" si="8"/>
        <v>0</v>
      </c>
      <c r="H77">
        <f t="shared" si="8"/>
        <v>0</v>
      </c>
      <c r="I77">
        <f t="shared" si="8"/>
        <v>0</v>
      </c>
      <c r="J77">
        <f t="shared" si="8"/>
        <v>0</v>
      </c>
      <c r="K77">
        <f t="shared" si="8"/>
        <v>0</v>
      </c>
      <c r="L77">
        <f t="shared" si="8"/>
        <v>0</v>
      </c>
      <c r="M77">
        <f t="shared" si="8"/>
        <v>0</v>
      </c>
      <c r="N77">
        <f t="shared" si="8"/>
        <v>0</v>
      </c>
      <c r="O77">
        <f t="shared" si="8"/>
        <v>0</v>
      </c>
      <c r="Q77">
        <f t="shared" si="6"/>
        <v>0</v>
      </c>
      <c r="S77">
        <f t="shared" si="7"/>
        <v>0</v>
      </c>
    </row>
    <row r="78" spans="1:19" x14ac:dyDescent="0.2">
      <c r="A78" t="s">
        <v>86</v>
      </c>
      <c r="D78">
        <f t="shared" si="8"/>
        <v>0</v>
      </c>
      <c r="E78">
        <f t="shared" si="8"/>
        <v>0</v>
      </c>
      <c r="F78">
        <f t="shared" si="8"/>
        <v>0</v>
      </c>
      <c r="G78">
        <f t="shared" si="8"/>
        <v>0</v>
      </c>
      <c r="H78">
        <f t="shared" si="8"/>
        <v>0</v>
      </c>
      <c r="I78">
        <f t="shared" si="8"/>
        <v>0</v>
      </c>
      <c r="J78">
        <f t="shared" si="8"/>
        <v>0</v>
      </c>
      <c r="K78">
        <f t="shared" si="8"/>
        <v>0</v>
      </c>
      <c r="L78">
        <f t="shared" si="8"/>
        <v>0</v>
      </c>
      <c r="M78">
        <f t="shared" si="8"/>
        <v>0</v>
      </c>
      <c r="N78">
        <f t="shared" si="8"/>
        <v>0</v>
      </c>
      <c r="O78">
        <f t="shared" si="8"/>
        <v>0</v>
      </c>
      <c r="Q78">
        <f t="shared" si="6"/>
        <v>0</v>
      </c>
      <c r="S78">
        <f t="shared" si="7"/>
        <v>0</v>
      </c>
    </row>
    <row r="79" spans="1:19" x14ac:dyDescent="0.2">
      <c r="A79" t="s">
        <v>87</v>
      </c>
      <c r="D79">
        <f t="shared" si="8"/>
        <v>0</v>
      </c>
      <c r="E79">
        <f t="shared" si="8"/>
        <v>0</v>
      </c>
      <c r="F79">
        <f t="shared" si="8"/>
        <v>0</v>
      </c>
      <c r="G79">
        <f t="shared" si="8"/>
        <v>0</v>
      </c>
      <c r="H79">
        <f t="shared" si="8"/>
        <v>0</v>
      </c>
      <c r="I79">
        <f t="shared" si="8"/>
        <v>0</v>
      </c>
      <c r="J79">
        <f t="shared" si="8"/>
        <v>0</v>
      </c>
      <c r="K79">
        <f t="shared" si="8"/>
        <v>0</v>
      </c>
      <c r="L79">
        <f t="shared" si="8"/>
        <v>0</v>
      </c>
      <c r="M79">
        <f t="shared" si="8"/>
        <v>0</v>
      </c>
      <c r="N79">
        <f t="shared" si="8"/>
        <v>0</v>
      </c>
      <c r="O79">
        <f t="shared" si="8"/>
        <v>0</v>
      </c>
      <c r="Q79">
        <f t="shared" si="6"/>
        <v>0</v>
      </c>
      <c r="S79">
        <f t="shared" si="7"/>
        <v>0</v>
      </c>
    </row>
    <row r="81" spans="1:17" x14ac:dyDescent="0.2">
      <c r="A81" t="s">
        <v>99</v>
      </c>
      <c r="D81">
        <f t="shared" ref="D81:O81" si="9">SUM(D58:D79)</f>
        <v>7671</v>
      </c>
      <c r="E81">
        <f t="shared" si="9"/>
        <v>38584</v>
      </c>
      <c r="F81">
        <f t="shared" si="9"/>
        <v>49008</v>
      </c>
      <c r="G81">
        <f t="shared" si="9"/>
        <v>55357</v>
      </c>
      <c r="H81">
        <f t="shared" si="9"/>
        <v>42959</v>
      </c>
      <c r="I81">
        <f t="shared" si="9"/>
        <v>72885</v>
      </c>
      <c r="J81">
        <f t="shared" si="9"/>
        <v>91188</v>
      </c>
      <c r="K81">
        <f t="shared" si="9"/>
        <v>123883</v>
      </c>
      <c r="L81">
        <f t="shared" si="9"/>
        <v>85791</v>
      </c>
      <c r="M81">
        <f t="shared" si="9"/>
        <v>69049</v>
      </c>
      <c r="N81">
        <f t="shared" si="9"/>
        <v>174080</v>
      </c>
      <c r="O81">
        <f t="shared" si="9"/>
        <v>75785</v>
      </c>
    </row>
    <row r="85" spans="1:17" x14ac:dyDescent="0.2">
      <c r="A85" t="s">
        <v>104</v>
      </c>
    </row>
    <row r="87" spans="1:17" x14ac:dyDescent="0.2">
      <c r="D87" s="1">
        <v>2021</v>
      </c>
      <c r="E87" s="1">
        <v>2022</v>
      </c>
      <c r="F87" s="1" t="s">
        <v>105</v>
      </c>
      <c r="G87" t="s">
        <v>106</v>
      </c>
    </row>
    <row r="88" spans="1:17" x14ac:dyDescent="0.2">
      <c r="A88" s="1" t="s">
        <v>74</v>
      </c>
      <c r="D88">
        <f>3+2+2+3+1+2+2+3+4+2+15</f>
        <v>39</v>
      </c>
    </row>
    <row r="89" spans="1:17" x14ac:dyDescent="0.2">
      <c r="A89" s="1" t="s">
        <v>107</v>
      </c>
      <c r="B89" s="1"/>
      <c r="C89" s="1"/>
      <c r="D89">
        <v>0</v>
      </c>
    </row>
    <row r="90" spans="1:17" x14ac:dyDescent="0.2">
      <c r="A90" s="1" t="s">
        <v>68</v>
      </c>
      <c r="B90" s="1"/>
      <c r="C90" s="1"/>
      <c r="D90">
        <f>15+21+38+26+19+25+19+14+17+16+24+23</f>
        <v>257</v>
      </c>
      <c r="E90" s="1"/>
      <c r="F90" s="1"/>
      <c r="G90" s="1"/>
      <c r="H90" s="1"/>
      <c r="I90" s="1"/>
      <c r="J90" s="1"/>
      <c r="K90" s="1"/>
      <c r="L90" s="1"/>
      <c r="O90" s="1"/>
      <c r="Q90" s="1"/>
    </row>
    <row r="91" spans="1:17" x14ac:dyDescent="0.2">
      <c r="A91" s="1" t="s">
        <v>73</v>
      </c>
      <c r="D91">
        <v>0</v>
      </c>
    </row>
    <row r="92" spans="1:17" x14ac:dyDescent="0.2">
      <c r="A92" s="1" t="s">
        <v>13</v>
      </c>
      <c r="D92">
        <f>131+409+425+534+867+500+806+623+816+704+1437+735</f>
        <v>7987</v>
      </c>
    </row>
    <row r="93" spans="1:17" x14ac:dyDescent="0.2">
      <c r="A93" s="1" t="s">
        <v>108</v>
      </c>
      <c r="D93">
        <v>0</v>
      </c>
    </row>
    <row r="94" spans="1:17" x14ac:dyDescent="0.2">
      <c r="A94" s="1" t="s">
        <v>109</v>
      </c>
      <c r="D94">
        <v>0</v>
      </c>
    </row>
    <row r="95" spans="1:17" x14ac:dyDescent="0.2">
      <c r="A95" s="1" t="s">
        <v>110</v>
      </c>
      <c r="D95">
        <v>0</v>
      </c>
    </row>
    <row r="96" spans="1:17" x14ac:dyDescent="0.2">
      <c r="A96" s="1" t="s">
        <v>111</v>
      </c>
      <c r="D96">
        <v>1</v>
      </c>
    </row>
    <row r="97" spans="1:12" x14ac:dyDescent="0.2">
      <c r="A97" s="1" t="s">
        <v>112</v>
      </c>
      <c r="D97">
        <v>0</v>
      </c>
      <c r="L97" t="s">
        <v>132</v>
      </c>
    </row>
    <row r="98" spans="1:12" x14ac:dyDescent="0.2">
      <c r="A98" s="1" t="s">
        <v>113</v>
      </c>
      <c r="D98">
        <v>0</v>
      </c>
    </row>
    <row r="99" spans="1:12" x14ac:dyDescent="0.2">
      <c r="A99" s="1" t="s">
        <v>114</v>
      </c>
      <c r="D99">
        <v>0</v>
      </c>
    </row>
    <row r="100" spans="1:12" x14ac:dyDescent="0.2">
      <c r="A100" s="1" t="s">
        <v>115</v>
      </c>
      <c r="D100">
        <v>0</v>
      </c>
    </row>
    <row r="101" spans="1:12" x14ac:dyDescent="0.2">
      <c r="A101" s="1" t="s">
        <v>116</v>
      </c>
      <c r="D101">
        <f>5+5+7+12+4+2+54+30+102+228</f>
        <v>449</v>
      </c>
    </row>
    <row r="102" spans="1:12" x14ac:dyDescent="0.2">
      <c r="A102" s="1" t="s">
        <v>79</v>
      </c>
      <c r="D102">
        <f>1+4+7+7+3+2+4+7+3+2+4+1</f>
        <v>45</v>
      </c>
    </row>
    <row r="103" spans="1:12" x14ac:dyDescent="0.2">
      <c r="A103" s="1" t="s">
        <v>75</v>
      </c>
      <c r="D103">
        <f>23+13+24+18+28+23+24+8+20+23+18+23</f>
        <v>245</v>
      </c>
    </row>
    <row r="104" spans="1:12" x14ac:dyDescent="0.2">
      <c r="A104" s="1" t="s">
        <v>117</v>
      </c>
      <c r="D104">
        <v>1</v>
      </c>
    </row>
    <row r="105" spans="1:12" x14ac:dyDescent="0.2">
      <c r="A105" s="1" t="s">
        <v>118</v>
      </c>
      <c r="D105">
        <f>18+11+31+17+19+21+25+8+16+12+11+10</f>
        <v>199</v>
      </c>
    </row>
    <row r="106" spans="1:12" x14ac:dyDescent="0.2">
      <c r="A106" s="1" t="s">
        <v>119</v>
      </c>
      <c r="D106">
        <v>0</v>
      </c>
    </row>
    <row r="107" spans="1:12" x14ac:dyDescent="0.2">
      <c r="A107" s="1" t="s">
        <v>78</v>
      </c>
    </row>
    <row r="108" spans="1:12" x14ac:dyDescent="0.2">
      <c r="A108" s="1" t="s">
        <v>120</v>
      </c>
    </row>
    <row r="109" spans="1:12" x14ac:dyDescent="0.2">
      <c r="A109" s="1" t="s">
        <v>121</v>
      </c>
    </row>
    <row r="110" spans="1:12" x14ac:dyDescent="0.2">
      <c r="A110" s="1" t="s">
        <v>122</v>
      </c>
    </row>
    <row r="111" spans="1:12" x14ac:dyDescent="0.2">
      <c r="A111" s="1" t="s">
        <v>77</v>
      </c>
    </row>
    <row r="112" spans="1:12" x14ac:dyDescent="0.2">
      <c r="A112" s="1" t="s">
        <v>123</v>
      </c>
    </row>
    <row r="113" spans="1:5" x14ac:dyDescent="0.2">
      <c r="A113" s="1" t="s">
        <v>124</v>
      </c>
    </row>
    <row r="114" spans="1:5" x14ac:dyDescent="0.2">
      <c r="A114" s="1"/>
    </row>
    <row r="115" spans="1:5" x14ac:dyDescent="0.2">
      <c r="A115" s="1"/>
    </row>
    <row r="116" spans="1:5" x14ac:dyDescent="0.2">
      <c r="A116" s="1"/>
    </row>
    <row r="119" spans="1:5" x14ac:dyDescent="0.2">
      <c r="E1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F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5.33203125" customWidth="1"/>
  </cols>
  <sheetData>
    <row r="1" spans="1:32" ht="48" x14ac:dyDescent="0.2">
      <c r="A1" s="15" t="s">
        <v>125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126</v>
      </c>
      <c r="B2" s="9">
        <f>'Summary - US'!C44</f>
        <v>3.6464286331361652E-2</v>
      </c>
      <c r="C2" s="9">
        <f>'Summary - US'!D44</f>
        <v>5.4522194176258157E-2</v>
      </c>
      <c r="D2" s="9">
        <f>'Summary - US'!E44</f>
        <v>5.2172970590076181E-2</v>
      </c>
      <c r="E2" s="9">
        <f>'Summary - US'!F44</f>
        <v>4.7283104331653211E-2</v>
      </c>
      <c r="F2" s="9">
        <f>'Summary - US'!G44</f>
        <v>3.5724021310804585E-2</v>
      </c>
      <c r="G2" s="9">
        <f>'Summary - US'!H44</f>
        <v>2.5831422445975995E-2</v>
      </c>
      <c r="H2" s="9">
        <f>'Summary - US'!I44</f>
        <v>2.4129104745574833E-2</v>
      </c>
      <c r="I2" s="9">
        <f>'Summary - US'!J44</f>
        <v>2.4949579328811942E-2</v>
      </c>
      <c r="J2" s="9">
        <f>'Summary - US'!K44</f>
        <v>2.5982196601902464E-2</v>
      </c>
      <c r="K2" s="9">
        <f>'Summary - US'!L44</f>
        <v>2.6782316819956881E-2</v>
      </c>
      <c r="L2" s="9">
        <f>'Summary - US'!M44</f>
        <v>2.7571529500024429E-2</v>
      </c>
      <c r="M2" s="9">
        <f>'Summary - US'!N44</f>
        <v>2.804151631152621E-2</v>
      </c>
      <c r="N2" s="9">
        <f>'Summary - US'!O44</f>
        <v>2.8462696672770241E-2</v>
      </c>
      <c r="O2" s="9">
        <f>'Summary - US'!P44</f>
        <v>2.883246170928561E-2</v>
      </c>
      <c r="P2" s="9">
        <f>'Summary - US'!Q44</f>
        <v>2.91609721422585E-2</v>
      </c>
      <c r="Q2" s="9">
        <f>'Summary - US'!R44</f>
        <v>2.9139691134415186E-2</v>
      </c>
      <c r="R2" s="9">
        <f>'Summary - US'!S44</f>
        <v>2.9211215615209625E-2</v>
      </c>
      <c r="S2" s="9">
        <f>'Summary - US'!T44</f>
        <v>2.9444198812270988E-2</v>
      </c>
      <c r="T2" s="9">
        <f>'Summary - US'!U44</f>
        <v>2.9654282735340896E-2</v>
      </c>
      <c r="U2" s="9">
        <f>'Summary - US'!V44</f>
        <v>2.9846239900672544E-2</v>
      </c>
      <c r="V2" s="9">
        <f>'Summary - US'!W44</f>
        <v>3.0022360338654054E-2</v>
      </c>
      <c r="W2" s="9">
        <f>'Summary - US'!X44</f>
        <v>3.0182346664229791E-2</v>
      </c>
      <c r="X2" s="9">
        <f>'Summary - US'!Y44</f>
        <v>3.0328557722371915E-2</v>
      </c>
      <c r="Y2" s="9">
        <f>'Summary - US'!Z44</f>
        <v>3.0462978385358021E-2</v>
      </c>
      <c r="Z2" s="9">
        <f>'Summary - US'!AA44</f>
        <v>3.0586649474304863E-2</v>
      </c>
      <c r="AA2" s="9">
        <f>'Summary - US'!AB44</f>
        <v>3.0700997640717681E-2</v>
      </c>
      <c r="AB2" s="9">
        <f>'Summary - US'!AC44</f>
        <v>3.080708861663355E-2</v>
      </c>
      <c r="AC2" s="9">
        <f>'Summary - US'!AD44</f>
        <v>3.0905928908767949E-2</v>
      </c>
      <c r="AD2" s="9">
        <f>'Summary - US'!AE44</f>
        <v>3.0862390004988038E-2</v>
      </c>
      <c r="AE2" s="9">
        <f>'Summary - US'!AF44</f>
        <v>3.0867174007500588E-2</v>
      </c>
      <c r="AF2" s="9">
        <f>'Summary - US'!AG44</f>
        <v>3.0948134307723401E-2</v>
      </c>
    </row>
    <row r="3" spans="1:32" x14ac:dyDescent="0.2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130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131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F7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6.83203125" customWidth="1"/>
  </cols>
  <sheetData>
    <row r="1" spans="1:32" ht="32" x14ac:dyDescent="0.2">
      <c r="A1" s="15" t="s">
        <v>125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130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131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9DE44CB-597F-4B92-A5CA-C70470BCC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C0F3CA-83F4-4CAE-832F-EC3467000910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cb176f07-3112-4ee9-93fd-ae2cb5f3e433"/>
    <ds:schemaRef ds:uri="http://schemas.openxmlformats.org/package/2006/metadata/core-properties"/>
    <ds:schemaRef ds:uri="6b15a3a4-8173-42d6-9deb-398ec38eca4b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2EE413F-FC6D-48E0-98AA-588B936BD8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7E3C47-9B2A-5644-8B21-AB22E4CDD9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Summary - HK</vt:lpstr>
      <vt:lpstr>Summary - US</vt:lpstr>
      <vt:lpstr>Baseline Calculations</vt:lpstr>
      <vt:lpstr>Baseline Calculations - HK</vt:lpstr>
      <vt:lpstr>PEV Sales by Manufacturer</vt:lpstr>
      <vt:lpstr>PEV Sales by Manufacturer - HK</vt:lpstr>
      <vt:lpstr>BESP-passengers</vt:lpstr>
      <vt:lpstr>BESP-freight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2017-06-20T00:56:40Z</dcterms:created>
  <dcterms:modified xsi:type="dcterms:W3CDTF">2023-12-12T04:48:43Z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